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esanan" sheetId="2" state="visible" r:id="rId4"/>
    <sheet name="Stok filamen" sheetId="3" state="visible" r:id="rId5"/>
    <sheet name="Stok bahan" sheetId="4" state="visible" r:id="rId6"/>
    <sheet name="Stok bagian jadi" sheetId="5" state="visible" r:id="rId7"/>
    <sheet name="Mutasi stok" sheetId="6" state="visible" r:id="rId8"/>
    <sheet name="Kas" sheetId="7" state="visible" r:id="rId9"/>
    <sheet name="Laporan bulanan" sheetId="8" state="visible" r:id="rId10"/>
    <sheet name="Rutinitas" sheetId="9" state="visible" r:id="rId11"/>
    <sheet name="Resep" sheetId="10" state="visible" r:id="rId12"/>
    <sheet name="Pengaturan" sheetId="11" state="visible" r:id="rId13"/>
    <sheet name="Pandua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Kolom A–Q = tempel dari CSV admin.html (Unduh CSV, pemisah ;). Kolom R ke kanan = rumus.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Masuk = pembelian. Pakai = pemakaian manual (gagal cetak, sampel, bahan yang dipakai di luar pesanan). Koreksi = hasil opname: isi selisih (+/−) agar Sisa sama dengan fisik. Pemakaian untuk pesanan terbayar dihitung OTOMATIS dari tab Pesanan, jangan dicatat lagi di sini.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Catat setiap uang masuk (bukti transfer) dan keluar pada hari yang sama. Saldo berjalan harus sama dengan saldo rekening/e-wallet bisnis saat rekonsiliasi bulanan.</t>
        </r>
      </text>
    </comment>
  </commentList>
</comments>
</file>

<file path=xl/sharedStrings.xml><?xml version="1.0" encoding="utf-8"?>
<sst xmlns="http://schemas.openxmlformats.org/spreadsheetml/2006/main" count="631" uniqueCount="386">
  <si>
    <t xml:space="preserve">MahaKarya Studio — Dashboard operasional</t>
  </si>
  <si>
    <t xml:space="preserve">Dibuka tiap pagi. Ganti bulan di B4 (format yyyy-mm) atau biarkan: otomatis bulan ini.</t>
  </si>
  <si>
    <t xml:space="preserve">Bulan</t>
  </si>
  <si>
    <t xml:space="preserve">← ketik bulan lain (mis. 2025-11) untuk melihat bulan itu</t>
  </si>
  <si>
    <t xml:space="preserve">PENJUALAN BULAN INI</t>
  </si>
  <si>
    <t xml:space="preserve">PERINGATAN STOK</t>
  </si>
  <si>
    <t xml:space="preserve">Pesanan masuk</t>
  </si>
  <si>
    <t xml:space="preserve">Terbayar</t>
  </si>
  <si>
    <t xml:space="preserve">Konversi chat → bayar</t>
  </si>
  <si>
    <t xml:space="preserve">Omzet lampu</t>
  </si>
  <si>
    <t xml:space="preserve">Laba kotor (perkiraan)</t>
  </si>
  <si>
    <t xml:space="preserve">Rata hari bayar → tiba</t>
  </si>
  <si>
    <t xml:space="preserve">Filamen</t>
  </si>
  <si>
    <t xml:space="preserve">Sisa (g)</t>
  </si>
  <si>
    <t xml:space="preserve">Hari tersisa</t>
  </si>
  <si>
    <t xml:space="preserve">chat yang jadi baris pesanan</t>
  </si>
  <si>
    <t xml:space="preserve">dari pesanan bulan ini</t>
  </si>
  <si>
    <t xml:space="preserve">target ≥ 40%</t>
  </si>
  <si>
    <t xml:space="preserve">pesanan dibayar bulan ini</t>
  </si>
  <si>
    <t xml:space="preserve">omzet − HPP asumsi Pengaturan</t>
  </si>
  <si>
    <t xml:space="preserve">target ≤ 8 hari</t>
  </si>
  <si>
    <t xml:space="preserve">HARUS DIKERJAKAN HARI INI (semua bulan)</t>
  </si>
  <si>
    <t xml:space="preserve">Belum dibalas (Baru)</t>
  </si>
  <si>
    <t xml:space="preserve">Menunggu bayar &gt; 1 hari</t>
  </si>
  <si>
    <t xml:space="preserve">Dalam antrean cetak</t>
  </si>
  <si>
    <t xml:space="preserve">Terlambat dari janji</t>
  </si>
  <si>
    <t xml:space="preserve">Dikirim, belum selesai</t>
  </si>
  <si>
    <t xml:space="preserve">Pesanan aktif</t>
  </si>
  <si>
    <t xml:space="preserve">balas &lt; 15 menit</t>
  </si>
  <si>
    <t xml:space="preserve">ingatkan sekali (/ingat)</t>
  </si>
  <si>
    <t xml:space="preserve">kelompokkan per warna</t>
  </si>
  <si>
    <t xml:space="preserve">Cetak lewat janji selesai → kabari pembeli</t>
  </si>
  <si>
    <t xml:space="preserve">H+3 tiba: tanya kabar (/selesai)</t>
  </si>
  <si>
    <t xml:space="preserve">semua selain Selesai/Batal</t>
  </si>
  <si>
    <t xml:space="preserve">STOK &amp; KAS</t>
  </si>
  <si>
    <t xml:space="preserve">Bahan</t>
  </si>
  <si>
    <t xml:space="preserve">Sisa</t>
  </si>
  <si>
    <t xml:space="preserve">Minimum</t>
  </si>
  <si>
    <t xml:space="preserve">Filamen perlu dipesan</t>
  </si>
  <si>
    <t xml:space="preserve">Bahan perlu dipesan</t>
  </si>
  <si>
    <t xml:space="preserve">Bagian jadi perlu dicetak</t>
  </si>
  <si>
    <t xml:space="preserve">Kas masuk bulan ini</t>
  </si>
  <si>
    <t xml:space="preserve">Kas keluar bulan ini</t>
  </si>
  <si>
    <t xml:space="preserve">Saldo kas (semua waktu)</t>
  </si>
  <si>
    <t xml:space="preserve">lihat daftar di kanan</t>
  </si>
  <si>
    <t xml:space="preserve">dus, kit, LED, dll.</t>
  </si>
  <si>
    <t xml:space="preserve">stok preset di bawah minimum</t>
  </si>
  <si>
    <t xml:space="preserve">harus = saldo rekening bisnis</t>
  </si>
  <si>
    <t xml:space="preserve">6 BULAN TERAKHIR (dari Laporan bulanan)</t>
  </si>
  <si>
    <t xml:space="preserve">Pesanan</t>
  </si>
  <si>
    <t xml:space="preserve">Konversi</t>
  </si>
  <si>
    <t xml:space="preserve">Omzet</t>
  </si>
  <si>
    <t xml:space="preserve">Laba kotor</t>
  </si>
  <si>
    <t xml:space="preserve">Kas bersih</t>
  </si>
  <si>
    <t xml:space="preserve">Hari bayar→tiba</t>
  </si>
  <si>
    <t xml:space="preserve">Grafik: blok A22:H28 → Sisipkan → Diagram (Google Sheets membuat grafik kolom otomatis). Dashboard ini hanya rumus; data mentahnya di tab Pesanan, Kas, Mutasi stok.</t>
  </si>
  <si>
    <t xml:space="preserve">ID</t>
  </si>
  <si>
    <t xml:space="preserve">Tanggal</t>
  </si>
  <si>
    <t xml:space="preserve">Status</t>
  </si>
  <si>
    <t xml:space="preserve">Nama</t>
  </si>
  <si>
    <t xml:space="preserve">No WA</t>
  </si>
  <si>
    <t xml:space="preserve">Kode rakitan</t>
  </si>
  <si>
    <t xml:space="preserve">Harga lampu</t>
  </si>
  <si>
    <t xml:space="preserve">Zona</t>
  </si>
  <si>
    <t xml:space="preserve">Ongkir</t>
  </si>
  <si>
    <t xml:space="preserve">Alamat</t>
  </si>
  <si>
    <t xml:space="preserve">Tgl bayar</t>
  </si>
  <si>
    <t xml:space="preserve">Janji selesai</t>
  </si>
  <si>
    <t xml:space="preserve">Kurir</t>
  </si>
  <si>
    <t xml:space="preserve">Resi</t>
  </si>
  <si>
    <t xml:space="preserve">Perkiraan tiba</t>
  </si>
  <si>
    <t xml:space="preserve">Tgl selesai</t>
  </si>
  <si>
    <t xml:space="preserve">Catatan</t>
  </si>
  <si>
    <t xml:space="preserve">Total</t>
  </si>
  <si>
    <t xml:space="preserve">Terlambat?</t>
  </si>
  <si>
    <t xml:space="preserve">Bulan pesan</t>
  </si>
  <si>
    <t xml:space="preserve">Bulan bayar</t>
  </si>
  <si>
    <t xml:space="preserve">Terbayar?</t>
  </si>
  <si>
    <t xml:space="preserve">Kode bersih</t>
  </si>
  <si>
    <t xml:space="preserve">Jml segmen</t>
  </si>
  <si>
    <t xml:space="preserve">Kap</t>
  </si>
  <si>
    <t xml:space="preserve">Badan 1</t>
  </si>
  <si>
    <t xml:space="preserve">Badan 2</t>
  </si>
  <si>
    <t xml:space="preserve">Badan 3</t>
  </si>
  <si>
    <t xml:space="preserve">Alas</t>
  </si>
  <si>
    <t xml:space="preserve">Kit?</t>
  </si>
  <si>
    <t xml:space="preserve">LED?</t>
  </si>
  <si>
    <t xml:space="preserve">g kap</t>
  </si>
  <si>
    <t xml:space="preserve">g badan 1</t>
  </si>
  <si>
    <t xml:space="preserve">g badan 2</t>
  </si>
  <si>
    <t xml:space="preserve">g badan 3</t>
  </si>
  <si>
    <t xml:space="preserve">g alas</t>
  </si>
  <si>
    <t xml:space="preserve">Total gram</t>
  </si>
  <si>
    <t xml:space="preserve">HPP</t>
  </si>
  <si>
    <t xml:space="preserve">Margin</t>
  </si>
  <si>
    <t xml:space="preserve">P251001-01</t>
  </si>
  <si>
    <t xml:space="preserve">Selesai</t>
  </si>
  <si>
    <t xml:space="preserve">Contoh A (hapus)</t>
  </si>
  <si>
    <t xml:space="preserve">62812xxxxxxx</t>
  </si>
  <si>
    <t xml:space="preserve">MK-KERGAD-KUBBAT-HEKKRE-BOLSAL-KOTBAT</t>
  </si>
  <si>
    <t xml:space="preserve">Jabodetabek</t>
  </si>
  <si>
    <t xml:space="preserve">Jl. Contoh 1, Jakarta Selatan</t>
  </si>
  <si>
    <t xml:space="preserve">JNE</t>
  </si>
  <si>
    <t xml:space="preserve">JNE0001</t>
  </si>
  <si>
    <t xml:space="preserve">Baris contoh, hapus</t>
  </si>
  <si>
    <t xml:space="preserve">P251003-02</t>
  </si>
  <si>
    <t xml:space="preserve">Cetak</t>
  </si>
  <si>
    <t xml:space="preserve">Contoh B (hapus)</t>
  </si>
  <si>
    <t xml:space="preserve">62813xxxxxxx</t>
  </si>
  <si>
    <t xml:space="preserve">MK-PLIGAD-BOLZAI-BULHIT-LED</t>
  </si>
  <si>
    <t xml:space="preserve">Pulau Jawa</t>
  </si>
  <si>
    <t xml:space="preserve">Jl. Contoh 2, Bandung</t>
  </si>
  <si>
    <t xml:space="preserve">P251004-03</t>
  </si>
  <si>
    <t xml:space="preserve">Tunggu bayar</t>
  </si>
  <si>
    <t xml:space="preserve">Contoh C (hapus)</t>
  </si>
  <si>
    <t xml:space="preserve">62815xxxxxxx</t>
  </si>
  <si>
    <t xml:space="preserve">MK-KOTPUT-CINHIT-BOLKRE-BUNSAL-TK</t>
  </si>
  <si>
    <t xml:space="preserve">Jl. Contoh 3, Depok</t>
  </si>
  <si>
    <t xml:space="preserve">Stok filamen (gram)</t>
  </si>
  <si>
    <t xml:space="preserve">Masuk/Koreksi/Pakai manual dari tab Mutasi stok. Pakai otomatis = pesanan berstatus Cetak/Dikirim/Selesai × gram di tab Resep.</t>
  </si>
  <si>
    <t xml:space="preserve">Kode</t>
  </si>
  <si>
    <t xml:space="preserve">Warna</t>
  </si>
  <si>
    <t xml:space="preserve">Dipakai di</t>
  </si>
  <si>
    <t xml:space="preserve">Merek / SKU</t>
  </si>
  <si>
    <t xml:space="preserve">Masuk (g)</t>
  </si>
  <si>
    <t xml:space="preserve">Koreksi (g)</t>
  </si>
  <si>
    <t xml:space="preserve">Pakai otomatis (g)</t>
  </si>
  <si>
    <t xml:space="preserve">Pakai manual (g)</t>
  </si>
  <si>
    <t xml:space="preserve">Sisa roll</t>
  </si>
  <si>
    <t xml:space="preserve">Pakai 30 hari (g)</t>
  </si>
  <si>
    <t xml:space="preserve">No. peringatan</t>
  </si>
  <si>
    <t xml:space="preserve">KRE</t>
  </si>
  <si>
    <t xml:space="preserve">Krem</t>
  </si>
  <si>
    <t xml:space="preserve">Badan/Alas</t>
  </si>
  <si>
    <t xml:space="preserve">HIT</t>
  </si>
  <si>
    <t xml:space="preserve">Hitam arang</t>
  </si>
  <si>
    <t xml:space="preserve">BAT</t>
  </si>
  <si>
    <t xml:space="preserve">Merah bata</t>
  </si>
  <si>
    <t xml:space="preserve">ZAI</t>
  </si>
  <si>
    <t xml:space="preserve">Zaitun</t>
  </si>
  <si>
    <t xml:space="preserve">SAL</t>
  </si>
  <si>
    <t xml:space="preserve">Salmon</t>
  </si>
  <si>
    <t xml:space="preserve">GAD</t>
  </si>
  <si>
    <t xml:space="preserve">Gading</t>
  </si>
  <si>
    <t xml:space="preserve">PUT</t>
  </si>
  <si>
    <t xml:space="preserve">Putih</t>
  </si>
  <si>
    <t xml:space="preserve">Tambah warna baru: sisipkan baris di dalam tabel (klik kanan baris terakhir → sisipkan), salin rumus dari baris di atasnya, isi Kode 3 huruf sesuai id di lamp-data.js, dan tambahkan kodenya di tab Resep.</t>
  </si>
  <si>
    <t xml:space="preserve">Opname bulanan: timbang tiap roll (gram bersih = berat roll − berat spool kosong ±200 g), lalu catat selisihnya di Mutasi stok sebagai Koreksi.</t>
  </si>
  <si>
    <t xml:space="preserve">Kuning = diisi manual</t>
  </si>
  <si>
    <t xml:space="preserve">Abu-abu = rumus, jangan diketik</t>
  </si>
  <si>
    <t xml:space="preserve">Stok bahan: kemasan &amp; kelistrikan</t>
  </si>
  <si>
    <t xml:space="preserve">Masuk/Koreksi/Pakai manual dari Mutasi stok (Kategori = Bahan, Item harus sama persis). Pakai otomatis dihitung per pesanan terbayar.</t>
  </si>
  <si>
    <t xml:space="preserve">Item</t>
  </si>
  <si>
    <t xml:space="preserve">Satuan</t>
  </si>
  <si>
    <t xml:space="preserve">Dasar pemakaian</t>
  </si>
  <si>
    <t xml:space="preserve">Jumlah per pesanan</t>
  </si>
  <si>
    <t xml:space="preserve">Masuk</t>
  </si>
  <si>
    <t xml:space="preserve">Koreksi</t>
  </si>
  <si>
    <t xml:space="preserve">Pakai otomatis</t>
  </si>
  <si>
    <t xml:space="preserve">Pakai manual</t>
  </si>
  <si>
    <t xml:space="preserve">Supplier / catatan</t>
  </si>
  <si>
    <t xml:space="preserve">Harga satuan terakhir</t>
  </si>
  <si>
    <t xml:space="preserve">Baris Mutasi terakhir</t>
  </si>
  <si>
    <t xml:space="preserve">Dus kraft 240×240×200</t>
  </si>
  <si>
    <t xml:space="preserve">pcs</t>
  </si>
  <si>
    <t xml:space="preserve">Per pesanan</t>
  </si>
  <si>
    <t xml:space="preserve">Percetakan dus, MOQ 300–500; lihat ops/kemasan.md</t>
  </si>
  <si>
    <t xml:space="preserve">Insert E-flute</t>
  </si>
  <si>
    <t xml:space="preserve">set</t>
  </si>
  <si>
    <t xml:space="preserve">Satu set = nampan dasar + pemisah + cradle</t>
  </si>
  <si>
    <t xml:space="preserve">Stiker kode rakitan</t>
  </si>
  <si>
    <t xml:space="preserve">Cetak digital/thermal 80×48 mm</t>
  </si>
  <si>
    <t xml:space="preserve">Tisu kraft</t>
  </si>
  <si>
    <t xml:space="preserve">lembar</t>
  </si>
  <si>
    <t xml:space="preserve">5 lembar per pesanan (tiap bagian dibungkus)</t>
  </si>
  <si>
    <t xml:space="preserve">Bubble wrap</t>
  </si>
  <si>
    <t xml:space="preserve">m</t>
  </si>
  <si>
    <t xml:space="preserve">±1,5 m per dus</t>
  </si>
  <si>
    <t xml:space="preserve">Kit kelistrikan</t>
  </si>
  <si>
    <t xml:space="preserve">Per kit</t>
  </si>
  <si>
    <t xml:space="preserve">Hanya dipakai bila kode TIDAK berakhiran -TK</t>
  </si>
  <si>
    <t xml:space="preserve">Bohlam LED 5 W</t>
  </si>
  <si>
    <t xml:space="preserve">Per LED</t>
  </si>
  <si>
    <t xml:space="preserve">Hanya dipakai bila kode berakhiran -LED</t>
  </si>
  <si>
    <t xml:space="preserve">Pemberat alas</t>
  </si>
  <si>
    <t xml:space="preserve">Isi pemberat alas (baut/semen/besi), ganti sesuai yang dipakai</t>
  </si>
  <si>
    <t xml:space="preserve">Nozzle 0,4 mm</t>
  </si>
  <si>
    <t xml:space="preserve">Manual</t>
  </si>
  <si>
    <t xml:space="preserve">Catat pemakaian di Mutasi stok jenis Pakai</t>
  </si>
  <si>
    <t xml:space="preserve">Harga satuan terakhir diambil dari baris Masuk terakhir di Mutasi stok (harga total ÷ jumlah). Nama item di Mutasi stok harus sama persis dengan kolom A.</t>
  </si>
  <si>
    <t xml:space="preserve">Stok bagian jadi (dicetak di muka)</t>
  </si>
  <si>
    <t xml:space="preserve">Bagian preset yang sudah dicetak dan siap kirim. Diisi manual saat opname mingguan; ini yang membuat preset bisa 3–5 hari.</t>
  </si>
  <si>
    <t xml:space="preserve">Bagian</t>
  </si>
  <si>
    <t xml:space="preserve">Bentuk</t>
  </si>
  <si>
    <t xml:space="preserve">Jumlah siap</t>
  </si>
  <si>
    <t xml:space="preserve">Kerucut</t>
  </si>
  <si>
    <t xml:space="preserve">KERGAD</t>
  </si>
  <si>
    <t xml:space="preserve">contoh, ganti dengan stok nyata</t>
  </si>
  <si>
    <t xml:space="preserve">Silinder plisir</t>
  </si>
  <si>
    <t xml:space="preserve">PLIGAD</t>
  </si>
  <si>
    <t xml:space="preserve">Badan</t>
  </si>
  <si>
    <t xml:space="preserve">Bola</t>
  </si>
  <si>
    <t xml:space="preserve">BOLKRE</t>
  </si>
  <si>
    <t xml:space="preserve">BOLSAL</t>
  </si>
  <si>
    <t xml:space="preserve">Kubus</t>
  </si>
  <si>
    <t xml:space="preserve">KUBBAT</t>
  </si>
  <si>
    <t xml:space="preserve">Heksagon</t>
  </si>
  <si>
    <t xml:space="preserve">HEKKRE</t>
  </si>
  <si>
    <t xml:space="preserve">Cincin</t>
  </si>
  <si>
    <t xml:space="preserve">CINKRE</t>
  </si>
  <si>
    <t xml:space="preserve">Bulat</t>
  </si>
  <si>
    <t xml:space="preserve">BULHIT</t>
  </si>
  <si>
    <t xml:space="preserve">Kotak</t>
  </si>
  <si>
    <t xml:space="preserve">KOTBAT</t>
  </si>
  <si>
    <t xml:space="preserve">Saat bagian jadi dipakai untuk pesanan: kurangi Jumlah siap. Filamennya sudah terhitung otomatis di Stok filamen lewat kode rakitan pesanan itu.</t>
  </si>
  <si>
    <t xml:space="preserve">Jenis</t>
  </si>
  <si>
    <t xml:space="preserve">Kategori</t>
  </si>
  <si>
    <t xml:space="preserve">Kode / Item</t>
  </si>
  <si>
    <t xml:space="preserve">Jumlah</t>
  </si>
  <si>
    <t xml:space="preserve">Harga total (Rp)</t>
  </si>
  <si>
    <t xml:space="preserve">Ref pesanan / catatan</t>
  </si>
  <si>
    <t xml:space="preserve">g</t>
  </si>
  <si>
    <t xml:space="preserve">eSUN PLA+ matte, roll 1 kg (contoh, hapus)</t>
  </si>
  <si>
    <t xml:space="preserve">contoh, hapus</t>
  </si>
  <si>
    <t xml:space="preserve">Pakai</t>
  </si>
  <si>
    <t xml:space="preserve">Gagal cetak kubus P251001-01 (contoh, hapus)</t>
  </si>
  <si>
    <t xml:space="preserve">Jumlah (Rp)</t>
  </si>
  <si>
    <t xml:space="preserve">Ref pesanan</t>
  </si>
  <si>
    <t xml:space="preserve">Saldo berjalan</t>
  </si>
  <si>
    <t xml:space="preserve">Keluar</t>
  </si>
  <si>
    <t xml:space="preserve">7 roll PLA+ (contoh, hapus)</t>
  </si>
  <si>
    <t xml:space="preserve">Kemasan</t>
  </si>
  <si>
    <t xml:space="preserve">dus, insert, stiker, tisu, bubble (contoh, hapus)</t>
  </si>
  <si>
    <t xml:space="preserve">Kelistrikan</t>
  </si>
  <si>
    <t xml:space="preserve">10 kit + 10 LED (contoh, hapus)</t>
  </si>
  <si>
    <t xml:space="preserve">Penjualan</t>
  </si>
  <si>
    <t xml:space="preserve">transfer BCA (contoh, hapus)</t>
  </si>
  <si>
    <t xml:space="preserve">transfer (contoh, hapus)</t>
  </si>
  <si>
    <t xml:space="preserve">JNE REG (contoh, hapus)</t>
  </si>
  <si>
    <t xml:space="preserve">Listrik</t>
  </si>
  <si>
    <t xml:space="preserve">porsi listrik printer (contoh, hapus)</t>
  </si>
  <si>
    <t xml:space="preserve">Laporan bulanan</t>
  </si>
  <si>
    <t xml:space="preserve">Per bulan, otomatis dari Pesanan dan Kas. Bulan pertama diatur di Pengaturan!B5.</t>
  </si>
  <si>
    <t xml:space="preserve">Terbayar (dari pesanan bulan itu)</t>
  </si>
  <si>
    <t xml:space="preserve">Omzet lampu (bulan bayar)</t>
  </si>
  <si>
    <t xml:space="preserve">Ongkir diterima</t>
  </si>
  <si>
    <t xml:space="preserve">HPP (filamen+mesin+kemasan+kit+LED)</t>
  </si>
  <si>
    <t xml:space="preserve">Kas masuk</t>
  </si>
  <si>
    <t xml:space="preserve">Kas keluar</t>
  </si>
  <si>
    <t xml:space="preserve">Arus kas bersih</t>
  </si>
  <si>
    <t xml:space="preserve">Rata hari bayar→tiba</t>
  </si>
  <si>
    <t xml:space="preserve">Terlambat (Cetak lewat janji)</t>
  </si>
  <si>
    <t xml:space="preserve">Batal</t>
  </si>
  <si>
    <t xml:space="preserve">TOTAL</t>
  </si>
  <si>
    <t xml:space="preserve">Omzet, ongkir, HPP, dan laba kotor dihitung menurut BULAN BAYAR (kolom V Pesanan); pesanan masuk dan konversi menurut bulan pesan. HPP memakai asumsi di Pengaturan, bukan pengeluaran nyata; bandingkan dengan Kas keluar untuk mengoreksi asumsinya.</t>
  </si>
  <si>
    <t xml:space="preserve">Merah = konversi di bawah target atau hari bayar→tiba di atas target (Pengaturan).</t>
  </si>
  <si>
    <t xml:space="preserve">Rutinitas: apa yang diisi harian, mingguan, bulanan</t>
  </si>
  <si>
    <t xml:space="preserve">Satu admin, ±15 menit/hari + 45 menit/Sabtu + 1,5 jam di awal bulan.</t>
  </si>
  <si>
    <t xml:space="preserve">Kapan</t>
  </si>
  <si>
    <t xml:space="preserve">Tugas</t>
  </si>
  <si>
    <t xml:space="preserve">Di mana</t>
  </si>
  <si>
    <t xml:space="preserve">Hasil / angka yang dicek</t>
  </si>
  <si>
    <t xml:space="preserve">Selesai? (√)</t>
  </si>
  <si>
    <t xml:space="preserve">HARIAN (pagi)</t>
  </si>
  <si>
    <t xml:space="preserve">Buka Dashboard: lihat blok HARUS DIKERJAKAN HARI INI, kerjakan dari kiri ke kanan.</t>
  </si>
  <si>
    <t xml:space="preserve">Sheet ini → Dashboard</t>
  </si>
  <si>
    <t xml:space="preserve">Belum dibalas = 0 sebelum jam 10.</t>
  </si>
  <si>
    <t xml:space="preserve">HARIAN</t>
  </si>
  <si>
    <t xml:space="preserve">Balas chat Baru &lt; 15 menit; tempel pesan ke admin.html → Baca pesan → simpan. Ubah status setiap ada perkembangan (konfirmasi, bayar, cetak, kirim).</t>
  </si>
  <si>
    <t xml:space="preserve">WhatsApp Business + admin.html</t>
  </si>
  <si>
    <t xml:space="preserve">Semua chat punya baris &amp; kode rakitan.</t>
  </si>
  <si>
    <t xml:space="preserve">Catat uang masuk (bukti transfer) dan uang keluar hari itu.</t>
  </si>
  <si>
    <t xml:space="preserve">Sheet ini → Kas</t>
  </si>
  <si>
    <t xml:space="preserve">Saldo berjalan = saldo rekening.</t>
  </si>
  <si>
    <t xml:space="preserve">Catat filamen/bahan yang MASUK (pembelian) dan yang terbuang (gagal cetak, sampel) sebagai Pakai. Pemakaian untuk pesanan tidak perlu dicatat (otomatis).</t>
  </si>
  <si>
    <t xml:space="preserve">Sheet ini → Mutasi stok</t>
  </si>
  <si>
    <t xml:space="preserve">Tidak ada roll habis mendadak.</t>
  </si>
  <si>
    <t xml:space="preserve">Kirim foto rakitan sebelum kemas; input kurir + resi ke admin.html; tempel stiker kode rakitan di dus.</t>
  </si>
  <si>
    <t xml:space="preserve">admin.html, WhatsApp</t>
  </si>
  <si>
    <t xml:space="preserve">Tidak ada pesanan Cetak lewat janji.</t>
  </si>
  <si>
    <t xml:space="preserve">MINGGUAN (Sabtu)</t>
  </si>
  <si>
    <t xml:space="preserve">admin.html → Unduh CSV. Buka CSV, salin semua baris data, tempel ke tab Pesanan kolom A–Q (hapus isi lama dulu: CSV berisi semua pesanan sejak awal). Lalu Unduh JSON, simpan ke Google Drive/Cadangan.</t>
  </si>
  <si>
    <t xml:space="preserve">admin.html → Sheet ini → Pesanan; Drive</t>
  </si>
  <si>
    <t xml:space="preserve">Jumlah baris Pesanan = jumlah pesanan di admin.html.</t>
  </si>
  <si>
    <t xml:space="preserve">Lihat Stok filamen &amp; Stok bahan: status PESAN → pesan ke supplier hari itu (filamen 3–5 hari datang).</t>
  </si>
  <si>
    <t xml:space="preserve">Sheet ini → Stok filamen, Stok bahan</t>
  </si>
  <si>
    <t xml:space="preserve">Tidak ada PESAN yang menginap &gt; 1 minggu.</t>
  </si>
  <si>
    <t xml:space="preserve">Hitung fisik bagian jadi (preset) dan isi Jumlah siap. Yang CETAK dicetak di sela antrean.</t>
  </si>
  <si>
    <t xml:space="preserve">Sheet ini → Stok bagian jadi</t>
  </si>
  <si>
    <t xml:space="preserve">Semua preset punya ≥ minimum.</t>
  </si>
  <si>
    <t xml:space="preserve">MINGGUAN (Senin)</t>
  </si>
  <si>
    <t xml:space="preserve">Cek dua angka di Dashboard: Konversi (≥ 40%) dan Rata hari bayar→tiba (≤ 8). Kalau merah, baca catatan pesanan yang batal / terlambat dan putuskan satu perbaikan untuk minggu itu.</t>
  </si>
  <si>
    <t xml:space="preserve">Satu keputusan tertulis di catatan.</t>
  </si>
  <si>
    <t xml:space="preserve">BULANAN (tgl 1–3)</t>
  </si>
  <si>
    <t xml:space="preserve">Baca Laporan bulanan: omzet, HPP, laba kotor, arus kas. Bandingkan HPP asumsi dengan Kas keluar nyata; perbaiki angka di Pengaturan bila selisih &gt; 15%.</t>
  </si>
  <si>
    <t xml:space="preserve">Sheet ini → Laporan bulanan, Pengaturan</t>
  </si>
  <si>
    <t xml:space="preserve">Margin kotor ≥ 50% per paket.</t>
  </si>
  <si>
    <t xml:space="preserve">Opname: timbang tiap roll filamen, hitung bahan. Catat selisih sebagai Koreksi di Mutasi stok supaya Sisa = fisik.</t>
  </si>
  <si>
    <t xml:space="preserve">Selisih opname &lt; 5%.</t>
  </si>
  <si>
    <t xml:space="preserve">Rekonsiliasi: Saldo kas di Dashboard = saldo rekening + e-wallet. Selisih dicari sampai ketemu.</t>
  </si>
  <si>
    <t xml:space="preserve">Sheet ini → Kas, mutasi bank</t>
  </si>
  <si>
    <t xml:space="preserve">Selisih = 0.</t>
  </si>
  <si>
    <t xml:space="preserve">BULANAN</t>
  </si>
  <si>
    <t xml:space="preserve">Cadangan: File → Download → Microsoft Excel, simpan ke Drive/Arsip/yyyy-mm. Hapus baris contoh bila masih ada.</t>
  </si>
  <si>
    <t xml:space="preserve">Google Sheets</t>
  </si>
  <si>
    <t xml:space="preserve">Ada file arsip per bulan.</t>
  </si>
  <si>
    <t xml:space="preserve">Minta ulasan/foto dari pembeli Selesai bulan lalu; simpan foto untuk website (Mode Edit tab Lampu).</t>
  </si>
  <si>
    <t xml:space="preserve">WhatsApp, website #edit</t>
  </si>
  <si>
    <t xml:space="preserve">≥ 3 foto pelanggan per bulan.</t>
  </si>
  <si>
    <t xml:space="preserve">SETIAP 3 BULAN</t>
  </si>
  <si>
    <t xml:space="preserve">Hitung ulang harga: biaya filamen/gram riil (Kas Filamen ÷ gram terpakai), biaya mesin, kemasan. Update Pengaturan, lalu harga di lamp-data.js bila perlu.</t>
  </si>
  <si>
    <t xml:space="preserve">Sheet ini → Kas, Stok filamen; lamp-data.js</t>
  </si>
  <si>
    <t xml:space="preserve">Harga paket masih margin ≥ 50%.</t>
  </si>
  <si>
    <t xml:space="preserve">Yang TIDAK perlu dicompile: tidak ada file lain. Satu sheet ini + admin.html (data pesanan) + folder Drive untuk cadangan JSON/arsip.</t>
  </si>
  <si>
    <t xml:space="preserve">Resep gram &amp; kode</t>
  </si>
  <si>
    <t xml:space="preserve">Gram filamen per bentuk (untuk hitung pemakaian stok otomatis) dan kode 3 huruf yang dipakai kode rakitan.</t>
  </si>
  <si>
    <t xml:space="preserve">Gram</t>
  </si>
  <si>
    <t xml:space="preserve">Sumber</t>
  </si>
  <si>
    <t xml:space="preserve">PLI</t>
  </si>
  <si>
    <t xml:space="preserve">ASUMSI, ganti dari slicer</t>
  </si>
  <si>
    <t xml:space="preserve">KER</t>
  </si>
  <si>
    <t xml:space="preserve">KOT</t>
  </si>
  <si>
    <t xml:space="preserve">BOL</t>
  </si>
  <si>
    <t xml:space="preserve">lamp-data.js kg×1000</t>
  </si>
  <si>
    <t xml:space="preserve">KUB</t>
  </si>
  <si>
    <t xml:space="preserve">CIN</t>
  </si>
  <si>
    <t xml:space="preserve">HEK</t>
  </si>
  <si>
    <t xml:space="preserve">SIL</t>
  </si>
  <si>
    <t xml:space="preserve">Silinder</t>
  </si>
  <si>
    <t xml:space="preserve">BUL</t>
  </si>
  <si>
    <t xml:space="preserve">ASUMSI (lamp-data.js: alas 0,22 kg)</t>
  </si>
  <si>
    <t xml:space="preserve">SEG</t>
  </si>
  <si>
    <t xml:space="preserve">Segitiga</t>
  </si>
  <si>
    <t xml:space="preserve">ASUMSI</t>
  </si>
  <si>
    <t xml:space="preserve">BUN</t>
  </si>
  <si>
    <t xml:space="preserve">Bunga</t>
  </si>
  <si>
    <t xml:space="preserve">Kode warna (3 huruf pertama id di lamp-data.js)</t>
  </si>
  <si>
    <t xml:space="preserve">Hex</t>
  </si>
  <si>
    <t xml:space="preserve">#efe3cb</t>
  </si>
  <si>
    <t xml:space="preserve">#2b2622</t>
  </si>
  <si>
    <t xml:space="preserve">#c4522f</t>
  </si>
  <si>
    <t xml:space="preserve">#5c8040</t>
  </si>
  <si>
    <t xml:space="preserve">#e8836f</t>
  </si>
  <si>
    <t xml:space="preserve">#f3e8d1</t>
  </si>
  <si>
    <t xml:space="preserve">#f8f5ee</t>
  </si>
  <si>
    <t xml:space="preserve">Contoh kode rakitan: MK-KERGAD-KUBBAT-HEKKRE-BOLSAL-KOTBAT  →  kap KER warna GAD, badan KUB BAT + HEK KRE + BOL SAL, alas KOT BAT. Akhiran -TK = tanpa kit, -LED = dengan bohlam.</t>
  </si>
  <si>
    <t xml:space="preserve">Pengaturan &amp; asumsi</t>
  </si>
  <si>
    <t xml:space="preserve">Semua rumus di tab lain mengacu ke sini. Ubah di sini, bukan di rumus.</t>
  </si>
  <si>
    <t xml:space="preserve">Parameter</t>
  </si>
  <si>
    <t xml:space="preserve">Nilai</t>
  </si>
  <si>
    <t xml:space="preserve">Keterangan</t>
  </si>
  <si>
    <t xml:space="preserve">Bulan mulai laporan</t>
  </si>
  <si>
    <t xml:space="preserve">tanggal</t>
  </si>
  <si>
    <t xml:space="preserve">Tanggal 1 bulan pertama di tab Laporan bulanan (18 bulan ke depan).</t>
  </si>
  <si>
    <t xml:space="preserve">Harga filamen per gram</t>
  </si>
  <si>
    <t xml:space="preserve">Rp/g</t>
  </si>
  <si>
    <t xml:space="preserve">Roll 1 kg Rp 185.000 → 185 Rp/g. Asumsi; ganti dengan harga beli terakhir dari tab Mutasi stok.</t>
  </si>
  <si>
    <t xml:space="preserve">Biaya mesin per gram</t>
  </si>
  <si>
    <t xml:space="preserve">Listrik + penyusutan printer + nozzle, dibagi gram tercetak. Asumsi; hitung ulang setelah 3 bulan dari tab Kas.</t>
  </si>
  <si>
    <t xml:space="preserve">Biaya kemasan per pesanan</t>
  </si>
  <si>
    <t xml:space="preserve">Rp</t>
  </si>
  <si>
    <t xml:space="preserve">Dus + insert + tisu + stiker + bubble wrap (lihat ops/kemasan.md). Asumsi.</t>
  </si>
  <si>
    <t xml:space="preserve">Modal kit kelistrikan</t>
  </si>
  <si>
    <t xml:space="preserve">Harga beli kit (dijual Rp 49.000 di website). Asumsi.</t>
  </si>
  <si>
    <t xml:space="preserve">Modal bohlam LED</t>
  </si>
  <si>
    <t xml:space="preserve">Harga beli LED ≤5 W (dijual Rp 25.000). Asumsi.</t>
  </si>
  <si>
    <t xml:space="preserve">Target konversi chat → bayar</t>
  </si>
  <si>
    <t xml:space="preserve">%</t>
  </si>
  <si>
    <t xml:space="preserve">Dari ops/wa-quick-replies.md.</t>
  </si>
  <si>
    <t xml:space="preserve">Target hari bayar → tiba</t>
  </si>
  <si>
    <t xml:space="preserve">hari</t>
  </si>
  <si>
    <t xml:space="preserve">3–5 hari cetak + 2–3 hari kirim untuk preset.</t>
  </si>
  <si>
    <t xml:space="preserve">Stok minimum filamen</t>
  </si>
  <si>
    <t xml:space="preserve">Di bawah ini status jadi PESAN. ±1,5 lampu.</t>
  </si>
  <si>
    <t xml:space="preserve">Gram per roll</t>
  </si>
  <si>
    <t xml:space="preserve">Ukuran roll standar.</t>
  </si>
  <si>
    <t xml:space="preserve">Panduan singkat</t>
  </si>
  <si>
    <t xml:space="preserve">1. ALUR DATA: WhatsApp → admin.html (sumber pesanan, di browser) → tiap Sabtu CSV ditempel ke tab Pesanan → semua tab lain (Dashboard, Stok, Laporan) menghitung sendiri.</t>
  </si>
  <si>
    <t xml:space="preserve">2. Stok filamen berkurang OTOMATIS dari kode rakitan pesanan berstatus Cetak/Dikirim/Selesai (gram per bentuk di tab Resep). Yang dicatat manual hanya pembelian, gagal cetak, dan koreksi opname.</t>
  </si>
  <si>
    <t xml:space="preserve">3. Stok bahan (dus, kit, LED, dll.) berkurang otomatis per pesanan terbayar sesuai kolom 'Dasar pemakaian'; kit hanya bila kode tidak berakhiran -TK, LED hanya bila berakhiran -LED.</t>
  </si>
  <si>
    <t xml:space="preserve">4. Kuning = diisi manual. Abu-abu = rumus; kalau tidak sengaja terhapus, salin dari baris di atas/bawahnya.</t>
  </si>
  <si>
    <t xml:space="preserve">5. Angka di Pengaturan dan Resep adalah ASUMSI awal (ditandai di kolom Keterangan/Sumber). Ganti dengan angka nyata dari slicer dan nota pembelian; semua laporan ikut berubah.</t>
  </si>
  <si>
    <t xml:space="preserve">6. Baris bertanda 'contoh, hapus' di Pesanan, Mutasi stok, Kas, dan Stok bagian jadi adalah ilustrasi format. Hapus sebelum dipakai sungguhan.</t>
  </si>
  <si>
    <t xml:space="preserve">7. Mengubah ke Google Sheets: unggah file ini ke Google Drive → klik kanan → Buka dengan → Google Spreadsheet → File → Simpan sebagai Google Spreadsheet. Semua rumus, dropdown, dan warna ikut terbawa.</t>
  </si>
  <si>
    <t xml:space="preserve">8. Di Google Sheets, rumus SUMPRODUCT di Stok filamen menghitung 1.000 baris Pesanan; kalau terasa lambat setelah ribuan pesanan, arsipkan pesanan tahun lalu ke file lain.</t>
  </si>
  <si>
    <t xml:space="preserve">9. Jangan menambah kolom di antara A–Q tab Pesanan: urutannya mengikuti CSV dari admin.html. Kolom baru ditambahkan setelah kolom AO.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</si>
</sst>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;\-"/>
    <numFmt numFmtId="166" formatCode="0%"/>
    <numFmt numFmtId="167" formatCode="&quot;Rp&quot;#,##0;[RED]&quot;-Rp&quot;#,##0;\-"/>
    <numFmt numFmtId="168" formatCode="0.0"/>
    <numFmt numFmtId="169" formatCode="yyyy\-mm\-dd"/>
    <numFmt numFmtId="170" formatCode="General"/>
    <numFmt numFmtId="171" formatCode="#,##0.#;[RED]\-#,##0.#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A16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6B625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9"/>
      <color rgb="FF6B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1A16"/>
      <name val="Arial"/>
      <family val="0"/>
      <charset val="1"/>
    </font>
    <font>
      <sz val="10"/>
      <color rgb="FF1F1A16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6D5"/>
        <bgColor rgb="FFFAF6EF"/>
      </patternFill>
    </fill>
    <fill>
      <patternFill patternType="solid">
        <fgColor rgb="FFFAF6EF"/>
        <bgColor rgb="FFF8F5EE"/>
      </patternFill>
    </fill>
    <fill>
      <patternFill patternType="solid">
        <fgColor rgb="FF2B2622"/>
        <bgColor rgb="FF1F1A16"/>
      </patternFill>
    </fill>
    <fill>
      <patternFill patternType="solid">
        <fgColor rgb="FFF0ECE4"/>
        <bgColor rgb="FFF3E8D1"/>
      </patternFill>
    </fill>
    <fill>
      <patternFill patternType="solid">
        <fgColor rgb="FF9C5730"/>
        <bgColor rgb="FFC4522F"/>
      </patternFill>
    </fill>
    <fill>
      <patternFill patternType="solid">
        <fgColor rgb="FFEFE3CB"/>
        <bgColor rgb="FFF3E8D1"/>
      </patternFill>
    </fill>
    <fill>
      <patternFill patternType="solid">
        <fgColor rgb="FFC4522F"/>
        <bgColor rgb="FF9C5730"/>
      </patternFill>
    </fill>
    <fill>
      <patternFill patternType="solid">
        <fgColor rgb="FF5C8040"/>
        <bgColor rgb="FF4F6B45"/>
      </patternFill>
    </fill>
    <fill>
      <patternFill patternType="solid">
        <fgColor rgb="FFE8836F"/>
        <bgColor rgb="FFF2A33A"/>
      </patternFill>
    </fill>
    <fill>
      <patternFill patternType="solid">
        <fgColor rgb="FFF3E8D1"/>
        <bgColor rgb="FFEFE3CB"/>
      </patternFill>
    </fill>
    <fill>
      <patternFill patternType="solid">
        <fgColor rgb="FFF8F5EE"/>
        <bgColor rgb="FFFAF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D7DA"/>
        </patternFill>
      </fill>
    </dxf>
    <dxf>
      <fill>
        <patternFill>
          <bgColor rgb="FFFDE9C9"/>
        </patternFill>
      </fill>
    </dxf>
    <dxf>
      <font>
        <name val="Arial"/>
        <charset val="1"/>
        <family val="0"/>
        <b val="1"/>
        <color rgb="FF9C1C1C"/>
      </font>
      <fill>
        <patternFill>
          <bgColor rgb="FFF8D7DA"/>
        </patternFill>
      </fill>
    </dxf>
    <dxf>
      <fill>
        <patternFill>
          <bgColor rgb="FFD8EAD3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DE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4A00"/>
      <rgbColor rgb="FF008000"/>
      <rgbColor rgb="FF000080"/>
      <rgbColor rgb="FF5C8040"/>
      <rgbColor rgb="FF800080"/>
      <rgbColor rgb="FF008080"/>
      <rgbColor rgb="FFD9D2C5"/>
      <rgbColor rgb="FF4F6B45"/>
      <rgbColor rgb="FF9999FF"/>
      <rgbColor rgb="FF9C5730"/>
      <rgbColor rgb="FFFFF6D5"/>
      <rgbColor rgb="FFF8F5EE"/>
      <rgbColor rgb="FF660066"/>
      <rgbColor rgb="FFE8836F"/>
      <rgbColor rgb="FF0066CC"/>
      <rgbColor rgb="FFEFE3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CE4"/>
      <rgbColor rgb="FFD8EAD3"/>
      <rgbColor rgb="FFFDE9C9"/>
      <rgbColor rgb="FFF3E8D1"/>
      <rgbColor rgb="FFFAF6EF"/>
      <rgbColor rgb="FFCC99FF"/>
      <rgbColor rgb="FFF8D7DA"/>
      <rgbColor rgb="FF3366FF"/>
      <rgbColor rgb="FF3DB4DE"/>
      <rgbColor rgb="FF99CC00"/>
      <rgbColor rgb="FFFFCC00"/>
      <rgbColor rgb="FFF2A33A"/>
      <rgbColor rgb="FFFF6600"/>
      <rgbColor rgb="FF6B6258"/>
      <rgbColor rgb="FF969696"/>
      <rgbColor rgb="FF003366"/>
      <rgbColor rgb="FF339966"/>
      <rgbColor rgb="FF003300"/>
      <rgbColor rgb="FF1F1A16"/>
      <rgbColor rgb="FF9C1C1C"/>
      <rgbColor rgb="FFC4522F"/>
      <rgbColor rgb="FF333399"/>
      <rgbColor rgb="FF2B26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33A"/>
    <pageSetUpPr fitToPage="false"/>
  </sheetPr>
  <dimension ref="A1:P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3"/>
    <col collapsed="false" customWidth="true" hidden="false" outlineLevel="0" max="14" min="14" style="0" width="22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4" t="s">
        <v>2</v>
      </c>
      <c r="B4" s="5" t="str">
        <f aca="true">TEXT(TODAY(),"yyyy-mm")</f>
        <v>2026-10</v>
      </c>
      <c r="C4" s="3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 t="s">
        <v>5</v>
      </c>
      <c r="O6" s="2"/>
      <c r="P6" s="2"/>
    </row>
    <row r="7" customFormat="false" ht="30" hidden="false" customHeight="true" outlineLevel="0" collapsed="false">
      <c r="A7" s="6" t="s">
        <v>6</v>
      </c>
      <c r="B7" s="6"/>
      <c r="C7" s="6" t="s">
        <v>7</v>
      </c>
      <c r="D7" s="6"/>
      <c r="E7" s="6" t="s">
        <v>8</v>
      </c>
      <c r="F7" s="6"/>
      <c r="G7" s="6" t="s">
        <v>9</v>
      </c>
      <c r="H7" s="6"/>
      <c r="I7" s="6" t="s">
        <v>10</v>
      </c>
      <c r="J7" s="6"/>
      <c r="K7" s="6" t="s">
        <v>11</v>
      </c>
      <c r="L7" s="6"/>
      <c r="M7" s="2"/>
      <c r="N7" s="7" t="s">
        <v>12</v>
      </c>
      <c r="O7" s="7" t="s">
        <v>13</v>
      </c>
      <c r="P7" s="7" t="s">
        <v>14</v>
      </c>
    </row>
    <row r="8" customFormat="false" ht="30" hidden="false" customHeight="true" outlineLevel="0" collapsed="false">
      <c r="A8" s="8" t="n">
        <f aca="false">COUNTIFS(Pesanan!$U$2:$U$1000,$B$4)</f>
        <v>0</v>
      </c>
      <c r="B8" s="8"/>
      <c r="C8" s="8" t="n">
        <f aca="false">SUMPRODUCT((Pesanan!$U$2:$U$1000=$B$4)*Pesanan!$W$2:$W$1000)</f>
        <v>0</v>
      </c>
      <c r="D8" s="8"/>
      <c r="E8" s="9" t="str">
        <f aca="false">IF(COUNTIFS(Pesanan!$U$2:$U$1000,$B$4)=0,"",SUMPRODUCT((Pesanan!$U$2:$U$1000=$B$4)*Pesanan!$W$2:$W$1000)/COUNTIFS(Pesanan!$U$2:$U$1000,$B$4))</f>
        <v/>
      </c>
      <c r="F8" s="9"/>
      <c r="G8" s="10" t="n">
        <f aca="false">SUMIFS(Pesanan!$G$2:$G$1000,Pesanan!$V$2:$V$1000,$B$4,Pesanan!$W$2:$W$1000,1)</f>
        <v>0</v>
      </c>
      <c r="H8" s="10"/>
      <c r="I8" s="10" t="n">
        <f aca="false">SUMIFS(Pesanan!$AN$2:$AN$1000,Pesanan!$V$2:$V$1000,$B$4,Pesanan!$W$2:$W$1000,1)</f>
        <v>0</v>
      </c>
      <c r="J8" s="10"/>
      <c r="K8" s="11" t="str">
        <f aca="false">IF(COUNTIFS(Pesanan!$V$2:$V$1000,$B$4,Pesanan!$S$2:$S$1000,"&gt;=0")=0,"",SUMIFS(Pesanan!$S$2:$S$1000,Pesanan!$V$2:$V$1000,$B$4)/COUNTIFS(Pesanan!$V$2:$V$1000,$B$4,Pesanan!$S$2:$S$1000,"&gt;=0"))</f>
        <v/>
      </c>
      <c r="L8" s="11"/>
      <c r="M8" s="2"/>
      <c r="N8" s="12" t="str">
        <f aca="false">IFERROR(INDEX('Stok filamen'!$B$5:$B$11,MATCH(1,'Stok filamen'!$N$5:$N$11,0)),"")</f>
        <v/>
      </c>
      <c r="O8" s="13" t="str">
        <f aca="false">IFERROR(INDEX('Stok filamen'!$I$5:$I$11,MATCH(1,'Stok filamen'!$N$5:$N$11,0)),"")</f>
        <v/>
      </c>
      <c r="P8" s="12" t="str">
        <f aca="false">IFERROR(INDEX('Stok filamen'!$L$5:$L$11,MATCH(1,'Stok filamen'!$N$5:$N$11,0)),"")</f>
        <v/>
      </c>
    </row>
    <row r="9" customFormat="false" ht="25.5" hidden="false" customHeight="true" outlineLevel="0" collapsed="false">
      <c r="A9" s="14" t="s">
        <v>15</v>
      </c>
      <c r="B9" s="14"/>
      <c r="C9" s="14" t="s">
        <v>16</v>
      </c>
      <c r="D9" s="14"/>
      <c r="E9" s="14" t="s">
        <v>17</v>
      </c>
      <c r="F9" s="14"/>
      <c r="G9" s="14" t="s">
        <v>18</v>
      </c>
      <c r="H9" s="14"/>
      <c r="I9" s="14" t="s">
        <v>19</v>
      </c>
      <c r="J9" s="14"/>
      <c r="K9" s="14" t="s">
        <v>20</v>
      </c>
      <c r="L9" s="14"/>
      <c r="M9" s="2"/>
      <c r="N9" s="12" t="str">
        <f aca="false">IFERROR(INDEX('Stok filamen'!$B$5:$B$11,MATCH(2,'Stok filamen'!$N$5:$N$11,0)),"")</f>
        <v/>
      </c>
      <c r="O9" s="13" t="str">
        <f aca="false">IFERROR(INDEX('Stok filamen'!$I$5:$I$11,MATCH(2,'Stok filamen'!$N$5:$N$11,0)),"")</f>
        <v/>
      </c>
      <c r="P9" s="12" t="str">
        <f aca="false">IFERROR(INDEX('Stok filamen'!$L$5:$L$11,MATCH(2,'Stok filamen'!$N$5:$N$11,0)),"")</f>
        <v/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 t="str">
        <f aca="false">IFERROR(INDEX('Stok filamen'!$B$5:$B$11,MATCH(3,'Stok filamen'!$N$5:$N$11,0)),"")</f>
        <v/>
      </c>
      <c r="O10" s="13" t="str">
        <f aca="false">IFERROR(INDEX('Stok filamen'!$I$5:$I$11,MATCH(3,'Stok filamen'!$N$5:$N$11,0)),"")</f>
        <v/>
      </c>
      <c r="P10" s="12" t="str">
        <f aca="false">IFERROR(INDEX('Stok filamen'!$L$5:$L$11,MATCH(3,'Stok filamen'!$N$5:$N$11,0)),"")</f>
        <v/>
      </c>
    </row>
    <row r="11" customFormat="false" ht="15" hidden="false" customHeight="false" outlineLevel="0" collapsed="false">
      <c r="A11" s="4" t="s">
        <v>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2" t="str">
        <f aca="false">IFERROR(INDEX('Stok filamen'!$B$5:$B$11,MATCH(4,'Stok filamen'!$N$5:$N$11,0)),"")</f>
        <v/>
      </c>
      <c r="O11" s="13" t="str">
        <f aca="false">IFERROR(INDEX('Stok filamen'!$I$5:$I$11,MATCH(4,'Stok filamen'!$N$5:$N$11,0)),"")</f>
        <v/>
      </c>
      <c r="P11" s="12" t="str">
        <f aca="false">IFERROR(INDEX('Stok filamen'!$L$5:$L$11,MATCH(4,'Stok filamen'!$N$5:$N$11,0)),"")</f>
        <v/>
      </c>
    </row>
    <row r="12" customFormat="false" ht="15" hidden="false" customHeight="false" outlineLevel="0" collapsed="false">
      <c r="A12" s="6" t="s">
        <v>22</v>
      </c>
      <c r="B12" s="6"/>
      <c r="C12" s="6" t="s">
        <v>23</v>
      </c>
      <c r="D12" s="6"/>
      <c r="E12" s="6" t="s">
        <v>24</v>
      </c>
      <c r="F12" s="6"/>
      <c r="G12" s="6" t="s">
        <v>25</v>
      </c>
      <c r="H12" s="6"/>
      <c r="I12" s="6" t="s">
        <v>26</v>
      </c>
      <c r="J12" s="6"/>
      <c r="K12" s="6" t="s">
        <v>27</v>
      </c>
      <c r="L12" s="6"/>
      <c r="M12" s="2"/>
      <c r="N12" s="12" t="str">
        <f aca="false">IFERROR(INDEX('Stok filamen'!$B$5:$B$11,MATCH(5,'Stok filamen'!$N$5:$N$11,0)),"")</f>
        <v/>
      </c>
      <c r="O12" s="13" t="str">
        <f aca="false">IFERROR(INDEX('Stok filamen'!$I$5:$I$11,MATCH(5,'Stok filamen'!$N$5:$N$11,0)),"")</f>
        <v/>
      </c>
      <c r="P12" s="12" t="str">
        <f aca="false">IFERROR(INDEX('Stok filamen'!$L$5:$L$11,MATCH(5,'Stok filamen'!$N$5:$N$11,0)),"")</f>
        <v/>
      </c>
    </row>
    <row r="13" customFormat="false" ht="30" hidden="false" customHeight="true" outlineLevel="0" collapsed="false">
      <c r="A13" s="8" t="n">
        <f aca="false">COUNTIF(Pesanan!$C$2:$C$1000,"Baru")</f>
        <v>0</v>
      </c>
      <c r="B13" s="8"/>
      <c r="C13" s="8" t="n">
        <f aca="true">SUMPRODUCT((Pesanan!$C$2:$C$1000="Tunggu bayar")*(Pesanan!$B$2:$B$1000&lt;TODAY()-1)*(Pesanan!$B$2:$B$1000&lt;&gt;""))</f>
        <v>1</v>
      </c>
      <c r="D13" s="8"/>
      <c r="E13" s="8" t="n">
        <f aca="false">COUNTIF(Pesanan!$C$2:$C$1000,"Cetak")</f>
        <v>1</v>
      </c>
      <c r="F13" s="8"/>
      <c r="G13" s="8" t="n">
        <f aca="false">COUNTIF(Pesanan!$T$2:$T$1000,"YA")</f>
        <v>1</v>
      </c>
      <c r="H13" s="8"/>
      <c r="I13" s="8" t="n">
        <f aca="false">COUNTIF(Pesanan!$C$2:$C$1000,"Dikirim")</f>
        <v>0</v>
      </c>
      <c r="J13" s="8"/>
      <c r="K13" s="8" t="n">
        <f aca="false">COUNTIF(Pesanan!$A$2:$A$1000,"?*")-COUNTIF(Pesanan!$C$2:$C$1000,"Selesai")-COUNTIF(Pesanan!$C$2:$C$1000,"Batal")</f>
        <v>2</v>
      </c>
      <c r="L13" s="8"/>
      <c r="M13" s="2"/>
      <c r="N13" s="12" t="str">
        <f aca="false">IFERROR(INDEX('Stok filamen'!$B$5:$B$11,MATCH(6,'Stok filamen'!$N$5:$N$11,0)),"")</f>
        <v/>
      </c>
      <c r="O13" s="13" t="str">
        <f aca="false">IFERROR(INDEX('Stok filamen'!$I$5:$I$11,MATCH(6,'Stok filamen'!$N$5:$N$11,0)),"")</f>
        <v/>
      </c>
      <c r="P13" s="12" t="str">
        <f aca="false">IFERROR(INDEX('Stok filamen'!$L$5:$L$11,MATCH(6,'Stok filamen'!$N$5:$N$11,0)),"")</f>
        <v/>
      </c>
    </row>
    <row r="14" customFormat="false" ht="25.5" hidden="false" customHeight="true" outlineLevel="0" collapsed="false">
      <c r="A14" s="14" t="s">
        <v>28</v>
      </c>
      <c r="B14" s="14"/>
      <c r="C14" s="14" t="s">
        <v>29</v>
      </c>
      <c r="D14" s="14"/>
      <c r="E14" s="14" t="s">
        <v>30</v>
      </c>
      <c r="F14" s="14"/>
      <c r="G14" s="14" t="s">
        <v>31</v>
      </c>
      <c r="H14" s="14"/>
      <c r="I14" s="14" t="s">
        <v>32</v>
      </c>
      <c r="J14" s="14"/>
      <c r="K14" s="14" t="s">
        <v>33</v>
      </c>
      <c r="L14" s="14"/>
      <c r="M14" s="2"/>
      <c r="N14" s="12" t="str">
        <f aca="false">IFERROR(INDEX('Stok filamen'!$B$5:$B$11,MATCH(7,'Stok filamen'!$N$5:$N$11,0)),"")</f>
        <v/>
      </c>
      <c r="O14" s="13" t="str">
        <f aca="false">IFERROR(INDEX('Stok filamen'!$I$5:$I$11,MATCH(7,'Stok filamen'!$N$5:$N$11,0)),"")</f>
        <v/>
      </c>
      <c r="P14" s="12" t="str">
        <f aca="false">IFERROR(INDEX('Stok filamen'!$L$5:$L$11,MATCH(7,'Stok filamen'!$N$5:$N$11,0)),"")</f>
        <v/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30" hidden="false" customHeight="true" outlineLevel="0" collapsed="false">
      <c r="A16" s="4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 t="s">
        <v>35</v>
      </c>
      <c r="O16" s="7" t="s">
        <v>36</v>
      </c>
      <c r="P16" s="7" t="s">
        <v>37</v>
      </c>
    </row>
    <row r="17" customFormat="false" ht="15" hidden="false" customHeight="false" outlineLevel="0" collapsed="false">
      <c r="A17" s="6" t="s">
        <v>38</v>
      </c>
      <c r="B17" s="6"/>
      <c r="C17" s="6" t="s">
        <v>39</v>
      </c>
      <c r="D17" s="6"/>
      <c r="E17" s="6" t="s">
        <v>40</v>
      </c>
      <c r="F17" s="6"/>
      <c r="G17" s="6" t="s">
        <v>41</v>
      </c>
      <c r="H17" s="6"/>
      <c r="I17" s="6" t="s">
        <v>42</v>
      </c>
      <c r="J17" s="6"/>
      <c r="K17" s="6" t="s">
        <v>43</v>
      </c>
      <c r="L17" s="6"/>
      <c r="M17" s="2"/>
      <c r="N17" s="12" t="str">
        <f aca="false">IFERROR(INDEX('Stok bahan'!$A$5:$A$13,MATCH(1,'Stok bahan'!$N$5:$N$13,0)),"")</f>
        <v/>
      </c>
      <c r="O17" s="12" t="str">
        <f aca="false">IFERROR(INDEX('Stok bahan'!$I$5:$I$13,MATCH(1,'Stok bahan'!$N$5:$N$13,0)),"")</f>
        <v/>
      </c>
      <c r="P17" s="12" t="str">
        <f aca="false">IFERROR(INDEX('Stok bahan'!$J$5:$J$13,MATCH(1,'Stok bahan'!$N$5:$N$13,0)),"")</f>
        <v/>
      </c>
    </row>
    <row r="18" customFormat="false" ht="30" hidden="false" customHeight="true" outlineLevel="0" collapsed="false">
      <c r="A18" s="8" t="n">
        <f aca="false">COUNTIF('Stok filamen'!$M$5:$M$11,"PESAN")</f>
        <v>0</v>
      </c>
      <c r="B18" s="8"/>
      <c r="C18" s="8" t="n">
        <f aca="false">COUNTIF('Stok bahan'!$K$5:$K$13,"PESAN")</f>
        <v>0</v>
      </c>
      <c r="D18" s="8"/>
      <c r="E18" s="8" t="n">
        <f aca="false">COUNTIF('Stok bagian jadi'!$G$5:$G$42,"CETAK")</f>
        <v>0</v>
      </c>
      <c r="F18" s="8"/>
      <c r="G18" s="10" t="n">
        <f aca="false">SUMIFS(Kas!$D$2:$D$2000,Kas!$B$2:$B$2000,"Masuk",Kas!$G$2:$G$2000,$B$4)</f>
        <v>0</v>
      </c>
      <c r="H18" s="10"/>
      <c r="I18" s="10" t="n">
        <f aca="false">SUMIFS(Kas!$D$2:$D$2000,Kas!$B$2:$B$2000,"Keluar",Kas!$G$2:$G$2000,$B$4)</f>
        <v>0</v>
      </c>
      <c r="J18" s="10"/>
      <c r="K18" s="10" t="n">
        <f aca="false">SUMIFS(Kas!$D$2:$D$2000,Kas!$B$2:$B$2000,"Masuk")-SUMIFS(Kas!$D$2:$D$2000,Kas!$B$2:$B$2000,"Keluar")</f>
        <v>-2546000</v>
      </c>
      <c r="L18" s="10"/>
      <c r="M18" s="2"/>
      <c r="N18" s="12" t="str">
        <f aca="false">IFERROR(INDEX('Stok bahan'!$A$5:$A$13,MATCH(2,'Stok bahan'!$N$5:$N$13,0)),"")</f>
        <v/>
      </c>
      <c r="O18" s="12" t="str">
        <f aca="false">IFERROR(INDEX('Stok bahan'!$I$5:$I$13,MATCH(2,'Stok bahan'!$N$5:$N$13,0)),"")</f>
        <v/>
      </c>
      <c r="P18" s="12" t="str">
        <f aca="false">IFERROR(INDEX('Stok bahan'!$J$5:$J$13,MATCH(2,'Stok bahan'!$N$5:$N$13,0)),"")</f>
        <v/>
      </c>
    </row>
    <row r="19" customFormat="false" ht="25.5" hidden="false" customHeight="true" outlineLevel="0" collapsed="false">
      <c r="A19" s="14" t="s">
        <v>44</v>
      </c>
      <c r="B19" s="14"/>
      <c r="C19" s="14" t="s">
        <v>45</v>
      </c>
      <c r="D19" s="14"/>
      <c r="E19" s="14" t="s">
        <v>46</v>
      </c>
      <c r="F19" s="14"/>
      <c r="G19" s="14"/>
      <c r="H19" s="14"/>
      <c r="I19" s="14"/>
      <c r="J19" s="14"/>
      <c r="K19" s="14" t="s">
        <v>47</v>
      </c>
      <c r="L19" s="14"/>
      <c r="M19" s="2"/>
      <c r="N19" s="12" t="str">
        <f aca="false">IFERROR(INDEX('Stok bahan'!$A$5:$A$13,MATCH(3,'Stok bahan'!$N$5:$N$13,0)),"")</f>
        <v/>
      </c>
      <c r="O19" s="12" t="str">
        <f aca="false">IFERROR(INDEX('Stok bahan'!$I$5:$I$13,MATCH(3,'Stok bahan'!$N$5:$N$13,0)),"")</f>
        <v/>
      </c>
      <c r="P19" s="12" t="str">
        <f aca="false">IFERROR(INDEX('Stok bahan'!$J$5:$J$13,MATCH(3,'Stok bahan'!$N$5:$N$13,0)),"")</f>
        <v/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2" t="str">
        <f aca="false">IFERROR(INDEX('Stok bahan'!$A$5:$A$13,MATCH(4,'Stok bahan'!$N$5:$N$13,0)),"")</f>
        <v/>
      </c>
      <c r="O20" s="12" t="str">
        <f aca="false">IFERROR(INDEX('Stok bahan'!$I$5:$I$13,MATCH(4,'Stok bahan'!$N$5:$N$13,0)),"")</f>
        <v/>
      </c>
      <c r="P20" s="12" t="str">
        <f aca="false">IFERROR(INDEX('Stok bahan'!$J$5:$J$13,MATCH(4,'Stok bahan'!$N$5:$N$13,0)),"")</f>
        <v/>
      </c>
    </row>
    <row r="21" customFormat="false" ht="15" hidden="false" customHeight="false" outlineLevel="0" collapsed="false">
      <c r="A21" s="4" t="s">
        <v>48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2" t="str">
        <f aca="false">IFERROR(INDEX('Stok bahan'!$A$5:$A$13,MATCH(5,'Stok bahan'!$N$5:$N$13,0)),"")</f>
        <v/>
      </c>
      <c r="O21" s="12" t="str">
        <f aca="false">IFERROR(INDEX('Stok bahan'!$I$5:$I$13,MATCH(5,'Stok bahan'!$N$5:$N$13,0)),"")</f>
        <v/>
      </c>
      <c r="P21" s="12" t="str">
        <f aca="false">IFERROR(INDEX('Stok bahan'!$J$5:$J$13,MATCH(5,'Stok bahan'!$N$5:$N$13,0)),"")</f>
        <v/>
      </c>
    </row>
    <row r="22" customFormat="false" ht="30" hidden="false" customHeight="true" outlineLevel="0" collapsed="false">
      <c r="A22" s="7" t="s">
        <v>2</v>
      </c>
      <c r="B22" s="7" t="s">
        <v>49</v>
      </c>
      <c r="C22" s="7" t="s">
        <v>7</v>
      </c>
      <c r="D22" s="7" t="s">
        <v>50</v>
      </c>
      <c r="E22" s="7" t="s">
        <v>51</v>
      </c>
      <c r="F22" s="7" t="s">
        <v>52</v>
      </c>
      <c r="G22" s="7" t="s">
        <v>53</v>
      </c>
      <c r="H22" s="7" t="s">
        <v>54</v>
      </c>
      <c r="I22" s="2"/>
      <c r="J22" s="2"/>
      <c r="K22" s="2"/>
      <c r="L22" s="2"/>
      <c r="M22" s="2"/>
      <c r="N22" s="12" t="str">
        <f aca="false">IFERROR(INDEX('Stok bahan'!$A$5:$A$13,MATCH(6,'Stok bahan'!$N$5:$N$13,0)),"")</f>
        <v/>
      </c>
      <c r="O22" s="12" t="str">
        <f aca="false">IFERROR(INDEX('Stok bahan'!$I$5:$I$13,MATCH(6,'Stok bahan'!$N$5:$N$13,0)),"")</f>
        <v/>
      </c>
      <c r="P22" s="12" t="str">
        <f aca="false">IFERROR(INDEX('Stok bahan'!$J$5:$J$13,MATCH(6,'Stok bahan'!$N$5:$N$13,0)),"")</f>
        <v/>
      </c>
    </row>
    <row r="23" customFormat="false" ht="15" hidden="false" customHeight="false" outlineLevel="0" collapsed="false">
      <c r="A23" s="12" t="str">
        <f aca="false">TEXT(EDATE(DATE(VALUE(LEFT($B$4,4)),VALUE(RIGHT($B$4,2)),1),-5),"yyyy-mm")</f>
        <v>2026-05</v>
      </c>
      <c r="B23" s="12" t="n">
        <f aca="false">IFERROR(INDEX('Laporan bulanan'!$B$5:$B$22,MATCH(A23,'Laporan bulanan'!$A$5:$A$22,0)),"")</f>
        <v>0</v>
      </c>
      <c r="C23" s="12" t="n">
        <f aca="false">IFERROR(INDEX('Laporan bulanan'!$C$5:$C$22,MATCH(A23,'Laporan bulanan'!$A$5:$A$22,0)),"")</f>
        <v>0</v>
      </c>
      <c r="D23" s="15" t="str">
        <f aca="false">IFERROR(INDEX('Laporan bulanan'!$D$5:$D$22,MATCH(A23,'Laporan bulanan'!$A$5:$A$22,0)),"")</f>
        <v/>
      </c>
      <c r="E23" s="16" t="n">
        <f aca="false">IFERROR(INDEX('Laporan bulanan'!$E$5:$E$22,MATCH(A23,'Laporan bulanan'!$A$5:$A$22,0)),"")</f>
        <v>0</v>
      </c>
      <c r="F23" s="16" t="n">
        <f aca="false">IFERROR(INDEX('Laporan bulanan'!$H$5:$H$22,MATCH(A23,'Laporan bulanan'!$A$5:$A$22,0)),"")</f>
        <v>0</v>
      </c>
      <c r="G23" s="16" t="n">
        <f aca="false">IFERROR(INDEX('Laporan bulanan'!$L$5:$L$22,MATCH(A23,'Laporan bulanan'!$A$5:$A$22,0)),"")</f>
        <v>0</v>
      </c>
      <c r="H23" s="17" t="str">
        <f aca="false">IFERROR(INDEX('Laporan bulanan'!$M$5:$M$22,MATCH(A23,'Laporan bulanan'!$A$5:$A$22,0)),"")</f>
        <v/>
      </c>
      <c r="I23" s="2"/>
      <c r="J23" s="2"/>
      <c r="K23" s="2"/>
      <c r="L23" s="2"/>
      <c r="M23" s="2"/>
      <c r="N23" s="12" t="str">
        <f aca="false">IFERROR(INDEX('Stok bahan'!$A$5:$A$13,MATCH(7,'Stok bahan'!$N$5:$N$13,0)),"")</f>
        <v/>
      </c>
      <c r="O23" s="12" t="str">
        <f aca="false">IFERROR(INDEX('Stok bahan'!$I$5:$I$13,MATCH(7,'Stok bahan'!$N$5:$N$13,0)),"")</f>
        <v/>
      </c>
      <c r="P23" s="12" t="str">
        <f aca="false">IFERROR(INDEX('Stok bahan'!$J$5:$J$13,MATCH(7,'Stok bahan'!$N$5:$N$13,0)),"")</f>
        <v/>
      </c>
    </row>
    <row r="24" customFormat="false" ht="15" hidden="false" customHeight="false" outlineLevel="0" collapsed="false">
      <c r="A24" s="12" t="str">
        <f aca="false">TEXT(EDATE(DATE(VALUE(LEFT($B$4,4)),VALUE(RIGHT($B$4,2)),1),-4),"yyyy-mm")</f>
        <v>2026-06</v>
      </c>
      <c r="B24" s="12" t="n">
        <f aca="false">IFERROR(INDEX('Laporan bulanan'!$B$5:$B$22,MATCH(A24,'Laporan bulanan'!$A$5:$A$22,0)),"")</f>
        <v>0</v>
      </c>
      <c r="C24" s="12" t="n">
        <f aca="false">IFERROR(INDEX('Laporan bulanan'!$C$5:$C$22,MATCH(A24,'Laporan bulanan'!$A$5:$A$22,0)),"")</f>
        <v>0</v>
      </c>
      <c r="D24" s="15" t="str">
        <f aca="false">IFERROR(INDEX('Laporan bulanan'!$D$5:$D$22,MATCH(A24,'Laporan bulanan'!$A$5:$A$22,0)),"")</f>
        <v/>
      </c>
      <c r="E24" s="16" t="n">
        <f aca="false">IFERROR(INDEX('Laporan bulanan'!$E$5:$E$22,MATCH(A24,'Laporan bulanan'!$A$5:$A$22,0)),"")</f>
        <v>0</v>
      </c>
      <c r="F24" s="16" t="n">
        <f aca="false">IFERROR(INDEX('Laporan bulanan'!$H$5:$H$22,MATCH(A24,'Laporan bulanan'!$A$5:$A$22,0)),"")</f>
        <v>0</v>
      </c>
      <c r="G24" s="16" t="n">
        <f aca="false">IFERROR(INDEX('Laporan bulanan'!$L$5:$L$22,MATCH(A24,'Laporan bulanan'!$A$5:$A$22,0)),"")</f>
        <v>0</v>
      </c>
      <c r="H24" s="17" t="str">
        <f aca="false">IFERROR(INDEX('Laporan bulanan'!$M$5:$M$22,MATCH(A24,'Laporan bulanan'!$A$5:$A$22,0)),"")</f>
        <v/>
      </c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12" t="str">
        <f aca="false">TEXT(EDATE(DATE(VALUE(LEFT($B$4,4)),VALUE(RIGHT($B$4,2)),1),-3),"yyyy-mm")</f>
        <v>2026-07</v>
      </c>
      <c r="B25" s="12" t="n">
        <f aca="false">IFERROR(INDEX('Laporan bulanan'!$B$5:$B$22,MATCH(A25,'Laporan bulanan'!$A$5:$A$22,0)),"")</f>
        <v>0</v>
      </c>
      <c r="C25" s="12" t="n">
        <f aca="false">IFERROR(INDEX('Laporan bulanan'!$C$5:$C$22,MATCH(A25,'Laporan bulanan'!$A$5:$A$22,0)),"")</f>
        <v>0</v>
      </c>
      <c r="D25" s="15" t="str">
        <f aca="false">IFERROR(INDEX('Laporan bulanan'!$D$5:$D$22,MATCH(A25,'Laporan bulanan'!$A$5:$A$22,0)),"")</f>
        <v/>
      </c>
      <c r="E25" s="16" t="n">
        <f aca="false">IFERROR(INDEX('Laporan bulanan'!$E$5:$E$22,MATCH(A25,'Laporan bulanan'!$A$5:$A$22,0)),"")</f>
        <v>0</v>
      </c>
      <c r="F25" s="16" t="n">
        <f aca="false">IFERROR(INDEX('Laporan bulanan'!$H$5:$H$22,MATCH(A25,'Laporan bulanan'!$A$5:$A$22,0)),"")</f>
        <v>0</v>
      </c>
      <c r="G25" s="16" t="n">
        <f aca="false">IFERROR(INDEX('Laporan bulanan'!$L$5:$L$22,MATCH(A25,'Laporan bulanan'!$A$5:$A$22,0)),"")</f>
        <v>0</v>
      </c>
      <c r="H25" s="17" t="str">
        <f aca="false">IFERROR(INDEX('Laporan bulanan'!$M$5:$M$22,MATCH(A25,'Laporan bulanan'!$A$5:$A$22,0)),"")</f>
        <v/>
      </c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12" t="str">
        <f aca="false">TEXT(EDATE(DATE(VALUE(LEFT($B$4,4)),VALUE(RIGHT($B$4,2)),1),-2),"yyyy-mm")</f>
        <v>2026-08</v>
      </c>
      <c r="B26" s="12" t="n">
        <f aca="false">IFERROR(INDEX('Laporan bulanan'!$B$5:$B$22,MATCH(A26,'Laporan bulanan'!$A$5:$A$22,0)),"")</f>
        <v>0</v>
      </c>
      <c r="C26" s="12" t="n">
        <f aca="false">IFERROR(INDEX('Laporan bulanan'!$C$5:$C$22,MATCH(A26,'Laporan bulanan'!$A$5:$A$22,0)),"")</f>
        <v>0</v>
      </c>
      <c r="D26" s="15" t="str">
        <f aca="false">IFERROR(INDEX('Laporan bulanan'!$D$5:$D$22,MATCH(A26,'Laporan bulanan'!$A$5:$A$22,0)),"")</f>
        <v/>
      </c>
      <c r="E26" s="16" t="n">
        <f aca="false">IFERROR(INDEX('Laporan bulanan'!$E$5:$E$22,MATCH(A26,'Laporan bulanan'!$A$5:$A$22,0)),"")</f>
        <v>0</v>
      </c>
      <c r="F26" s="16" t="n">
        <f aca="false">IFERROR(INDEX('Laporan bulanan'!$H$5:$H$22,MATCH(A26,'Laporan bulanan'!$A$5:$A$22,0)),"")</f>
        <v>0</v>
      </c>
      <c r="G26" s="16" t="n">
        <f aca="false">IFERROR(INDEX('Laporan bulanan'!$L$5:$L$22,MATCH(A26,'Laporan bulanan'!$A$5:$A$22,0)),"")</f>
        <v>0</v>
      </c>
      <c r="H26" s="17" t="str">
        <f aca="false">IFERROR(INDEX('Laporan bulanan'!$M$5:$M$22,MATCH(A26,'Laporan bulanan'!$A$5:$A$22,0)),"")</f>
        <v/>
      </c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12" t="str">
        <f aca="false">TEXT(EDATE(DATE(VALUE(LEFT($B$4,4)),VALUE(RIGHT($B$4,2)),1),-1),"yyyy-mm")</f>
        <v>2026-09</v>
      </c>
      <c r="B27" s="12" t="n">
        <f aca="false">IFERROR(INDEX('Laporan bulanan'!$B$5:$B$22,MATCH(A27,'Laporan bulanan'!$A$5:$A$22,0)),"")</f>
        <v>0</v>
      </c>
      <c r="C27" s="12" t="n">
        <f aca="false">IFERROR(INDEX('Laporan bulanan'!$C$5:$C$22,MATCH(A27,'Laporan bulanan'!$A$5:$A$22,0)),"")</f>
        <v>0</v>
      </c>
      <c r="D27" s="15" t="str">
        <f aca="false">IFERROR(INDEX('Laporan bulanan'!$D$5:$D$22,MATCH(A27,'Laporan bulanan'!$A$5:$A$22,0)),"")</f>
        <v/>
      </c>
      <c r="E27" s="16" t="n">
        <f aca="false">IFERROR(INDEX('Laporan bulanan'!$E$5:$E$22,MATCH(A27,'Laporan bulanan'!$A$5:$A$22,0)),"")</f>
        <v>0</v>
      </c>
      <c r="F27" s="16" t="n">
        <f aca="false">IFERROR(INDEX('Laporan bulanan'!$H$5:$H$22,MATCH(A27,'Laporan bulanan'!$A$5:$A$22,0)),"")</f>
        <v>0</v>
      </c>
      <c r="G27" s="16" t="n">
        <f aca="false">IFERROR(INDEX('Laporan bulanan'!$L$5:$L$22,MATCH(A27,'Laporan bulanan'!$A$5:$A$22,0)),"")</f>
        <v>0</v>
      </c>
      <c r="H27" s="17" t="str">
        <f aca="false">IFERROR(INDEX('Laporan bulanan'!$M$5:$M$22,MATCH(A27,'Laporan bulanan'!$A$5:$A$22,0)),"")</f>
        <v/>
      </c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12" t="str">
        <f aca="false">TEXT(EDATE(DATE(VALUE(LEFT($B$4,4)),VALUE(RIGHT($B$4,2)),1),0),"yyyy-mm")</f>
        <v>2026-10</v>
      </c>
      <c r="B28" s="12" t="n">
        <f aca="false">IFERROR(INDEX('Laporan bulanan'!$B$5:$B$22,MATCH(A28,'Laporan bulanan'!$A$5:$A$22,0)),"")</f>
        <v>0</v>
      </c>
      <c r="C28" s="12" t="n">
        <f aca="false">IFERROR(INDEX('Laporan bulanan'!$C$5:$C$22,MATCH(A28,'Laporan bulanan'!$A$5:$A$22,0)),"")</f>
        <v>0</v>
      </c>
      <c r="D28" s="15" t="str">
        <f aca="false">IFERROR(INDEX('Laporan bulanan'!$D$5:$D$22,MATCH(A28,'Laporan bulanan'!$A$5:$A$22,0)),"")</f>
        <v/>
      </c>
      <c r="E28" s="16" t="n">
        <f aca="false">IFERROR(INDEX('Laporan bulanan'!$E$5:$E$22,MATCH(A28,'Laporan bulanan'!$A$5:$A$22,0)),"")</f>
        <v>0</v>
      </c>
      <c r="F28" s="16" t="n">
        <f aca="false">IFERROR(INDEX('Laporan bulanan'!$H$5:$H$22,MATCH(A28,'Laporan bulanan'!$A$5:$A$22,0)),"")</f>
        <v>0</v>
      </c>
      <c r="G28" s="16" t="n">
        <f aca="false">IFERROR(INDEX('Laporan bulanan'!$L$5:$L$22,MATCH(A28,'Laporan bulanan'!$A$5:$A$22,0)),"")</f>
        <v>0</v>
      </c>
      <c r="H28" s="17" t="str">
        <f aca="false">IFERROR(INDEX('Laporan bulanan'!$M$5:$M$22,MATCH(A28,'Laporan bulanan'!$A$5:$A$22,0)),"")</f>
        <v/>
      </c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3" t="s">
        <v>55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</sheetData>
  <mergeCells count="54"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3:B13"/>
    <mergeCell ref="C13:D13"/>
    <mergeCell ref="E13:F13"/>
    <mergeCell ref="G13:H13"/>
    <mergeCell ref="I13:J13"/>
    <mergeCell ref="K13:L13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8:B18"/>
    <mergeCell ref="C18:D18"/>
    <mergeCell ref="E18:F18"/>
    <mergeCell ref="G18:H18"/>
    <mergeCell ref="I18:J18"/>
    <mergeCell ref="K18:L18"/>
    <mergeCell ref="A19:B19"/>
    <mergeCell ref="C19:D19"/>
    <mergeCell ref="E19:F19"/>
    <mergeCell ref="G19:H19"/>
    <mergeCell ref="I19:J19"/>
    <mergeCell ref="K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5730"/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1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7" min="17" style="0" width="24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4" min="24" style="0" width="36"/>
    <col collapsed="false" customWidth="true" hidden="false" outlineLevel="0" max="25" min="25" style="0" width="8"/>
    <col collapsed="false" customWidth="true" hidden="false" outlineLevel="0" max="30" min="26" style="0" width="9"/>
    <col collapsed="false" customWidth="true" hidden="false" outlineLevel="0" max="32" min="31" style="0" width="6"/>
    <col collapsed="false" customWidth="true" hidden="false" outlineLevel="0" max="33" min="33" style="0" width="7"/>
    <col collapsed="false" customWidth="true" hidden="false" outlineLevel="0" max="36" min="34" style="0" width="8"/>
    <col collapsed="false" customWidth="true" hidden="false" outlineLevel="0" max="37" min="37" style="0" width="7"/>
    <col collapsed="false" customWidth="true" hidden="false" outlineLevel="0" max="38" min="38" style="0" width="9"/>
    <col collapsed="false" customWidth="true" hidden="false" outlineLevel="0" max="40" min="39" style="0" width="12"/>
    <col collapsed="false" customWidth="true" hidden="false" outlineLevel="0" max="41" min="41" style="0" width="8"/>
  </cols>
  <sheetData>
    <row r="1" customFormat="false" ht="30" hidden="false" customHeight="true" outlineLevel="0" collapsed="false">
      <c r="A1" s="18" t="s">
        <v>56</v>
      </c>
      <c r="B1" s="18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  <c r="J1" s="18" t="s">
        <v>65</v>
      </c>
      <c r="K1" s="18" t="s">
        <v>66</v>
      </c>
      <c r="L1" s="18" t="s">
        <v>67</v>
      </c>
      <c r="M1" s="18" t="s">
        <v>68</v>
      </c>
      <c r="N1" s="18" t="s">
        <v>69</v>
      </c>
      <c r="O1" s="18" t="s">
        <v>70</v>
      </c>
      <c r="P1" s="18" t="s">
        <v>71</v>
      </c>
      <c r="Q1" s="18" t="s">
        <v>72</v>
      </c>
      <c r="R1" s="7" t="s">
        <v>73</v>
      </c>
      <c r="S1" s="7" t="s">
        <v>54</v>
      </c>
      <c r="T1" s="7" t="s">
        <v>74</v>
      </c>
      <c r="U1" s="7" t="s">
        <v>75</v>
      </c>
      <c r="V1" s="7" t="s">
        <v>76</v>
      </c>
      <c r="W1" s="7" t="s">
        <v>77</v>
      </c>
      <c r="X1" s="7" t="s">
        <v>78</v>
      </c>
      <c r="Y1" s="7" t="s">
        <v>79</v>
      </c>
      <c r="Z1" s="7" t="s">
        <v>80</v>
      </c>
      <c r="AA1" s="7" t="s">
        <v>81</v>
      </c>
      <c r="AB1" s="7" t="s">
        <v>82</v>
      </c>
      <c r="AC1" s="7" t="s">
        <v>83</v>
      </c>
      <c r="AD1" s="7" t="s">
        <v>84</v>
      </c>
      <c r="AE1" s="7" t="s">
        <v>85</v>
      </c>
      <c r="AF1" s="7" t="s">
        <v>86</v>
      </c>
      <c r="AG1" s="7" t="s">
        <v>87</v>
      </c>
      <c r="AH1" s="7" t="s">
        <v>88</v>
      </c>
      <c r="AI1" s="7" t="s">
        <v>89</v>
      </c>
      <c r="AJ1" s="7" t="s">
        <v>90</v>
      </c>
      <c r="AK1" s="7" t="s">
        <v>91</v>
      </c>
      <c r="AL1" s="7" t="s">
        <v>92</v>
      </c>
      <c r="AM1" s="7" t="s">
        <v>93</v>
      </c>
      <c r="AN1" s="7" t="s">
        <v>52</v>
      </c>
      <c r="AO1" s="7" t="s">
        <v>94</v>
      </c>
    </row>
    <row r="2" customFormat="false" ht="15" hidden="false" customHeight="false" outlineLevel="0" collapsed="false">
      <c r="A2" s="19" t="s">
        <v>95</v>
      </c>
      <c r="B2" s="20" t="n">
        <v>45931</v>
      </c>
      <c r="C2" s="19" t="s">
        <v>96</v>
      </c>
      <c r="D2" s="19" t="s">
        <v>97</v>
      </c>
      <c r="E2" s="19" t="s">
        <v>98</v>
      </c>
      <c r="F2" s="19" t="s">
        <v>99</v>
      </c>
      <c r="G2" s="21" t="n">
        <v>439000</v>
      </c>
      <c r="H2" s="19" t="s">
        <v>100</v>
      </c>
      <c r="I2" s="21" t="n">
        <v>20000</v>
      </c>
      <c r="J2" s="19" t="s">
        <v>101</v>
      </c>
      <c r="K2" s="20" t="n">
        <v>45932</v>
      </c>
      <c r="L2" s="20" t="n">
        <v>45937</v>
      </c>
      <c r="M2" s="19" t="s">
        <v>102</v>
      </c>
      <c r="N2" s="19" t="s">
        <v>103</v>
      </c>
      <c r="O2" s="20" t="n">
        <v>45939</v>
      </c>
      <c r="P2" s="20" t="n">
        <v>45942</v>
      </c>
      <c r="Q2" s="19" t="s">
        <v>104</v>
      </c>
      <c r="R2" s="22" t="n">
        <f aca="false">IF(A2="","",N(G2)+N(I2))</f>
        <v>459000</v>
      </c>
      <c r="S2" s="23" t="n">
        <f aca="false">IF(OR(K2="",O2=""),"",O2-K2)</f>
        <v>7</v>
      </c>
      <c r="T2" s="23" t="str">
        <f aca="true">IF(AND(C2="Cetak",L2&lt;&gt;"",L2&lt;TODAY()),"YA","")</f>
        <v/>
      </c>
      <c r="U2" s="23" t="str">
        <f aca="false">IF(B2="","",TEXT(B2,"yyyy-mm"))</f>
        <v>2025-10</v>
      </c>
      <c r="V2" s="23" t="str">
        <f aca="false">IF(K2="","",TEXT(K2,"yyyy-mm"))</f>
        <v>2025-10</v>
      </c>
      <c r="W2" s="23" t="n">
        <f aca="false">IF(OR(C2="Cetak",C2="Dikirim",C2="Selesai"),1,0)</f>
        <v>1</v>
      </c>
      <c r="X2" s="23" t="str">
        <f aca="false">IF(F2="","",SUBSTITUTE(SUBSTITUTE(MID(UPPER(TRIM(F2)),4,99),"-LED",""),"-TK",""))</f>
        <v>KERGAD-KUBBAT-HEKKRE-BOLSAL-KOTBAT</v>
      </c>
      <c r="Y2" s="23" t="n">
        <f aca="false">IF(X2="","",(LEN(X2)+1)/7)</f>
        <v>5</v>
      </c>
      <c r="Z2" s="23" t="str">
        <f aca="false">IF(X2="","",LEFT(X2,6))</f>
        <v>KERGAD</v>
      </c>
      <c r="AA2" s="23" t="str">
        <f aca="false">IF(X2="","",IF(Y2&gt;=3,MID(X2,8,6),""))</f>
        <v>KUBBAT</v>
      </c>
      <c r="AB2" s="23" t="str">
        <f aca="false">IF(X2="","",IF(Y2&gt;=4,MID(X2,15,6),""))</f>
        <v>HEKKRE</v>
      </c>
      <c r="AC2" s="23" t="str">
        <f aca="false">IF(X2="","",IF(Y2&gt;=5,MID(X2,22,6),""))</f>
        <v>BOLSAL</v>
      </c>
      <c r="AD2" s="23" t="str">
        <f aca="false">IF(X2="","",RIGHT(X2,6))</f>
        <v>KOTBAT</v>
      </c>
      <c r="AE2" s="23" t="n">
        <f aca="false">IF(F2="","",IF(ISNUMBER(SEARCH("-TK",UPPER(F2))),0,1))</f>
        <v>1</v>
      </c>
      <c r="AF2" s="23" t="n">
        <f aca="false">IF(F2="","",IF(ISNUMBER(SEARCH("-LED",UPPER(F2))),1,0))</f>
        <v>0</v>
      </c>
      <c r="AG2" s="24" t="n">
        <f aca="false">IF(Z2="",0,IFERROR(INDEX(Resep!$C$5:$C$7,MATCH(LEFT(Z2,3),Resep!$B$5:$B$7,0)),0))</f>
        <v>170</v>
      </c>
      <c r="AH2" s="24" t="n">
        <f aca="false">IF(AA2="",0,IFERROR(INDEX(Resep!$C$9:$C$13,MATCH(LEFT(AA2,3),Resep!$B$9:$B$13,0)),0))</f>
        <v>170</v>
      </c>
      <c r="AI2" s="24" t="n">
        <f aca="false">IF(AB2="",0,IFERROR(INDEX(Resep!$C$9:$C$13,MATCH(LEFT(AB2,3),Resep!$B$9:$B$13,0)),0))</f>
        <v>190</v>
      </c>
      <c r="AJ2" s="24" t="n">
        <f aca="false">IF(AC2="",0,IFERROR(INDEX(Resep!$C$9:$C$13,MATCH(LEFT(AC2,3),Resep!$B$9:$B$13,0)),0))</f>
        <v>180</v>
      </c>
      <c r="AK2" s="24" t="n">
        <f aca="false">IF(AD2="",0,IFERROR(INDEX(Resep!$C$15:$C$18,MATCH(LEFT(AD2,3),Resep!$B$15:$B$18,0)),0))</f>
        <v>220</v>
      </c>
      <c r="AL2" s="24" t="n">
        <f aca="false">IF(X2="","",AG2+AH2+AI2+AJ2+AK2)</f>
        <v>930</v>
      </c>
      <c r="AM2" s="22" t="n">
        <f aca="false">IF(X2="","",AL2*(Pengaturan!$B$6+Pengaturan!$B$7)+Pengaturan!$B$8+AE2*Pengaturan!$B$9+AF2*Pengaturan!$B$10)</f>
        <v>280850</v>
      </c>
      <c r="AN2" s="22" t="n">
        <f aca="false">IF(X2="","",N(G2)-AM2)</f>
        <v>158150</v>
      </c>
      <c r="AO2" s="25" t="n">
        <f aca="false">IF(OR(X2="",N(G2)=0),"",AN2/G2)</f>
        <v>0.360250569476082</v>
      </c>
    </row>
    <row r="3" customFormat="false" ht="15" hidden="false" customHeight="false" outlineLevel="0" collapsed="false">
      <c r="A3" s="19" t="s">
        <v>105</v>
      </c>
      <c r="B3" s="20" t="n">
        <v>45933</v>
      </c>
      <c r="C3" s="19" t="s">
        <v>106</v>
      </c>
      <c r="D3" s="19" t="s">
        <v>107</v>
      </c>
      <c r="E3" s="19" t="s">
        <v>108</v>
      </c>
      <c r="F3" s="19" t="s">
        <v>109</v>
      </c>
      <c r="G3" s="21" t="n">
        <v>385000</v>
      </c>
      <c r="H3" s="19" t="s">
        <v>110</v>
      </c>
      <c r="I3" s="21" t="n">
        <v>45000</v>
      </c>
      <c r="J3" s="19" t="s">
        <v>111</v>
      </c>
      <c r="K3" s="20" t="n">
        <v>45934</v>
      </c>
      <c r="L3" s="20" t="n">
        <v>45939</v>
      </c>
      <c r="M3" s="19"/>
      <c r="N3" s="19"/>
      <c r="O3" s="20"/>
      <c r="P3" s="20"/>
      <c r="Q3" s="19" t="s">
        <v>104</v>
      </c>
      <c r="R3" s="22" t="n">
        <f aca="false">IF(A3="","",N(G3)+N(I3))</f>
        <v>430000</v>
      </c>
      <c r="S3" s="23" t="str">
        <f aca="false">IF(OR(K3="",O3=""),"",O3-K3)</f>
        <v/>
      </c>
      <c r="T3" s="23" t="str">
        <f aca="true">IF(AND(C3="Cetak",L3&lt;&gt;"",L3&lt;TODAY()),"YA","")</f>
        <v>YA</v>
      </c>
      <c r="U3" s="23" t="str">
        <f aca="false">IF(B3="","",TEXT(B3,"yyyy-mm"))</f>
        <v>2025-10</v>
      </c>
      <c r="V3" s="23" t="str">
        <f aca="false">IF(K3="","",TEXT(K3,"yyyy-mm"))</f>
        <v>2025-10</v>
      </c>
      <c r="W3" s="23" t="n">
        <f aca="false">IF(OR(C3="Cetak",C3="Dikirim",C3="Selesai"),1,0)</f>
        <v>1</v>
      </c>
      <c r="X3" s="23" t="str">
        <f aca="false">IF(F3="","",SUBSTITUTE(SUBSTITUTE(MID(UPPER(TRIM(F3)),4,99),"-LED",""),"-TK",""))</f>
        <v>PLIGAD-BOLZAI-BULHIT</v>
      </c>
      <c r="Y3" s="23" t="n">
        <f aca="false">IF(X3="","",(LEN(X3)+1)/7)</f>
        <v>3</v>
      </c>
      <c r="Z3" s="23" t="str">
        <f aca="false">IF(X3="","",LEFT(X3,6))</f>
        <v>PLIGAD</v>
      </c>
      <c r="AA3" s="23" t="str">
        <f aca="false">IF(X3="","",IF(Y3&gt;=3,MID(X3,8,6),""))</f>
        <v>BOLZAI</v>
      </c>
      <c r="AB3" s="23" t="str">
        <f aca="false">IF(X3="","",IF(Y3&gt;=4,MID(X3,15,6),""))</f>
        <v/>
      </c>
      <c r="AC3" s="23" t="str">
        <f aca="false">IF(X3="","",IF(Y3&gt;=5,MID(X3,22,6),""))</f>
        <v/>
      </c>
      <c r="AD3" s="23" t="str">
        <f aca="false">IF(X3="","",RIGHT(X3,6))</f>
        <v>BULHIT</v>
      </c>
      <c r="AE3" s="23" t="n">
        <f aca="false">IF(F3="","",IF(ISNUMBER(SEARCH("-TK",UPPER(F3))),0,1))</f>
        <v>1</v>
      </c>
      <c r="AF3" s="23" t="n">
        <f aca="false">IF(F3="","",IF(ISNUMBER(SEARCH("-LED",UPPER(F3))),1,0))</f>
        <v>1</v>
      </c>
      <c r="AG3" s="24" t="n">
        <f aca="false">IF(Z3="",0,IFERROR(INDEX(Resep!$C$5:$C$7,MATCH(LEFT(Z3,3),Resep!$B$5:$B$7,0)),0))</f>
        <v>200</v>
      </c>
      <c r="AH3" s="24" t="n">
        <f aca="false">IF(AA3="",0,IFERROR(INDEX(Resep!$C$9:$C$13,MATCH(LEFT(AA3,3),Resep!$B$9:$B$13,0)),0))</f>
        <v>180</v>
      </c>
      <c r="AI3" s="24" t="n">
        <f aca="false">IF(AB3="",0,IFERROR(INDEX(Resep!$C$9:$C$13,MATCH(LEFT(AB3,3),Resep!$B$9:$B$13,0)),0))</f>
        <v>0</v>
      </c>
      <c r="AJ3" s="24" t="n">
        <f aca="false">IF(AC3="",0,IFERROR(INDEX(Resep!$C$9:$C$13,MATCH(LEFT(AC3,3),Resep!$B$9:$B$13,0)),0))</f>
        <v>0</v>
      </c>
      <c r="AK3" s="24" t="n">
        <f aca="false">IF(AD3="",0,IFERROR(INDEX(Resep!$C$15:$C$18,MATCH(LEFT(AD3,3),Resep!$B$15:$B$18,0)),0))</f>
        <v>220</v>
      </c>
      <c r="AL3" s="24" t="n">
        <f aca="false">IF(X3="","",AG3+AH3+AI3+AJ3+AK3)</f>
        <v>600</v>
      </c>
      <c r="AM3" s="22" t="n">
        <f aca="false">IF(X3="","",AL3*(Pengaturan!$B$6+Pengaturan!$B$7)+Pengaturan!$B$8+AE3*Pengaturan!$B$9+AF3*Pengaturan!$B$10)</f>
        <v>215000</v>
      </c>
      <c r="AN3" s="22" t="n">
        <f aca="false">IF(X3="","",N(G3)-AM3)</f>
        <v>170000</v>
      </c>
      <c r="AO3" s="25" t="n">
        <f aca="false">IF(OR(X3="",N(G3)=0),"",AN3/G3)</f>
        <v>0.441558441558442</v>
      </c>
    </row>
    <row r="4" customFormat="false" ht="15" hidden="false" customHeight="false" outlineLevel="0" collapsed="false">
      <c r="A4" s="19" t="s">
        <v>112</v>
      </c>
      <c r="B4" s="20" t="n">
        <v>45934</v>
      </c>
      <c r="C4" s="19" t="s">
        <v>113</v>
      </c>
      <c r="D4" s="19" t="s">
        <v>114</v>
      </c>
      <c r="E4" s="19" t="s">
        <v>115</v>
      </c>
      <c r="F4" s="19" t="s">
        <v>116</v>
      </c>
      <c r="G4" s="21" t="n">
        <v>360000</v>
      </c>
      <c r="H4" s="19" t="s">
        <v>100</v>
      </c>
      <c r="I4" s="21" t="n">
        <v>20000</v>
      </c>
      <c r="J4" s="19" t="s">
        <v>117</v>
      </c>
      <c r="K4" s="20"/>
      <c r="L4" s="20"/>
      <c r="M4" s="19"/>
      <c r="N4" s="19"/>
      <c r="O4" s="20"/>
      <c r="P4" s="20"/>
      <c r="Q4" s="19" t="s">
        <v>104</v>
      </c>
      <c r="R4" s="22" t="n">
        <f aca="false">IF(A4="","",N(G4)+N(I4))</f>
        <v>380000</v>
      </c>
      <c r="S4" s="23" t="str">
        <f aca="false">IF(OR(K4="",O4=""),"",O4-K4)</f>
        <v/>
      </c>
      <c r="T4" s="23" t="str">
        <f aca="true">IF(AND(C4="Cetak",L4&lt;&gt;"",L4&lt;TODAY()),"YA","")</f>
        <v/>
      </c>
      <c r="U4" s="23" t="str">
        <f aca="false">IF(B4="","",TEXT(B4,"yyyy-mm"))</f>
        <v>2025-10</v>
      </c>
      <c r="V4" s="23" t="str">
        <f aca="false">IF(K4="","",TEXT(K4,"yyyy-mm"))</f>
        <v/>
      </c>
      <c r="W4" s="23" t="n">
        <f aca="false">IF(OR(C4="Cetak",C4="Dikirim",C4="Selesai"),1,0)</f>
        <v>0</v>
      </c>
      <c r="X4" s="23" t="str">
        <f aca="false">IF(F4="","",SUBSTITUTE(SUBSTITUTE(MID(UPPER(TRIM(F4)),4,99),"-LED",""),"-TK",""))</f>
        <v>KOTPUT-CINHIT-BOLKRE-BUNSAL</v>
      </c>
      <c r="Y4" s="23" t="n">
        <f aca="false">IF(X4="","",(LEN(X4)+1)/7)</f>
        <v>4</v>
      </c>
      <c r="Z4" s="23" t="str">
        <f aca="false">IF(X4="","",LEFT(X4,6))</f>
        <v>KOTPUT</v>
      </c>
      <c r="AA4" s="23" t="str">
        <f aca="false">IF(X4="","",IF(Y4&gt;=3,MID(X4,8,6),""))</f>
        <v>CINHIT</v>
      </c>
      <c r="AB4" s="23" t="str">
        <f aca="false">IF(X4="","",IF(Y4&gt;=4,MID(X4,15,6),""))</f>
        <v>BOLKRE</v>
      </c>
      <c r="AC4" s="23" t="str">
        <f aca="false">IF(X4="","",IF(Y4&gt;=5,MID(X4,22,6),""))</f>
        <v/>
      </c>
      <c r="AD4" s="23" t="str">
        <f aca="false">IF(X4="","",RIGHT(X4,6))</f>
        <v>BUNSAL</v>
      </c>
      <c r="AE4" s="23" t="n">
        <f aca="false">IF(F4="","",IF(ISNUMBER(SEARCH("-TK",UPPER(F4))),0,1))</f>
        <v>0</v>
      </c>
      <c r="AF4" s="23" t="n">
        <f aca="false">IF(F4="","",IF(ISNUMBER(SEARCH("-LED",UPPER(F4))),1,0))</f>
        <v>0</v>
      </c>
      <c r="AG4" s="24" t="n">
        <f aca="false">IF(Z4="",0,IFERROR(INDEX(Resep!$C$5:$C$7,MATCH(LEFT(Z4,3),Resep!$B$5:$B$7,0)),0))</f>
        <v>190</v>
      </c>
      <c r="AH4" s="24" t="n">
        <f aca="false">IF(AA4="",0,IFERROR(INDEX(Resep!$C$9:$C$13,MATCH(LEFT(AA4,3),Resep!$B$9:$B$13,0)),0))</f>
        <v>120</v>
      </c>
      <c r="AI4" s="24" t="n">
        <f aca="false">IF(AB4="",0,IFERROR(INDEX(Resep!$C$9:$C$13,MATCH(LEFT(AB4,3),Resep!$B$9:$B$13,0)),0))</f>
        <v>180</v>
      </c>
      <c r="AJ4" s="24" t="n">
        <f aca="false">IF(AC4="",0,IFERROR(INDEX(Resep!$C$9:$C$13,MATCH(LEFT(AC4,3),Resep!$B$9:$B$13,0)),0))</f>
        <v>0</v>
      </c>
      <c r="AK4" s="24" t="n">
        <f aca="false">IF(AD4="",0,IFERROR(INDEX(Resep!$C$15:$C$18,MATCH(LEFT(AD4,3),Resep!$B$15:$B$18,0)),0))</f>
        <v>240</v>
      </c>
      <c r="AL4" s="24" t="n">
        <f aca="false">IF(X4="","",AG4+AH4+AI4+AJ4+AK4)</f>
        <v>730</v>
      </c>
      <c r="AM4" s="22" t="n">
        <f aca="false">IF(X4="","",AL4*(Pengaturan!$B$6+Pengaturan!$B$7)+Pengaturan!$B$8+AE4*Pengaturan!$B$9+AF4*Pengaturan!$B$10)</f>
        <v>196850</v>
      </c>
      <c r="AN4" s="22" t="n">
        <f aca="false">IF(X4="","",N(G4)-AM4)</f>
        <v>163150</v>
      </c>
      <c r="AO4" s="25" t="n">
        <f aca="false">IF(OR(X4="",N(G4)=0),"",AN4/G4)</f>
        <v>0.453194444444444</v>
      </c>
    </row>
    <row r="5" customFormat="false" ht="15" hidden="false" customHeight="false" outlineLevel="0" collapsed="false">
      <c r="A5" s="19"/>
      <c r="B5" s="20"/>
      <c r="C5" s="19"/>
      <c r="D5" s="19"/>
      <c r="E5" s="19"/>
      <c r="F5" s="19"/>
      <c r="G5" s="21"/>
      <c r="H5" s="19"/>
      <c r="I5" s="21"/>
      <c r="J5" s="19"/>
      <c r="K5" s="20"/>
      <c r="L5" s="20"/>
      <c r="M5" s="19"/>
      <c r="N5" s="19"/>
      <c r="O5" s="20"/>
      <c r="P5" s="20"/>
      <c r="Q5" s="19"/>
      <c r="R5" s="22" t="str">
        <f aca="false">IF(A5="","",N(G5)+N(I5))</f>
        <v/>
      </c>
      <c r="S5" s="23" t="str">
        <f aca="false">IF(OR(K5="",O5=""),"",O5-K5)</f>
        <v/>
      </c>
      <c r="T5" s="23" t="str">
        <f aca="true">IF(AND(C5="Cetak",L5&lt;&gt;"",L5&lt;TODAY()),"YA","")</f>
        <v/>
      </c>
      <c r="U5" s="23" t="str">
        <f aca="false">IF(B5="","",TEXT(B5,"yyyy-mm"))</f>
        <v/>
      </c>
      <c r="V5" s="23" t="str">
        <f aca="false">IF(K5="","",TEXT(K5,"yyyy-mm"))</f>
        <v/>
      </c>
      <c r="W5" s="23" t="n">
        <f aca="false">IF(OR(C5="Cetak",C5="Dikirim",C5="Selesai"),1,0)</f>
        <v>0</v>
      </c>
      <c r="X5" s="23" t="str">
        <f aca="false">IF(F5="","",SUBSTITUTE(SUBSTITUTE(MID(UPPER(TRIM(F5)),4,99),"-LED",""),"-TK",""))</f>
        <v/>
      </c>
      <c r="Y5" s="23" t="str">
        <f aca="false">IF(X5="","",(LEN(X5)+1)/7)</f>
        <v/>
      </c>
      <c r="Z5" s="23" t="str">
        <f aca="false">IF(X5="","",LEFT(X5,6))</f>
        <v/>
      </c>
      <c r="AA5" s="23" t="str">
        <f aca="false">IF(X5="","",IF(Y5&gt;=3,MID(X5,8,6),""))</f>
        <v/>
      </c>
      <c r="AB5" s="23" t="str">
        <f aca="false">IF(X5="","",IF(Y5&gt;=4,MID(X5,15,6),""))</f>
        <v/>
      </c>
      <c r="AC5" s="23" t="str">
        <f aca="false">IF(X5="","",IF(Y5&gt;=5,MID(X5,22,6),""))</f>
        <v/>
      </c>
      <c r="AD5" s="23" t="str">
        <f aca="false">IF(X5="","",RIGHT(X5,6))</f>
        <v/>
      </c>
      <c r="AE5" s="23" t="str">
        <f aca="false">IF(F5="","",IF(ISNUMBER(SEARCH("-TK",UPPER(F5))),0,1))</f>
        <v/>
      </c>
      <c r="AF5" s="23" t="str">
        <f aca="false">IF(F5="","",IF(ISNUMBER(SEARCH("-LED",UPPER(F5))),1,0))</f>
        <v/>
      </c>
      <c r="AG5" s="24" t="n">
        <f aca="false">IF(Z5="",0,IFERROR(INDEX(Resep!$C$5:$C$7,MATCH(LEFT(Z5,3),Resep!$B$5:$B$7,0)),0))</f>
        <v>0</v>
      </c>
      <c r="AH5" s="24" t="n">
        <f aca="false">IF(AA5="",0,IFERROR(INDEX(Resep!$C$9:$C$13,MATCH(LEFT(AA5,3),Resep!$B$9:$B$13,0)),0))</f>
        <v>0</v>
      </c>
      <c r="AI5" s="24" t="n">
        <f aca="false">IF(AB5="",0,IFERROR(INDEX(Resep!$C$9:$C$13,MATCH(LEFT(AB5,3),Resep!$B$9:$B$13,0)),0))</f>
        <v>0</v>
      </c>
      <c r="AJ5" s="24" t="n">
        <f aca="false">IF(AC5="",0,IFERROR(INDEX(Resep!$C$9:$C$13,MATCH(LEFT(AC5,3),Resep!$B$9:$B$13,0)),0))</f>
        <v>0</v>
      </c>
      <c r="AK5" s="24" t="n">
        <f aca="false">IF(AD5="",0,IFERROR(INDEX(Resep!$C$15:$C$18,MATCH(LEFT(AD5,3),Resep!$B$15:$B$18,0)),0))</f>
        <v>0</v>
      </c>
      <c r="AL5" s="24" t="str">
        <f aca="false">IF(X5="","",AG5+AH5+AI5+AJ5+AK5)</f>
        <v/>
      </c>
      <c r="AM5" s="22" t="str">
        <f aca="false">IF(X5="","",AL5*(Pengaturan!$B$6+Pengaturan!$B$7)+Pengaturan!$B$8+AE5*Pengaturan!$B$9+AF5*Pengaturan!$B$10)</f>
        <v/>
      </c>
      <c r="AN5" s="22" t="str">
        <f aca="false">IF(X5="","",N(G5)-AM5)</f>
        <v/>
      </c>
      <c r="AO5" s="25" t="str">
        <f aca="false">IF(OR(X5="",N(G5)=0),"",AN5/G5)</f>
        <v/>
      </c>
    </row>
    <row r="6" customFormat="false" ht="15" hidden="false" customHeight="false" outlineLevel="0" collapsed="false">
      <c r="A6" s="19"/>
      <c r="B6" s="20"/>
      <c r="C6" s="19"/>
      <c r="D6" s="19"/>
      <c r="E6" s="19"/>
      <c r="F6" s="19"/>
      <c r="G6" s="21"/>
      <c r="H6" s="19"/>
      <c r="I6" s="21"/>
      <c r="J6" s="19"/>
      <c r="K6" s="20"/>
      <c r="L6" s="20"/>
      <c r="M6" s="19"/>
      <c r="N6" s="19"/>
      <c r="O6" s="20"/>
      <c r="P6" s="20"/>
      <c r="Q6" s="19"/>
      <c r="R6" s="22" t="str">
        <f aca="false">IF(A6="","",N(G6)+N(I6))</f>
        <v/>
      </c>
      <c r="S6" s="23" t="str">
        <f aca="false">IF(OR(K6="",O6=""),"",O6-K6)</f>
        <v/>
      </c>
      <c r="T6" s="23" t="str">
        <f aca="true">IF(AND(C6="Cetak",L6&lt;&gt;"",L6&lt;TODAY()),"YA","")</f>
        <v/>
      </c>
      <c r="U6" s="23" t="str">
        <f aca="false">IF(B6="","",TEXT(B6,"yyyy-mm"))</f>
        <v/>
      </c>
      <c r="V6" s="23" t="str">
        <f aca="false">IF(K6="","",TEXT(K6,"yyyy-mm"))</f>
        <v/>
      </c>
      <c r="W6" s="23" t="n">
        <f aca="false">IF(OR(C6="Cetak",C6="Dikirim",C6="Selesai"),1,0)</f>
        <v>0</v>
      </c>
      <c r="X6" s="23" t="str">
        <f aca="false">IF(F6="","",SUBSTITUTE(SUBSTITUTE(MID(UPPER(TRIM(F6)),4,99),"-LED",""),"-TK",""))</f>
        <v/>
      </c>
      <c r="Y6" s="23" t="str">
        <f aca="false">IF(X6="","",(LEN(X6)+1)/7)</f>
        <v/>
      </c>
      <c r="Z6" s="23" t="str">
        <f aca="false">IF(X6="","",LEFT(X6,6))</f>
        <v/>
      </c>
      <c r="AA6" s="23" t="str">
        <f aca="false">IF(X6="","",IF(Y6&gt;=3,MID(X6,8,6),""))</f>
        <v/>
      </c>
      <c r="AB6" s="23" t="str">
        <f aca="false">IF(X6="","",IF(Y6&gt;=4,MID(X6,15,6),""))</f>
        <v/>
      </c>
      <c r="AC6" s="23" t="str">
        <f aca="false">IF(X6="","",IF(Y6&gt;=5,MID(X6,22,6),""))</f>
        <v/>
      </c>
      <c r="AD6" s="23" t="str">
        <f aca="false">IF(X6="","",RIGHT(X6,6))</f>
        <v/>
      </c>
      <c r="AE6" s="23" t="str">
        <f aca="false">IF(F6="","",IF(ISNUMBER(SEARCH("-TK",UPPER(F6))),0,1))</f>
        <v/>
      </c>
      <c r="AF6" s="23" t="str">
        <f aca="false">IF(F6="","",IF(ISNUMBER(SEARCH("-LED",UPPER(F6))),1,0))</f>
        <v/>
      </c>
      <c r="AG6" s="24" t="n">
        <f aca="false">IF(Z6="",0,IFERROR(INDEX(Resep!$C$5:$C$7,MATCH(LEFT(Z6,3),Resep!$B$5:$B$7,0)),0))</f>
        <v>0</v>
      </c>
      <c r="AH6" s="24" t="n">
        <f aca="false">IF(AA6="",0,IFERROR(INDEX(Resep!$C$9:$C$13,MATCH(LEFT(AA6,3),Resep!$B$9:$B$13,0)),0))</f>
        <v>0</v>
      </c>
      <c r="AI6" s="24" t="n">
        <f aca="false">IF(AB6="",0,IFERROR(INDEX(Resep!$C$9:$C$13,MATCH(LEFT(AB6,3),Resep!$B$9:$B$13,0)),0))</f>
        <v>0</v>
      </c>
      <c r="AJ6" s="24" t="n">
        <f aca="false">IF(AC6="",0,IFERROR(INDEX(Resep!$C$9:$C$13,MATCH(LEFT(AC6,3),Resep!$B$9:$B$13,0)),0))</f>
        <v>0</v>
      </c>
      <c r="AK6" s="24" t="n">
        <f aca="false">IF(AD6="",0,IFERROR(INDEX(Resep!$C$15:$C$18,MATCH(LEFT(AD6,3),Resep!$B$15:$B$18,0)),0))</f>
        <v>0</v>
      </c>
      <c r="AL6" s="24" t="str">
        <f aca="false">IF(X6="","",AG6+AH6+AI6+AJ6+AK6)</f>
        <v/>
      </c>
      <c r="AM6" s="22" t="str">
        <f aca="false">IF(X6="","",AL6*(Pengaturan!$B$6+Pengaturan!$B$7)+Pengaturan!$B$8+AE6*Pengaturan!$B$9+AF6*Pengaturan!$B$10)</f>
        <v/>
      </c>
      <c r="AN6" s="22" t="str">
        <f aca="false">IF(X6="","",N(G6)-AM6)</f>
        <v/>
      </c>
      <c r="AO6" s="25" t="str">
        <f aca="false">IF(OR(X6="",N(G6)=0),"",AN6/G6)</f>
        <v/>
      </c>
    </row>
    <row r="7" customFormat="false" ht="15" hidden="false" customHeight="false" outlineLevel="0" collapsed="false">
      <c r="A7" s="19"/>
      <c r="B7" s="20"/>
      <c r="C7" s="19"/>
      <c r="D7" s="19"/>
      <c r="E7" s="19"/>
      <c r="F7" s="19"/>
      <c r="G7" s="21"/>
      <c r="H7" s="19"/>
      <c r="I7" s="21"/>
      <c r="J7" s="19"/>
      <c r="K7" s="20"/>
      <c r="L7" s="20"/>
      <c r="M7" s="19"/>
      <c r="N7" s="19"/>
      <c r="O7" s="20"/>
      <c r="P7" s="20"/>
      <c r="Q7" s="19"/>
      <c r="R7" s="22" t="str">
        <f aca="false">IF(A7="","",N(G7)+N(I7))</f>
        <v/>
      </c>
      <c r="S7" s="23" t="str">
        <f aca="false">IF(OR(K7="",O7=""),"",O7-K7)</f>
        <v/>
      </c>
      <c r="T7" s="23" t="str">
        <f aca="true">IF(AND(C7="Cetak",L7&lt;&gt;"",L7&lt;TODAY()),"YA","")</f>
        <v/>
      </c>
      <c r="U7" s="23" t="str">
        <f aca="false">IF(B7="","",TEXT(B7,"yyyy-mm"))</f>
        <v/>
      </c>
      <c r="V7" s="23" t="str">
        <f aca="false">IF(K7="","",TEXT(K7,"yyyy-mm"))</f>
        <v/>
      </c>
      <c r="W7" s="23" t="n">
        <f aca="false">IF(OR(C7="Cetak",C7="Dikirim",C7="Selesai"),1,0)</f>
        <v>0</v>
      </c>
      <c r="X7" s="23" t="str">
        <f aca="false">IF(F7="","",SUBSTITUTE(SUBSTITUTE(MID(UPPER(TRIM(F7)),4,99),"-LED",""),"-TK",""))</f>
        <v/>
      </c>
      <c r="Y7" s="23" t="str">
        <f aca="false">IF(X7="","",(LEN(X7)+1)/7)</f>
        <v/>
      </c>
      <c r="Z7" s="23" t="str">
        <f aca="false">IF(X7="","",LEFT(X7,6))</f>
        <v/>
      </c>
      <c r="AA7" s="23" t="str">
        <f aca="false">IF(X7="","",IF(Y7&gt;=3,MID(X7,8,6),""))</f>
        <v/>
      </c>
      <c r="AB7" s="23" t="str">
        <f aca="false">IF(X7="","",IF(Y7&gt;=4,MID(X7,15,6),""))</f>
        <v/>
      </c>
      <c r="AC7" s="23" t="str">
        <f aca="false">IF(X7="","",IF(Y7&gt;=5,MID(X7,22,6),""))</f>
        <v/>
      </c>
      <c r="AD7" s="23" t="str">
        <f aca="false">IF(X7="","",RIGHT(X7,6))</f>
        <v/>
      </c>
      <c r="AE7" s="23" t="str">
        <f aca="false">IF(F7="","",IF(ISNUMBER(SEARCH("-TK",UPPER(F7))),0,1))</f>
        <v/>
      </c>
      <c r="AF7" s="23" t="str">
        <f aca="false">IF(F7="","",IF(ISNUMBER(SEARCH("-LED",UPPER(F7))),1,0))</f>
        <v/>
      </c>
      <c r="AG7" s="24" t="n">
        <f aca="false">IF(Z7="",0,IFERROR(INDEX(Resep!$C$5:$C$7,MATCH(LEFT(Z7,3),Resep!$B$5:$B$7,0)),0))</f>
        <v>0</v>
      </c>
      <c r="AH7" s="24" t="n">
        <f aca="false">IF(AA7="",0,IFERROR(INDEX(Resep!$C$9:$C$13,MATCH(LEFT(AA7,3),Resep!$B$9:$B$13,0)),0))</f>
        <v>0</v>
      </c>
      <c r="AI7" s="24" t="n">
        <f aca="false">IF(AB7="",0,IFERROR(INDEX(Resep!$C$9:$C$13,MATCH(LEFT(AB7,3),Resep!$B$9:$B$13,0)),0))</f>
        <v>0</v>
      </c>
      <c r="AJ7" s="24" t="n">
        <f aca="false">IF(AC7="",0,IFERROR(INDEX(Resep!$C$9:$C$13,MATCH(LEFT(AC7,3),Resep!$B$9:$B$13,0)),0))</f>
        <v>0</v>
      </c>
      <c r="AK7" s="24" t="n">
        <f aca="false">IF(AD7="",0,IFERROR(INDEX(Resep!$C$15:$C$18,MATCH(LEFT(AD7,3),Resep!$B$15:$B$18,0)),0))</f>
        <v>0</v>
      </c>
      <c r="AL7" s="24" t="str">
        <f aca="false">IF(X7="","",AG7+AH7+AI7+AJ7+AK7)</f>
        <v/>
      </c>
      <c r="AM7" s="22" t="str">
        <f aca="false">IF(X7="","",AL7*(Pengaturan!$B$6+Pengaturan!$B$7)+Pengaturan!$B$8+AE7*Pengaturan!$B$9+AF7*Pengaturan!$B$10)</f>
        <v/>
      </c>
      <c r="AN7" s="22" t="str">
        <f aca="false">IF(X7="","",N(G7)-AM7)</f>
        <v/>
      </c>
      <c r="AO7" s="25" t="str">
        <f aca="false">IF(OR(X7="",N(G7)=0),"",AN7/G7)</f>
        <v/>
      </c>
    </row>
    <row r="8" customFormat="false" ht="15" hidden="false" customHeight="false" outlineLevel="0" collapsed="false">
      <c r="A8" s="19"/>
      <c r="B8" s="20"/>
      <c r="C8" s="19"/>
      <c r="D8" s="19"/>
      <c r="E8" s="19"/>
      <c r="F8" s="19"/>
      <c r="G8" s="21"/>
      <c r="H8" s="19"/>
      <c r="I8" s="21"/>
      <c r="J8" s="19"/>
      <c r="K8" s="20"/>
      <c r="L8" s="20"/>
      <c r="M8" s="19"/>
      <c r="N8" s="19"/>
      <c r="O8" s="20"/>
      <c r="P8" s="20"/>
      <c r="Q8" s="19"/>
      <c r="R8" s="22" t="str">
        <f aca="false">IF(A8="","",N(G8)+N(I8))</f>
        <v/>
      </c>
      <c r="S8" s="23" t="str">
        <f aca="false">IF(OR(K8="",O8=""),"",O8-K8)</f>
        <v/>
      </c>
      <c r="T8" s="23" t="str">
        <f aca="true">IF(AND(C8="Cetak",L8&lt;&gt;"",L8&lt;TODAY()),"YA","")</f>
        <v/>
      </c>
      <c r="U8" s="23" t="str">
        <f aca="false">IF(B8="","",TEXT(B8,"yyyy-mm"))</f>
        <v/>
      </c>
      <c r="V8" s="23" t="str">
        <f aca="false">IF(K8="","",TEXT(K8,"yyyy-mm"))</f>
        <v/>
      </c>
      <c r="W8" s="23" t="n">
        <f aca="false">IF(OR(C8="Cetak",C8="Dikirim",C8="Selesai"),1,0)</f>
        <v>0</v>
      </c>
      <c r="X8" s="23" t="str">
        <f aca="false">IF(F8="","",SUBSTITUTE(SUBSTITUTE(MID(UPPER(TRIM(F8)),4,99),"-LED",""),"-TK",""))</f>
        <v/>
      </c>
      <c r="Y8" s="23" t="str">
        <f aca="false">IF(X8="","",(LEN(X8)+1)/7)</f>
        <v/>
      </c>
      <c r="Z8" s="23" t="str">
        <f aca="false">IF(X8="","",LEFT(X8,6))</f>
        <v/>
      </c>
      <c r="AA8" s="23" t="str">
        <f aca="false">IF(X8="","",IF(Y8&gt;=3,MID(X8,8,6),""))</f>
        <v/>
      </c>
      <c r="AB8" s="23" t="str">
        <f aca="false">IF(X8="","",IF(Y8&gt;=4,MID(X8,15,6),""))</f>
        <v/>
      </c>
      <c r="AC8" s="23" t="str">
        <f aca="false">IF(X8="","",IF(Y8&gt;=5,MID(X8,22,6),""))</f>
        <v/>
      </c>
      <c r="AD8" s="23" t="str">
        <f aca="false">IF(X8="","",RIGHT(X8,6))</f>
        <v/>
      </c>
      <c r="AE8" s="23" t="str">
        <f aca="false">IF(F8="","",IF(ISNUMBER(SEARCH("-TK",UPPER(F8))),0,1))</f>
        <v/>
      </c>
      <c r="AF8" s="23" t="str">
        <f aca="false">IF(F8="","",IF(ISNUMBER(SEARCH("-LED",UPPER(F8))),1,0))</f>
        <v/>
      </c>
      <c r="AG8" s="24" t="n">
        <f aca="false">IF(Z8="",0,IFERROR(INDEX(Resep!$C$5:$C$7,MATCH(LEFT(Z8,3),Resep!$B$5:$B$7,0)),0))</f>
        <v>0</v>
      </c>
      <c r="AH8" s="24" t="n">
        <f aca="false">IF(AA8="",0,IFERROR(INDEX(Resep!$C$9:$C$13,MATCH(LEFT(AA8,3),Resep!$B$9:$B$13,0)),0))</f>
        <v>0</v>
      </c>
      <c r="AI8" s="24" t="n">
        <f aca="false">IF(AB8="",0,IFERROR(INDEX(Resep!$C$9:$C$13,MATCH(LEFT(AB8,3),Resep!$B$9:$B$13,0)),0))</f>
        <v>0</v>
      </c>
      <c r="AJ8" s="24" t="n">
        <f aca="false">IF(AC8="",0,IFERROR(INDEX(Resep!$C$9:$C$13,MATCH(LEFT(AC8,3),Resep!$B$9:$B$13,0)),0))</f>
        <v>0</v>
      </c>
      <c r="AK8" s="24" t="n">
        <f aca="false">IF(AD8="",0,IFERROR(INDEX(Resep!$C$15:$C$18,MATCH(LEFT(AD8,3),Resep!$B$15:$B$18,0)),0))</f>
        <v>0</v>
      </c>
      <c r="AL8" s="24" t="str">
        <f aca="false">IF(X8="","",AG8+AH8+AI8+AJ8+AK8)</f>
        <v/>
      </c>
      <c r="AM8" s="22" t="str">
        <f aca="false">IF(X8="","",AL8*(Pengaturan!$B$6+Pengaturan!$B$7)+Pengaturan!$B$8+AE8*Pengaturan!$B$9+AF8*Pengaturan!$B$10)</f>
        <v/>
      </c>
      <c r="AN8" s="22" t="str">
        <f aca="false">IF(X8="","",N(G8)-AM8)</f>
        <v/>
      </c>
      <c r="AO8" s="25" t="str">
        <f aca="false">IF(OR(X8="",N(G8)=0),"",AN8/G8)</f>
        <v/>
      </c>
    </row>
    <row r="9" customFormat="false" ht="15" hidden="false" customHeight="false" outlineLevel="0" collapsed="false">
      <c r="A9" s="19"/>
      <c r="B9" s="20"/>
      <c r="C9" s="19"/>
      <c r="D9" s="19"/>
      <c r="E9" s="19"/>
      <c r="F9" s="19"/>
      <c r="G9" s="21"/>
      <c r="H9" s="19"/>
      <c r="I9" s="21"/>
      <c r="J9" s="19"/>
      <c r="K9" s="20"/>
      <c r="L9" s="20"/>
      <c r="M9" s="19"/>
      <c r="N9" s="19"/>
      <c r="O9" s="20"/>
      <c r="P9" s="20"/>
      <c r="Q9" s="19"/>
      <c r="R9" s="22" t="str">
        <f aca="false">IF(A9="","",N(G9)+N(I9))</f>
        <v/>
      </c>
      <c r="S9" s="23" t="str">
        <f aca="false">IF(OR(K9="",O9=""),"",O9-K9)</f>
        <v/>
      </c>
      <c r="T9" s="23" t="str">
        <f aca="true">IF(AND(C9="Cetak",L9&lt;&gt;"",L9&lt;TODAY()),"YA","")</f>
        <v/>
      </c>
      <c r="U9" s="23" t="str">
        <f aca="false">IF(B9="","",TEXT(B9,"yyyy-mm"))</f>
        <v/>
      </c>
      <c r="V9" s="23" t="str">
        <f aca="false">IF(K9="","",TEXT(K9,"yyyy-mm"))</f>
        <v/>
      </c>
      <c r="W9" s="23" t="n">
        <f aca="false">IF(OR(C9="Cetak",C9="Dikirim",C9="Selesai"),1,0)</f>
        <v>0</v>
      </c>
      <c r="X9" s="23" t="str">
        <f aca="false">IF(F9="","",SUBSTITUTE(SUBSTITUTE(MID(UPPER(TRIM(F9)),4,99),"-LED",""),"-TK",""))</f>
        <v/>
      </c>
      <c r="Y9" s="23" t="str">
        <f aca="false">IF(X9="","",(LEN(X9)+1)/7)</f>
        <v/>
      </c>
      <c r="Z9" s="23" t="str">
        <f aca="false">IF(X9="","",LEFT(X9,6))</f>
        <v/>
      </c>
      <c r="AA9" s="23" t="str">
        <f aca="false">IF(X9="","",IF(Y9&gt;=3,MID(X9,8,6),""))</f>
        <v/>
      </c>
      <c r="AB9" s="23" t="str">
        <f aca="false">IF(X9="","",IF(Y9&gt;=4,MID(X9,15,6),""))</f>
        <v/>
      </c>
      <c r="AC9" s="23" t="str">
        <f aca="false">IF(X9="","",IF(Y9&gt;=5,MID(X9,22,6),""))</f>
        <v/>
      </c>
      <c r="AD9" s="23" t="str">
        <f aca="false">IF(X9="","",RIGHT(X9,6))</f>
        <v/>
      </c>
      <c r="AE9" s="23" t="str">
        <f aca="false">IF(F9="","",IF(ISNUMBER(SEARCH("-TK",UPPER(F9))),0,1))</f>
        <v/>
      </c>
      <c r="AF9" s="23" t="str">
        <f aca="false">IF(F9="","",IF(ISNUMBER(SEARCH("-LED",UPPER(F9))),1,0))</f>
        <v/>
      </c>
      <c r="AG9" s="24" t="n">
        <f aca="false">IF(Z9="",0,IFERROR(INDEX(Resep!$C$5:$C$7,MATCH(LEFT(Z9,3),Resep!$B$5:$B$7,0)),0))</f>
        <v>0</v>
      </c>
      <c r="AH9" s="24" t="n">
        <f aca="false">IF(AA9="",0,IFERROR(INDEX(Resep!$C$9:$C$13,MATCH(LEFT(AA9,3),Resep!$B$9:$B$13,0)),0))</f>
        <v>0</v>
      </c>
      <c r="AI9" s="24" t="n">
        <f aca="false">IF(AB9="",0,IFERROR(INDEX(Resep!$C$9:$C$13,MATCH(LEFT(AB9,3),Resep!$B$9:$B$13,0)),0))</f>
        <v>0</v>
      </c>
      <c r="AJ9" s="24" t="n">
        <f aca="false">IF(AC9="",0,IFERROR(INDEX(Resep!$C$9:$C$13,MATCH(LEFT(AC9,3),Resep!$B$9:$B$13,0)),0))</f>
        <v>0</v>
      </c>
      <c r="AK9" s="24" t="n">
        <f aca="false">IF(AD9="",0,IFERROR(INDEX(Resep!$C$15:$C$18,MATCH(LEFT(AD9,3),Resep!$B$15:$B$18,0)),0))</f>
        <v>0</v>
      </c>
      <c r="AL9" s="24" t="str">
        <f aca="false">IF(X9="","",AG9+AH9+AI9+AJ9+AK9)</f>
        <v/>
      </c>
      <c r="AM9" s="22" t="str">
        <f aca="false">IF(X9="","",AL9*(Pengaturan!$B$6+Pengaturan!$B$7)+Pengaturan!$B$8+AE9*Pengaturan!$B$9+AF9*Pengaturan!$B$10)</f>
        <v/>
      </c>
      <c r="AN9" s="22" t="str">
        <f aca="false">IF(X9="","",N(G9)-AM9)</f>
        <v/>
      </c>
      <c r="AO9" s="25" t="str">
        <f aca="false">IF(OR(X9="",N(G9)=0),"",AN9/G9)</f>
        <v/>
      </c>
    </row>
    <row r="10" customFormat="false" ht="15" hidden="false" customHeight="false" outlineLevel="0" collapsed="false">
      <c r="A10" s="19"/>
      <c r="B10" s="20"/>
      <c r="C10" s="19"/>
      <c r="D10" s="19"/>
      <c r="E10" s="19"/>
      <c r="F10" s="19"/>
      <c r="G10" s="21"/>
      <c r="H10" s="19"/>
      <c r="I10" s="21"/>
      <c r="J10" s="19"/>
      <c r="K10" s="20"/>
      <c r="L10" s="20"/>
      <c r="M10" s="19"/>
      <c r="N10" s="19"/>
      <c r="O10" s="20"/>
      <c r="P10" s="20"/>
      <c r="Q10" s="19"/>
      <c r="R10" s="22" t="str">
        <f aca="false">IF(A10="","",N(G10)+N(I10))</f>
        <v/>
      </c>
      <c r="S10" s="23" t="str">
        <f aca="false">IF(OR(K10="",O10=""),"",O10-K10)</f>
        <v/>
      </c>
      <c r="T10" s="23" t="str">
        <f aca="true">IF(AND(C10="Cetak",L10&lt;&gt;"",L10&lt;TODAY()),"YA","")</f>
        <v/>
      </c>
      <c r="U10" s="23" t="str">
        <f aca="false">IF(B10="","",TEXT(B10,"yyyy-mm"))</f>
        <v/>
      </c>
      <c r="V10" s="23" t="str">
        <f aca="false">IF(K10="","",TEXT(K10,"yyyy-mm"))</f>
        <v/>
      </c>
      <c r="W10" s="23" t="n">
        <f aca="false">IF(OR(C10="Cetak",C10="Dikirim",C10="Selesai"),1,0)</f>
        <v>0</v>
      </c>
      <c r="X10" s="23" t="str">
        <f aca="false">IF(F10="","",SUBSTITUTE(SUBSTITUTE(MID(UPPER(TRIM(F10)),4,99),"-LED",""),"-TK",""))</f>
        <v/>
      </c>
      <c r="Y10" s="23" t="str">
        <f aca="false">IF(X10="","",(LEN(X10)+1)/7)</f>
        <v/>
      </c>
      <c r="Z10" s="23" t="str">
        <f aca="false">IF(X10="","",LEFT(X10,6))</f>
        <v/>
      </c>
      <c r="AA10" s="23" t="str">
        <f aca="false">IF(X10="","",IF(Y10&gt;=3,MID(X10,8,6),""))</f>
        <v/>
      </c>
      <c r="AB10" s="23" t="str">
        <f aca="false">IF(X10="","",IF(Y10&gt;=4,MID(X10,15,6),""))</f>
        <v/>
      </c>
      <c r="AC10" s="23" t="str">
        <f aca="false">IF(X10="","",IF(Y10&gt;=5,MID(X10,22,6),""))</f>
        <v/>
      </c>
      <c r="AD10" s="23" t="str">
        <f aca="false">IF(X10="","",RIGHT(X10,6))</f>
        <v/>
      </c>
      <c r="AE10" s="23" t="str">
        <f aca="false">IF(F10="","",IF(ISNUMBER(SEARCH("-TK",UPPER(F10))),0,1))</f>
        <v/>
      </c>
      <c r="AF10" s="23" t="str">
        <f aca="false">IF(F10="","",IF(ISNUMBER(SEARCH("-LED",UPPER(F10))),1,0))</f>
        <v/>
      </c>
      <c r="AG10" s="24" t="n">
        <f aca="false">IF(Z10="",0,IFERROR(INDEX(Resep!$C$5:$C$7,MATCH(LEFT(Z10,3),Resep!$B$5:$B$7,0)),0))</f>
        <v>0</v>
      </c>
      <c r="AH10" s="24" t="n">
        <f aca="false">IF(AA10="",0,IFERROR(INDEX(Resep!$C$9:$C$13,MATCH(LEFT(AA10,3),Resep!$B$9:$B$13,0)),0))</f>
        <v>0</v>
      </c>
      <c r="AI10" s="24" t="n">
        <f aca="false">IF(AB10="",0,IFERROR(INDEX(Resep!$C$9:$C$13,MATCH(LEFT(AB10,3),Resep!$B$9:$B$13,0)),0))</f>
        <v>0</v>
      </c>
      <c r="AJ10" s="24" t="n">
        <f aca="false">IF(AC10="",0,IFERROR(INDEX(Resep!$C$9:$C$13,MATCH(LEFT(AC10,3),Resep!$B$9:$B$13,0)),0))</f>
        <v>0</v>
      </c>
      <c r="AK10" s="24" t="n">
        <f aca="false">IF(AD10="",0,IFERROR(INDEX(Resep!$C$15:$C$18,MATCH(LEFT(AD10,3),Resep!$B$15:$B$18,0)),0))</f>
        <v>0</v>
      </c>
      <c r="AL10" s="24" t="str">
        <f aca="false">IF(X10="","",AG10+AH10+AI10+AJ10+AK10)</f>
        <v/>
      </c>
      <c r="AM10" s="22" t="str">
        <f aca="false">IF(X10="","",AL10*(Pengaturan!$B$6+Pengaturan!$B$7)+Pengaturan!$B$8+AE10*Pengaturan!$B$9+AF10*Pengaturan!$B$10)</f>
        <v/>
      </c>
      <c r="AN10" s="22" t="str">
        <f aca="false">IF(X10="","",N(G10)-AM10)</f>
        <v/>
      </c>
      <c r="AO10" s="25" t="str">
        <f aca="false">IF(OR(X10="",N(G10)=0),"",AN10/G10)</f>
        <v/>
      </c>
    </row>
    <row r="11" customFormat="false" ht="15" hidden="false" customHeight="false" outlineLevel="0" collapsed="false">
      <c r="A11" s="19"/>
      <c r="B11" s="20"/>
      <c r="C11" s="19"/>
      <c r="D11" s="19"/>
      <c r="E11" s="19"/>
      <c r="F11" s="19"/>
      <c r="G11" s="21"/>
      <c r="H11" s="19"/>
      <c r="I11" s="21"/>
      <c r="J11" s="19"/>
      <c r="K11" s="20"/>
      <c r="L11" s="20"/>
      <c r="M11" s="19"/>
      <c r="N11" s="19"/>
      <c r="O11" s="20"/>
      <c r="P11" s="20"/>
      <c r="Q11" s="19"/>
      <c r="R11" s="22" t="str">
        <f aca="false">IF(A11="","",N(G11)+N(I11))</f>
        <v/>
      </c>
      <c r="S11" s="23" t="str">
        <f aca="false">IF(OR(K11="",O11=""),"",O11-K11)</f>
        <v/>
      </c>
      <c r="T11" s="23" t="str">
        <f aca="true">IF(AND(C11="Cetak",L11&lt;&gt;"",L11&lt;TODAY()),"YA","")</f>
        <v/>
      </c>
      <c r="U11" s="23" t="str">
        <f aca="false">IF(B11="","",TEXT(B11,"yyyy-mm"))</f>
        <v/>
      </c>
      <c r="V11" s="23" t="str">
        <f aca="false">IF(K11="","",TEXT(K11,"yyyy-mm"))</f>
        <v/>
      </c>
      <c r="W11" s="23" t="n">
        <f aca="false">IF(OR(C11="Cetak",C11="Dikirim",C11="Selesai"),1,0)</f>
        <v>0</v>
      </c>
      <c r="X11" s="23" t="str">
        <f aca="false">IF(F11="","",SUBSTITUTE(SUBSTITUTE(MID(UPPER(TRIM(F11)),4,99),"-LED",""),"-TK",""))</f>
        <v/>
      </c>
      <c r="Y11" s="23" t="str">
        <f aca="false">IF(X11="","",(LEN(X11)+1)/7)</f>
        <v/>
      </c>
      <c r="Z11" s="23" t="str">
        <f aca="false">IF(X11="","",LEFT(X11,6))</f>
        <v/>
      </c>
      <c r="AA11" s="23" t="str">
        <f aca="false">IF(X11="","",IF(Y11&gt;=3,MID(X11,8,6),""))</f>
        <v/>
      </c>
      <c r="AB11" s="23" t="str">
        <f aca="false">IF(X11="","",IF(Y11&gt;=4,MID(X11,15,6),""))</f>
        <v/>
      </c>
      <c r="AC11" s="23" t="str">
        <f aca="false">IF(X11="","",IF(Y11&gt;=5,MID(X11,22,6),""))</f>
        <v/>
      </c>
      <c r="AD11" s="23" t="str">
        <f aca="false">IF(X11="","",RIGHT(X11,6))</f>
        <v/>
      </c>
      <c r="AE11" s="23" t="str">
        <f aca="false">IF(F11="","",IF(ISNUMBER(SEARCH("-TK",UPPER(F11))),0,1))</f>
        <v/>
      </c>
      <c r="AF11" s="23" t="str">
        <f aca="false">IF(F11="","",IF(ISNUMBER(SEARCH("-LED",UPPER(F11))),1,0))</f>
        <v/>
      </c>
      <c r="AG11" s="24" t="n">
        <f aca="false">IF(Z11="",0,IFERROR(INDEX(Resep!$C$5:$C$7,MATCH(LEFT(Z11,3),Resep!$B$5:$B$7,0)),0))</f>
        <v>0</v>
      </c>
      <c r="AH11" s="24" t="n">
        <f aca="false">IF(AA11="",0,IFERROR(INDEX(Resep!$C$9:$C$13,MATCH(LEFT(AA11,3),Resep!$B$9:$B$13,0)),0))</f>
        <v>0</v>
      </c>
      <c r="AI11" s="24" t="n">
        <f aca="false">IF(AB11="",0,IFERROR(INDEX(Resep!$C$9:$C$13,MATCH(LEFT(AB11,3),Resep!$B$9:$B$13,0)),0))</f>
        <v>0</v>
      </c>
      <c r="AJ11" s="24" t="n">
        <f aca="false">IF(AC11="",0,IFERROR(INDEX(Resep!$C$9:$C$13,MATCH(LEFT(AC11,3),Resep!$B$9:$B$13,0)),0))</f>
        <v>0</v>
      </c>
      <c r="AK11" s="24" t="n">
        <f aca="false">IF(AD11="",0,IFERROR(INDEX(Resep!$C$15:$C$18,MATCH(LEFT(AD11,3),Resep!$B$15:$B$18,0)),0))</f>
        <v>0</v>
      </c>
      <c r="AL11" s="24" t="str">
        <f aca="false">IF(X11="","",AG11+AH11+AI11+AJ11+AK11)</f>
        <v/>
      </c>
      <c r="AM11" s="22" t="str">
        <f aca="false">IF(X11="","",AL11*(Pengaturan!$B$6+Pengaturan!$B$7)+Pengaturan!$B$8+AE11*Pengaturan!$B$9+AF11*Pengaturan!$B$10)</f>
        <v/>
      </c>
      <c r="AN11" s="22" t="str">
        <f aca="false">IF(X11="","",N(G11)-AM11)</f>
        <v/>
      </c>
      <c r="AO11" s="25" t="str">
        <f aca="false">IF(OR(X11="",N(G11)=0),"",AN11/G11)</f>
        <v/>
      </c>
    </row>
    <row r="12" customFormat="false" ht="15" hidden="false" customHeight="false" outlineLevel="0" collapsed="false">
      <c r="A12" s="19"/>
      <c r="B12" s="20"/>
      <c r="C12" s="19"/>
      <c r="D12" s="19"/>
      <c r="E12" s="19"/>
      <c r="F12" s="19"/>
      <c r="G12" s="21"/>
      <c r="H12" s="19"/>
      <c r="I12" s="21"/>
      <c r="J12" s="19"/>
      <c r="K12" s="20"/>
      <c r="L12" s="20"/>
      <c r="M12" s="19"/>
      <c r="N12" s="19"/>
      <c r="O12" s="20"/>
      <c r="P12" s="20"/>
      <c r="Q12" s="19"/>
      <c r="R12" s="22" t="str">
        <f aca="false">IF(A12="","",N(G12)+N(I12))</f>
        <v/>
      </c>
      <c r="S12" s="23" t="str">
        <f aca="false">IF(OR(K12="",O12=""),"",O12-K12)</f>
        <v/>
      </c>
      <c r="T12" s="23" t="str">
        <f aca="true">IF(AND(C12="Cetak",L12&lt;&gt;"",L12&lt;TODAY()),"YA","")</f>
        <v/>
      </c>
      <c r="U12" s="23" t="str">
        <f aca="false">IF(B12="","",TEXT(B12,"yyyy-mm"))</f>
        <v/>
      </c>
      <c r="V12" s="23" t="str">
        <f aca="false">IF(K12="","",TEXT(K12,"yyyy-mm"))</f>
        <v/>
      </c>
      <c r="W12" s="23" t="n">
        <f aca="false">IF(OR(C12="Cetak",C12="Dikirim",C12="Selesai"),1,0)</f>
        <v>0</v>
      </c>
      <c r="X12" s="23" t="str">
        <f aca="false">IF(F12="","",SUBSTITUTE(SUBSTITUTE(MID(UPPER(TRIM(F12)),4,99),"-LED",""),"-TK",""))</f>
        <v/>
      </c>
      <c r="Y12" s="23" t="str">
        <f aca="false">IF(X12="","",(LEN(X12)+1)/7)</f>
        <v/>
      </c>
      <c r="Z12" s="23" t="str">
        <f aca="false">IF(X12="","",LEFT(X12,6))</f>
        <v/>
      </c>
      <c r="AA12" s="23" t="str">
        <f aca="false">IF(X12="","",IF(Y12&gt;=3,MID(X12,8,6),""))</f>
        <v/>
      </c>
      <c r="AB12" s="23" t="str">
        <f aca="false">IF(X12="","",IF(Y12&gt;=4,MID(X12,15,6),""))</f>
        <v/>
      </c>
      <c r="AC12" s="23" t="str">
        <f aca="false">IF(X12="","",IF(Y12&gt;=5,MID(X12,22,6),""))</f>
        <v/>
      </c>
      <c r="AD12" s="23" t="str">
        <f aca="false">IF(X12="","",RIGHT(X12,6))</f>
        <v/>
      </c>
      <c r="AE12" s="23" t="str">
        <f aca="false">IF(F12="","",IF(ISNUMBER(SEARCH("-TK",UPPER(F12))),0,1))</f>
        <v/>
      </c>
      <c r="AF12" s="23" t="str">
        <f aca="false">IF(F12="","",IF(ISNUMBER(SEARCH("-LED",UPPER(F12))),1,0))</f>
        <v/>
      </c>
      <c r="AG12" s="24" t="n">
        <f aca="false">IF(Z12="",0,IFERROR(INDEX(Resep!$C$5:$C$7,MATCH(LEFT(Z12,3),Resep!$B$5:$B$7,0)),0))</f>
        <v>0</v>
      </c>
      <c r="AH12" s="24" t="n">
        <f aca="false">IF(AA12="",0,IFERROR(INDEX(Resep!$C$9:$C$13,MATCH(LEFT(AA12,3),Resep!$B$9:$B$13,0)),0))</f>
        <v>0</v>
      </c>
      <c r="AI12" s="24" t="n">
        <f aca="false">IF(AB12="",0,IFERROR(INDEX(Resep!$C$9:$C$13,MATCH(LEFT(AB12,3),Resep!$B$9:$B$13,0)),0))</f>
        <v>0</v>
      </c>
      <c r="AJ12" s="24" t="n">
        <f aca="false">IF(AC12="",0,IFERROR(INDEX(Resep!$C$9:$C$13,MATCH(LEFT(AC12,3),Resep!$B$9:$B$13,0)),0))</f>
        <v>0</v>
      </c>
      <c r="AK12" s="24" t="n">
        <f aca="false">IF(AD12="",0,IFERROR(INDEX(Resep!$C$15:$C$18,MATCH(LEFT(AD12,3),Resep!$B$15:$B$18,0)),0))</f>
        <v>0</v>
      </c>
      <c r="AL12" s="24" t="str">
        <f aca="false">IF(X12="","",AG12+AH12+AI12+AJ12+AK12)</f>
        <v/>
      </c>
      <c r="AM12" s="22" t="str">
        <f aca="false">IF(X12="","",AL12*(Pengaturan!$B$6+Pengaturan!$B$7)+Pengaturan!$B$8+AE12*Pengaturan!$B$9+AF12*Pengaturan!$B$10)</f>
        <v/>
      </c>
      <c r="AN12" s="22" t="str">
        <f aca="false">IF(X12="","",N(G12)-AM12)</f>
        <v/>
      </c>
      <c r="AO12" s="25" t="str">
        <f aca="false">IF(OR(X12="",N(G12)=0),"",AN12/G12)</f>
        <v/>
      </c>
    </row>
    <row r="13" customFormat="false" ht="15" hidden="false" customHeight="false" outlineLevel="0" collapsed="false">
      <c r="A13" s="19"/>
      <c r="B13" s="20"/>
      <c r="C13" s="19"/>
      <c r="D13" s="19"/>
      <c r="E13" s="19"/>
      <c r="F13" s="19"/>
      <c r="G13" s="21"/>
      <c r="H13" s="19"/>
      <c r="I13" s="21"/>
      <c r="J13" s="19"/>
      <c r="K13" s="20"/>
      <c r="L13" s="20"/>
      <c r="M13" s="19"/>
      <c r="N13" s="19"/>
      <c r="O13" s="20"/>
      <c r="P13" s="20"/>
      <c r="Q13" s="19"/>
      <c r="R13" s="22" t="str">
        <f aca="false">IF(A13="","",N(G13)+N(I13))</f>
        <v/>
      </c>
      <c r="S13" s="23" t="str">
        <f aca="false">IF(OR(K13="",O13=""),"",O13-K13)</f>
        <v/>
      </c>
      <c r="T13" s="23" t="str">
        <f aca="true">IF(AND(C13="Cetak",L13&lt;&gt;"",L13&lt;TODAY()),"YA","")</f>
        <v/>
      </c>
      <c r="U13" s="23" t="str">
        <f aca="false">IF(B13="","",TEXT(B13,"yyyy-mm"))</f>
        <v/>
      </c>
      <c r="V13" s="23" t="str">
        <f aca="false">IF(K13="","",TEXT(K13,"yyyy-mm"))</f>
        <v/>
      </c>
      <c r="W13" s="23" t="n">
        <f aca="false">IF(OR(C13="Cetak",C13="Dikirim",C13="Selesai"),1,0)</f>
        <v>0</v>
      </c>
      <c r="X13" s="23" t="str">
        <f aca="false">IF(F13="","",SUBSTITUTE(SUBSTITUTE(MID(UPPER(TRIM(F13)),4,99),"-LED",""),"-TK",""))</f>
        <v/>
      </c>
      <c r="Y13" s="23" t="str">
        <f aca="false">IF(X13="","",(LEN(X13)+1)/7)</f>
        <v/>
      </c>
      <c r="Z13" s="23" t="str">
        <f aca="false">IF(X13="","",LEFT(X13,6))</f>
        <v/>
      </c>
      <c r="AA13" s="23" t="str">
        <f aca="false">IF(X13="","",IF(Y13&gt;=3,MID(X13,8,6),""))</f>
        <v/>
      </c>
      <c r="AB13" s="23" t="str">
        <f aca="false">IF(X13="","",IF(Y13&gt;=4,MID(X13,15,6),""))</f>
        <v/>
      </c>
      <c r="AC13" s="23" t="str">
        <f aca="false">IF(X13="","",IF(Y13&gt;=5,MID(X13,22,6),""))</f>
        <v/>
      </c>
      <c r="AD13" s="23" t="str">
        <f aca="false">IF(X13="","",RIGHT(X13,6))</f>
        <v/>
      </c>
      <c r="AE13" s="23" t="str">
        <f aca="false">IF(F13="","",IF(ISNUMBER(SEARCH("-TK",UPPER(F13))),0,1))</f>
        <v/>
      </c>
      <c r="AF13" s="23" t="str">
        <f aca="false">IF(F13="","",IF(ISNUMBER(SEARCH("-LED",UPPER(F13))),1,0))</f>
        <v/>
      </c>
      <c r="AG13" s="24" t="n">
        <f aca="false">IF(Z13="",0,IFERROR(INDEX(Resep!$C$5:$C$7,MATCH(LEFT(Z13,3),Resep!$B$5:$B$7,0)),0))</f>
        <v>0</v>
      </c>
      <c r="AH13" s="24" t="n">
        <f aca="false">IF(AA13="",0,IFERROR(INDEX(Resep!$C$9:$C$13,MATCH(LEFT(AA13,3),Resep!$B$9:$B$13,0)),0))</f>
        <v>0</v>
      </c>
      <c r="AI13" s="24" t="n">
        <f aca="false">IF(AB13="",0,IFERROR(INDEX(Resep!$C$9:$C$13,MATCH(LEFT(AB13,3),Resep!$B$9:$B$13,0)),0))</f>
        <v>0</v>
      </c>
      <c r="AJ13" s="24" t="n">
        <f aca="false">IF(AC13="",0,IFERROR(INDEX(Resep!$C$9:$C$13,MATCH(LEFT(AC13,3),Resep!$B$9:$B$13,0)),0))</f>
        <v>0</v>
      </c>
      <c r="AK13" s="24" t="n">
        <f aca="false">IF(AD13="",0,IFERROR(INDEX(Resep!$C$15:$C$18,MATCH(LEFT(AD13,3),Resep!$B$15:$B$18,0)),0))</f>
        <v>0</v>
      </c>
      <c r="AL13" s="24" t="str">
        <f aca="false">IF(X13="","",AG13+AH13+AI13+AJ13+AK13)</f>
        <v/>
      </c>
      <c r="AM13" s="22" t="str">
        <f aca="false">IF(X13="","",AL13*(Pengaturan!$B$6+Pengaturan!$B$7)+Pengaturan!$B$8+AE13*Pengaturan!$B$9+AF13*Pengaturan!$B$10)</f>
        <v/>
      </c>
      <c r="AN13" s="22" t="str">
        <f aca="false">IF(X13="","",N(G13)-AM13)</f>
        <v/>
      </c>
      <c r="AO13" s="25" t="str">
        <f aca="false">IF(OR(X13="",N(G13)=0),"",AN13/G13)</f>
        <v/>
      </c>
    </row>
    <row r="14" customFormat="false" ht="15" hidden="false" customHeight="false" outlineLevel="0" collapsed="false">
      <c r="A14" s="19"/>
      <c r="B14" s="20"/>
      <c r="C14" s="19"/>
      <c r="D14" s="19"/>
      <c r="E14" s="19"/>
      <c r="F14" s="19"/>
      <c r="G14" s="21"/>
      <c r="H14" s="19"/>
      <c r="I14" s="21"/>
      <c r="J14" s="19"/>
      <c r="K14" s="20"/>
      <c r="L14" s="20"/>
      <c r="M14" s="19"/>
      <c r="N14" s="19"/>
      <c r="O14" s="20"/>
      <c r="P14" s="20"/>
      <c r="Q14" s="19"/>
      <c r="R14" s="22" t="str">
        <f aca="false">IF(A14="","",N(G14)+N(I14))</f>
        <v/>
      </c>
      <c r="S14" s="23" t="str">
        <f aca="false">IF(OR(K14="",O14=""),"",O14-K14)</f>
        <v/>
      </c>
      <c r="T14" s="23" t="str">
        <f aca="true">IF(AND(C14="Cetak",L14&lt;&gt;"",L14&lt;TODAY()),"YA","")</f>
        <v/>
      </c>
      <c r="U14" s="23" t="str">
        <f aca="false">IF(B14="","",TEXT(B14,"yyyy-mm"))</f>
        <v/>
      </c>
      <c r="V14" s="23" t="str">
        <f aca="false">IF(K14="","",TEXT(K14,"yyyy-mm"))</f>
        <v/>
      </c>
      <c r="W14" s="23" t="n">
        <f aca="false">IF(OR(C14="Cetak",C14="Dikirim",C14="Selesai"),1,0)</f>
        <v>0</v>
      </c>
      <c r="X14" s="23" t="str">
        <f aca="false">IF(F14="","",SUBSTITUTE(SUBSTITUTE(MID(UPPER(TRIM(F14)),4,99),"-LED",""),"-TK",""))</f>
        <v/>
      </c>
      <c r="Y14" s="23" t="str">
        <f aca="false">IF(X14="","",(LEN(X14)+1)/7)</f>
        <v/>
      </c>
      <c r="Z14" s="23" t="str">
        <f aca="false">IF(X14="","",LEFT(X14,6))</f>
        <v/>
      </c>
      <c r="AA14" s="23" t="str">
        <f aca="false">IF(X14="","",IF(Y14&gt;=3,MID(X14,8,6),""))</f>
        <v/>
      </c>
      <c r="AB14" s="23" t="str">
        <f aca="false">IF(X14="","",IF(Y14&gt;=4,MID(X14,15,6),""))</f>
        <v/>
      </c>
      <c r="AC14" s="23" t="str">
        <f aca="false">IF(X14="","",IF(Y14&gt;=5,MID(X14,22,6),""))</f>
        <v/>
      </c>
      <c r="AD14" s="23" t="str">
        <f aca="false">IF(X14="","",RIGHT(X14,6))</f>
        <v/>
      </c>
      <c r="AE14" s="23" t="str">
        <f aca="false">IF(F14="","",IF(ISNUMBER(SEARCH("-TK",UPPER(F14))),0,1))</f>
        <v/>
      </c>
      <c r="AF14" s="23" t="str">
        <f aca="false">IF(F14="","",IF(ISNUMBER(SEARCH("-LED",UPPER(F14))),1,0))</f>
        <v/>
      </c>
      <c r="AG14" s="24" t="n">
        <f aca="false">IF(Z14="",0,IFERROR(INDEX(Resep!$C$5:$C$7,MATCH(LEFT(Z14,3),Resep!$B$5:$B$7,0)),0))</f>
        <v>0</v>
      </c>
      <c r="AH14" s="24" t="n">
        <f aca="false">IF(AA14="",0,IFERROR(INDEX(Resep!$C$9:$C$13,MATCH(LEFT(AA14,3),Resep!$B$9:$B$13,0)),0))</f>
        <v>0</v>
      </c>
      <c r="AI14" s="24" t="n">
        <f aca="false">IF(AB14="",0,IFERROR(INDEX(Resep!$C$9:$C$13,MATCH(LEFT(AB14,3),Resep!$B$9:$B$13,0)),0))</f>
        <v>0</v>
      </c>
      <c r="AJ14" s="24" t="n">
        <f aca="false">IF(AC14="",0,IFERROR(INDEX(Resep!$C$9:$C$13,MATCH(LEFT(AC14,3),Resep!$B$9:$B$13,0)),0))</f>
        <v>0</v>
      </c>
      <c r="AK14" s="24" t="n">
        <f aca="false">IF(AD14="",0,IFERROR(INDEX(Resep!$C$15:$C$18,MATCH(LEFT(AD14,3),Resep!$B$15:$B$18,0)),0))</f>
        <v>0</v>
      </c>
      <c r="AL14" s="24" t="str">
        <f aca="false">IF(X14="","",AG14+AH14+AI14+AJ14+AK14)</f>
        <v/>
      </c>
      <c r="AM14" s="22" t="str">
        <f aca="false">IF(X14="","",AL14*(Pengaturan!$B$6+Pengaturan!$B$7)+Pengaturan!$B$8+AE14*Pengaturan!$B$9+AF14*Pengaturan!$B$10)</f>
        <v/>
      </c>
      <c r="AN14" s="22" t="str">
        <f aca="false">IF(X14="","",N(G14)-AM14)</f>
        <v/>
      </c>
      <c r="AO14" s="25" t="str">
        <f aca="false">IF(OR(X14="",N(G14)=0),"",AN14/G14)</f>
        <v/>
      </c>
    </row>
    <row r="15" customFormat="false" ht="15" hidden="false" customHeight="false" outlineLevel="0" collapsed="false">
      <c r="A15" s="19"/>
      <c r="B15" s="20"/>
      <c r="C15" s="19"/>
      <c r="D15" s="19"/>
      <c r="E15" s="19"/>
      <c r="F15" s="19"/>
      <c r="G15" s="21"/>
      <c r="H15" s="19"/>
      <c r="I15" s="21"/>
      <c r="J15" s="19"/>
      <c r="K15" s="20"/>
      <c r="L15" s="20"/>
      <c r="M15" s="19"/>
      <c r="N15" s="19"/>
      <c r="O15" s="20"/>
      <c r="P15" s="20"/>
      <c r="Q15" s="19"/>
      <c r="R15" s="22" t="str">
        <f aca="false">IF(A15="","",N(G15)+N(I15))</f>
        <v/>
      </c>
      <c r="S15" s="23" t="str">
        <f aca="false">IF(OR(K15="",O15=""),"",O15-K15)</f>
        <v/>
      </c>
      <c r="T15" s="23" t="str">
        <f aca="true">IF(AND(C15="Cetak",L15&lt;&gt;"",L15&lt;TODAY()),"YA","")</f>
        <v/>
      </c>
      <c r="U15" s="23" t="str">
        <f aca="false">IF(B15="","",TEXT(B15,"yyyy-mm"))</f>
        <v/>
      </c>
      <c r="V15" s="23" t="str">
        <f aca="false">IF(K15="","",TEXT(K15,"yyyy-mm"))</f>
        <v/>
      </c>
      <c r="W15" s="23" t="n">
        <f aca="false">IF(OR(C15="Cetak",C15="Dikirim",C15="Selesai"),1,0)</f>
        <v>0</v>
      </c>
      <c r="X15" s="23" t="str">
        <f aca="false">IF(F15="","",SUBSTITUTE(SUBSTITUTE(MID(UPPER(TRIM(F15)),4,99),"-LED",""),"-TK",""))</f>
        <v/>
      </c>
      <c r="Y15" s="23" t="str">
        <f aca="false">IF(X15="","",(LEN(X15)+1)/7)</f>
        <v/>
      </c>
      <c r="Z15" s="23" t="str">
        <f aca="false">IF(X15="","",LEFT(X15,6))</f>
        <v/>
      </c>
      <c r="AA15" s="23" t="str">
        <f aca="false">IF(X15="","",IF(Y15&gt;=3,MID(X15,8,6),""))</f>
        <v/>
      </c>
      <c r="AB15" s="23" t="str">
        <f aca="false">IF(X15="","",IF(Y15&gt;=4,MID(X15,15,6),""))</f>
        <v/>
      </c>
      <c r="AC15" s="23" t="str">
        <f aca="false">IF(X15="","",IF(Y15&gt;=5,MID(X15,22,6),""))</f>
        <v/>
      </c>
      <c r="AD15" s="23" t="str">
        <f aca="false">IF(X15="","",RIGHT(X15,6))</f>
        <v/>
      </c>
      <c r="AE15" s="23" t="str">
        <f aca="false">IF(F15="","",IF(ISNUMBER(SEARCH("-TK",UPPER(F15))),0,1))</f>
        <v/>
      </c>
      <c r="AF15" s="23" t="str">
        <f aca="false">IF(F15="","",IF(ISNUMBER(SEARCH("-LED",UPPER(F15))),1,0))</f>
        <v/>
      </c>
      <c r="AG15" s="24" t="n">
        <f aca="false">IF(Z15="",0,IFERROR(INDEX(Resep!$C$5:$C$7,MATCH(LEFT(Z15,3),Resep!$B$5:$B$7,0)),0))</f>
        <v>0</v>
      </c>
      <c r="AH15" s="24" t="n">
        <f aca="false">IF(AA15="",0,IFERROR(INDEX(Resep!$C$9:$C$13,MATCH(LEFT(AA15,3),Resep!$B$9:$B$13,0)),0))</f>
        <v>0</v>
      </c>
      <c r="AI15" s="24" t="n">
        <f aca="false">IF(AB15="",0,IFERROR(INDEX(Resep!$C$9:$C$13,MATCH(LEFT(AB15,3),Resep!$B$9:$B$13,0)),0))</f>
        <v>0</v>
      </c>
      <c r="AJ15" s="24" t="n">
        <f aca="false">IF(AC15="",0,IFERROR(INDEX(Resep!$C$9:$C$13,MATCH(LEFT(AC15,3),Resep!$B$9:$B$13,0)),0))</f>
        <v>0</v>
      </c>
      <c r="AK15" s="24" t="n">
        <f aca="false">IF(AD15="",0,IFERROR(INDEX(Resep!$C$15:$C$18,MATCH(LEFT(AD15,3),Resep!$B$15:$B$18,0)),0))</f>
        <v>0</v>
      </c>
      <c r="AL15" s="24" t="str">
        <f aca="false">IF(X15="","",AG15+AH15+AI15+AJ15+AK15)</f>
        <v/>
      </c>
      <c r="AM15" s="22" t="str">
        <f aca="false">IF(X15="","",AL15*(Pengaturan!$B$6+Pengaturan!$B$7)+Pengaturan!$B$8+AE15*Pengaturan!$B$9+AF15*Pengaturan!$B$10)</f>
        <v/>
      </c>
      <c r="AN15" s="22" t="str">
        <f aca="false">IF(X15="","",N(G15)-AM15)</f>
        <v/>
      </c>
      <c r="AO15" s="25" t="str">
        <f aca="false">IF(OR(X15="",N(G15)=0),"",AN15/G15)</f>
        <v/>
      </c>
    </row>
    <row r="16" customFormat="false" ht="15" hidden="false" customHeight="false" outlineLevel="0" collapsed="false">
      <c r="A16" s="19"/>
      <c r="B16" s="20"/>
      <c r="C16" s="19"/>
      <c r="D16" s="19"/>
      <c r="E16" s="19"/>
      <c r="F16" s="19"/>
      <c r="G16" s="21"/>
      <c r="H16" s="19"/>
      <c r="I16" s="21"/>
      <c r="J16" s="19"/>
      <c r="K16" s="20"/>
      <c r="L16" s="20"/>
      <c r="M16" s="19"/>
      <c r="N16" s="19"/>
      <c r="O16" s="20"/>
      <c r="P16" s="20"/>
      <c r="Q16" s="19"/>
      <c r="R16" s="22" t="str">
        <f aca="false">IF(A16="","",N(G16)+N(I16))</f>
        <v/>
      </c>
      <c r="S16" s="23" t="str">
        <f aca="false">IF(OR(K16="",O16=""),"",O16-K16)</f>
        <v/>
      </c>
      <c r="T16" s="23" t="str">
        <f aca="true">IF(AND(C16="Cetak",L16&lt;&gt;"",L16&lt;TODAY()),"YA","")</f>
        <v/>
      </c>
      <c r="U16" s="23" t="str">
        <f aca="false">IF(B16="","",TEXT(B16,"yyyy-mm"))</f>
        <v/>
      </c>
      <c r="V16" s="23" t="str">
        <f aca="false">IF(K16="","",TEXT(K16,"yyyy-mm"))</f>
        <v/>
      </c>
      <c r="W16" s="23" t="n">
        <f aca="false">IF(OR(C16="Cetak",C16="Dikirim",C16="Selesai"),1,0)</f>
        <v>0</v>
      </c>
      <c r="X16" s="23" t="str">
        <f aca="false">IF(F16="","",SUBSTITUTE(SUBSTITUTE(MID(UPPER(TRIM(F16)),4,99),"-LED",""),"-TK",""))</f>
        <v/>
      </c>
      <c r="Y16" s="23" t="str">
        <f aca="false">IF(X16="","",(LEN(X16)+1)/7)</f>
        <v/>
      </c>
      <c r="Z16" s="23" t="str">
        <f aca="false">IF(X16="","",LEFT(X16,6))</f>
        <v/>
      </c>
      <c r="AA16" s="23" t="str">
        <f aca="false">IF(X16="","",IF(Y16&gt;=3,MID(X16,8,6),""))</f>
        <v/>
      </c>
      <c r="AB16" s="23" t="str">
        <f aca="false">IF(X16="","",IF(Y16&gt;=4,MID(X16,15,6),""))</f>
        <v/>
      </c>
      <c r="AC16" s="23" t="str">
        <f aca="false">IF(X16="","",IF(Y16&gt;=5,MID(X16,22,6),""))</f>
        <v/>
      </c>
      <c r="AD16" s="23" t="str">
        <f aca="false">IF(X16="","",RIGHT(X16,6))</f>
        <v/>
      </c>
      <c r="AE16" s="23" t="str">
        <f aca="false">IF(F16="","",IF(ISNUMBER(SEARCH("-TK",UPPER(F16))),0,1))</f>
        <v/>
      </c>
      <c r="AF16" s="23" t="str">
        <f aca="false">IF(F16="","",IF(ISNUMBER(SEARCH("-LED",UPPER(F16))),1,0))</f>
        <v/>
      </c>
      <c r="AG16" s="24" t="n">
        <f aca="false">IF(Z16="",0,IFERROR(INDEX(Resep!$C$5:$C$7,MATCH(LEFT(Z16,3),Resep!$B$5:$B$7,0)),0))</f>
        <v>0</v>
      </c>
      <c r="AH16" s="24" t="n">
        <f aca="false">IF(AA16="",0,IFERROR(INDEX(Resep!$C$9:$C$13,MATCH(LEFT(AA16,3),Resep!$B$9:$B$13,0)),0))</f>
        <v>0</v>
      </c>
      <c r="AI16" s="24" t="n">
        <f aca="false">IF(AB16="",0,IFERROR(INDEX(Resep!$C$9:$C$13,MATCH(LEFT(AB16,3),Resep!$B$9:$B$13,0)),0))</f>
        <v>0</v>
      </c>
      <c r="AJ16" s="24" t="n">
        <f aca="false">IF(AC16="",0,IFERROR(INDEX(Resep!$C$9:$C$13,MATCH(LEFT(AC16,3),Resep!$B$9:$B$13,0)),0))</f>
        <v>0</v>
      </c>
      <c r="AK16" s="24" t="n">
        <f aca="false">IF(AD16="",0,IFERROR(INDEX(Resep!$C$15:$C$18,MATCH(LEFT(AD16,3),Resep!$B$15:$B$18,0)),0))</f>
        <v>0</v>
      </c>
      <c r="AL16" s="24" t="str">
        <f aca="false">IF(X16="","",AG16+AH16+AI16+AJ16+AK16)</f>
        <v/>
      </c>
      <c r="AM16" s="22" t="str">
        <f aca="false">IF(X16="","",AL16*(Pengaturan!$B$6+Pengaturan!$B$7)+Pengaturan!$B$8+AE16*Pengaturan!$B$9+AF16*Pengaturan!$B$10)</f>
        <v/>
      </c>
      <c r="AN16" s="22" t="str">
        <f aca="false">IF(X16="","",N(G16)-AM16)</f>
        <v/>
      </c>
      <c r="AO16" s="25" t="str">
        <f aca="false">IF(OR(X16="",N(G16)=0),"",AN16/G16)</f>
        <v/>
      </c>
    </row>
    <row r="17" customFormat="false" ht="15" hidden="false" customHeight="false" outlineLevel="0" collapsed="false">
      <c r="A17" s="19"/>
      <c r="B17" s="20"/>
      <c r="C17" s="19"/>
      <c r="D17" s="19"/>
      <c r="E17" s="19"/>
      <c r="F17" s="19"/>
      <c r="G17" s="21"/>
      <c r="H17" s="19"/>
      <c r="I17" s="21"/>
      <c r="J17" s="19"/>
      <c r="K17" s="20"/>
      <c r="L17" s="20"/>
      <c r="M17" s="19"/>
      <c r="N17" s="19"/>
      <c r="O17" s="20"/>
      <c r="P17" s="20"/>
      <c r="Q17" s="19"/>
      <c r="R17" s="22" t="str">
        <f aca="false">IF(A17="","",N(G17)+N(I17))</f>
        <v/>
      </c>
      <c r="S17" s="23" t="str">
        <f aca="false">IF(OR(K17="",O17=""),"",O17-K17)</f>
        <v/>
      </c>
      <c r="T17" s="23" t="str">
        <f aca="true">IF(AND(C17="Cetak",L17&lt;&gt;"",L17&lt;TODAY()),"YA","")</f>
        <v/>
      </c>
      <c r="U17" s="23" t="str">
        <f aca="false">IF(B17="","",TEXT(B17,"yyyy-mm"))</f>
        <v/>
      </c>
      <c r="V17" s="23" t="str">
        <f aca="false">IF(K17="","",TEXT(K17,"yyyy-mm"))</f>
        <v/>
      </c>
      <c r="W17" s="23" t="n">
        <f aca="false">IF(OR(C17="Cetak",C17="Dikirim",C17="Selesai"),1,0)</f>
        <v>0</v>
      </c>
      <c r="X17" s="23" t="str">
        <f aca="false">IF(F17="","",SUBSTITUTE(SUBSTITUTE(MID(UPPER(TRIM(F17)),4,99),"-LED",""),"-TK",""))</f>
        <v/>
      </c>
      <c r="Y17" s="23" t="str">
        <f aca="false">IF(X17="","",(LEN(X17)+1)/7)</f>
        <v/>
      </c>
      <c r="Z17" s="23" t="str">
        <f aca="false">IF(X17="","",LEFT(X17,6))</f>
        <v/>
      </c>
      <c r="AA17" s="23" t="str">
        <f aca="false">IF(X17="","",IF(Y17&gt;=3,MID(X17,8,6),""))</f>
        <v/>
      </c>
      <c r="AB17" s="23" t="str">
        <f aca="false">IF(X17="","",IF(Y17&gt;=4,MID(X17,15,6),""))</f>
        <v/>
      </c>
      <c r="AC17" s="23" t="str">
        <f aca="false">IF(X17="","",IF(Y17&gt;=5,MID(X17,22,6),""))</f>
        <v/>
      </c>
      <c r="AD17" s="23" t="str">
        <f aca="false">IF(X17="","",RIGHT(X17,6))</f>
        <v/>
      </c>
      <c r="AE17" s="23" t="str">
        <f aca="false">IF(F17="","",IF(ISNUMBER(SEARCH("-TK",UPPER(F17))),0,1))</f>
        <v/>
      </c>
      <c r="AF17" s="23" t="str">
        <f aca="false">IF(F17="","",IF(ISNUMBER(SEARCH("-LED",UPPER(F17))),1,0))</f>
        <v/>
      </c>
      <c r="AG17" s="24" t="n">
        <f aca="false">IF(Z17="",0,IFERROR(INDEX(Resep!$C$5:$C$7,MATCH(LEFT(Z17,3),Resep!$B$5:$B$7,0)),0))</f>
        <v>0</v>
      </c>
      <c r="AH17" s="24" t="n">
        <f aca="false">IF(AA17="",0,IFERROR(INDEX(Resep!$C$9:$C$13,MATCH(LEFT(AA17,3),Resep!$B$9:$B$13,0)),0))</f>
        <v>0</v>
      </c>
      <c r="AI17" s="24" t="n">
        <f aca="false">IF(AB17="",0,IFERROR(INDEX(Resep!$C$9:$C$13,MATCH(LEFT(AB17,3),Resep!$B$9:$B$13,0)),0))</f>
        <v>0</v>
      </c>
      <c r="AJ17" s="24" t="n">
        <f aca="false">IF(AC17="",0,IFERROR(INDEX(Resep!$C$9:$C$13,MATCH(LEFT(AC17,3),Resep!$B$9:$B$13,0)),0))</f>
        <v>0</v>
      </c>
      <c r="AK17" s="24" t="n">
        <f aca="false">IF(AD17="",0,IFERROR(INDEX(Resep!$C$15:$C$18,MATCH(LEFT(AD17,3),Resep!$B$15:$B$18,0)),0))</f>
        <v>0</v>
      </c>
      <c r="AL17" s="24" t="str">
        <f aca="false">IF(X17="","",AG17+AH17+AI17+AJ17+AK17)</f>
        <v/>
      </c>
      <c r="AM17" s="22" t="str">
        <f aca="false">IF(X17="","",AL17*(Pengaturan!$B$6+Pengaturan!$B$7)+Pengaturan!$B$8+AE17*Pengaturan!$B$9+AF17*Pengaturan!$B$10)</f>
        <v/>
      </c>
      <c r="AN17" s="22" t="str">
        <f aca="false">IF(X17="","",N(G17)-AM17)</f>
        <v/>
      </c>
      <c r="AO17" s="25" t="str">
        <f aca="false">IF(OR(X17="",N(G17)=0),"",AN17/G17)</f>
        <v/>
      </c>
    </row>
    <row r="18" customFormat="false" ht="15" hidden="false" customHeight="false" outlineLevel="0" collapsed="false">
      <c r="A18" s="19"/>
      <c r="B18" s="20"/>
      <c r="C18" s="19"/>
      <c r="D18" s="19"/>
      <c r="E18" s="19"/>
      <c r="F18" s="19"/>
      <c r="G18" s="21"/>
      <c r="H18" s="19"/>
      <c r="I18" s="21"/>
      <c r="J18" s="19"/>
      <c r="K18" s="20"/>
      <c r="L18" s="20"/>
      <c r="M18" s="19"/>
      <c r="N18" s="19"/>
      <c r="O18" s="20"/>
      <c r="P18" s="20"/>
      <c r="Q18" s="19"/>
      <c r="R18" s="22" t="str">
        <f aca="false">IF(A18="","",N(G18)+N(I18))</f>
        <v/>
      </c>
      <c r="S18" s="23" t="str">
        <f aca="false">IF(OR(K18="",O18=""),"",O18-K18)</f>
        <v/>
      </c>
      <c r="T18" s="23" t="str">
        <f aca="true">IF(AND(C18="Cetak",L18&lt;&gt;"",L18&lt;TODAY()),"YA","")</f>
        <v/>
      </c>
      <c r="U18" s="23" t="str">
        <f aca="false">IF(B18="","",TEXT(B18,"yyyy-mm"))</f>
        <v/>
      </c>
      <c r="V18" s="23" t="str">
        <f aca="false">IF(K18="","",TEXT(K18,"yyyy-mm"))</f>
        <v/>
      </c>
      <c r="W18" s="23" t="n">
        <f aca="false">IF(OR(C18="Cetak",C18="Dikirim",C18="Selesai"),1,0)</f>
        <v>0</v>
      </c>
      <c r="X18" s="23" t="str">
        <f aca="false">IF(F18="","",SUBSTITUTE(SUBSTITUTE(MID(UPPER(TRIM(F18)),4,99),"-LED",""),"-TK",""))</f>
        <v/>
      </c>
      <c r="Y18" s="23" t="str">
        <f aca="false">IF(X18="","",(LEN(X18)+1)/7)</f>
        <v/>
      </c>
      <c r="Z18" s="23" t="str">
        <f aca="false">IF(X18="","",LEFT(X18,6))</f>
        <v/>
      </c>
      <c r="AA18" s="23" t="str">
        <f aca="false">IF(X18="","",IF(Y18&gt;=3,MID(X18,8,6),""))</f>
        <v/>
      </c>
      <c r="AB18" s="23" t="str">
        <f aca="false">IF(X18="","",IF(Y18&gt;=4,MID(X18,15,6),""))</f>
        <v/>
      </c>
      <c r="AC18" s="23" t="str">
        <f aca="false">IF(X18="","",IF(Y18&gt;=5,MID(X18,22,6),""))</f>
        <v/>
      </c>
      <c r="AD18" s="23" t="str">
        <f aca="false">IF(X18="","",RIGHT(X18,6))</f>
        <v/>
      </c>
      <c r="AE18" s="23" t="str">
        <f aca="false">IF(F18="","",IF(ISNUMBER(SEARCH("-TK",UPPER(F18))),0,1))</f>
        <v/>
      </c>
      <c r="AF18" s="23" t="str">
        <f aca="false">IF(F18="","",IF(ISNUMBER(SEARCH("-LED",UPPER(F18))),1,0))</f>
        <v/>
      </c>
      <c r="AG18" s="24" t="n">
        <f aca="false">IF(Z18="",0,IFERROR(INDEX(Resep!$C$5:$C$7,MATCH(LEFT(Z18,3),Resep!$B$5:$B$7,0)),0))</f>
        <v>0</v>
      </c>
      <c r="AH18" s="24" t="n">
        <f aca="false">IF(AA18="",0,IFERROR(INDEX(Resep!$C$9:$C$13,MATCH(LEFT(AA18,3),Resep!$B$9:$B$13,0)),0))</f>
        <v>0</v>
      </c>
      <c r="AI18" s="24" t="n">
        <f aca="false">IF(AB18="",0,IFERROR(INDEX(Resep!$C$9:$C$13,MATCH(LEFT(AB18,3),Resep!$B$9:$B$13,0)),0))</f>
        <v>0</v>
      </c>
      <c r="AJ18" s="24" t="n">
        <f aca="false">IF(AC18="",0,IFERROR(INDEX(Resep!$C$9:$C$13,MATCH(LEFT(AC18,3),Resep!$B$9:$B$13,0)),0))</f>
        <v>0</v>
      </c>
      <c r="AK18" s="24" t="n">
        <f aca="false">IF(AD18="",0,IFERROR(INDEX(Resep!$C$15:$C$18,MATCH(LEFT(AD18,3),Resep!$B$15:$B$18,0)),0))</f>
        <v>0</v>
      </c>
      <c r="AL18" s="24" t="str">
        <f aca="false">IF(X18="","",AG18+AH18+AI18+AJ18+AK18)</f>
        <v/>
      </c>
      <c r="AM18" s="22" t="str">
        <f aca="false">IF(X18="","",AL18*(Pengaturan!$B$6+Pengaturan!$B$7)+Pengaturan!$B$8+AE18*Pengaturan!$B$9+AF18*Pengaturan!$B$10)</f>
        <v/>
      </c>
      <c r="AN18" s="22" t="str">
        <f aca="false">IF(X18="","",N(G18)-AM18)</f>
        <v/>
      </c>
      <c r="AO18" s="25" t="str">
        <f aca="false">IF(OR(X18="",N(G18)=0),"",AN18/G18)</f>
        <v/>
      </c>
    </row>
    <row r="19" customFormat="false" ht="15" hidden="false" customHeight="false" outlineLevel="0" collapsed="false">
      <c r="A19" s="19"/>
      <c r="B19" s="20"/>
      <c r="C19" s="19"/>
      <c r="D19" s="19"/>
      <c r="E19" s="19"/>
      <c r="F19" s="19"/>
      <c r="G19" s="21"/>
      <c r="H19" s="19"/>
      <c r="I19" s="21"/>
      <c r="J19" s="19"/>
      <c r="K19" s="20"/>
      <c r="L19" s="20"/>
      <c r="M19" s="19"/>
      <c r="N19" s="19"/>
      <c r="O19" s="20"/>
      <c r="P19" s="20"/>
      <c r="Q19" s="19"/>
      <c r="R19" s="22" t="str">
        <f aca="false">IF(A19="","",N(G19)+N(I19))</f>
        <v/>
      </c>
      <c r="S19" s="23" t="str">
        <f aca="false">IF(OR(K19="",O19=""),"",O19-K19)</f>
        <v/>
      </c>
      <c r="T19" s="23" t="str">
        <f aca="true">IF(AND(C19="Cetak",L19&lt;&gt;"",L19&lt;TODAY()),"YA","")</f>
        <v/>
      </c>
      <c r="U19" s="23" t="str">
        <f aca="false">IF(B19="","",TEXT(B19,"yyyy-mm"))</f>
        <v/>
      </c>
      <c r="V19" s="23" t="str">
        <f aca="false">IF(K19="","",TEXT(K19,"yyyy-mm"))</f>
        <v/>
      </c>
      <c r="W19" s="23" t="n">
        <f aca="false">IF(OR(C19="Cetak",C19="Dikirim",C19="Selesai"),1,0)</f>
        <v>0</v>
      </c>
      <c r="X19" s="23" t="str">
        <f aca="false">IF(F19="","",SUBSTITUTE(SUBSTITUTE(MID(UPPER(TRIM(F19)),4,99),"-LED",""),"-TK",""))</f>
        <v/>
      </c>
      <c r="Y19" s="23" t="str">
        <f aca="false">IF(X19="","",(LEN(X19)+1)/7)</f>
        <v/>
      </c>
      <c r="Z19" s="23" t="str">
        <f aca="false">IF(X19="","",LEFT(X19,6))</f>
        <v/>
      </c>
      <c r="AA19" s="23" t="str">
        <f aca="false">IF(X19="","",IF(Y19&gt;=3,MID(X19,8,6),""))</f>
        <v/>
      </c>
      <c r="AB19" s="23" t="str">
        <f aca="false">IF(X19="","",IF(Y19&gt;=4,MID(X19,15,6),""))</f>
        <v/>
      </c>
      <c r="AC19" s="23" t="str">
        <f aca="false">IF(X19="","",IF(Y19&gt;=5,MID(X19,22,6),""))</f>
        <v/>
      </c>
      <c r="AD19" s="23" t="str">
        <f aca="false">IF(X19="","",RIGHT(X19,6))</f>
        <v/>
      </c>
      <c r="AE19" s="23" t="str">
        <f aca="false">IF(F19="","",IF(ISNUMBER(SEARCH("-TK",UPPER(F19))),0,1))</f>
        <v/>
      </c>
      <c r="AF19" s="23" t="str">
        <f aca="false">IF(F19="","",IF(ISNUMBER(SEARCH("-LED",UPPER(F19))),1,0))</f>
        <v/>
      </c>
      <c r="AG19" s="24" t="n">
        <f aca="false">IF(Z19="",0,IFERROR(INDEX(Resep!$C$5:$C$7,MATCH(LEFT(Z19,3),Resep!$B$5:$B$7,0)),0))</f>
        <v>0</v>
      </c>
      <c r="AH19" s="24" t="n">
        <f aca="false">IF(AA19="",0,IFERROR(INDEX(Resep!$C$9:$C$13,MATCH(LEFT(AA19,3),Resep!$B$9:$B$13,0)),0))</f>
        <v>0</v>
      </c>
      <c r="AI19" s="24" t="n">
        <f aca="false">IF(AB19="",0,IFERROR(INDEX(Resep!$C$9:$C$13,MATCH(LEFT(AB19,3),Resep!$B$9:$B$13,0)),0))</f>
        <v>0</v>
      </c>
      <c r="AJ19" s="24" t="n">
        <f aca="false">IF(AC19="",0,IFERROR(INDEX(Resep!$C$9:$C$13,MATCH(LEFT(AC19,3),Resep!$B$9:$B$13,0)),0))</f>
        <v>0</v>
      </c>
      <c r="AK19" s="24" t="n">
        <f aca="false">IF(AD19="",0,IFERROR(INDEX(Resep!$C$15:$C$18,MATCH(LEFT(AD19,3),Resep!$B$15:$B$18,0)),0))</f>
        <v>0</v>
      </c>
      <c r="AL19" s="24" t="str">
        <f aca="false">IF(X19="","",AG19+AH19+AI19+AJ19+AK19)</f>
        <v/>
      </c>
      <c r="AM19" s="22" t="str">
        <f aca="false">IF(X19="","",AL19*(Pengaturan!$B$6+Pengaturan!$B$7)+Pengaturan!$B$8+AE19*Pengaturan!$B$9+AF19*Pengaturan!$B$10)</f>
        <v/>
      </c>
      <c r="AN19" s="22" t="str">
        <f aca="false">IF(X19="","",N(G19)-AM19)</f>
        <v/>
      </c>
      <c r="AO19" s="25" t="str">
        <f aca="false">IF(OR(X19="",N(G19)=0),"",AN19/G19)</f>
        <v/>
      </c>
    </row>
    <row r="20" customFormat="false" ht="15" hidden="false" customHeight="false" outlineLevel="0" collapsed="false">
      <c r="A20" s="19"/>
      <c r="B20" s="20"/>
      <c r="C20" s="19"/>
      <c r="D20" s="19"/>
      <c r="E20" s="19"/>
      <c r="F20" s="19"/>
      <c r="G20" s="21"/>
      <c r="H20" s="19"/>
      <c r="I20" s="21"/>
      <c r="J20" s="19"/>
      <c r="K20" s="20"/>
      <c r="L20" s="20"/>
      <c r="M20" s="19"/>
      <c r="N20" s="19"/>
      <c r="O20" s="20"/>
      <c r="P20" s="20"/>
      <c r="Q20" s="19"/>
      <c r="R20" s="22" t="str">
        <f aca="false">IF(A20="","",N(G20)+N(I20))</f>
        <v/>
      </c>
      <c r="S20" s="23" t="str">
        <f aca="false">IF(OR(K20="",O20=""),"",O20-K20)</f>
        <v/>
      </c>
      <c r="T20" s="23" t="str">
        <f aca="true">IF(AND(C20="Cetak",L20&lt;&gt;"",L20&lt;TODAY()),"YA","")</f>
        <v/>
      </c>
      <c r="U20" s="23" t="str">
        <f aca="false">IF(B20="","",TEXT(B20,"yyyy-mm"))</f>
        <v/>
      </c>
      <c r="V20" s="23" t="str">
        <f aca="false">IF(K20="","",TEXT(K20,"yyyy-mm"))</f>
        <v/>
      </c>
      <c r="W20" s="23" t="n">
        <f aca="false">IF(OR(C20="Cetak",C20="Dikirim",C20="Selesai"),1,0)</f>
        <v>0</v>
      </c>
      <c r="X20" s="23" t="str">
        <f aca="false">IF(F20="","",SUBSTITUTE(SUBSTITUTE(MID(UPPER(TRIM(F20)),4,99),"-LED",""),"-TK",""))</f>
        <v/>
      </c>
      <c r="Y20" s="23" t="str">
        <f aca="false">IF(X20="","",(LEN(X20)+1)/7)</f>
        <v/>
      </c>
      <c r="Z20" s="23" t="str">
        <f aca="false">IF(X20="","",LEFT(X20,6))</f>
        <v/>
      </c>
      <c r="AA20" s="23" t="str">
        <f aca="false">IF(X20="","",IF(Y20&gt;=3,MID(X20,8,6),""))</f>
        <v/>
      </c>
      <c r="AB20" s="23" t="str">
        <f aca="false">IF(X20="","",IF(Y20&gt;=4,MID(X20,15,6),""))</f>
        <v/>
      </c>
      <c r="AC20" s="23" t="str">
        <f aca="false">IF(X20="","",IF(Y20&gt;=5,MID(X20,22,6),""))</f>
        <v/>
      </c>
      <c r="AD20" s="23" t="str">
        <f aca="false">IF(X20="","",RIGHT(X20,6))</f>
        <v/>
      </c>
      <c r="AE20" s="23" t="str">
        <f aca="false">IF(F20="","",IF(ISNUMBER(SEARCH("-TK",UPPER(F20))),0,1))</f>
        <v/>
      </c>
      <c r="AF20" s="23" t="str">
        <f aca="false">IF(F20="","",IF(ISNUMBER(SEARCH("-LED",UPPER(F20))),1,0))</f>
        <v/>
      </c>
      <c r="AG20" s="24" t="n">
        <f aca="false">IF(Z20="",0,IFERROR(INDEX(Resep!$C$5:$C$7,MATCH(LEFT(Z20,3),Resep!$B$5:$B$7,0)),0))</f>
        <v>0</v>
      </c>
      <c r="AH20" s="24" t="n">
        <f aca="false">IF(AA20="",0,IFERROR(INDEX(Resep!$C$9:$C$13,MATCH(LEFT(AA20,3),Resep!$B$9:$B$13,0)),0))</f>
        <v>0</v>
      </c>
      <c r="AI20" s="24" t="n">
        <f aca="false">IF(AB20="",0,IFERROR(INDEX(Resep!$C$9:$C$13,MATCH(LEFT(AB20,3),Resep!$B$9:$B$13,0)),0))</f>
        <v>0</v>
      </c>
      <c r="AJ20" s="24" t="n">
        <f aca="false">IF(AC20="",0,IFERROR(INDEX(Resep!$C$9:$C$13,MATCH(LEFT(AC20,3),Resep!$B$9:$B$13,0)),0))</f>
        <v>0</v>
      </c>
      <c r="AK20" s="24" t="n">
        <f aca="false">IF(AD20="",0,IFERROR(INDEX(Resep!$C$15:$C$18,MATCH(LEFT(AD20,3),Resep!$B$15:$B$18,0)),0))</f>
        <v>0</v>
      </c>
      <c r="AL20" s="24" t="str">
        <f aca="false">IF(X20="","",AG20+AH20+AI20+AJ20+AK20)</f>
        <v/>
      </c>
      <c r="AM20" s="22" t="str">
        <f aca="false">IF(X20="","",AL20*(Pengaturan!$B$6+Pengaturan!$B$7)+Pengaturan!$B$8+AE20*Pengaturan!$B$9+AF20*Pengaturan!$B$10)</f>
        <v/>
      </c>
      <c r="AN20" s="22" t="str">
        <f aca="false">IF(X20="","",N(G20)-AM20)</f>
        <v/>
      </c>
      <c r="AO20" s="25" t="str">
        <f aca="false">IF(OR(X20="",N(G20)=0),"",AN20/G20)</f>
        <v/>
      </c>
    </row>
    <row r="21" customFormat="false" ht="15" hidden="false" customHeight="false" outlineLevel="0" collapsed="false">
      <c r="A21" s="19"/>
      <c r="B21" s="20"/>
      <c r="C21" s="19"/>
      <c r="D21" s="19"/>
      <c r="E21" s="19"/>
      <c r="F21" s="19"/>
      <c r="G21" s="21"/>
      <c r="H21" s="19"/>
      <c r="I21" s="21"/>
      <c r="J21" s="19"/>
      <c r="K21" s="20"/>
      <c r="L21" s="20"/>
      <c r="M21" s="19"/>
      <c r="N21" s="19"/>
      <c r="O21" s="20"/>
      <c r="P21" s="20"/>
      <c r="Q21" s="19"/>
      <c r="R21" s="22" t="str">
        <f aca="false">IF(A21="","",N(G21)+N(I21))</f>
        <v/>
      </c>
      <c r="S21" s="23" t="str">
        <f aca="false">IF(OR(K21="",O21=""),"",O21-K21)</f>
        <v/>
      </c>
      <c r="T21" s="23" t="str">
        <f aca="true">IF(AND(C21="Cetak",L21&lt;&gt;"",L21&lt;TODAY()),"YA","")</f>
        <v/>
      </c>
      <c r="U21" s="23" t="str">
        <f aca="false">IF(B21="","",TEXT(B21,"yyyy-mm"))</f>
        <v/>
      </c>
      <c r="V21" s="23" t="str">
        <f aca="false">IF(K21="","",TEXT(K21,"yyyy-mm"))</f>
        <v/>
      </c>
      <c r="W21" s="23" t="n">
        <f aca="false">IF(OR(C21="Cetak",C21="Dikirim",C21="Selesai"),1,0)</f>
        <v>0</v>
      </c>
      <c r="X21" s="23" t="str">
        <f aca="false">IF(F21="","",SUBSTITUTE(SUBSTITUTE(MID(UPPER(TRIM(F21)),4,99),"-LED",""),"-TK",""))</f>
        <v/>
      </c>
      <c r="Y21" s="23" t="str">
        <f aca="false">IF(X21="","",(LEN(X21)+1)/7)</f>
        <v/>
      </c>
      <c r="Z21" s="23" t="str">
        <f aca="false">IF(X21="","",LEFT(X21,6))</f>
        <v/>
      </c>
      <c r="AA21" s="23" t="str">
        <f aca="false">IF(X21="","",IF(Y21&gt;=3,MID(X21,8,6),""))</f>
        <v/>
      </c>
      <c r="AB21" s="23" t="str">
        <f aca="false">IF(X21="","",IF(Y21&gt;=4,MID(X21,15,6),""))</f>
        <v/>
      </c>
      <c r="AC21" s="23" t="str">
        <f aca="false">IF(X21="","",IF(Y21&gt;=5,MID(X21,22,6),""))</f>
        <v/>
      </c>
      <c r="AD21" s="23" t="str">
        <f aca="false">IF(X21="","",RIGHT(X21,6))</f>
        <v/>
      </c>
      <c r="AE21" s="23" t="str">
        <f aca="false">IF(F21="","",IF(ISNUMBER(SEARCH("-TK",UPPER(F21))),0,1))</f>
        <v/>
      </c>
      <c r="AF21" s="23" t="str">
        <f aca="false">IF(F21="","",IF(ISNUMBER(SEARCH("-LED",UPPER(F21))),1,0))</f>
        <v/>
      </c>
      <c r="AG21" s="24" t="n">
        <f aca="false">IF(Z21="",0,IFERROR(INDEX(Resep!$C$5:$C$7,MATCH(LEFT(Z21,3),Resep!$B$5:$B$7,0)),0))</f>
        <v>0</v>
      </c>
      <c r="AH21" s="24" t="n">
        <f aca="false">IF(AA21="",0,IFERROR(INDEX(Resep!$C$9:$C$13,MATCH(LEFT(AA21,3),Resep!$B$9:$B$13,0)),0))</f>
        <v>0</v>
      </c>
      <c r="AI21" s="24" t="n">
        <f aca="false">IF(AB21="",0,IFERROR(INDEX(Resep!$C$9:$C$13,MATCH(LEFT(AB21,3),Resep!$B$9:$B$13,0)),0))</f>
        <v>0</v>
      </c>
      <c r="AJ21" s="24" t="n">
        <f aca="false">IF(AC21="",0,IFERROR(INDEX(Resep!$C$9:$C$13,MATCH(LEFT(AC21,3),Resep!$B$9:$B$13,0)),0))</f>
        <v>0</v>
      </c>
      <c r="AK21" s="24" t="n">
        <f aca="false">IF(AD21="",0,IFERROR(INDEX(Resep!$C$15:$C$18,MATCH(LEFT(AD21,3),Resep!$B$15:$B$18,0)),0))</f>
        <v>0</v>
      </c>
      <c r="AL21" s="24" t="str">
        <f aca="false">IF(X21="","",AG21+AH21+AI21+AJ21+AK21)</f>
        <v/>
      </c>
      <c r="AM21" s="22" t="str">
        <f aca="false">IF(X21="","",AL21*(Pengaturan!$B$6+Pengaturan!$B$7)+Pengaturan!$B$8+AE21*Pengaturan!$B$9+AF21*Pengaturan!$B$10)</f>
        <v/>
      </c>
      <c r="AN21" s="22" t="str">
        <f aca="false">IF(X21="","",N(G21)-AM21)</f>
        <v/>
      </c>
      <c r="AO21" s="25" t="str">
        <f aca="false">IF(OR(X21="",N(G21)=0),"",AN21/G21)</f>
        <v/>
      </c>
    </row>
    <row r="22" customFormat="false" ht="15" hidden="false" customHeight="false" outlineLevel="0" collapsed="false">
      <c r="A22" s="19"/>
      <c r="B22" s="20"/>
      <c r="C22" s="19"/>
      <c r="D22" s="19"/>
      <c r="E22" s="19"/>
      <c r="F22" s="19"/>
      <c r="G22" s="21"/>
      <c r="H22" s="19"/>
      <c r="I22" s="21"/>
      <c r="J22" s="19"/>
      <c r="K22" s="20"/>
      <c r="L22" s="20"/>
      <c r="M22" s="19"/>
      <c r="N22" s="19"/>
      <c r="O22" s="20"/>
      <c r="P22" s="20"/>
      <c r="Q22" s="19"/>
      <c r="R22" s="22" t="str">
        <f aca="false">IF(A22="","",N(G22)+N(I22))</f>
        <v/>
      </c>
      <c r="S22" s="23" t="str">
        <f aca="false">IF(OR(K22="",O22=""),"",O22-K22)</f>
        <v/>
      </c>
      <c r="T22" s="23" t="str">
        <f aca="true">IF(AND(C22="Cetak",L22&lt;&gt;"",L22&lt;TODAY()),"YA","")</f>
        <v/>
      </c>
      <c r="U22" s="23" t="str">
        <f aca="false">IF(B22="","",TEXT(B22,"yyyy-mm"))</f>
        <v/>
      </c>
      <c r="V22" s="23" t="str">
        <f aca="false">IF(K22="","",TEXT(K22,"yyyy-mm"))</f>
        <v/>
      </c>
      <c r="W22" s="23" t="n">
        <f aca="false">IF(OR(C22="Cetak",C22="Dikirim",C22="Selesai"),1,0)</f>
        <v>0</v>
      </c>
      <c r="X22" s="23" t="str">
        <f aca="false">IF(F22="","",SUBSTITUTE(SUBSTITUTE(MID(UPPER(TRIM(F22)),4,99),"-LED",""),"-TK",""))</f>
        <v/>
      </c>
      <c r="Y22" s="23" t="str">
        <f aca="false">IF(X22="","",(LEN(X22)+1)/7)</f>
        <v/>
      </c>
      <c r="Z22" s="23" t="str">
        <f aca="false">IF(X22="","",LEFT(X22,6))</f>
        <v/>
      </c>
      <c r="AA22" s="23" t="str">
        <f aca="false">IF(X22="","",IF(Y22&gt;=3,MID(X22,8,6),""))</f>
        <v/>
      </c>
      <c r="AB22" s="23" t="str">
        <f aca="false">IF(X22="","",IF(Y22&gt;=4,MID(X22,15,6),""))</f>
        <v/>
      </c>
      <c r="AC22" s="23" t="str">
        <f aca="false">IF(X22="","",IF(Y22&gt;=5,MID(X22,22,6),""))</f>
        <v/>
      </c>
      <c r="AD22" s="23" t="str">
        <f aca="false">IF(X22="","",RIGHT(X22,6))</f>
        <v/>
      </c>
      <c r="AE22" s="23" t="str">
        <f aca="false">IF(F22="","",IF(ISNUMBER(SEARCH("-TK",UPPER(F22))),0,1))</f>
        <v/>
      </c>
      <c r="AF22" s="23" t="str">
        <f aca="false">IF(F22="","",IF(ISNUMBER(SEARCH("-LED",UPPER(F22))),1,0))</f>
        <v/>
      </c>
      <c r="AG22" s="24" t="n">
        <f aca="false">IF(Z22="",0,IFERROR(INDEX(Resep!$C$5:$C$7,MATCH(LEFT(Z22,3),Resep!$B$5:$B$7,0)),0))</f>
        <v>0</v>
      </c>
      <c r="AH22" s="24" t="n">
        <f aca="false">IF(AA22="",0,IFERROR(INDEX(Resep!$C$9:$C$13,MATCH(LEFT(AA22,3),Resep!$B$9:$B$13,0)),0))</f>
        <v>0</v>
      </c>
      <c r="AI22" s="24" t="n">
        <f aca="false">IF(AB22="",0,IFERROR(INDEX(Resep!$C$9:$C$13,MATCH(LEFT(AB22,3),Resep!$B$9:$B$13,0)),0))</f>
        <v>0</v>
      </c>
      <c r="AJ22" s="24" t="n">
        <f aca="false">IF(AC22="",0,IFERROR(INDEX(Resep!$C$9:$C$13,MATCH(LEFT(AC22,3),Resep!$B$9:$B$13,0)),0))</f>
        <v>0</v>
      </c>
      <c r="AK22" s="24" t="n">
        <f aca="false">IF(AD22="",0,IFERROR(INDEX(Resep!$C$15:$C$18,MATCH(LEFT(AD22,3),Resep!$B$15:$B$18,0)),0))</f>
        <v>0</v>
      </c>
      <c r="AL22" s="24" t="str">
        <f aca="false">IF(X22="","",AG22+AH22+AI22+AJ22+AK22)</f>
        <v/>
      </c>
      <c r="AM22" s="22" t="str">
        <f aca="false">IF(X22="","",AL22*(Pengaturan!$B$6+Pengaturan!$B$7)+Pengaturan!$B$8+AE22*Pengaturan!$B$9+AF22*Pengaturan!$B$10)</f>
        <v/>
      </c>
      <c r="AN22" s="22" t="str">
        <f aca="false">IF(X22="","",N(G22)-AM22)</f>
        <v/>
      </c>
      <c r="AO22" s="25" t="str">
        <f aca="false">IF(OR(X22="",N(G22)=0),"",AN22/G22)</f>
        <v/>
      </c>
    </row>
    <row r="23" customFormat="false" ht="15" hidden="false" customHeight="false" outlineLevel="0" collapsed="false">
      <c r="A23" s="19"/>
      <c r="B23" s="20"/>
      <c r="C23" s="19"/>
      <c r="D23" s="19"/>
      <c r="E23" s="19"/>
      <c r="F23" s="19"/>
      <c r="G23" s="21"/>
      <c r="H23" s="19"/>
      <c r="I23" s="21"/>
      <c r="J23" s="19"/>
      <c r="K23" s="20"/>
      <c r="L23" s="20"/>
      <c r="M23" s="19"/>
      <c r="N23" s="19"/>
      <c r="O23" s="20"/>
      <c r="P23" s="20"/>
      <c r="Q23" s="19"/>
      <c r="R23" s="22" t="str">
        <f aca="false">IF(A23="","",N(G23)+N(I23))</f>
        <v/>
      </c>
      <c r="S23" s="23" t="str">
        <f aca="false">IF(OR(K23="",O23=""),"",O23-K23)</f>
        <v/>
      </c>
      <c r="T23" s="23" t="str">
        <f aca="true">IF(AND(C23="Cetak",L23&lt;&gt;"",L23&lt;TODAY()),"YA","")</f>
        <v/>
      </c>
      <c r="U23" s="23" t="str">
        <f aca="false">IF(B23="","",TEXT(B23,"yyyy-mm"))</f>
        <v/>
      </c>
      <c r="V23" s="23" t="str">
        <f aca="false">IF(K23="","",TEXT(K23,"yyyy-mm"))</f>
        <v/>
      </c>
      <c r="W23" s="23" t="n">
        <f aca="false">IF(OR(C23="Cetak",C23="Dikirim",C23="Selesai"),1,0)</f>
        <v>0</v>
      </c>
      <c r="X23" s="23" t="str">
        <f aca="false">IF(F23="","",SUBSTITUTE(SUBSTITUTE(MID(UPPER(TRIM(F23)),4,99),"-LED",""),"-TK",""))</f>
        <v/>
      </c>
      <c r="Y23" s="23" t="str">
        <f aca="false">IF(X23="","",(LEN(X23)+1)/7)</f>
        <v/>
      </c>
      <c r="Z23" s="23" t="str">
        <f aca="false">IF(X23="","",LEFT(X23,6))</f>
        <v/>
      </c>
      <c r="AA23" s="23" t="str">
        <f aca="false">IF(X23="","",IF(Y23&gt;=3,MID(X23,8,6),""))</f>
        <v/>
      </c>
      <c r="AB23" s="23" t="str">
        <f aca="false">IF(X23="","",IF(Y23&gt;=4,MID(X23,15,6),""))</f>
        <v/>
      </c>
      <c r="AC23" s="23" t="str">
        <f aca="false">IF(X23="","",IF(Y23&gt;=5,MID(X23,22,6),""))</f>
        <v/>
      </c>
      <c r="AD23" s="23" t="str">
        <f aca="false">IF(X23="","",RIGHT(X23,6))</f>
        <v/>
      </c>
      <c r="AE23" s="23" t="str">
        <f aca="false">IF(F23="","",IF(ISNUMBER(SEARCH("-TK",UPPER(F23))),0,1))</f>
        <v/>
      </c>
      <c r="AF23" s="23" t="str">
        <f aca="false">IF(F23="","",IF(ISNUMBER(SEARCH("-LED",UPPER(F23))),1,0))</f>
        <v/>
      </c>
      <c r="AG23" s="24" t="n">
        <f aca="false">IF(Z23="",0,IFERROR(INDEX(Resep!$C$5:$C$7,MATCH(LEFT(Z23,3),Resep!$B$5:$B$7,0)),0))</f>
        <v>0</v>
      </c>
      <c r="AH23" s="24" t="n">
        <f aca="false">IF(AA23="",0,IFERROR(INDEX(Resep!$C$9:$C$13,MATCH(LEFT(AA23,3),Resep!$B$9:$B$13,0)),0))</f>
        <v>0</v>
      </c>
      <c r="AI23" s="24" t="n">
        <f aca="false">IF(AB23="",0,IFERROR(INDEX(Resep!$C$9:$C$13,MATCH(LEFT(AB23,3),Resep!$B$9:$B$13,0)),0))</f>
        <v>0</v>
      </c>
      <c r="AJ23" s="24" t="n">
        <f aca="false">IF(AC23="",0,IFERROR(INDEX(Resep!$C$9:$C$13,MATCH(LEFT(AC23,3),Resep!$B$9:$B$13,0)),0))</f>
        <v>0</v>
      </c>
      <c r="AK23" s="24" t="n">
        <f aca="false">IF(AD23="",0,IFERROR(INDEX(Resep!$C$15:$C$18,MATCH(LEFT(AD23,3),Resep!$B$15:$B$18,0)),0))</f>
        <v>0</v>
      </c>
      <c r="AL23" s="24" t="str">
        <f aca="false">IF(X23="","",AG23+AH23+AI23+AJ23+AK23)</f>
        <v/>
      </c>
      <c r="AM23" s="22" t="str">
        <f aca="false">IF(X23="","",AL23*(Pengaturan!$B$6+Pengaturan!$B$7)+Pengaturan!$B$8+AE23*Pengaturan!$B$9+AF23*Pengaturan!$B$10)</f>
        <v/>
      </c>
      <c r="AN23" s="22" t="str">
        <f aca="false">IF(X23="","",N(G23)-AM23)</f>
        <v/>
      </c>
      <c r="AO23" s="25" t="str">
        <f aca="false">IF(OR(X23="",N(G23)=0),"",AN23/G23)</f>
        <v/>
      </c>
    </row>
    <row r="24" customFormat="false" ht="15" hidden="false" customHeight="false" outlineLevel="0" collapsed="false">
      <c r="A24" s="19"/>
      <c r="B24" s="20"/>
      <c r="C24" s="19"/>
      <c r="D24" s="19"/>
      <c r="E24" s="19"/>
      <c r="F24" s="19"/>
      <c r="G24" s="21"/>
      <c r="H24" s="19"/>
      <c r="I24" s="21"/>
      <c r="J24" s="19"/>
      <c r="K24" s="20"/>
      <c r="L24" s="20"/>
      <c r="M24" s="19"/>
      <c r="N24" s="19"/>
      <c r="O24" s="20"/>
      <c r="P24" s="20"/>
      <c r="Q24" s="19"/>
      <c r="R24" s="22" t="str">
        <f aca="false">IF(A24="","",N(G24)+N(I24))</f>
        <v/>
      </c>
      <c r="S24" s="23" t="str">
        <f aca="false">IF(OR(K24="",O24=""),"",O24-K24)</f>
        <v/>
      </c>
      <c r="T24" s="23" t="str">
        <f aca="true">IF(AND(C24="Cetak",L24&lt;&gt;"",L24&lt;TODAY()),"YA","")</f>
        <v/>
      </c>
      <c r="U24" s="23" t="str">
        <f aca="false">IF(B24="","",TEXT(B24,"yyyy-mm"))</f>
        <v/>
      </c>
      <c r="V24" s="23" t="str">
        <f aca="false">IF(K24="","",TEXT(K24,"yyyy-mm"))</f>
        <v/>
      </c>
      <c r="W24" s="23" t="n">
        <f aca="false">IF(OR(C24="Cetak",C24="Dikirim",C24="Selesai"),1,0)</f>
        <v>0</v>
      </c>
      <c r="X24" s="23" t="str">
        <f aca="false">IF(F24="","",SUBSTITUTE(SUBSTITUTE(MID(UPPER(TRIM(F24)),4,99),"-LED",""),"-TK",""))</f>
        <v/>
      </c>
      <c r="Y24" s="23" t="str">
        <f aca="false">IF(X24="","",(LEN(X24)+1)/7)</f>
        <v/>
      </c>
      <c r="Z24" s="23" t="str">
        <f aca="false">IF(X24="","",LEFT(X24,6))</f>
        <v/>
      </c>
      <c r="AA24" s="23" t="str">
        <f aca="false">IF(X24="","",IF(Y24&gt;=3,MID(X24,8,6),""))</f>
        <v/>
      </c>
      <c r="AB24" s="23" t="str">
        <f aca="false">IF(X24="","",IF(Y24&gt;=4,MID(X24,15,6),""))</f>
        <v/>
      </c>
      <c r="AC24" s="23" t="str">
        <f aca="false">IF(X24="","",IF(Y24&gt;=5,MID(X24,22,6),""))</f>
        <v/>
      </c>
      <c r="AD24" s="23" t="str">
        <f aca="false">IF(X24="","",RIGHT(X24,6))</f>
        <v/>
      </c>
      <c r="AE24" s="23" t="str">
        <f aca="false">IF(F24="","",IF(ISNUMBER(SEARCH("-TK",UPPER(F24))),0,1))</f>
        <v/>
      </c>
      <c r="AF24" s="23" t="str">
        <f aca="false">IF(F24="","",IF(ISNUMBER(SEARCH("-LED",UPPER(F24))),1,0))</f>
        <v/>
      </c>
      <c r="AG24" s="24" t="n">
        <f aca="false">IF(Z24="",0,IFERROR(INDEX(Resep!$C$5:$C$7,MATCH(LEFT(Z24,3),Resep!$B$5:$B$7,0)),0))</f>
        <v>0</v>
      </c>
      <c r="AH24" s="24" t="n">
        <f aca="false">IF(AA24="",0,IFERROR(INDEX(Resep!$C$9:$C$13,MATCH(LEFT(AA24,3),Resep!$B$9:$B$13,0)),0))</f>
        <v>0</v>
      </c>
      <c r="AI24" s="24" t="n">
        <f aca="false">IF(AB24="",0,IFERROR(INDEX(Resep!$C$9:$C$13,MATCH(LEFT(AB24,3),Resep!$B$9:$B$13,0)),0))</f>
        <v>0</v>
      </c>
      <c r="AJ24" s="24" t="n">
        <f aca="false">IF(AC24="",0,IFERROR(INDEX(Resep!$C$9:$C$13,MATCH(LEFT(AC24,3),Resep!$B$9:$B$13,0)),0))</f>
        <v>0</v>
      </c>
      <c r="AK24" s="24" t="n">
        <f aca="false">IF(AD24="",0,IFERROR(INDEX(Resep!$C$15:$C$18,MATCH(LEFT(AD24,3),Resep!$B$15:$B$18,0)),0))</f>
        <v>0</v>
      </c>
      <c r="AL24" s="24" t="str">
        <f aca="false">IF(X24="","",AG24+AH24+AI24+AJ24+AK24)</f>
        <v/>
      </c>
      <c r="AM24" s="22" t="str">
        <f aca="false">IF(X24="","",AL24*(Pengaturan!$B$6+Pengaturan!$B$7)+Pengaturan!$B$8+AE24*Pengaturan!$B$9+AF24*Pengaturan!$B$10)</f>
        <v/>
      </c>
      <c r="AN24" s="22" t="str">
        <f aca="false">IF(X24="","",N(G24)-AM24)</f>
        <v/>
      </c>
      <c r="AO24" s="25" t="str">
        <f aca="false">IF(OR(X24="",N(G24)=0),"",AN24/G24)</f>
        <v/>
      </c>
    </row>
    <row r="25" customFormat="false" ht="15" hidden="false" customHeight="false" outlineLevel="0" collapsed="false">
      <c r="A25" s="19"/>
      <c r="B25" s="20"/>
      <c r="C25" s="19"/>
      <c r="D25" s="19"/>
      <c r="E25" s="19"/>
      <c r="F25" s="19"/>
      <c r="G25" s="21"/>
      <c r="H25" s="19"/>
      <c r="I25" s="21"/>
      <c r="J25" s="19"/>
      <c r="K25" s="20"/>
      <c r="L25" s="20"/>
      <c r="M25" s="19"/>
      <c r="N25" s="19"/>
      <c r="O25" s="20"/>
      <c r="P25" s="20"/>
      <c r="Q25" s="19"/>
      <c r="R25" s="22" t="str">
        <f aca="false">IF(A25="","",N(G25)+N(I25))</f>
        <v/>
      </c>
      <c r="S25" s="23" t="str">
        <f aca="false">IF(OR(K25="",O25=""),"",O25-K25)</f>
        <v/>
      </c>
      <c r="T25" s="23" t="str">
        <f aca="true">IF(AND(C25="Cetak",L25&lt;&gt;"",L25&lt;TODAY()),"YA","")</f>
        <v/>
      </c>
      <c r="U25" s="23" t="str">
        <f aca="false">IF(B25="","",TEXT(B25,"yyyy-mm"))</f>
        <v/>
      </c>
      <c r="V25" s="23" t="str">
        <f aca="false">IF(K25="","",TEXT(K25,"yyyy-mm"))</f>
        <v/>
      </c>
      <c r="W25" s="23" t="n">
        <f aca="false">IF(OR(C25="Cetak",C25="Dikirim",C25="Selesai"),1,0)</f>
        <v>0</v>
      </c>
      <c r="X25" s="23" t="str">
        <f aca="false">IF(F25="","",SUBSTITUTE(SUBSTITUTE(MID(UPPER(TRIM(F25)),4,99),"-LED",""),"-TK",""))</f>
        <v/>
      </c>
      <c r="Y25" s="23" t="str">
        <f aca="false">IF(X25="","",(LEN(X25)+1)/7)</f>
        <v/>
      </c>
      <c r="Z25" s="23" t="str">
        <f aca="false">IF(X25="","",LEFT(X25,6))</f>
        <v/>
      </c>
      <c r="AA25" s="23" t="str">
        <f aca="false">IF(X25="","",IF(Y25&gt;=3,MID(X25,8,6),""))</f>
        <v/>
      </c>
      <c r="AB25" s="23" t="str">
        <f aca="false">IF(X25="","",IF(Y25&gt;=4,MID(X25,15,6),""))</f>
        <v/>
      </c>
      <c r="AC25" s="23" t="str">
        <f aca="false">IF(X25="","",IF(Y25&gt;=5,MID(X25,22,6),""))</f>
        <v/>
      </c>
      <c r="AD25" s="23" t="str">
        <f aca="false">IF(X25="","",RIGHT(X25,6))</f>
        <v/>
      </c>
      <c r="AE25" s="23" t="str">
        <f aca="false">IF(F25="","",IF(ISNUMBER(SEARCH("-TK",UPPER(F25))),0,1))</f>
        <v/>
      </c>
      <c r="AF25" s="23" t="str">
        <f aca="false">IF(F25="","",IF(ISNUMBER(SEARCH("-LED",UPPER(F25))),1,0))</f>
        <v/>
      </c>
      <c r="AG25" s="24" t="n">
        <f aca="false">IF(Z25="",0,IFERROR(INDEX(Resep!$C$5:$C$7,MATCH(LEFT(Z25,3),Resep!$B$5:$B$7,0)),0))</f>
        <v>0</v>
      </c>
      <c r="AH25" s="24" t="n">
        <f aca="false">IF(AA25="",0,IFERROR(INDEX(Resep!$C$9:$C$13,MATCH(LEFT(AA25,3),Resep!$B$9:$B$13,0)),0))</f>
        <v>0</v>
      </c>
      <c r="AI25" s="24" t="n">
        <f aca="false">IF(AB25="",0,IFERROR(INDEX(Resep!$C$9:$C$13,MATCH(LEFT(AB25,3),Resep!$B$9:$B$13,0)),0))</f>
        <v>0</v>
      </c>
      <c r="AJ25" s="24" t="n">
        <f aca="false">IF(AC25="",0,IFERROR(INDEX(Resep!$C$9:$C$13,MATCH(LEFT(AC25,3),Resep!$B$9:$B$13,0)),0))</f>
        <v>0</v>
      </c>
      <c r="AK25" s="24" t="n">
        <f aca="false">IF(AD25="",0,IFERROR(INDEX(Resep!$C$15:$C$18,MATCH(LEFT(AD25,3),Resep!$B$15:$B$18,0)),0))</f>
        <v>0</v>
      </c>
      <c r="AL25" s="24" t="str">
        <f aca="false">IF(X25="","",AG25+AH25+AI25+AJ25+AK25)</f>
        <v/>
      </c>
      <c r="AM25" s="22" t="str">
        <f aca="false">IF(X25="","",AL25*(Pengaturan!$B$6+Pengaturan!$B$7)+Pengaturan!$B$8+AE25*Pengaturan!$B$9+AF25*Pengaturan!$B$10)</f>
        <v/>
      </c>
      <c r="AN25" s="22" t="str">
        <f aca="false">IF(X25="","",N(G25)-AM25)</f>
        <v/>
      </c>
      <c r="AO25" s="25" t="str">
        <f aca="false">IF(OR(X25="",N(G25)=0),"",AN25/G25)</f>
        <v/>
      </c>
    </row>
    <row r="26" customFormat="false" ht="15" hidden="false" customHeight="false" outlineLevel="0" collapsed="false">
      <c r="A26" s="19"/>
      <c r="B26" s="20"/>
      <c r="C26" s="19"/>
      <c r="D26" s="19"/>
      <c r="E26" s="19"/>
      <c r="F26" s="19"/>
      <c r="G26" s="21"/>
      <c r="H26" s="19"/>
      <c r="I26" s="21"/>
      <c r="J26" s="19"/>
      <c r="K26" s="20"/>
      <c r="L26" s="20"/>
      <c r="M26" s="19"/>
      <c r="N26" s="19"/>
      <c r="O26" s="20"/>
      <c r="P26" s="20"/>
      <c r="Q26" s="19"/>
      <c r="R26" s="22" t="str">
        <f aca="false">IF(A26="","",N(G26)+N(I26))</f>
        <v/>
      </c>
      <c r="S26" s="23" t="str">
        <f aca="false">IF(OR(K26="",O26=""),"",O26-K26)</f>
        <v/>
      </c>
      <c r="T26" s="23" t="str">
        <f aca="true">IF(AND(C26="Cetak",L26&lt;&gt;"",L26&lt;TODAY()),"YA","")</f>
        <v/>
      </c>
      <c r="U26" s="23" t="str">
        <f aca="false">IF(B26="","",TEXT(B26,"yyyy-mm"))</f>
        <v/>
      </c>
      <c r="V26" s="23" t="str">
        <f aca="false">IF(K26="","",TEXT(K26,"yyyy-mm"))</f>
        <v/>
      </c>
      <c r="W26" s="23" t="n">
        <f aca="false">IF(OR(C26="Cetak",C26="Dikirim",C26="Selesai"),1,0)</f>
        <v>0</v>
      </c>
      <c r="X26" s="23" t="str">
        <f aca="false">IF(F26="","",SUBSTITUTE(SUBSTITUTE(MID(UPPER(TRIM(F26)),4,99),"-LED",""),"-TK",""))</f>
        <v/>
      </c>
      <c r="Y26" s="23" t="str">
        <f aca="false">IF(X26="","",(LEN(X26)+1)/7)</f>
        <v/>
      </c>
      <c r="Z26" s="23" t="str">
        <f aca="false">IF(X26="","",LEFT(X26,6))</f>
        <v/>
      </c>
      <c r="AA26" s="23" t="str">
        <f aca="false">IF(X26="","",IF(Y26&gt;=3,MID(X26,8,6),""))</f>
        <v/>
      </c>
      <c r="AB26" s="23" t="str">
        <f aca="false">IF(X26="","",IF(Y26&gt;=4,MID(X26,15,6),""))</f>
        <v/>
      </c>
      <c r="AC26" s="23" t="str">
        <f aca="false">IF(X26="","",IF(Y26&gt;=5,MID(X26,22,6),""))</f>
        <v/>
      </c>
      <c r="AD26" s="23" t="str">
        <f aca="false">IF(X26="","",RIGHT(X26,6))</f>
        <v/>
      </c>
      <c r="AE26" s="23" t="str">
        <f aca="false">IF(F26="","",IF(ISNUMBER(SEARCH("-TK",UPPER(F26))),0,1))</f>
        <v/>
      </c>
      <c r="AF26" s="23" t="str">
        <f aca="false">IF(F26="","",IF(ISNUMBER(SEARCH("-LED",UPPER(F26))),1,0))</f>
        <v/>
      </c>
      <c r="AG26" s="24" t="n">
        <f aca="false">IF(Z26="",0,IFERROR(INDEX(Resep!$C$5:$C$7,MATCH(LEFT(Z26,3),Resep!$B$5:$B$7,0)),0))</f>
        <v>0</v>
      </c>
      <c r="AH26" s="24" t="n">
        <f aca="false">IF(AA26="",0,IFERROR(INDEX(Resep!$C$9:$C$13,MATCH(LEFT(AA26,3),Resep!$B$9:$B$13,0)),0))</f>
        <v>0</v>
      </c>
      <c r="AI26" s="24" t="n">
        <f aca="false">IF(AB26="",0,IFERROR(INDEX(Resep!$C$9:$C$13,MATCH(LEFT(AB26,3),Resep!$B$9:$B$13,0)),0))</f>
        <v>0</v>
      </c>
      <c r="AJ26" s="24" t="n">
        <f aca="false">IF(AC26="",0,IFERROR(INDEX(Resep!$C$9:$C$13,MATCH(LEFT(AC26,3),Resep!$B$9:$B$13,0)),0))</f>
        <v>0</v>
      </c>
      <c r="AK26" s="24" t="n">
        <f aca="false">IF(AD26="",0,IFERROR(INDEX(Resep!$C$15:$C$18,MATCH(LEFT(AD26,3),Resep!$B$15:$B$18,0)),0))</f>
        <v>0</v>
      </c>
      <c r="AL26" s="24" t="str">
        <f aca="false">IF(X26="","",AG26+AH26+AI26+AJ26+AK26)</f>
        <v/>
      </c>
      <c r="AM26" s="22" t="str">
        <f aca="false">IF(X26="","",AL26*(Pengaturan!$B$6+Pengaturan!$B$7)+Pengaturan!$B$8+AE26*Pengaturan!$B$9+AF26*Pengaturan!$B$10)</f>
        <v/>
      </c>
      <c r="AN26" s="22" t="str">
        <f aca="false">IF(X26="","",N(G26)-AM26)</f>
        <v/>
      </c>
      <c r="AO26" s="25" t="str">
        <f aca="false">IF(OR(X26="",N(G26)=0),"",AN26/G26)</f>
        <v/>
      </c>
    </row>
    <row r="27" customFormat="false" ht="15" hidden="false" customHeight="false" outlineLevel="0" collapsed="false">
      <c r="A27" s="19"/>
      <c r="B27" s="20"/>
      <c r="C27" s="19"/>
      <c r="D27" s="19"/>
      <c r="E27" s="19"/>
      <c r="F27" s="19"/>
      <c r="G27" s="21"/>
      <c r="H27" s="19"/>
      <c r="I27" s="21"/>
      <c r="J27" s="19"/>
      <c r="K27" s="20"/>
      <c r="L27" s="20"/>
      <c r="M27" s="19"/>
      <c r="N27" s="19"/>
      <c r="O27" s="20"/>
      <c r="P27" s="20"/>
      <c r="Q27" s="19"/>
      <c r="R27" s="22" t="str">
        <f aca="false">IF(A27="","",N(G27)+N(I27))</f>
        <v/>
      </c>
      <c r="S27" s="23" t="str">
        <f aca="false">IF(OR(K27="",O27=""),"",O27-K27)</f>
        <v/>
      </c>
      <c r="T27" s="23" t="str">
        <f aca="true">IF(AND(C27="Cetak",L27&lt;&gt;"",L27&lt;TODAY()),"YA","")</f>
        <v/>
      </c>
      <c r="U27" s="23" t="str">
        <f aca="false">IF(B27="","",TEXT(B27,"yyyy-mm"))</f>
        <v/>
      </c>
      <c r="V27" s="23" t="str">
        <f aca="false">IF(K27="","",TEXT(K27,"yyyy-mm"))</f>
        <v/>
      </c>
      <c r="W27" s="23" t="n">
        <f aca="false">IF(OR(C27="Cetak",C27="Dikirim",C27="Selesai"),1,0)</f>
        <v>0</v>
      </c>
      <c r="X27" s="23" t="str">
        <f aca="false">IF(F27="","",SUBSTITUTE(SUBSTITUTE(MID(UPPER(TRIM(F27)),4,99),"-LED",""),"-TK",""))</f>
        <v/>
      </c>
      <c r="Y27" s="23" t="str">
        <f aca="false">IF(X27="","",(LEN(X27)+1)/7)</f>
        <v/>
      </c>
      <c r="Z27" s="23" t="str">
        <f aca="false">IF(X27="","",LEFT(X27,6))</f>
        <v/>
      </c>
      <c r="AA27" s="23" t="str">
        <f aca="false">IF(X27="","",IF(Y27&gt;=3,MID(X27,8,6),""))</f>
        <v/>
      </c>
      <c r="AB27" s="23" t="str">
        <f aca="false">IF(X27="","",IF(Y27&gt;=4,MID(X27,15,6),""))</f>
        <v/>
      </c>
      <c r="AC27" s="23" t="str">
        <f aca="false">IF(X27="","",IF(Y27&gt;=5,MID(X27,22,6),""))</f>
        <v/>
      </c>
      <c r="AD27" s="23" t="str">
        <f aca="false">IF(X27="","",RIGHT(X27,6))</f>
        <v/>
      </c>
      <c r="AE27" s="23" t="str">
        <f aca="false">IF(F27="","",IF(ISNUMBER(SEARCH("-TK",UPPER(F27))),0,1))</f>
        <v/>
      </c>
      <c r="AF27" s="23" t="str">
        <f aca="false">IF(F27="","",IF(ISNUMBER(SEARCH("-LED",UPPER(F27))),1,0))</f>
        <v/>
      </c>
      <c r="AG27" s="24" t="n">
        <f aca="false">IF(Z27="",0,IFERROR(INDEX(Resep!$C$5:$C$7,MATCH(LEFT(Z27,3),Resep!$B$5:$B$7,0)),0))</f>
        <v>0</v>
      </c>
      <c r="AH27" s="24" t="n">
        <f aca="false">IF(AA27="",0,IFERROR(INDEX(Resep!$C$9:$C$13,MATCH(LEFT(AA27,3),Resep!$B$9:$B$13,0)),0))</f>
        <v>0</v>
      </c>
      <c r="AI27" s="24" t="n">
        <f aca="false">IF(AB27="",0,IFERROR(INDEX(Resep!$C$9:$C$13,MATCH(LEFT(AB27,3),Resep!$B$9:$B$13,0)),0))</f>
        <v>0</v>
      </c>
      <c r="AJ27" s="24" t="n">
        <f aca="false">IF(AC27="",0,IFERROR(INDEX(Resep!$C$9:$C$13,MATCH(LEFT(AC27,3),Resep!$B$9:$B$13,0)),0))</f>
        <v>0</v>
      </c>
      <c r="AK27" s="24" t="n">
        <f aca="false">IF(AD27="",0,IFERROR(INDEX(Resep!$C$15:$C$18,MATCH(LEFT(AD27,3),Resep!$B$15:$B$18,0)),0))</f>
        <v>0</v>
      </c>
      <c r="AL27" s="24" t="str">
        <f aca="false">IF(X27="","",AG27+AH27+AI27+AJ27+AK27)</f>
        <v/>
      </c>
      <c r="AM27" s="22" t="str">
        <f aca="false">IF(X27="","",AL27*(Pengaturan!$B$6+Pengaturan!$B$7)+Pengaturan!$B$8+AE27*Pengaturan!$B$9+AF27*Pengaturan!$B$10)</f>
        <v/>
      </c>
      <c r="AN27" s="22" t="str">
        <f aca="false">IF(X27="","",N(G27)-AM27)</f>
        <v/>
      </c>
      <c r="AO27" s="25" t="str">
        <f aca="false">IF(OR(X27="",N(G27)=0),"",AN27/G27)</f>
        <v/>
      </c>
    </row>
    <row r="28" customFormat="false" ht="15" hidden="false" customHeight="false" outlineLevel="0" collapsed="false">
      <c r="A28" s="19"/>
      <c r="B28" s="20"/>
      <c r="C28" s="19"/>
      <c r="D28" s="19"/>
      <c r="E28" s="19"/>
      <c r="F28" s="19"/>
      <c r="G28" s="21"/>
      <c r="H28" s="19"/>
      <c r="I28" s="21"/>
      <c r="J28" s="19"/>
      <c r="K28" s="20"/>
      <c r="L28" s="20"/>
      <c r="M28" s="19"/>
      <c r="N28" s="19"/>
      <c r="O28" s="20"/>
      <c r="P28" s="20"/>
      <c r="Q28" s="19"/>
      <c r="R28" s="22" t="str">
        <f aca="false">IF(A28="","",N(G28)+N(I28))</f>
        <v/>
      </c>
      <c r="S28" s="23" t="str">
        <f aca="false">IF(OR(K28="",O28=""),"",O28-K28)</f>
        <v/>
      </c>
      <c r="T28" s="23" t="str">
        <f aca="true">IF(AND(C28="Cetak",L28&lt;&gt;"",L28&lt;TODAY()),"YA","")</f>
        <v/>
      </c>
      <c r="U28" s="23" t="str">
        <f aca="false">IF(B28="","",TEXT(B28,"yyyy-mm"))</f>
        <v/>
      </c>
      <c r="V28" s="23" t="str">
        <f aca="false">IF(K28="","",TEXT(K28,"yyyy-mm"))</f>
        <v/>
      </c>
      <c r="W28" s="23" t="n">
        <f aca="false">IF(OR(C28="Cetak",C28="Dikirim",C28="Selesai"),1,0)</f>
        <v>0</v>
      </c>
      <c r="X28" s="23" t="str">
        <f aca="false">IF(F28="","",SUBSTITUTE(SUBSTITUTE(MID(UPPER(TRIM(F28)),4,99),"-LED",""),"-TK",""))</f>
        <v/>
      </c>
      <c r="Y28" s="23" t="str">
        <f aca="false">IF(X28="","",(LEN(X28)+1)/7)</f>
        <v/>
      </c>
      <c r="Z28" s="23" t="str">
        <f aca="false">IF(X28="","",LEFT(X28,6))</f>
        <v/>
      </c>
      <c r="AA28" s="23" t="str">
        <f aca="false">IF(X28="","",IF(Y28&gt;=3,MID(X28,8,6),""))</f>
        <v/>
      </c>
      <c r="AB28" s="23" t="str">
        <f aca="false">IF(X28="","",IF(Y28&gt;=4,MID(X28,15,6),""))</f>
        <v/>
      </c>
      <c r="AC28" s="23" t="str">
        <f aca="false">IF(X28="","",IF(Y28&gt;=5,MID(X28,22,6),""))</f>
        <v/>
      </c>
      <c r="AD28" s="23" t="str">
        <f aca="false">IF(X28="","",RIGHT(X28,6))</f>
        <v/>
      </c>
      <c r="AE28" s="23" t="str">
        <f aca="false">IF(F28="","",IF(ISNUMBER(SEARCH("-TK",UPPER(F28))),0,1))</f>
        <v/>
      </c>
      <c r="AF28" s="23" t="str">
        <f aca="false">IF(F28="","",IF(ISNUMBER(SEARCH("-LED",UPPER(F28))),1,0))</f>
        <v/>
      </c>
      <c r="AG28" s="24" t="n">
        <f aca="false">IF(Z28="",0,IFERROR(INDEX(Resep!$C$5:$C$7,MATCH(LEFT(Z28,3),Resep!$B$5:$B$7,0)),0))</f>
        <v>0</v>
      </c>
      <c r="AH28" s="24" t="n">
        <f aca="false">IF(AA28="",0,IFERROR(INDEX(Resep!$C$9:$C$13,MATCH(LEFT(AA28,3),Resep!$B$9:$B$13,0)),0))</f>
        <v>0</v>
      </c>
      <c r="AI28" s="24" t="n">
        <f aca="false">IF(AB28="",0,IFERROR(INDEX(Resep!$C$9:$C$13,MATCH(LEFT(AB28,3),Resep!$B$9:$B$13,0)),0))</f>
        <v>0</v>
      </c>
      <c r="AJ28" s="24" t="n">
        <f aca="false">IF(AC28="",0,IFERROR(INDEX(Resep!$C$9:$C$13,MATCH(LEFT(AC28,3),Resep!$B$9:$B$13,0)),0))</f>
        <v>0</v>
      </c>
      <c r="AK28" s="24" t="n">
        <f aca="false">IF(AD28="",0,IFERROR(INDEX(Resep!$C$15:$C$18,MATCH(LEFT(AD28,3),Resep!$B$15:$B$18,0)),0))</f>
        <v>0</v>
      </c>
      <c r="AL28" s="24" t="str">
        <f aca="false">IF(X28="","",AG28+AH28+AI28+AJ28+AK28)</f>
        <v/>
      </c>
      <c r="AM28" s="22" t="str">
        <f aca="false">IF(X28="","",AL28*(Pengaturan!$B$6+Pengaturan!$B$7)+Pengaturan!$B$8+AE28*Pengaturan!$B$9+AF28*Pengaturan!$B$10)</f>
        <v/>
      </c>
      <c r="AN28" s="22" t="str">
        <f aca="false">IF(X28="","",N(G28)-AM28)</f>
        <v/>
      </c>
      <c r="AO28" s="25" t="str">
        <f aca="false">IF(OR(X28="",N(G28)=0),"",AN28/G28)</f>
        <v/>
      </c>
    </row>
    <row r="29" customFormat="false" ht="15" hidden="false" customHeight="false" outlineLevel="0" collapsed="false">
      <c r="A29" s="19"/>
      <c r="B29" s="20"/>
      <c r="C29" s="19"/>
      <c r="D29" s="19"/>
      <c r="E29" s="19"/>
      <c r="F29" s="19"/>
      <c r="G29" s="21"/>
      <c r="H29" s="19"/>
      <c r="I29" s="21"/>
      <c r="J29" s="19"/>
      <c r="K29" s="20"/>
      <c r="L29" s="20"/>
      <c r="M29" s="19"/>
      <c r="N29" s="19"/>
      <c r="O29" s="20"/>
      <c r="P29" s="20"/>
      <c r="Q29" s="19"/>
      <c r="R29" s="22" t="str">
        <f aca="false">IF(A29="","",N(G29)+N(I29))</f>
        <v/>
      </c>
      <c r="S29" s="23" t="str">
        <f aca="false">IF(OR(K29="",O29=""),"",O29-K29)</f>
        <v/>
      </c>
      <c r="T29" s="23" t="str">
        <f aca="true">IF(AND(C29="Cetak",L29&lt;&gt;"",L29&lt;TODAY()),"YA","")</f>
        <v/>
      </c>
      <c r="U29" s="23" t="str">
        <f aca="false">IF(B29="","",TEXT(B29,"yyyy-mm"))</f>
        <v/>
      </c>
      <c r="V29" s="23" t="str">
        <f aca="false">IF(K29="","",TEXT(K29,"yyyy-mm"))</f>
        <v/>
      </c>
      <c r="W29" s="23" t="n">
        <f aca="false">IF(OR(C29="Cetak",C29="Dikirim",C29="Selesai"),1,0)</f>
        <v>0</v>
      </c>
      <c r="X29" s="23" t="str">
        <f aca="false">IF(F29="","",SUBSTITUTE(SUBSTITUTE(MID(UPPER(TRIM(F29)),4,99),"-LED",""),"-TK",""))</f>
        <v/>
      </c>
      <c r="Y29" s="23" t="str">
        <f aca="false">IF(X29="","",(LEN(X29)+1)/7)</f>
        <v/>
      </c>
      <c r="Z29" s="23" t="str">
        <f aca="false">IF(X29="","",LEFT(X29,6))</f>
        <v/>
      </c>
      <c r="AA29" s="23" t="str">
        <f aca="false">IF(X29="","",IF(Y29&gt;=3,MID(X29,8,6),""))</f>
        <v/>
      </c>
      <c r="AB29" s="23" t="str">
        <f aca="false">IF(X29="","",IF(Y29&gt;=4,MID(X29,15,6),""))</f>
        <v/>
      </c>
      <c r="AC29" s="23" t="str">
        <f aca="false">IF(X29="","",IF(Y29&gt;=5,MID(X29,22,6),""))</f>
        <v/>
      </c>
      <c r="AD29" s="23" t="str">
        <f aca="false">IF(X29="","",RIGHT(X29,6))</f>
        <v/>
      </c>
      <c r="AE29" s="23" t="str">
        <f aca="false">IF(F29="","",IF(ISNUMBER(SEARCH("-TK",UPPER(F29))),0,1))</f>
        <v/>
      </c>
      <c r="AF29" s="23" t="str">
        <f aca="false">IF(F29="","",IF(ISNUMBER(SEARCH("-LED",UPPER(F29))),1,0))</f>
        <v/>
      </c>
      <c r="AG29" s="24" t="n">
        <f aca="false">IF(Z29="",0,IFERROR(INDEX(Resep!$C$5:$C$7,MATCH(LEFT(Z29,3),Resep!$B$5:$B$7,0)),0))</f>
        <v>0</v>
      </c>
      <c r="AH29" s="24" t="n">
        <f aca="false">IF(AA29="",0,IFERROR(INDEX(Resep!$C$9:$C$13,MATCH(LEFT(AA29,3),Resep!$B$9:$B$13,0)),0))</f>
        <v>0</v>
      </c>
      <c r="AI29" s="24" t="n">
        <f aca="false">IF(AB29="",0,IFERROR(INDEX(Resep!$C$9:$C$13,MATCH(LEFT(AB29,3),Resep!$B$9:$B$13,0)),0))</f>
        <v>0</v>
      </c>
      <c r="AJ29" s="24" t="n">
        <f aca="false">IF(AC29="",0,IFERROR(INDEX(Resep!$C$9:$C$13,MATCH(LEFT(AC29,3),Resep!$B$9:$B$13,0)),0))</f>
        <v>0</v>
      </c>
      <c r="AK29" s="24" t="n">
        <f aca="false">IF(AD29="",0,IFERROR(INDEX(Resep!$C$15:$C$18,MATCH(LEFT(AD29,3),Resep!$B$15:$B$18,0)),0))</f>
        <v>0</v>
      </c>
      <c r="AL29" s="24" t="str">
        <f aca="false">IF(X29="","",AG29+AH29+AI29+AJ29+AK29)</f>
        <v/>
      </c>
      <c r="AM29" s="22" t="str">
        <f aca="false">IF(X29="","",AL29*(Pengaturan!$B$6+Pengaturan!$B$7)+Pengaturan!$B$8+AE29*Pengaturan!$B$9+AF29*Pengaturan!$B$10)</f>
        <v/>
      </c>
      <c r="AN29" s="22" t="str">
        <f aca="false">IF(X29="","",N(G29)-AM29)</f>
        <v/>
      </c>
      <c r="AO29" s="25" t="str">
        <f aca="false">IF(OR(X29="",N(G29)=0),"",AN29/G29)</f>
        <v/>
      </c>
    </row>
    <row r="30" customFormat="false" ht="15" hidden="false" customHeight="false" outlineLevel="0" collapsed="false">
      <c r="A30" s="19"/>
      <c r="B30" s="20"/>
      <c r="C30" s="19"/>
      <c r="D30" s="19"/>
      <c r="E30" s="19"/>
      <c r="F30" s="19"/>
      <c r="G30" s="21"/>
      <c r="H30" s="19"/>
      <c r="I30" s="21"/>
      <c r="J30" s="19"/>
      <c r="K30" s="20"/>
      <c r="L30" s="20"/>
      <c r="M30" s="19"/>
      <c r="N30" s="19"/>
      <c r="O30" s="20"/>
      <c r="P30" s="20"/>
      <c r="Q30" s="19"/>
      <c r="R30" s="22" t="str">
        <f aca="false">IF(A30="","",N(G30)+N(I30))</f>
        <v/>
      </c>
      <c r="S30" s="23" t="str">
        <f aca="false">IF(OR(K30="",O30=""),"",O30-K30)</f>
        <v/>
      </c>
      <c r="T30" s="23" t="str">
        <f aca="true">IF(AND(C30="Cetak",L30&lt;&gt;"",L30&lt;TODAY()),"YA","")</f>
        <v/>
      </c>
      <c r="U30" s="23" t="str">
        <f aca="false">IF(B30="","",TEXT(B30,"yyyy-mm"))</f>
        <v/>
      </c>
      <c r="V30" s="23" t="str">
        <f aca="false">IF(K30="","",TEXT(K30,"yyyy-mm"))</f>
        <v/>
      </c>
      <c r="W30" s="23" t="n">
        <f aca="false">IF(OR(C30="Cetak",C30="Dikirim",C30="Selesai"),1,0)</f>
        <v>0</v>
      </c>
      <c r="X30" s="23" t="str">
        <f aca="false">IF(F30="","",SUBSTITUTE(SUBSTITUTE(MID(UPPER(TRIM(F30)),4,99),"-LED",""),"-TK",""))</f>
        <v/>
      </c>
      <c r="Y30" s="23" t="str">
        <f aca="false">IF(X30="","",(LEN(X30)+1)/7)</f>
        <v/>
      </c>
      <c r="Z30" s="23" t="str">
        <f aca="false">IF(X30="","",LEFT(X30,6))</f>
        <v/>
      </c>
      <c r="AA30" s="23" t="str">
        <f aca="false">IF(X30="","",IF(Y30&gt;=3,MID(X30,8,6),""))</f>
        <v/>
      </c>
      <c r="AB30" s="23" t="str">
        <f aca="false">IF(X30="","",IF(Y30&gt;=4,MID(X30,15,6),""))</f>
        <v/>
      </c>
      <c r="AC30" s="23" t="str">
        <f aca="false">IF(X30="","",IF(Y30&gt;=5,MID(X30,22,6),""))</f>
        <v/>
      </c>
      <c r="AD30" s="23" t="str">
        <f aca="false">IF(X30="","",RIGHT(X30,6))</f>
        <v/>
      </c>
      <c r="AE30" s="23" t="str">
        <f aca="false">IF(F30="","",IF(ISNUMBER(SEARCH("-TK",UPPER(F30))),0,1))</f>
        <v/>
      </c>
      <c r="AF30" s="23" t="str">
        <f aca="false">IF(F30="","",IF(ISNUMBER(SEARCH("-LED",UPPER(F30))),1,0))</f>
        <v/>
      </c>
      <c r="AG30" s="24" t="n">
        <f aca="false">IF(Z30="",0,IFERROR(INDEX(Resep!$C$5:$C$7,MATCH(LEFT(Z30,3),Resep!$B$5:$B$7,0)),0))</f>
        <v>0</v>
      </c>
      <c r="AH30" s="24" t="n">
        <f aca="false">IF(AA30="",0,IFERROR(INDEX(Resep!$C$9:$C$13,MATCH(LEFT(AA30,3),Resep!$B$9:$B$13,0)),0))</f>
        <v>0</v>
      </c>
      <c r="AI30" s="24" t="n">
        <f aca="false">IF(AB30="",0,IFERROR(INDEX(Resep!$C$9:$C$13,MATCH(LEFT(AB30,3),Resep!$B$9:$B$13,0)),0))</f>
        <v>0</v>
      </c>
      <c r="AJ30" s="24" t="n">
        <f aca="false">IF(AC30="",0,IFERROR(INDEX(Resep!$C$9:$C$13,MATCH(LEFT(AC30,3),Resep!$B$9:$B$13,0)),0))</f>
        <v>0</v>
      </c>
      <c r="AK30" s="24" t="n">
        <f aca="false">IF(AD30="",0,IFERROR(INDEX(Resep!$C$15:$C$18,MATCH(LEFT(AD30,3),Resep!$B$15:$B$18,0)),0))</f>
        <v>0</v>
      </c>
      <c r="AL30" s="24" t="str">
        <f aca="false">IF(X30="","",AG30+AH30+AI30+AJ30+AK30)</f>
        <v/>
      </c>
      <c r="AM30" s="22" t="str">
        <f aca="false">IF(X30="","",AL30*(Pengaturan!$B$6+Pengaturan!$B$7)+Pengaturan!$B$8+AE30*Pengaturan!$B$9+AF30*Pengaturan!$B$10)</f>
        <v/>
      </c>
      <c r="AN30" s="22" t="str">
        <f aca="false">IF(X30="","",N(G30)-AM30)</f>
        <v/>
      </c>
      <c r="AO30" s="25" t="str">
        <f aca="false">IF(OR(X30="",N(G30)=0),"",AN30/G30)</f>
        <v/>
      </c>
    </row>
    <row r="31" customFormat="false" ht="15" hidden="false" customHeight="false" outlineLevel="0" collapsed="false">
      <c r="A31" s="19"/>
      <c r="B31" s="20"/>
      <c r="C31" s="19"/>
      <c r="D31" s="19"/>
      <c r="E31" s="19"/>
      <c r="F31" s="19"/>
      <c r="G31" s="21"/>
      <c r="H31" s="19"/>
      <c r="I31" s="21"/>
      <c r="J31" s="19"/>
      <c r="K31" s="20"/>
      <c r="L31" s="20"/>
      <c r="M31" s="19"/>
      <c r="N31" s="19"/>
      <c r="O31" s="20"/>
      <c r="P31" s="20"/>
      <c r="Q31" s="19"/>
      <c r="R31" s="22" t="str">
        <f aca="false">IF(A31="","",N(G31)+N(I31))</f>
        <v/>
      </c>
      <c r="S31" s="23" t="str">
        <f aca="false">IF(OR(K31="",O31=""),"",O31-K31)</f>
        <v/>
      </c>
      <c r="T31" s="23" t="str">
        <f aca="true">IF(AND(C31="Cetak",L31&lt;&gt;"",L31&lt;TODAY()),"YA","")</f>
        <v/>
      </c>
      <c r="U31" s="23" t="str">
        <f aca="false">IF(B31="","",TEXT(B31,"yyyy-mm"))</f>
        <v/>
      </c>
      <c r="V31" s="23" t="str">
        <f aca="false">IF(K31="","",TEXT(K31,"yyyy-mm"))</f>
        <v/>
      </c>
      <c r="W31" s="23" t="n">
        <f aca="false">IF(OR(C31="Cetak",C31="Dikirim",C31="Selesai"),1,0)</f>
        <v>0</v>
      </c>
      <c r="X31" s="23" t="str">
        <f aca="false">IF(F31="","",SUBSTITUTE(SUBSTITUTE(MID(UPPER(TRIM(F31)),4,99),"-LED",""),"-TK",""))</f>
        <v/>
      </c>
      <c r="Y31" s="23" t="str">
        <f aca="false">IF(X31="","",(LEN(X31)+1)/7)</f>
        <v/>
      </c>
      <c r="Z31" s="23" t="str">
        <f aca="false">IF(X31="","",LEFT(X31,6))</f>
        <v/>
      </c>
      <c r="AA31" s="23" t="str">
        <f aca="false">IF(X31="","",IF(Y31&gt;=3,MID(X31,8,6),""))</f>
        <v/>
      </c>
      <c r="AB31" s="23" t="str">
        <f aca="false">IF(X31="","",IF(Y31&gt;=4,MID(X31,15,6),""))</f>
        <v/>
      </c>
      <c r="AC31" s="23" t="str">
        <f aca="false">IF(X31="","",IF(Y31&gt;=5,MID(X31,22,6),""))</f>
        <v/>
      </c>
      <c r="AD31" s="23" t="str">
        <f aca="false">IF(X31="","",RIGHT(X31,6))</f>
        <v/>
      </c>
      <c r="AE31" s="23" t="str">
        <f aca="false">IF(F31="","",IF(ISNUMBER(SEARCH("-TK",UPPER(F31))),0,1))</f>
        <v/>
      </c>
      <c r="AF31" s="23" t="str">
        <f aca="false">IF(F31="","",IF(ISNUMBER(SEARCH("-LED",UPPER(F31))),1,0))</f>
        <v/>
      </c>
      <c r="AG31" s="24" t="n">
        <f aca="false">IF(Z31="",0,IFERROR(INDEX(Resep!$C$5:$C$7,MATCH(LEFT(Z31,3),Resep!$B$5:$B$7,0)),0))</f>
        <v>0</v>
      </c>
      <c r="AH31" s="24" t="n">
        <f aca="false">IF(AA31="",0,IFERROR(INDEX(Resep!$C$9:$C$13,MATCH(LEFT(AA31,3),Resep!$B$9:$B$13,0)),0))</f>
        <v>0</v>
      </c>
      <c r="AI31" s="24" t="n">
        <f aca="false">IF(AB31="",0,IFERROR(INDEX(Resep!$C$9:$C$13,MATCH(LEFT(AB31,3),Resep!$B$9:$B$13,0)),0))</f>
        <v>0</v>
      </c>
      <c r="AJ31" s="24" t="n">
        <f aca="false">IF(AC31="",0,IFERROR(INDEX(Resep!$C$9:$C$13,MATCH(LEFT(AC31,3),Resep!$B$9:$B$13,0)),0))</f>
        <v>0</v>
      </c>
      <c r="AK31" s="24" t="n">
        <f aca="false">IF(AD31="",0,IFERROR(INDEX(Resep!$C$15:$C$18,MATCH(LEFT(AD31,3),Resep!$B$15:$B$18,0)),0))</f>
        <v>0</v>
      </c>
      <c r="AL31" s="24" t="str">
        <f aca="false">IF(X31="","",AG31+AH31+AI31+AJ31+AK31)</f>
        <v/>
      </c>
      <c r="AM31" s="22" t="str">
        <f aca="false">IF(X31="","",AL31*(Pengaturan!$B$6+Pengaturan!$B$7)+Pengaturan!$B$8+AE31*Pengaturan!$B$9+AF31*Pengaturan!$B$10)</f>
        <v/>
      </c>
      <c r="AN31" s="22" t="str">
        <f aca="false">IF(X31="","",N(G31)-AM31)</f>
        <v/>
      </c>
      <c r="AO31" s="25" t="str">
        <f aca="false">IF(OR(X31="",N(G31)=0),"",AN31/G31)</f>
        <v/>
      </c>
    </row>
    <row r="32" customFormat="false" ht="15" hidden="false" customHeight="false" outlineLevel="0" collapsed="false">
      <c r="A32" s="19"/>
      <c r="B32" s="20"/>
      <c r="C32" s="19"/>
      <c r="D32" s="19"/>
      <c r="E32" s="19"/>
      <c r="F32" s="19"/>
      <c r="G32" s="21"/>
      <c r="H32" s="19"/>
      <c r="I32" s="21"/>
      <c r="J32" s="19"/>
      <c r="K32" s="20"/>
      <c r="L32" s="20"/>
      <c r="M32" s="19"/>
      <c r="N32" s="19"/>
      <c r="O32" s="20"/>
      <c r="P32" s="20"/>
      <c r="Q32" s="19"/>
      <c r="R32" s="22" t="str">
        <f aca="false">IF(A32="","",N(G32)+N(I32))</f>
        <v/>
      </c>
      <c r="S32" s="23" t="str">
        <f aca="false">IF(OR(K32="",O32=""),"",O32-K32)</f>
        <v/>
      </c>
      <c r="T32" s="23" t="str">
        <f aca="true">IF(AND(C32="Cetak",L32&lt;&gt;"",L32&lt;TODAY()),"YA","")</f>
        <v/>
      </c>
      <c r="U32" s="23" t="str">
        <f aca="false">IF(B32="","",TEXT(B32,"yyyy-mm"))</f>
        <v/>
      </c>
      <c r="V32" s="23" t="str">
        <f aca="false">IF(K32="","",TEXT(K32,"yyyy-mm"))</f>
        <v/>
      </c>
      <c r="W32" s="23" t="n">
        <f aca="false">IF(OR(C32="Cetak",C32="Dikirim",C32="Selesai"),1,0)</f>
        <v>0</v>
      </c>
      <c r="X32" s="23" t="str">
        <f aca="false">IF(F32="","",SUBSTITUTE(SUBSTITUTE(MID(UPPER(TRIM(F32)),4,99),"-LED",""),"-TK",""))</f>
        <v/>
      </c>
      <c r="Y32" s="23" t="str">
        <f aca="false">IF(X32="","",(LEN(X32)+1)/7)</f>
        <v/>
      </c>
      <c r="Z32" s="23" t="str">
        <f aca="false">IF(X32="","",LEFT(X32,6))</f>
        <v/>
      </c>
      <c r="AA32" s="23" t="str">
        <f aca="false">IF(X32="","",IF(Y32&gt;=3,MID(X32,8,6),""))</f>
        <v/>
      </c>
      <c r="AB32" s="23" t="str">
        <f aca="false">IF(X32="","",IF(Y32&gt;=4,MID(X32,15,6),""))</f>
        <v/>
      </c>
      <c r="AC32" s="23" t="str">
        <f aca="false">IF(X32="","",IF(Y32&gt;=5,MID(X32,22,6),""))</f>
        <v/>
      </c>
      <c r="AD32" s="23" t="str">
        <f aca="false">IF(X32="","",RIGHT(X32,6))</f>
        <v/>
      </c>
      <c r="AE32" s="23" t="str">
        <f aca="false">IF(F32="","",IF(ISNUMBER(SEARCH("-TK",UPPER(F32))),0,1))</f>
        <v/>
      </c>
      <c r="AF32" s="23" t="str">
        <f aca="false">IF(F32="","",IF(ISNUMBER(SEARCH("-LED",UPPER(F32))),1,0))</f>
        <v/>
      </c>
      <c r="AG32" s="24" t="n">
        <f aca="false">IF(Z32="",0,IFERROR(INDEX(Resep!$C$5:$C$7,MATCH(LEFT(Z32,3),Resep!$B$5:$B$7,0)),0))</f>
        <v>0</v>
      </c>
      <c r="AH32" s="24" t="n">
        <f aca="false">IF(AA32="",0,IFERROR(INDEX(Resep!$C$9:$C$13,MATCH(LEFT(AA32,3),Resep!$B$9:$B$13,0)),0))</f>
        <v>0</v>
      </c>
      <c r="AI32" s="24" t="n">
        <f aca="false">IF(AB32="",0,IFERROR(INDEX(Resep!$C$9:$C$13,MATCH(LEFT(AB32,3),Resep!$B$9:$B$13,0)),0))</f>
        <v>0</v>
      </c>
      <c r="AJ32" s="24" t="n">
        <f aca="false">IF(AC32="",0,IFERROR(INDEX(Resep!$C$9:$C$13,MATCH(LEFT(AC32,3),Resep!$B$9:$B$13,0)),0))</f>
        <v>0</v>
      </c>
      <c r="AK32" s="24" t="n">
        <f aca="false">IF(AD32="",0,IFERROR(INDEX(Resep!$C$15:$C$18,MATCH(LEFT(AD32,3),Resep!$B$15:$B$18,0)),0))</f>
        <v>0</v>
      </c>
      <c r="AL32" s="24" t="str">
        <f aca="false">IF(X32="","",AG32+AH32+AI32+AJ32+AK32)</f>
        <v/>
      </c>
      <c r="AM32" s="22" t="str">
        <f aca="false">IF(X32="","",AL32*(Pengaturan!$B$6+Pengaturan!$B$7)+Pengaturan!$B$8+AE32*Pengaturan!$B$9+AF32*Pengaturan!$B$10)</f>
        <v/>
      </c>
      <c r="AN32" s="22" t="str">
        <f aca="false">IF(X32="","",N(G32)-AM32)</f>
        <v/>
      </c>
      <c r="AO32" s="25" t="str">
        <f aca="false">IF(OR(X32="",N(G32)=0),"",AN32/G32)</f>
        <v/>
      </c>
    </row>
    <row r="33" customFormat="false" ht="15" hidden="false" customHeight="false" outlineLevel="0" collapsed="false">
      <c r="A33" s="19"/>
      <c r="B33" s="20"/>
      <c r="C33" s="19"/>
      <c r="D33" s="19"/>
      <c r="E33" s="19"/>
      <c r="F33" s="19"/>
      <c r="G33" s="21"/>
      <c r="H33" s="19"/>
      <c r="I33" s="21"/>
      <c r="J33" s="19"/>
      <c r="K33" s="20"/>
      <c r="L33" s="20"/>
      <c r="M33" s="19"/>
      <c r="N33" s="19"/>
      <c r="O33" s="20"/>
      <c r="P33" s="20"/>
      <c r="Q33" s="19"/>
      <c r="R33" s="22" t="str">
        <f aca="false">IF(A33="","",N(G33)+N(I33))</f>
        <v/>
      </c>
      <c r="S33" s="23" t="str">
        <f aca="false">IF(OR(K33="",O33=""),"",O33-K33)</f>
        <v/>
      </c>
      <c r="T33" s="23" t="str">
        <f aca="true">IF(AND(C33="Cetak",L33&lt;&gt;"",L33&lt;TODAY()),"YA","")</f>
        <v/>
      </c>
      <c r="U33" s="23" t="str">
        <f aca="false">IF(B33="","",TEXT(B33,"yyyy-mm"))</f>
        <v/>
      </c>
      <c r="V33" s="23" t="str">
        <f aca="false">IF(K33="","",TEXT(K33,"yyyy-mm"))</f>
        <v/>
      </c>
      <c r="W33" s="23" t="n">
        <f aca="false">IF(OR(C33="Cetak",C33="Dikirim",C33="Selesai"),1,0)</f>
        <v>0</v>
      </c>
      <c r="X33" s="23" t="str">
        <f aca="false">IF(F33="","",SUBSTITUTE(SUBSTITUTE(MID(UPPER(TRIM(F33)),4,99),"-LED",""),"-TK",""))</f>
        <v/>
      </c>
      <c r="Y33" s="23" t="str">
        <f aca="false">IF(X33="","",(LEN(X33)+1)/7)</f>
        <v/>
      </c>
      <c r="Z33" s="23" t="str">
        <f aca="false">IF(X33="","",LEFT(X33,6))</f>
        <v/>
      </c>
      <c r="AA33" s="23" t="str">
        <f aca="false">IF(X33="","",IF(Y33&gt;=3,MID(X33,8,6),""))</f>
        <v/>
      </c>
      <c r="AB33" s="23" t="str">
        <f aca="false">IF(X33="","",IF(Y33&gt;=4,MID(X33,15,6),""))</f>
        <v/>
      </c>
      <c r="AC33" s="23" t="str">
        <f aca="false">IF(X33="","",IF(Y33&gt;=5,MID(X33,22,6),""))</f>
        <v/>
      </c>
      <c r="AD33" s="23" t="str">
        <f aca="false">IF(X33="","",RIGHT(X33,6))</f>
        <v/>
      </c>
      <c r="AE33" s="23" t="str">
        <f aca="false">IF(F33="","",IF(ISNUMBER(SEARCH("-TK",UPPER(F33))),0,1))</f>
        <v/>
      </c>
      <c r="AF33" s="23" t="str">
        <f aca="false">IF(F33="","",IF(ISNUMBER(SEARCH("-LED",UPPER(F33))),1,0))</f>
        <v/>
      </c>
      <c r="AG33" s="24" t="n">
        <f aca="false">IF(Z33="",0,IFERROR(INDEX(Resep!$C$5:$C$7,MATCH(LEFT(Z33,3),Resep!$B$5:$B$7,0)),0))</f>
        <v>0</v>
      </c>
      <c r="AH33" s="24" t="n">
        <f aca="false">IF(AA33="",0,IFERROR(INDEX(Resep!$C$9:$C$13,MATCH(LEFT(AA33,3),Resep!$B$9:$B$13,0)),0))</f>
        <v>0</v>
      </c>
      <c r="AI33" s="24" t="n">
        <f aca="false">IF(AB33="",0,IFERROR(INDEX(Resep!$C$9:$C$13,MATCH(LEFT(AB33,3),Resep!$B$9:$B$13,0)),0))</f>
        <v>0</v>
      </c>
      <c r="AJ33" s="24" t="n">
        <f aca="false">IF(AC33="",0,IFERROR(INDEX(Resep!$C$9:$C$13,MATCH(LEFT(AC33,3),Resep!$B$9:$B$13,0)),0))</f>
        <v>0</v>
      </c>
      <c r="AK33" s="24" t="n">
        <f aca="false">IF(AD33="",0,IFERROR(INDEX(Resep!$C$15:$C$18,MATCH(LEFT(AD33,3),Resep!$B$15:$B$18,0)),0))</f>
        <v>0</v>
      </c>
      <c r="AL33" s="24" t="str">
        <f aca="false">IF(X33="","",AG33+AH33+AI33+AJ33+AK33)</f>
        <v/>
      </c>
      <c r="AM33" s="22" t="str">
        <f aca="false">IF(X33="","",AL33*(Pengaturan!$B$6+Pengaturan!$B$7)+Pengaturan!$B$8+AE33*Pengaturan!$B$9+AF33*Pengaturan!$B$10)</f>
        <v/>
      </c>
      <c r="AN33" s="22" t="str">
        <f aca="false">IF(X33="","",N(G33)-AM33)</f>
        <v/>
      </c>
      <c r="AO33" s="25" t="str">
        <f aca="false">IF(OR(X33="",N(G33)=0),"",AN33/G33)</f>
        <v/>
      </c>
    </row>
    <row r="34" customFormat="false" ht="15" hidden="false" customHeight="false" outlineLevel="0" collapsed="false">
      <c r="A34" s="19"/>
      <c r="B34" s="20"/>
      <c r="C34" s="19"/>
      <c r="D34" s="19"/>
      <c r="E34" s="19"/>
      <c r="F34" s="19"/>
      <c r="G34" s="21"/>
      <c r="H34" s="19"/>
      <c r="I34" s="21"/>
      <c r="J34" s="19"/>
      <c r="K34" s="20"/>
      <c r="L34" s="20"/>
      <c r="M34" s="19"/>
      <c r="N34" s="19"/>
      <c r="O34" s="20"/>
      <c r="P34" s="20"/>
      <c r="Q34" s="19"/>
      <c r="R34" s="22" t="str">
        <f aca="false">IF(A34="","",N(G34)+N(I34))</f>
        <v/>
      </c>
      <c r="S34" s="23" t="str">
        <f aca="false">IF(OR(K34="",O34=""),"",O34-K34)</f>
        <v/>
      </c>
      <c r="T34" s="23" t="str">
        <f aca="true">IF(AND(C34="Cetak",L34&lt;&gt;"",L34&lt;TODAY()),"YA","")</f>
        <v/>
      </c>
      <c r="U34" s="23" t="str">
        <f aca="false">IF(B34="","",TEXT(B34,"yyyy-mm"))</f>
        <v/>
      </c>
      <c r="V34" s="23" t="str">
        <f aca="false">IF(K34="","",TEXT(K34,"yyyy-mm"))</f>
        <v/>
      </c>
      <c r="W34" s="23" t="n">
        <f aca="false">IF(OR(C34="Cetak",C34="Dikirim",C34="Selesai"),1,0)</f>
        <v>0</v>
      </c>
      <c r="X34" s="23" t="str">
        <f aca="false">IF(F34="","",SUBSTITUTE(SUBSTITUTE(MID(UPPER(TRIM(F34)),4,99),"-LED",""),"-TK",""))</f>
        <v/>
      </c>
      <c r="Y34" s="23" t="str">
        <f aca="false">IF(X34="","",(LEN(X34)+1)/7)</f>
        <v/>
      </c>
      <c r="Z34" s="23" t="str">
        <f aca="false">IF(X34="","",LEFT(X34,6))</f>
        <v/>
      </c>
      <c r="AA34" s="23" t="str">
        <f aca="false">IF(X34="","",IF(Y34&gt;=3,MID(X34,8,6),""))</f>
        <v/>
      </c>
      <c r="AB34" s="23" t="str">
        <f aca="false">IF(X34="","",IF(Y34&gt;=4,MID(X34,15,6),""))</f>
        <v/>
      </c>
      <c r="AC34" s="23" t="str">
        <f aca="false">IF(X34="","",IF(Y34&gt;=5,MID(X34,22,6),""))</f>
        <v/>
      </c>
      <c r="AD34" s="23" t="str">
        <f aca="false">IF(X34="","",RIGHT(X34,6))</f>
        <v/>
      </c>
      <c r="AE34" s="23" t="str">
        <f aca="false">IF(F34="","",IF(ISNUMBER(SEARCH("-TK",UPPER(F34))),0,1))</f>
        <v/>
      </c>
      <c r="AF34" s="23" t="str">
        <f aca="false">IF(F34="","",IF(ISNUMBER(SEARCH("-LED",UPPER(F34))),1,0))</f>
        <v/>
      </c>
      <c r="AG34" s="24" t="n">
        <f aca="false">IF(Z34="",0,IFERROR(INDEX(Resep!$C$5:$C$7,MATCH(LEFT(Z34,3),Resep!$B$5:$B$7,0)),0))</f>
        <v>0</v>
      </c>
      <c r="AH34" s="24" t="n">
        <f aca="false">IF(AA34="",0,IFERROR(INDEX(Resep!$C$9:$C$13,MATCH(LEFT(AA34,3),Resep!$B$9:$B$13,0)),0))</f>
        <v>0</v>
      </c>
      <c r="AI34" s="24" t="n">
        <f aca="false">IF(AB34="",0,IFERROR(INDEX(Resep!$C$9:$C$13,MATCH(LEFT(AB34,3),Resep!$B$9:$B$13,0)),0))</f>
        <v>0</v>
      </c>
      <c r="AJ34" s="24" t="n">
        <f aca="false">IF(AC34="",0,IFERROR(INDEX(Resep!$C$9:$C$13,MATCH(LEFT(AC34,3),Resep!$B$9:$B$13,0)),0))</f>
        <v>0</v>
      </c>
      <c r="AK34" s="24" t="n">
        <f aca="false">IF(AD34="",0,IFERROR(INDEX(Resep!$C$15:$C$18,MATCH(LEFT(AD34,3),Resep!$B$15:$B$18,0)),0))</f>
        <v>0</v>
      </c>
      <c r="AL34" s="24" t="str">
        <f aca="false">IF(X34="","",AG34+AH34+AI34+AJ34+AK34)</f>
        <v/>
      </c>
      <c r="AM34" s="22" t="str">
        <f aca="false">IF(X34="","",AL34*(Pengaturan!$B$6+Pengaturan!$B$7)+Pengaturan!$B$8+AE34*Pengaturan!$B$9+AF34*Pengaturan!$B$10)</f>
        <v/>
      </c>
      <c r="AN34" s="22" t="str">
        <f aca="false">IF(X34="","",N(G34)-AM34)</f>
        <v/>
      </c>
      <c r="AO34" s="25" t="str">
        <f aca="false">IF(OR(X34="",N(G34)=0),"",AN34/G34)</f>
        <v/>
      </c>
    </row>
    <row r="35" customFormat="false" ht="15" hidden="false" customHeight="false" outlineLevel="0" collapsed="false">
      <c r="A35" s="19"/>
      <c r="B35" s="20"/>
      <c r="C35" s="19"/>
      <c r="D35" s="19"/>
      <c r="E35" s="19"/>
      <c r="F35" s="19"/>
      <c r="G35" s="21"/>
      <c r="H35" s="19"/>
      <c r="I35" s="21"/>
      <c r="J35" s="19"/>
      <c r="K35" s="20"/>
      <c r="L35" s="20"/>
      <c r="M35" s="19"/>
      <c r="N35" s="19"/>
      <c r="O35" s="20"/>
      <c r="P35" s="20"/>
      <c r="Q35" s="19"/>
      <c r="R35" s="22" t="str">
        <f aca="false">IF(A35="","",N(G35)+N(I35))</f>
        <v/>
      </c>
      <c r="S35" s="23" t="str">
        <f aca="false">IF(OR(K35="",O35=""),"",O35-K35)</f>
        <v/>
      </c>
      <c r="T35" s="23" t="str">
        <f aca="true">IF(AND(C35="Cetak",L35&lt;&gt;"",L35&lt;TODAY()),"YA","")</f>
        <v/>
      </c>
      <c r="U35" s="23" t="str">
        <f aca="false">IF(B35="","",TEXT(B35,"yyyy-mm"))</f>
        <v/>
      </c>
      <c r="V35" s="23" t="str">
        <f aca="false">IF(K35="","",TEXT(K35,"yyyy-mm"))</f>
        <v/>
      </c>
      <c r="W35" s="23" t="n">
        <f aca="false">IF(OR(C35="Cetak",C35="Dikirim",C35="Selesai"),1,0)</f>
        <v>0</v>
      </c>
      <c r="X35" s="23" t="str">
        <f aca="false">IF(F35="","",SUBSTITUTE(SUBSTITUTE(MID(UPPER(TRIM(F35)),4,99),"-LED",""),"-TK",""))</f>
        <v/>
      </c>
      <c r="Y35" s="23" t="str">
        <f aca="false">IF(X35="","",(LEN(X35)+1)/7)</f>
        <v/>
      </c>
      <c r="Z35" s="23" t="str">
        <f aca="false">IF(X35="","",LEFT(X35,6))</f>
        <v/>
      </c>
      <c r="AA35" s="23" t="str">
        <f aca="false">IF(X35="","",IF(Y35&gt;=3,MID(X35,8,6),""))</f>
        <v/>
      </c>
      <c r="AB35" s="23" t="str">
        <f aca="false">IF(X35="","",IF(Y35&gt;=4,MID(X35,15,6),""))</f>
        <v/>
      </c>
      <c r="AC35" s="23" t="str">
        <f aca="false">IF(X35="","",IF(Y35&gt;=5,MID(X35,22,6),""))</f>
        <v/>
      </c>
      <c r="AD35" s="23" t="str">
        <f aca="false">IF(X35="","",RIGHT(X35,6))</f>
        <v/>
      </c>
      <c r="AE35" s="23" t="str">
        <f aca="false">IF(F35="","",IF(ISNUMBER(SEARCH("-TK",UPPER(F35))),0,1))</f>
        <v/>
      </c>
      <c r="AF35" s="23" t="str">
        <f aca="false">IF(F35="","",IF(ISNUMBER(SEARCH("-LED",UPPER(F35))),1,0))</f>
        <v/>
      </c>
      <c r="AG35" s="24" t="n">
        <f aca="false">IF(Z35="",0,IFERROR(INDEX(Resep!$C$5:$C$7,MATCH(LEFT(Z35,3),Resep!$B$5:$B$7,0)),0))</f>
        <v>0</v>
      </c>
      <c r="AH35" s="24" t="n">
        <f aca="false">IF(AA35="",0,IFERROR(INDEX(Resep!$C$9:$C$13,MATCH(LEFT(AA35,3),Resep!$B$9:$B$13,0)),0))</f>
        <v>0</v>
      </c>
      <c r="AI35" s="24" t="n">
        <f aca="false">IF(AB35="",0,IFERROR(INDEX(Resep!$C$9:$C$13,MATCH(LEFT(AB35,3),Resep!$B$9:$B$13,0)),0))</f>
        <v>0</v>
      </c>
      <c r="AJ35" s="24" t="n">
        <f aca="false">IF(AC35="",0,IFERROR(INDEX(Resep!$C$9:$C$13,MATCH(LEFT(AC35,3),Resep!$B$9:$B$13,0)),0))</f>
        <v>0</v>
      </c>
      <c r="AK35" s="24" t="n">
        <f aca="false">IF(AD35="",0,IFERROR(INDEX(Resep!$C$15:$C$18,MATCH(LEFT(AD35,3),Resep!$B$15:$B$18,0)),0))</f>
        <v>0</v>
      </c>
      <c r="AL35" s="24" t="str">
        <f aca="false">IF(X35="","",AG35+AH35+AI35+AJ35+AK35)</f>
        <v/>
      </c>
      <c r="AM35" s="22" t="str">
        <f aca="false">IF(X35="","",AL35*(Pengaturan!$B$6+Pengaturan!$B$7)+Pengaturan!$B$8+AE35*Pengaturan!$B$9+AF35*Pengaturan!$B$10)</f>
        <v/>
      </c>
      <c r="AN35" s="22" t="str">
        <f aca="false">IF(X35="","",N(G35)-AM35)</f>
        <v/>
      </c>
      <c r="AO35" s="25" t="str">
        <f aca="false">IF(OR(X35="",N(G35)=0),"",AN35/G35)</f>
        <v/>
      </c>
    </row>
    <row r="36" customFormat="false" ht="15" hidden="false" customHeight="false" outlineLevel="0" collapsed="false">
      <c r="A36" s="19"/>
      <c r="B36" s="20"/>
      <c r="C36" s="19"/>
      <c r="D36" s="19"/>
      <c r="E36" s="19"/>
      <c r="F36" s="19"/>
      <c r="G36" s="21"/>
      <c r="H36" s="19"/>
      <c r="I36" s="21"/>
      <c r="J36" s="19"/>
      <c r="K36" s="20"/>
      <c r="L36" s="20"/>
      <c r="M36" s="19"/>
      <c r="N36" s="19"/>
      <c r="O36" s="20"/>
      <c r="P36" s="20"/>
      <c r="Q36" s="19"/>
      <c r="R36" s="22" t="str">
        <f aca="false">IF(A36="","",N(G36)+N(I36))</f>
        <v/>
      </c>
      <c r="S36" s="23" t="str">
        <f aca="false">IF(OR(K36="",O36=""),"",O36-K36)</f>
        <v/>
      </c>
      <c r="T36" s="23" t="str">
        <f aca="true">IF(AND(C36="Cetak",L36&lt;&gt;"",L36&lt;TODAY()),"YA","")</f>
        <v/>
      </c>
      <c r="U36" s="23" t="str">
        <f aca="false">IF(B36="","",TEXT(B36,"yyyy-mm"))</f>
        <v/>
      </c>
      <c r="V36" s="23" t="str">
        <f aca="false">IF(K36="","",TEXT(K36,"yyyy-mm"))</f>
        <v/>
      </c>
      <c r="W36" s="23" t="n">
        <f aca="false">IF(OR(C36="Cetak",C36="Dikirim",C36="Selesai"),1,0)</f>
        <v>0</v>
      </c>
      <c r="X36" s="23" t="str">
        <f aca="false">IF(F36="","",SUBSTITUTE(SUBSTITUTE(MID(UPPER(TRIM(F36)),4,99),"-LED",""),"-TK",""))</f>
        <v/>
      </c>
      <c r="Y36" s="23" t="str">
        <f aca="false">IF(X36="","",(LEN(X36)+1)/7)</f>
        <v/>
      </c>
      <c r="Z36" s="23" t="str">
        <f aca="false">IF(X36="","",LEFT(X36,6))</f>
        <v/>
      </c>
      <c r="AA36" s="23" t="str">
        <f aca="false">IF(X36="","",IF(Y36&gt;=3,MID(X36,8,6),""))</f>
        <v/>
      </c>
      <c r="AB36" s="23" t="str">
        <f aca="false">IF(X36="","",IF(Y36&gt;=4,MID(X36,15,6),""))</f>
        <v/>
      </c>
      <c r="AC36" s="23" t="str">
        <f aca="false">IF(X36="","",IF(Y36&gt;=5,MID(X36,22,6),""))</f>
        <v/>
      </c>
      <c r="AD36" s="23" t="str">
        <f aca="false">IF(X36="","",RIGHT(X36,6))</f>
        <v/>
      </c>
      <c r="AE36" s="23" t="str">
        <f aca="false">IF(F36="","",IF(ISNUMBER(SEARCH("-TK",UPPER(F36))),0,1))</f>
        <v/>
      </c>
      <c r="AF36" s="23" t="str">
        <f aca="false">IF(F36="","",IF(ISNUMBER(SEARCH("-LED",UPPER(F36))),1,0))</f>
        <v/>
      </c>
      <c r="AG36" s="24" t="n">
        <f aca="false">IF(Z36="",0,IFERROR(INDEX(Resep!$C$5:$C$7,MATCH(LEFT(Z36,3),Resep!$B$5:$B$7,0)),0))</f>
        <v>0</v>
      </c>
      <c r="AH36" s="24" t="n">
        <f aca="false">IF(AA36="",0,IFERROR(INDEX(Resep!$C$9:$C$13,MATCH(LEFT(AA36,3),Resep!$B$9:$B$13,0)),0))</f>
        <v>0</v>
      </c>
      <c r="AI36" s="24" t="n">
        <f aca="false">IF(AB36="",0,IFERROR(INDEX(Resep!$C$9:$C$13,MATCH(LEFT(AB36,3),Resep!$B$9:$B$13,0)),0))</f>
        <v>0</v>
      </c>
      <c r="AJ36" s="24" t="n">
        <f aca="false">IF(AC36="",0,IFERROR(INDEX(Resep!$C$9:$C$13,MATCH(LEFT(AC36,3),Resep!$B$9:$B$13,0)),0))</f>
        <v>0</v>
      </c>
      <c r="AK36" s="24" t="n">
        <f aca="false">IF(AD36="",0,IFERROR(INDEX(Resep!$C$15:$C$18,MATCH(LEFT(AD36,3),Resep!$B$15:$B$18,0)),0))</f>
        <v>0</v>
      </c>
      <c r="AL36" s="24" t="str">
        <f aca="false">IF(X36="","",AG36+AH36+AI36+AJ36+AK36)</f>
        <v/>
      </c>
      <c r="AM36" s="22" t="str">
        <f aca="false">IF(X36="","",AL36*(Pengaturan!$B$6+Pengaturan!$B$7)+Pengaturan!$B$8+AE36*Pengaturan!$B$9+AF36*Pengaturan!$B$10)</f>
        <v/>
      </c>
      <c r="AN36" s="22" t="str">
        <f aca="false">IF(X36="","",N(G36)-AM36)</f>
        <v/>
      </c>
      <c r="AO36" s="25" t="str">
        <f aca="false">IF(OR(X36="",N(G36)=0),"",AN36/G36)</f>
        <v/>
      </c>
    </row>
    <row r="37" customFormat="false" ht="15" hidden="false" customHeight="false" outlineLevel="0" collapsed="false">
      <c r="A37" s="19"/>
      <c r="B37" s="20"/>
      <c r="C37" s="19"/>
      <c r="D37" s="19"/>
      <c r="E37" s="19"/>
      <c r="F37" s="19"/>
      <c r="G37" s="21"/>
      <c r="H37" s="19"/>
      <c r="I37" s="21"/>
      <c r="J37" s="19"/>
      <c r="K37" s="20"/>
      <c r="L37" s="20"/>
      <c r="M37" s="19"/>
      <c r="N37" s="19"/>
      <c r="O37" s="20"/>
      <c r="P37" s="20"/>
      <c r="Q37" s="19"/>
      <c r="R37" s="22" t="str">
        <f aca="false">IF(A37="","",N(G37)+N(I37))</f>
        <v/>
      </c>
      <c r="S37" s="23" t="str">
        <f aca="false">IF(OR(K37="",O37=""),"",O37-K37)</f>
        <v/>
      </c>
      <c r="T37" s="23" t="str">
        <f aca="true">IF(AND(C37="Cetak",L37&lt;&gt;"",L37&lt;TODAY()),"YA","")</f>
        <v/>
      </c>
      <c r="U37" s="23" t="str">
        <f aca="false">IF(B37="","",TEXT(B37,"yyyy-mm"))</f>
        <v/>
      </c>
      <c r="V37" s="23" t="str">
        <f aca="false">IF(K37="","",TEXT(K37,"yyyy-mm"))</f>
        <v/>
      </c>
      <c r="W37" s="23" t="n">
        <f aca="false">IF(OR(C37="Cetak",C37="Dikirim",C37="Selesai"),1,0)</f>
        <v>0</v>
      </c>
      <c r="X37" s="23" t="str">
        <f aca="false">IF(F37="","",SUBSTITUTE(SUBSTITUTE(MID(UPPER(TRIM(F37)),4,99),"-LED",""),"-TK",""))</f>
        <v/>
      </c>
      <c r="Y37" s="23" t="str">
        <f aca="false">IF(X37="","",(LEN(X37)+1)/7)</f>
        <v/>
      </c>
      <c r="Z37" s="23" t="str">
        <f aca="false">IF(X37="","",LEFT(X37,6))</f>
        <v/>
      </c>
      <c r="AA37" s="23" t="str">
        <f aca="false">IF(X37="","",IF(Y37&gt;=3,MID(X37,8,6),""))</f>
        <v/>
      </c>
      <c r="AB37" s="23" t="str">
        <f aca="false">IF(X37="","",IF(Y37&gt;=4,MID(X37,15,6),""))</f>
        <v/>
      </c>
      <c r="AC37" s="23" t="str">
        <f aca="false">IF(X37="","",IF(Y37&gt;=5,MID(X37,22,6),""))</f>
        <v/>
      </c>
      <c r="AD37" s="23" t="str">
        <f aca="false">IF(X37="","",RIGHT(X37,6))</f>
        <v/>
      </c>
      <c r="AE37" s="23" t="str">
        <f aca="false">IF(F37="","",IF(ISNUMBER(SEARCH("-TK",UPPER(F37))),0,1))</f>
        <v/>
      </c>
      <c r="AF37" s="23" t="str">
        <f aca="false">IF(F37="","",IF(ISNUMBER(SEARCH("-LED",UPPER(F37))),1,0))</f>
        <v/>
      </c>
      <c r="AG37" s="24" t="n">
        <f aca="false">IF(Z37="",0,IFERROR(INDEX(Resep!$C$5:$C$7,MATCH(LEFT(Z37,3),Resep!$B$5:$B$7,0)),0))</f>
        <v>0</v>
      </c>
      <c r="AH37" s="24" t="n">
        <f aca="false">IF(AA37="",0,IFERROR(INDEX(Resep!$C$9:$C$13,MATCH(LEFT(AA37,3),Resep!$B$9:$B$13,0)),0))</f>
        <v>0</v>
      </c>
      <c r="AI37" s="24" t="n">
        <f aca="false">IF(AB37="",0,IFERROR(INDEX(Resep!$C$9:$C$13,MATCH(LEFT(AB37,3),Resep!$B$9:$B$13,0)),0))</f>
        <v>0</v>
      </c>
      <c r="AJ37" s="24" t="n">
        <f aca="false">IF(AC37="",0,IFERROR(INDEX(Resep!$C$9:$C$13,MATCH(LEFT(AC37,3),Resep!$B$9:$B$13,0)),0))</f>
        <v>0</v>
      </c>
      <c r="AK37" s="24" t="n">
        <f aca="false">IF(AD37="",0,IFERROR(INDEX(Resep!$C$15:$C$18,MATCH(LEFT(AD37,3),Resep!$B$15:$B$18,0)),0))</f>
        <v>0</v>
      </c>
      <c r="AL37" s="24" t="str">
        <f aca="false">IF(X37="","",AG37+AH37+AI37+AJ37+AK37)</f>
        <v/>
      </c>
      <c r="AM37" s="22" t="str">
        <f aca="false">IF(X37="","",AL37*(Pengaturan!$B$6+Pengaturan!$B$7)+Pengaturan!$B$8+AE37*Pengaturan!$B$9+AF37*Pengaturan!$B$10)</f>
        <v/>
      </c>
      <c r="AN37" s="22" t="str">
        <f aca="false">IF(X37="","",N(G37)-AM37)</f>
        <v/>
      </c>
      <c r="AO37" s="25" t="str">
        <f aca="false">IF(OR(X37="",N(G37)=0),"",AN37/G37)</f>
        <v/>
      </c>
    </row>
    <row r="38" customFormat="false" ht="15" hidden="false" customHeight="false" outlineLevel="0" collapsed="false">
      <c r="A38" s="19"/>
      <c r="B38" s="20"/>
      <c r="C38" s="19"/>
      <c r="D38" s="19"/>
      <c r="E38" s="19"/>
      <c r="F38" s="19"/>
      <c r="G38" s="21"/>
      <c r="H38" s="19"/>
      <c r="I38" s="21"/>
      <c r="J38" s="19"/>
      <c r="K38" s="20"/>
      <c r="L38" s="20"/>
      <c r="M38" s="19"/>
      <c r="N38" s="19"/>
      <c r="O38" s="20"/>
      <c r="P38" s="20"/>
      <c r="Q38" s="19"/>
      <c r="R38" s="22" t="str">
        <f aca="false">IF(A38="","",N(G38)+N(I38))</f>
        <v/>
      </c>
      <c r="S38" s="23" t="str">
        <f aca="false">IF(OR(K38="",O38=""),"",O38-K38)</f>
        <v/>
      </c>
      <c r="T38" s="23" t="str">
        <f aca="true">IF(AND(C38="Cetak",L38&lt;&gt;"",L38&lt;TODAY()),"YA","")</f>
        <v/>
      </c>
      <c r="U38" s="23" t="str">
        <f aca="false">IF(B38="","",TEXT(B38,"yyyy-mm"))</f>
        <v/>
      </c>
      <c r="V38" s="23" t="str">
        <f aca="false">IF(K38="","",TEXT(K38,"yyyy-mm"))</f>
        <v/>
      </c>
      <c r="W38" s="23" t="n">
        <f aca="false">IF(OR(C38="Cetak",C38="Dikirim",C38="Selesai"),1,0)</f>
        <v>0</v>
      </c>
      <c r="X38" s="23" t="str">
        <f aca="false">IF(F38="","",SUBSTITUTE(SUBSTITUTE(MID(UPPER(TRIM(F38)),4,99),"-LED",""),"-TK",""))</f>
        <v/>
      </c>
      <c r="Y38" s="23" t="str">
        <f aca="false">IF(X38="","",(LEN(X38)+1)/7)</f>
        <v/>
      </c>
      <c r="Z38" s="23" t="str">
        <f aca="false">IF(X38="","",LEFT(X38,6))</f>
        <v/>
      </c>
      <c r="AA38" s="23" t="str">
        <f aca="false">IF(X38="","",IF(Y38&gt;=3,MID(X38,8,6),""))</f>
        <v/>
      </c>
      <c r="AB38" s="23" t="str">
        <f aca="false">IF(X38="","",IF(Y38&gt;=4,MID(X38,15,6),""))</f>
        <v/>
      </c>
      <c r="AC38" s="23" t="str">
        <f aca="false">IF(X38="","",IF(Y38&gt;=5,MID(X38,22,6),""))</f>
        <v/>
      </c>
      <c r="AD38" s="23" t="str">
        <f aca="false">IF(X38="","",RIGHT(X38,6))</f>
        <v/>
      </c>
      <c r="AE38" s="23" t="str">
        <f aca="false">IF(F38="","",IF(ISNUMBER(SEARCH("-TK",UPPER(F38))),0,1))</f>
        <v/>
      </c>
      <c r="AF38" s="23" t="str">
        <f aca="false">IF(F38="","",IF(ISNUMBER(SEARCH("-LED",UPPER(F38))),1,0))</f>
        <v/>
      </c>
      <c r="AG38" s="24" t="n">
        <f aca="false">IF(Z38="",0,IFERROR(INDEX(Resep!$C$5:$C$7,MATCH(LEFT(Z38,3),Resep!$B$5:$B$7,0)),0))</f>
        <v>0</v>
      </c>
      <c r="AH38" s="24" t="n">
        <f aca="false">IF(AA38="",0,IFERROR(INDEX(Resep!$C$9:$C$13,MATCH(LEFT(AA38,3),Resep!$B$9:$B$13,0)),0))</f>
        <v>0</v>
      </c>
      <c r="AI38" s="24" t="n">
        <f aca="false">IF(AB38="",0,IFERROR(INDEX(Resep!$C$9:$C$13,MATCH(LEFT(AB38,3),Resep!$B$9:$B$13,0)),0))</f>
        <v>0</v>
      </c>
      <c r="AJ38" s="24" t="n">
        <f aca="false">IF(AC38="",0,IFERROR(INDEX(Resep!$C$9:$C$13,MATCH(LEFT(AC38,3),Resep!$B$9:$B$13,0)),0))</f>
        <v>0</v>
      </c>
      <c r="AK38" s="24" t="n">
        <f aca="false">IF(AD38="",0,IFERROR(INDEX(Resep!$C$15:$C$18,MATCH(LEFT(AD38,3),Resep!$B$15:$B$18,0)),0))</f>
        <v>0</v>
      </c>
      <c r="AL38" s="24" t="str">
        <f aca="false">IF(X38="","",AG38+AH38+AI38+AJ38+AK38)</f>
        <v/>
      </c>
      <c r="AM38" s="22" t="str">
        <f aca="false">IF(X38="","",AL38*(Pengaturan!$B$6+Pengaturan!$B$7)+Pengaturan!$B$8+AE38*Pengaturan!$B$9+AF38*Pengaturan!$B$10)</f>
        <v/>
      </c>
      <c r="AN38" s="22" t="str">
        <f aca="false">IF(X38="","",N(G38)-AM38)</f>
        <v/>
      </c>
      <c r="AO38" s="25" t="str">
        <f aca="false">IF(OR(X38="",N(G38)=0),"",AN38/G38)</f>
        <v/>
      </c>
    </row>
    <row r="39" customFormat="false" ht="15" hidden="false" customHeight="false" outlineLevel="0" collapsed="false">
      <c r="A39" s="19"/>
      <c r="B39" s="20"/>
      <c r="C39" s="19"/>
      <c r="D39" s="19"/>
      <c r="E39" s="19"/>
      <c r="F39" s="19"/>
      <c r="G39" s="21"/>
      <c r="H39" s="19"/>
      <c r="I39" s="21"/>
      <c r="J39" s="19"/>
      <c r="K39" s="20"/>
      <c r="L39" s="20"/>
      <c r="M39" s="19"/>
      <c r="N39" s="19"/>
      <c r="O39" s="20"/>
      <c r="P39" s="20"/>
      <c r="Q39" s="19"/>
      <c r="R39" s="22" t="str">
        <f aca="false">IF(A39="","",N(G39)+N(I39))</f>
        <v/>
      </c>
      <c r="S39" s="23" t="str">
        <f aca="false">IF(OR(K39="",O39=""),"",O39-K39)</f>
        <v/>
      </c>
      <c r="T39" s="23" t="str">
        <f aca="true">IF(AND(C39="Cetak",L39&lt;&gt;"",L39&lt;TODAY()),"YA","")</f>
        <v/>
      </c>
      <c r="U39" s="23" t="str">
        <f aca="false">IF(B39="","",TEXT(B39,"yyyy-mm"))</f>
        <v/>
      </c>
      <c r="V39" s="23" t="str">
        <f aca="false">IF(K39="","",TEXT(K39,"yyyy-mm"))</f>
        <v/>
      </c>
      <c r="W39" s="23" t="n">
        <f aca="false">IF(OR(C39="Cetak",C39="Dikirim",C39="Selesai"),1,0)</f>
        <v>0</v>
      </c>
      <c r="X39" s="23" t="str">
        <f aca="false">IF(F39="","",SUBSTITUTE(SUBSTITUTE(MID(UPPER(TRIM(F39)),4,99),"-LED",""),"-TK",""))</f>
        <v/>
      </c>
      <c r="Y39" s="23" t="str">
        <f aca="false">IF(X39="","",(LEN(X39)+1)/7)</f>
        <v/>
      </c>
      <c r="Z39" s="23" t="str">
        <f aca="false">IF(X39="","",LEFT(X39,6))</f>
        <v/>
      </c>
      <c r="AA39" s="23" t="str">
        <f aca="false">IF(X39="","",IF(Y39&gt;=3,MID(X39,8,6),""))</f>
        <v/>
      </c>
      <c r="AB39" s="23" t="str">
        <f aca="false">IF(X39="","",IF(Y39&gt;=4,MID(X39,15,6),""))</f>
        <v/>
      </c>
      <c r="AC39" s="23" t="str">
        <f aca="false">IF(X39="","",IF(Y39&gt;=5,MID(X39,22,6),""))</f>
        <v/>
      </c>
      <c r="AD39" s="23" t="str">
        <f aca="false">IF(X39="","",RIGHT(X39,6))</f>
        <v/>
      </c>
      <c r="AE39" s="23" t="str">
        <f aca="false">IF(F39="","",IF(ISNUMBER(SEARCH("-TK",UPPER(F39))),0,1))</f>
        <v/>
      </c>
      <c r="AF39" s="23" t="str">
        <f aca="false">IF(F39="","",IF(ISNUMBER(SEARCH("-LED",UPPER(F39))),1,0))</f>
        <v/>
      </c>
      <c r="AG39" s="24" t="n">
        <f aca="false">IF(Z39="",0,IFERROR(INDEX(Resep!$C$5:$C$7,MATCH(LEFT(Z39,3),Resep!$B$5:$B$7,0)),0))</f>
        <v>0</v>
      </c>
      <c r="AH39" s="24" t="n">
        <f aca="false">IF(AA39="",0,IFERROR(INDEX(Resep!$C$9:$C$13,MATCH(LEFT(AA39,3),Resep!$B$9:$B$13,0)),0))</f>
        <v>0</v>
      </c>
      <c r="AI39" s="24" t="n">
        <f aca="false">IF(AB39="",0,IFERROR(INDEX(Resep!$C$9:$C$13,MATCH(LEFT(AB39,3),Resep!$B$9:$B$13,0)),0))</f>
        <v>0</v>
      </c>
      <c r="AJ39" s="24" t="n">
        <f aca="false">IF(AC39="",0,IFERROR(INDEX(Resep!$C$9:$C$13,MATCH(LEFT(AC39,3),Resep!$B$9:$B$13,0)),0))</f>
        <v>0</v>
      </c>
      <c r="AK39" s="24" t="n">
        <f aca="false">IF(AD39="",0,IFERROR(INDEX(Resep!$C$15:$C$18,MATCH(LEFT(AD39,3),Resep!$B$15:$B$18,0)),0))</f>
        <v>0</v>
      </c>
      <c r="AL39" s="24" t="str">
        <f aca="false">IF(X39="","",AG39+AH39+AI39+AJ39+AK39)</f>
        <v/>
      </c>
      <c r="AM39" s="22" t="str">
        <f aca="false">IF(X39="","",AL39*(Pengaturan!$B$6+Pengaturan!$B$7)+Pengaturan!$B$8+AE39*Pengaturan!$B$9+AF39*Pengaturan!$B$10)</f>
        <v/>
      </c>
      <c r="AN39" s="22" t="str">
        <f aca="false">IF(X39="","",N(G39)-AM39)</f>
        <v/>
      </c>
      <c r="AO39" s="25" t="str">
        <f aca="false">IF(OR(X39="",N(G39)=0),"",AN39/G39)</f>
        <v/>
      </c>
    </row>
    <row r="40" customFormat="false" ht="15" hidden="false" customHeight="false" outlineLevel="0" collapsed="false">
      <c r="A40" s="19"/>
      <c r="B40" s="20"/>
      <c r="C40" s="19"/>
      <c r="D40" s="19"/>
      <c r="E40" s="19"/>
      <c r="F40" s="19"/>
      <c r="G40" s="21"/>
      <c r="H40" s="19"/>
      <c r="I40" s="21"/>
      <c r="J40" s="19"/>
      <c r="K40" s="20"/>
      <c r="L40" s="20"/>
      <c r="M40" s="19"/>
      <c r="N40" s="19"/>
      <c r="O40" s="20"/>
      <c r="P40" s="20"/>
      <c r="Q40" s="19"/>
      <c r="R40" s="22" t="str">
        <f aca="false">IF(A40="","",N(G40)+N(I40))</f>
        <v/>
      </c>
      <c r="S40" s="23" t="str">
        <f aca="false">IF(OR(K40="",O40=""),"",O40-K40)</f>
        <v/>
      </c>
      <c r="T40" s="23" t="str">
        <f aca="true">IF(AND(C40="Cetak",L40&lt;&gt;"",L40&lt;TODAY()),"YA","")</f>
        <v/>
      </c>
      <c r="U40" s="23" t="str">
        <f aca="false">IF(B40="","",TEXT(B40,"yyyy-mm"))</f>
        <v/>
      </c>
      <c r="V40" s="23" t="str">
        <f aca="false">IF(K40="","",TEXT(K40,"yyyy-mm"))</f>
        <v/>
      </c>
      <c r="W40" s="23" t="n">
        <f aca="false">IF(OR(C40="Cetak",C40="Dikirim",C40="Selesai"),1,0)</f>
        <v>0</v>
      </c>
      <c r="X40" s="23" t="str">
        <f aca="false">IF(F40="","",SUBSTITUTE(SUBSTITUTE(MID(UPPER(TRIM(F40)),4,99),"-LED",""),"-TK",""))</f>
        <v/>
      </c>
      <c r="Y40" s="23" t="str">
        <f aca="false">IF(X40="","",(LEN(X40)+1)/7)</f>
        <v/>
      </c>
      <c r="Z40" s="23" t="str">
        <f aca="false">IF(X40="","",LEFT(X40,6))</f>
        <v/>
      </c>
      <c r="AA40" s="23" t="str">
        <f aca="false">IF(X40="","",IF(Y40&gt;=3,MID(X40,8,6),""))</f>
        <v/>
      </c>
      <c r="AB40" s="23" t="str">
        <f aca="false">IF(X40="","",IF(Y40&gt;=4,MID(X40,15,6),""))</f>
        <v/>
      </c>
      <c r="AC40" s="23" t="str">
        <f aca="false">IF(X40="","",IF(Y40&gt;=5,MID(X40,22,6),""))</f>
        <v/>
      </c>
      <c r="AD40" s="23" t="str">
        <f aca="false">IF(X40="","",RIGHT(X40,6))</f>
        <v/>
      </c>
      <c r="AE40" s="23" t="str">
        <f aca="false">IF(F40="","",IF(ISNUMBER(SEARCH("-TK",UPPER(F40))),0,1))</f>
        <v/>
      </c>
      <c r="AF40" s="23" t="str">
        <f aca="false">IF(F40="","",IF(ISNUMBER(SEARCH("-LED",UPPER(F40))),1,0))</f>
        <v/>
      </c>
      <c r="AG40" s="24" t="n">
        <f aca="false">IF(Z40="",0,IFERROR(INDEX(Resep!$C$5:$C$7,MATCH(LEFT(Z40,3),Resep!$B$5:$B$7,0)),0))</f>
        <v>0</v>
      </c>
      <c r="AH40" s="24" t="n">
        <f aca="false">IF(AA40="",0,IFERROR(INDEX(Resep!$C$9:$C$13,MATCH(LEFT(AA40,3),Resep!$B$9:$B$13,0)),0))</f>
        <v>0</v>
      </c>
      <c r="AI40" s="24" t="n">
        <f aca="false">IF(AB40="",0,IFERROR(INDEX(Resep!$C$9:$C$13,MATCH(LEFT(AB40,3),Resep!$B$9:$B$13,0)),0))</f>
        <v>0</v>
      </c>
      <c r="AJ40" s="24" t="n">
        <f aca="false">IF(AC40="",0,IFERROR(INDEX(Resep!$C$9:$C$13,MATCH(LEFT(AC40,3),Resep!$B$9:$B$13,0)),0))</f>
        <v>0</v>
      </c>
      <c r="AK40" s="24" t="n">
        <f aca="false">IF(AD40="",0,IFERROR(INDEX(Resep!$C$15:$C$18,MATCH(LEFT(AD40,3),Resep!$B$15:$B$18,0)),0))</f>
        <v>0</v>
      </c>
      <c r="AL40" s="24" t="str">
        <f aca="false">IF(X40="","",AG40+AH40+AI40+AJ40+AK40)</f>
        <v/>
      </c>
      <c r="AM40" s="22" t="str">
        <f aca="false">IF(X40="","",AL40*(Pengaturan!$B$6+Pengaturan!$B$7)+Pengaturan!$B$8+AE40*Pengaturan!$B$9+AF40*Pengaturan!$B$10)</f>
        <v/>
      </c>
      <c r="AN40" s="22" t="str">
        <f aca="false">IF(X40="","",N(G40)-AM40)</f>
        <v/>
      </c>
      <c r="AO40" s="25" t="str">
        <f aca="false">IF(OR(X40="",N(G40)=0),"",AN40/G40)</f>
        <v/>
      </c>
    </row>
    <row r="41" customFormat="false" ht="15" hidden="false" customHeight="false" outlineLevel="0" collapsed="false">
      <c r="A41" s="19"/>
      <c r="B41" s="20"/>
      <c r="C41" s="19"/>
      <c r="D41" s="19"/>
      <c r="E41" s="19"/>
      <c r="F41" s="19"/>
      <c r="G41" s="21"/>
      <c r="H41" s="19"/>
      <c r="I41" s="21"/>
      <c r="J41" s="19"/>
      <c r="K41" s="20"/>
      <c r="L41" s="20"/>
      <c r="M41" s="19"/>
      <c r="N41" s="19"/>
      <c r="O41" s="20"/>
      <c r="P41" s="20"/>
      <c r="Q41" s="19"/>
      <c r="R41" s="22" t="str">
        <f aca="false">IF(A41="","",N(G41)+N(I41))</f>
        <v/>
      </c>
      <c r="S41" s="23" t="str">
        <f aca="false">IF(OR(K41="",O41=""),"",O41-K41)</f>
        <v/>
      </c>
      <c r="T41" s="23" t="str">
        <f aca="true">IF(AND(C41="Cetak",L41&lt;&gt;"",L41&lt;TODAY()),"YA","")</f>
        <v/>
      </c>
      <c r="U41" s="23" t="str">
        <f aca="false">IF(B41="","",TEXT(B41,"yyyy-mm"))</f>
        <v/>
      </c>
      <c r="V41" s="23" t="str">
        <f aca="false">IF(K41="","",TEXT(K41,"yyyy-mm"))</f>
        <v/>
      </c>
      <c r="W41" s="23" t="n">
        <f aca="false">IF(OR(C41="Cetak",C41="Dikirim",C41="Selesai"),1,0)</f>
        <v>0</v>
      </c>
      <c r="X41" s="23" t="str">
        <f aca="false">IF(F41="","",SUBSTITUTE(SUBSTITUTE(MID(UPPER(TRIM(F41)),4,99),"-LED",""),"-TK",""))</f>
        <v/>
      </c>
      <c r="Y41" s="23" t="str">
        <f aca="false">IF(X41="","",(LEN(X41)+1)/7)</f>
        <v/>
      </c>
      <c r="Z41" s="23" t="str">
        <f aca="false">IF(X41="","",LEFT(X41,6))</f>
        <v/>
      </c>
      <c r="AA41" s="23" t="str">
        <f aca="false">IF(X41="","",IF(Y41&gt;=3,MID(X41,8,6),""))</f>
        <v/>
      </c>
      <c r="AB41" s="23" t="str">
        <f aca="false">IF(X41="","",IF(Y41&gt;=4,MID(X41,15,6),""))</f>
        <v/>
      </c>
      <c r="AC41" s="23" t="str">
        <f aca="false">IF(X41="","",IF(Y41&gt;=5,MID(X41,22,6),""))</f>
        <v/>
      </c>
      <c r="AD41" s="23" t="str">
        <f aca="false">IF(X41="","",RIGHT(X41,6))</f>
        <v/>
      </c>
      <c r="AE41" s="23" t="str">
        <f aca="false">IF(F41="","",IF(ISNUMBER(SEARCH("-TK",UPPER(F41))),0,1))</f>
        <v/>
      </c>
      <c r="AF41" s="23" t="str">
        <f aca="false">IF(F41="","",IF(ISNUMBER(SEARCH("-LED",UPPER(F41))),1,0))</f>
        <v/>
      </c>
      <c r="AG41" s="24" t="n">
        <f aca="false">IF(Z41="",0,IFERROR(INDEX(Resep!$C$5:$C$7,MATCH(LEFT(Z41,3),Resep!$B$5:$B$7,0)),0))</f>
        <v>0</v>
      </c>
      <c r="AH41" s="24" t="n">
        <f aca="false">IF(AA41="",0,IFERROR(INDEX(Resep!$C$9:$C$13,MATCH(LEFT(AA41,3),Resep!$B$9:$B$13,0)),0))</f>
        <v>0</v>
      </c>
      <c r="AI41" s="24" t="n">
        <f aca="false">IF(AB41="",0,IFERROR(INDEX(Resep!$C$9:$C$13,MATCH(LEFT(AB41,3),Resep!$B$9:$B$13,0)),0))</f>
        <v>0</v>
      </c>
      <c r="AJ41" s="24" t="n">
        <f aca="false">IF(AC41="",0,IFERROR(INDEX(Resep!$C$9:$C$13,MATCH(LEFT(AC41,3),Resep!$B$9:$B$13,0)),0))</f>
        <v>0</v>
      </c>
      <c r="AK41" s="24" t="n">
        <f aca="false">IF(AD41="",0,IFERROR(INDEX(Resep!$C$15:$C$18,MATCH(LEFT(AD41,3),Resep!$B$15:$B$18,0)),0))</f>
        <v>0</v>
      </c>
      <c r="AL41" s="24" t="str">
        <f aca="false">IF(X41="","",AG41+AH41+AI41+AJ41+AK41)</f>
        <v/>
      </c>
      <c r="AM41" s="22" t="str">
        <f aca="false">IF(X41="","",AL41*(Pengaturan!$B$6+Pengaturan!$B$7)+Pengaturan!$B$8+AE41*Pengaturan!$B$9+AF41*Pengaturan!$B$10)</f>
        <v/>
      </c>
      <c r="AN41" s="22" t="str">
        <f aca="false">IF(X41="","",N(G41)-AM41)</f>
        <v/>
      </c>
      <c r="AO41" s="25" t="str">
        <f aca="false">IF(OR(X41="",N(G41)=0),"",AN41/G41)</f>
        <v/>
      </c>
    </row>
    <row r="42" customFormat="false" ht="15" hidden="false" customHeight="false" outlineLevel="0" collapsed="false">
      <c r="A42" s="19"/>
      <c r="B42" s="20"/>
      <c r="C42" s="19"/>
      <c r="D42" s="19"/>
      <c r="E42" s="19"/>
      <c r="F42" s="19"/>
      <c r="G42" s="21"/>
      <c r="H42" s="19"/>
      <c r="I42" s="21"/>
      <c r="J42" s="19"/>
      <c r="K42" s="20"/>
      <c r="L42" s="20"/>
      <c r="M42" s="19"/>
      <c r="N42" s="19"/>
      <c r="O42" s="20"/>
      <c r="P42" s="20"/>
      <c r="Q42" s="19"/>
      <c r="R42" s="22" t="str">
        <f aca="false">IF(A42="","",N(G42)+N(I42))</f>
        <v/>
      </c>
      <c r="S42" s="23" t="str">
        <f aca="false">IF(OR(K42="",O42=""),"",O42-K42)</f>
        <v/>
      </c>
      <c r="T42" s="23" t="str">
        <f aca="true">IF(AND(C42="Cetak",L42&lt;&gt;"",L42&lt;TODAY()),"YA","")</f>
        <v/>
      </c>
      <c r="U42" s="23" t="str">
        <f aca="false">IF(B42="","",TEXT(B42,"yyyy-mm"))</f>
        <v/>
      </c>
      <c r="V42" s="23" t="str">
        <f aca="false">IF(K42="","",TEXT(K42,"yyyy-mm"))</f>
        <v/>
      </c>
      <c r="W42" s="23" t="n">
        <f aca="false">IF(OR(C42="Cetak",C42="Dikirim",C42="Selesai"),1,0)</f>
        <v>0</v>
      </c>
      <c r="X42" s="23" t="str">
        <f aca="false">IF(F42="","",SUBSTITUTE(SUBSTITUTE(MID(UPPER(TRIM(F42)),4,99),"-LED",""),"-TK",""))</f>
        <v/>
      </c>
      <c r="Y42" s="23" t="str">
        <f aca="false">IF(X42="","",(LEN(X42)+1)/7)</f>
        <v/>
      </c>
      <c r="Z42" s="23" t="str">
        <f aca="false">IF(X42="","",LEFT(X42,6))</f>
        <v/>
      </c>
      <c r="AA42" s="23" t="str">
        <f aca="false">IF(X42="","",IF(Y42&gt;=3,MID(X42,8,6),""))</f>
        <v/>
      </c>
      <c r="AB42" s="23" t="str">
        <f aca="false">IF(X42="","",IF(Y42&gt;=4,MID(X42,15,6),""))</f>
        <v/>
      </c>
      <c r="AC42" s="23" t="str">
        <f aca="false">IF(X42="","",IF(Y42&gt;=5,MID(X42,22,6),""))</f>
        <v/>
      </c>
      <c r="AD42" s="23" t="str">
        <f aca="false">IF(X42="","",RIGHT(X42,6))</f>
        <v/>
      </c>
      <c r="AE42" s="23" t="str">
        <f aca="false">IF(F42="","",IF(ISNUMBER(SEARCH("-TK",UPPER(F42))),0,1))</f>
        <v/>
      </c>
      <c r="AF42" s="23" t="str">
        <f aca="false">IF(F42="","",IF(ISNUMBER(SEARCH("-LED",UPPER(F42))),1,0))</f>
        <v/>
      </c>
      <c r="AG42" s="24" t="n">
        <f aca="false">IF(Z42="",0,IFERROR(INDEX(Resep!$C$5:$C$7,MATCH(LEFT(Z42,3),Resep!$B$5:$B$7,0)),0))</f>
        <v>0</v>
      </c>
      <c r="AH42" s="24" t="n">
        <f aca="false">IF(AA42="",0,IFERROR(INDEX(Resep!$C$9:$C$13,MATCH(LEFT(AA42,3),Resep!$B$9:$B$13,0)),0))</f>
        <v>0</v>
      </c>
      <c r="AI42" s="24" t="n">
        <f aca="false">IF(AB42="",0,IFERROR(INDEX(Resep!$C$9:$C$13,MATCH(LEFT(AB42,3),Resep!$B$9:$B$13,0)),0))</f>
        <v>0</v>
      </c>
      <c r="AJ42" s="24" t="n">
        <f aca="false">IF(AC42="",0,IFERROR(INDEX(Resep!$C$9:$C$13,MATCH(LEFT(AC42,3),Resep!$B$9:$B$13,0)),0))</f>
        <v>0</v>
      </c>
      <c r="AK42" s="24" t="n">
        <f aca="false">IF(AD42="",0,IFERROR(INDEX(Resep!$C$15:$C$18,MATCH(LEFT(AD42,3),Resep!$B$15:$B$18,0)),0))</f>
        <v>0</v>
      </c>
      <c r="AL42" s="24" t="str">
        <f aca="false">IF(X42="","",AG42+AH42+AI42+AJ42+AK42)</f>
        <v/>
      </c>
      <c r="AM42" s="22" t="str">
        <f aca="false">IF(X42="","",AL42*(Pengaturan!$B$6+Pengaturan!$B$7)+Pengaturan!$B$8+AE42*Pengaturan!$B$9+AF42*Pengaturan!$B$10)</f>
        <v/>
      </c>
      <c r="AN42" s="22" t="str">
        <f aca="false">IF(X42="","",N(G42)-AM42)</f>
        <v/>
      </c>
      <c r="AO42" s="25" t="str">
        <f aca="false">IF(OR(X42="",N(G42)=0),"",AN42/G42)</f>
        <v/>
      </c>
    </row>
    <row r="43" customFormat="false" ht="15" hidden="false" customHeight="false" outlineLevel="0" collapsed="false">
      <c r="A43" s="19"/>
      <c r="B43" s="20"/>
      <c r="C43" s="19"/>
      <c r="D43" s="19"/>
      <c r="E43" s="19"/>
      <c r="F43" s="19"/>
      <c r="G43" s="21"/>
      <c r="H43" s="19"/>
      <c r="I43" s="21"/>
      <c r="J43" s="19"/>
      <c r="K43" s="20"/>
      <c r="L43" s="20"/>
      <c r="M43" s="19"/>
      <c r="N43" s="19"/>
      <c r="O43" s="20"/>
      <c r="P43" s="20"/>
      <c r="Q43" s="19"/>
      <c r="R43" s="22" t="str">
        <f aca="false">IF(A43="","",N(G43)+N(I43))</f>
        <v/>
      </c>
      <c r="S43" s="23" t="str">
        <f aca="false">IF(OR(K43="",O43=""),"",O43-K43)</f>
        <v/>
      </c>
      <c r="T43" s="23" t="str">
        <f aca="true">IF(AND(C43="Cetak",L43&lt;&gt;"",L43&lt;TODAY()),"YA","")</f>
        <v/>
      </c>
      <c r="U43" s="23" t="str">
        <f aca="false">IF(B43="","",TEXT(B43,"yyyy-mm"))</f>
        <v/>
      </c>
      <c r="V43" s="23" t="str">
        <f aca="false">IF(K43="","",TEXT(K43,"yyyy-mm"))</f>
        <v/>
      </c>
      <c r="W43" s="23" t="n">
        <f aca="false">IF(OR(C43="Cetak",C43="Dikirim",C43="Selesai"),1,0)</f>
        <v>0</v>
      </c>
      <c r="X43" s="23" t="str">
        <f aca="false">IF(F43="","",SUBSTITUTE(SUBSTITUTE(MID(UPPER(TRIM(F43)),4,99),"-LED",""),"-TK",""))</f>
        <v/>
      </c>
      <c r="Y43" s="23" t="str">
        <f aca="false">IF(X43="","",(LEN(X43)+1)/7)</f>
        <v/>
      </c>
      <c r="Z43" s="23" t="str">
        <f aca="false">IF(X43="","",LEFT(X43,6))</f>
        <v/>
      </c>
      <c r="AA43" s="23" t="str">
        <f aca="false">IF(X43="","",IF(Y43&gt;=3,MID(X43,8,6),""))</f>
        <v/>
      </c>
      <c r="AB43" s="23" t="str">
        <f aca="false">IF(X43="","",IF(Y43&gt;=4,MID(X43,15,6),""))</f>
        <v/>
      </c>
      <c r="AC43" s="23" t="str">
        <f aca="false">IF(X43="","",IF(Y43&gt;=5,MID(X43,22,6),""))</f>
        <v/>
      </c>
      <c r="AD43" s="23" t="str">
        <f aca="false">IF(X43="","",RIGHT(X43,6))</f>
        <v/>
      </c>
      <c r="AE43" s="23" t="str">
        <f aca="false">IF(F43="","",IF(ISNUMBER(SEARCH("-TK",UPPER(F43))),0,1))</f>
        <v/>
      </c>
      <c r="AF43" s="23" t="str">
        <f aca="false">IF(F43="","",IF(ISNUMBER(SEARCH("-LED",UPPER(F43))),1,0))</f>
        <v/>
      </c>
      <c r="AG43" s="24" t="n">
        <f aca="false">IF(Z43="",0,IFERROR(INDEX(Resep!$C$5:$C$7,MATCH(LEFT(Z43,3),Resep!$B$5:$B$7,0)),0))</f>
        <v>0</v>
      </c>
      <c r="AH43" s="24" t="n">
        <f aca="false">IF(AA43="",0,IFERROR(INDEX(Resep!$C$9:$C$13,MATCH(LEFT(AA43,3),Resep!$B$9:$B$13,0)),0))</f>
        <v>0</v>
      </c>
      <c r="AI43" s="24" t="n">
        <f aca="false">IF(AB43="",0,IFERROR(INDEX(Resep!$C$9:$C$13,MATCH(LEFT(AB43,3),Resep!$B$9:$B$13,0)),0))</f>
        <v>0</v>
      </c>
      <c r="AJ43" s="24" t="n">
        <f aca="false">IF(AC43="",0,IFERROR(INDEX(Resep!$C$9:$C$13,MATCH(LEFT(AC43,3),Resep!$B$9:$B$13,0)),0))</f>
        <v>0</v>
      </c>
      <c r="AK43" s="24" t="n">
        <f aca="false">IF(AD43="",0,IFERROR(INDEX(Resep!$C$15:$C$18,MATCH(LEFT(AD43,3),Resep!$B$15:$B$18,0)),0))</f>
        <v>0</v>
      </c>
      <c r="AL43" s="24" t="str">
        <f aca="false">IF(X43="","",AG43+AH43+AI43+AJ43+AK43)</f>
        <v/>
      </c>
      <c r="AM43" s="22" t="str">
        <f aca="false">IF(X43="","",AL43*(Pengaturan!$B$6+Pengaturan!$B$7)+Pengaturan!$B$8+AE43*Pengaturan!$B$9+AF43*Pengaturan!$B$10)</f>
        <v/>
      </c>
      <c r="AN43" s="22" t="str">
        <f aca="false">IF(X43="","",N(G43)-AM43)</f>
        <v/>
      </c>
      <c r="AO43" s="25" t="str">
        <f aca="false">IF(OR(X43="",N(G43)=0),"",AN43/G43)</f>
        <v/>
      </c>
    </row>
    <row r="44" customFormat="false" ht="15" hidden="false" customHeight="false" outlineLevel="0" collapsed="false">
      <c r="A44" s="19"/>
      <c r="B44" s="20"/>
      <c r="C44" s="19"/>
      <c r="D44" s="19"/>
      <c r="E44" s="19"/>
      <c r="F44" s="19"/>
      <c r="G44" s="21"/>
      <c r="H44" s="19"/>
      <c r="I44" s="21"/>
      <c r="J44" s="19"/>
      <c r="K44" s="20"/>
      <c r="L44" s="20"/>
      <c r="M44" s="19"/>
      <c r="N44" s="19"/>
      <c r="O44" s="20"/>
      <c r="P44" s="20"/>
      <c r="Q44" s="19"/>
      <c r="R44" s="22" t="str">
        <f aca="false">IF(A44="","",N(G44)+N(I44))</f>
        <v/>
      </c>
      <c r="S44" s="23" t="str">
        <f aca="false">IF(OR(K44="",O44=""),"",O44-K44)</f>
        <v/>
      </c>
      <c r="T44" s="23" t="str">
        <f aca="true">IF(AND(C44="Cetak",L44&lt;&gt;"",L44&lt;TODAY()),"YA","")</f>
        <v/>
      </c>
      <c r="U44" s="23" t="str">
        <f aca="false">IF(B44="","",TEXT(B44,"yyyy-mm"))</f>
        <v/>
      </c>
      <c r="V44" s="23" t="str">
        <f aca="false">IF(K44="","",TEXT(K44,"yyyy-mm"))</f>
        <v/>
      </c>
      <c r="W44" s="23" t="n">
        <f aca="false">IF(OR(C44="Cetak",C44="Dikirim",C44="Selesai"),1,0)</f>
        <v>0</v>
      </c>
      <c r="X44" s="23" t="str">
        <f aca="false">IF(F44="","",SUBSTITUTE(SUBSTITUTE(MID(UPPER(TRIM(F44)),4,99),"-LED",""),"-TK",""))</f>
        <v/>
      </c>
      <c r="Y44" s="23" t="str">
        <f aca="false">IF(X44="","",(LEN(X44)+1)/7)</f>
        <v/>
      </c>
      <c r="Z44" s="23" t="str">
        <f aca="false">IF(X44="","",LEFT(X44,6))</f>
        <v/>
      </c>
      <c r="AA44" s="23" t="str">
        <f aca="false">IF(X44="","",IF(Y44&gt;=3,MID(X44,8,6),""))</f>
        <v/>
      </c>
      <c r="AB44" s="23" t="str">
        <f aca="false">IF(X44="","",IF(Y44&gt;=4,MID(X44,15,6),""))</f>
        <v/>
      </c>
      <c r="AC44" s="23" t="str">
        <f aca="false">IF(X44="","",IF(Y44&gt;=5,MID(X44,22,6),""))</f>
        <v/>
      </c>
      <c r="AD44" s="23" t="str">
        <f aca="false">IF(X44="","",RIGHT(X44,6))</f>
        <v/>
      </c>
      <c r="AE44" s="23" t="str">
        <f aca="false">IF(F44="","",IF(ISNUMBER(SEARCH("-TK",UPPER(F44))),0,1))</f>
        <v/>
      </c>
      <c r="AF44" s="23" t="str">
        <f aca="false">IF(F44="","",IF(ISNUMBER(SEARCH("-LED",UPPER(F44))),1,0))</f>
        <v/>
      </c>
      <c r="AG44" s="24" t="n">
        <f aca="false">IF(Z44="",0,IFERROR(INDEX(Resep!$C$5:$C$7,MATCH(LEFT(Z44,3),Resep!$B$5:$B$7,0)),0))</f>
        <v>0</v>
      </c>
      <c r="AH44" s="24" t="n">
        <f aca="false">IF(AA44="",0,IFERROR(INDEX(Resep!$C$9:$C$13,MATCH(LEFT(AA44,3),Resep!$B$9:$B$13,0)),0))</f>
        <v>0</v>
      </c>
      <c r="AI44" s="24" t="n">
        <f aca="false">IF(AB44="",0,IFERROR(INDEX(Resep!$C$9:$C$13,MATCH(LEFT(AB44,3),Resep!$B$9:$B$13,0)),0))</f>
        <v>0</v>
      </c>
      <c r="AJ44" s="24" t="n">
        <f aca="false">IF(AC44="",0,IFERROR(INDEX(Resep!$C$9:$C$13,MATCH(LEFT(AC44,3),Resep!$B$9:$B$13,0)),0))</f>
        <v>0</v>
      </c>
      <c r="AK44" s="24" t="n">
        <f aca="false">IF(AD44="",0,IFERROR(INDEX(Resep!$C$15:$C$18,MATCH(LEFT(AD44,3),Resep!$B$15:$B$18,0)),0))</f>
        <v>0</v>
      </c>
      <c r="AL44" s="24" t="str">
        <f aca="false">IF(X44="","",AG44+AH44+AI44+AJ44+AK44)</f>
        <v/>
      </c>
      <c r="AM44" s="22" t="str">
        <f aca="false">IF(X44="","",AL44*(Pengaturan!$B$6+Pengaturan!$B$7)+Pengaturan!$B$8+AE44*Pengaturan!$B$9+AF44*Pengaturan!$B$10)</f>
        <v/>
      </c>
      <c r="AN44" s="22" t="str">
        <f aca="false">IF(X44="","",N(G44)-AM44)</f>
        <v/>
      </c>
      <c r="AO44" s="25" t="str">
        <f aca="false">IF(OR(X44="",N(G44)=0),"",AN44/G44)</f>
        <v/>
      </c>
    </row>
    <row r="45" customFormat="false" ht="15" hidden="false" customHeight="false" outlineLevel="0" collapsed="false">
      <c r="A45" s="19"/>
      <c r="B45" s="20"/>
      <c r="C45" s="19"/>
      <c r="D45" s="19"/>
      <c r="E45" s="19"/>
      <c r="F45" s="19"/>
      <c r="G45" s="21"/>
      <c r="H45" s="19"/>
      <c r="I45" s="21"/>
      <c r="J45" s="19"/>
      <c r="K45" s="20"/>
      <c r="L45" s="20"/>
      <c r="M45" s="19"/>
      <c r="N45" s="19"/>
      <c r="O45" s="20"/>
      <c r="P45" s="20"/>
      <c r="Q45" s="19"/>
      <c r="R45" s="22" t="str">
        <f aca="false">IF(A45="","",N(G45)+N(I45))</f>
        <v/>
      </c>
      <c r="S45" s="23" t="str">
        <f aca="false">IF(OR(K45="",O45=""),"",O45-K45)</f>
        <v/>
      </c>
      <c r="T45" s="23" t="str">
        <f aca="true">IF(AND(C45="Cetak",L45&lt;&gt;"",L45&lt;TODAY()),"YA","")</f>
        <v/>
      </c>
      <c r="U45" s="23" t="str">
        <f aca="false">IF(B45="","",TEXT(B45,"yyyy-mm"))</f>
        <v/>
      </c>
      <c r="V45" s="23" t="str">
        <f aca="false">IF(K45="","",TEXT(K45,"yyyy-mm"))</f>
        <v/>
      </c>
      <c r="W45" s="23" t="n">
        <f aca="false">IF(OR(C45="Cetak",C45="Dikirim",C45="Selesai"),1,0)</f>
        <v>0</v>
      </c>
      <c r="X45" s="23" t="str">
        <f aca="false">IF(F45="","",SUBSTITUTE(SUBSTITUTE(MID(UPPER(TRIM(F45)),4,99),"-LED",""),"-TK",""))</f>
        <v/>
      </c>
      <c r="Y45" s="23" t="str">
        <f aca="false">IF(X45="","",(LEN(X45)+1)/7)</f>
        <v/>
      </c>
      <c r="Z45" s="23" t="str">
        <f aca="false">IF(X45="","",LEFT(X45,6))</f>
        <v/>
      </c>
      <c r="AA45" s="23" t="str">
        <f aca="false">IF(X45="","",IF(Y45&gt;=3,MID(X45,8,6),""))</f>
        <v/>
      </c>
      <c r="AB45" s="23" t="str">
        <f aca="false">IF(X45="","",IF(Y45&gt;=4,MID(X45,15,6),""))</f>
        <v/>
      </c>
      <c r="AC45" s="23" t="str">
        <f aca="false">IF(X45="","",IF(Y45&gt;=5,MID(X45,22,6),""))</f>
        <v/>
      </c>
      <c r="AD45" s="23" t="str">
        <f aca="false">IF(X45="","",RIGHT(X45,6))</f>
        <v/>
      </c>
      <c r="AE45" s="23" t="str">
        <f aca="false">IF(F45="","",IF(ISNUMBER(SEARCH("-TK",UPPER(F45))),0,1))</f>
        <v/>
      </c>
      <c r="AF45" s="23" t="str">
        <f aca="false">IF(F45="","",IF(ISNUMBER(SEARCH("-LED",UPPER(F45))),1,0))</f>
        <v/>
      </c>
      <c r="AG45" s="24" t="n">
        <f aca="false">IF(Z45="",0,IFERROR(INDEX(Resep!$C$5:$C$7,MATCH(LEFT(Z45,3),Resep!$B$5:$B$7,0)),0))</f>
        <v>0</v>
      </c>
      <c r="AH45" s="24" t="n">
        <f aca="false">IF(AA45="",0,IFERROR(INDEX(Resep!$C$9:$C$13,MATCH(LEFT(AA45,3),Resep!$B$9:$B$13,0)),0))</f>
        <v>0</v>
      </c>
      <c r="AI45" s="24" t="n">
        <f aca="false">IF(AB45="",0,IFERROR(INDEX(Resep!$C$9:$C$13,MATCH(LEFT(AB45,3),Resep!$B$9:$B$13,0)),0))</f>
        <v>0</v>
      </c>
      <c r="AJ45" s="24" t="n">
        <f aca="false">IF(AC45="",0,IFERROR(INDEX(Resep!$C$9:$C$13,MATCH(LEFT(AC45,3),Resep!$B$9:$B$13,0)),0))</f>
        <v>0</v>
      </c>
      <c r="AK45" s="24" t="n">
        <f aca="false">IF(AD45="",0,IFERROR(INDEX(Resep!$C$15:$C$18,MATCH(LEFT(AD45,3),Resep!$B$15:$B$18,0)),0))</f>
        <v>0</v>
      </c>
      <c r="AL45" s="24" t="str">
        <f aca="false">IF(X45="","",AG45+AH45+AI45+AJ45+AK45)</f>
        <v/>
      </c>
      <c r="AM45" s="22" t="str">
        <f aca="false">IF(X45="","",AL45*(Pengaturan!$B$6+Pengaturan!$B$7)+Pengaturan!$B$8+AE45*Pengaturan!$B$9+AF45*Pengaturan!$B$10)</f>
        <v/>
      </c>
      <c r="AN45" s="22" t="str">
        <f aca="false">IF(X45="","",N(G45)-AM45)</f>
        <v/>
      </c>
      <c r="AO45" s="25" t="str">
        <f aca="false">IF(OR(X45="",N(G45)=0),"",AN45/G45)</f>
        <v/>
      </c>
    </row>
    <row r="46" customFormat="false" ht="15" hidden="false" customHeight="false" outlineLevel="0" collapsed="false">
      <c r="A46" s="19"/>
      <c r="B46" s="20"/>
      <c r="C46" s="19"/>
      <c r="D46" s="19"/>
      <c r="E46" s="19"/>
      <c r="F46" s="19"/>
      <c r="G46" s="21"/>
      <c r="H46" s="19"/>
      <c r="I46" s="21"/>
      <c r="J46" s="19"/>
      <c r="K46" s="20"/>
      <c r="L46" s="20"/>
      <c r="M46" s="19"/>
      <c r="N46" s="19"/>
      <c r="O46" s="20"/>
      <c r="P46" s="20"/>
      <c r="Q46" s="19"/>
      <c r="R46" s="22" t="str">
        <f aca="false">IF(A46="","",N(G46)+N(I46))</f>
        <v/>
      </c>
      <c r="S46" s="23" t="str">
        <f aca="false">IF(OR(K46="",O46=""),"",O46-K46)</f>
        <v/>
      </c>
      <c r="T46" s="23" t="str">
        <f aca="true">IF(AND(C46="Cetak",L46&lt;&gt;"",L46&lt;TODAY()),"YA","")</f>
        <v/>
      </c>
      <c r="U46" s="23" t="str">
        <f aca="false">IF(B46="","",TEXT(B46,"yyyy-mm"))</f>
        <v/>
      </c>
      <c r="V46" s="23" t="str">
        <f aca="false">IF(K46="","",TEXT(K46,"yyyy-mm"))</f>
        <v/>
      </c>
      <c r="W46" s="23" t="n">
        <f aca="false">IF(OR(C46="Cetak",C46="Dikirim",C46="Selesai"),1,0)</f>
        <v>0</v>
      </c>
      <c r="X46" s="23" t="str">
        <f aca="false">IF(F46="","",SUBSTITUTE(SUBSTITUTE(MID(UPPER(TRIM(F46)),4,99),"-LED",""),"-TK",""))</f>
        <v/>
      </c>
      <c r="Y46" s="23" t="str">
        <f aca="false">IF(X46="","",(LEN(X46)+1)/7)</f>
        <v/>
      </c>
      <c r="Z46" s="23" t="str">
        <f aca="false">IF(X46="","",LEFT(X46,6))</f>
        <v/>
      </c>
      <c r="AA46" s="23" t="str">
        <f aca="false">IF(X46="","",IF(Y46&gt;=3,MID(X46,8,6),""))</f>
        <v/>
      </c>
      <c r="AB46" s="23" t="str">
        <f aca="false">IF(X46="","",IF(Y46&gt;=4,MID(X46,15,6),""))</f>
        <v/>
      </c>
      <c r="AC46" s="23" t="str">
        <f aca="false">IF(X46="","",IF(Y46&gt;=5,MID(X46,22,6),""))</f>
        <v/>
      </c>
      <c r="AD46" s="23" t="str">
        <f aca="false">IF(X46="","",RIGHT(X46,6))</f>
        <v/>
      </c>
      <c r="AE46" s="23" t="str">
        <f aca="false">IF(F46="","",IF(ISNUMBER(SEARCH("-TK",UPPER(F46))),0,1))</f>
        <v/>
      </c>
      <c r="AF46" s="23" t="str">
        <f aca="false">IF(F46="","",IF(ISNUMBER(SEARCH("-LED",UPPER(F46))),1,0))</f>
        <v/>
      </c>
      <c r="AG46" s="24" t="n">
        <f aca="false">IF(Z46="",0,IFERROR(INDEX(Resep!$C$5:$C$7,MATCH(LEFT(Z46,3),Resep!$B$5:$B$7,0)),0))</f>
        <v>0</v>
      </c>
      <c r="AH46" s="24" t="n">
        <f aca="false">IF(AA46="",0,IFERROR(INDEX(Resep!$C$9:$C$13,MATCH(LEFT(AA46,3),Resep!$B$9:$B$13,0)),0))</f>
        <v>0</v>
      </c>
      <c r="AI46" s="24" t="n">
        <f aca="false">IF(AB46="",0,IFERROR(INDEX(Resep!$C$9:$C$13,MATCH(LEFT(AB46,3),Resep!$B$9:$B$13,0)),0))</f>
        <v>0</v>
      </c>
      <c r="AJ46" s="24" t="n">
        <f aca="false">IF(AC46="",0,IFERROR(INDEX(Resep!$C$9:$C$13,MATCH(LEFT(AC46,3),Resep!$B$9:$B$13,0)),0))</f>
        <v>0</v>
      </c>
      <c r="AK46" s="24" t="n">
        <f aca="false">IF(AD46="",0,IFERROR(INDEX(Resep!$C$15:$C$18,MATCH(LEFT(AD46,3),Resep!$B$15:$B$18,0)),0))</f>
        <v>0</v>
      </c>
      <c r="AL46" s="24" t="str">
        <f aca="false">IF(X46="","",AG46+AH46+AI46+AJ46+AK46)</f>
        <v/>
      </c>
      <c r="AM46" s="22" t="str">
        <f aca="false">IF(X46="","",AL46*(Pengaturan!$B$6+Pengaturan!$B$7)+Pengaturan!$B$8+AE46*Pengaturan!$B$9+AF46*Pengaturan!$B$10)</f>
        <v/>
      </c>
      <c r="AN46" s="22" t="str">
        <f aca="false">IF(X46="","",N(G46)-AM46)</f>
        <v/>
      </c>
      <c r="AO46" s="25" t="str">
        <f aca="false">IF(OR(X46="",N(G46)=0),"",AN46/G46)</f>
        <v/>
      </c>
    </row>
    <row r="47" customFormat="false" ht="15" hidden="false" customHeight="false" outlineLevel="0" collapsed="false">
      <c r="A47" s="19"/>
      <c r="B47" s="20"/>
      <c r="C47" s="19"/>
      <c r="D47" s="19"/>
      <c r="E47" s="19"/>
      <c r="F47" s="19"/>
      <c r="G47" s="21"/>
      <c r="H47" s="19"/>
      <c r="I47" s="21"/>
      <c r="J47" s="19"/>
      <c r="K47" s="20"/>
      <c r="L47" s="20"/>
      <c r="M47" s="19"/>
      <c r="N47" s="19"/>
      <c r="O47" s="20"/>
      <c r="P47" s="20"/>
      <c r="Q47" s="19"/>
      <c r="R47" s="22" t="str">
        <f aca="false">IF(A47="","",N(G47)+N(I47))</f>
        <v/>
      </c>
      <c r="S47" s="23" t="str">
        <f aca="false">IF(OR(K47="",O47=""),"",O47-K47)</f>
        <v/>
      </c>
      <c r="T47" s="23" t="str">
        <f aca="true">IF(AND(C47="Cetak",L47&lt;&gt;"",L47&lt;TODAY()),"YA","")</f>
        <v/>
      </c>
      <c r="U47" s="23" t="str">
        <f aca="false">IF(B47="","",TEXT(B47,"yyyy-mm"))</f>
        <v/>
      </c>
      <c r="V47" s="23" t="str">
        <f aca="false">IF(K47="","",TEXT(K47,"yyyy-mm"))</f>
        <v/>
      </c>
      <c r="W47" s="23" t="n">
        <f aca="false">IF(OR(C47="Cetak",C47="Dikirim",C47="Selesai"),1,0)</f>
        <v>0</v>
      </c>
      <c r="X47" s="23" t="str">
        <f aca="false">IF(F47="","",SUBSTITUTE(SUBSTITUTE(MID(UPPER(TRIM(F47)),4,99),"-LED",""),"-TK",""))</f>
        <v/>
      </c>
      <c r="Y47" s="23" t="str">
        <f aca="false">IF(X47="","",(LEN(X47)+1)/7)</f>
        <v/>
      </c>
      <c r="Z47" s="23" t="str">
        <f aca="false">IF(X47="","",LEFT(X47,6))</f>
        <v/>
      </c>
      <c r="AA47" s="23" t="str">
        <f aca="false">IF(X47="","",IF(Y47&gt;=3,MID(X47,8,6),""))</f>
        <v/>
      </c>
      <c r="AB47" s="23" t="str">
        <f aca="false">IF(X47="","",IF(Y47&gt;=4,MID(X47,15,6),""))</f>
        <v/>
      </c>
      <c r="AC47" s="23" t="str">
        <f aca="false">IF(X47="","",IF(Y47&gt;=5,MID(X47,22,6),""))</f>
        <v/>
      </c>
      <c r="AD47" s="23" t="str">
        <f aca="false">IF(X47="","",RIGHT(X47,6))</f>
        <v/>
      </c>
      <c r="AE47" s="23" t="str">
        <f aca="false">IF(F47="","",IF(ISNUMBER(SEARCH("-TK",UPPER(F47))),0,1))</f>
        <v/>
      </c>
      <c r="AF47" s="23" t="str">
        <f aca="false">IF(F47="","",IF(ISNUMBER(SEARCH("-LED",UPPER(F47))),1,0))</f>
        <v/>
      </c>
      <c r="AG47" s="24" t="n">
        <f aca="false">IF(Z47="",0,IFERROR(INDEX(Resep!$C$5:$C$7,MATCH(LEFT(Z47,3),Resep!$B$5:$B$7,0)),0))</f>
        <v>0</v>
      </c>
      <c r="AH47" s="24" t="n">
        <f aca="false">IF(AA47="",0,IFERROR(INDEX(Resep!$C$9:$C$13,MATCH(LEFT(AA47,3),Resep!$B$9:$B$13,0)),0))</f>
        <v>0</v>
      </c>
      <c r="AI47" s="24" t="n">
        <f aca="false">IF(AB47="",0,IFERROR(INDEX(Resep!$C$9:$C$13,MATCH(LEFT(AB47,3),Resep!$B$9:$B$13,0)),0))</f>
        <v>0</v>
      </c>
      <c r="AJ47" s="24" t="n">
        <f aca="false">IF(AC47="",0,IFERROR(INDEX(Resep!$C$9:$C$13,MATCH(LEFT(AC47,3),Resep!$B$9:$B$13,0)),0))</f>
        <v>0</v>
      </c>
      <c r="AK47" s="24" t="n">
        <f aca="false">IF(AD47="",0,IFERROR(INDEX(Resep!$C$15:$C$18,MATCH(LEFT(AD47,3),Resep!$B$15:$B$18,0)),0))</f>
        <v>0</v>
      </c>
      <c r="AL47" s="24" t="str">
        <f aca="false">IF(X47="","",AG47+AH47+AI47+AJ47+AK47)</f>
        <v/>
      </c>
      <c r="AM47" s="22" t="str">
        <f aca="false">IF(X47="","",AL47*(Pengaturan!$B$6+Pengaturan!$B$7)+Pengaturan!$B$8+AE47*Pengaturan!$B$9+AF47*Pengaturan!$B$10)</f>
        <v/>
      </c>
      <c r="AN47" s="22" t="str">
        <f aca="false">IF(X47="","",N(G47)-AM47)</f>
        <v/>
      </c>
      <c r="AO47" s="25" t="str">
        <f aca="false">IF(OR(X47="",N(G47)=0),"",AN47/G47)</f>
        <v/>
      </c>
    </row>
    <row r="48" customFormat="false" ht="15" hidden="false" customHeight="false" outlineLevel="0" collapsed="false">
      <c r="A48" s="19"/>
      <c r="B48" s="20"/>
      <c r="C48" s="19"/>
      <c r="D48" s="19"/>
      <c r="E48" s="19"/>
      <c r="F48" s="19"/>
      <c r="G48" s="21"/>
      <c r="H48" s="19"/>
      <c r="I48" s="21"/>
      <c r="J48" s="19"/>
      <c r="K48" s="20"/>
      <c r="L48" s="20"/>
      <c r="M48" s="19"/>
      <c r="N48" s="19"/>
      <c r="O48" s="20"/>
      <c r="P48" s="20"/>
      <c r="Q48" s="19"/>
      <c r="R48" s="22" t="str">
        <f aca="false">IF(A48="","",N(G48)+N(I48))</f>
        <v/>
      </c>
      <c r="S48" s="23" t="str">
        <f aca="false">IF(OR(K48="",O48=""),"",O48-K48)</f>
        <v/>
      </c>
      <c r="T48" s="23" t="str">
        <f aca="true">IF(AND(C48="Cetak",L48&lt;&gt;"",L48&lt;TODAY()),"YA","")</f>
        <v/>
      </c>
      <c r="U48" s="23" t="str">
        <f aca="false">IF(B48="","",TEXT(B48,"yyyy-mm"))</f>
        <v/>
      </c>
      <c r="V48" s="23" t="str">
        <f aca="false">IF(K48="","",TEXT(K48,"yyyy-mm"))</f>
        <v/>
      </c>
      <c r="W48" s="23" t="n">
        <f aca="false">IF(OR(C48="Cetak",C48="Dikirim",C48="Selesai"),1,0)</f>
        <v>0</v>
      </c>
      <c r="X48" s="23" t="str">
        <f aca="false">IF(F48="","",SUBSTITUTE(SUBSTITUTE(MID(UPPER(TRIM(F48)),4,99),"-LED",""),"-TK",""))</f>
        <v/>
      </c>
      <c r="Y48" s="23" t="str">
        <f aca="false">IF(X48="","",(LEN(X48)+1)/7)</f>
        <v/>
      </c>
      <c r="Z48" s="23" t="str">
        <f aca="false">IF(X48="","",LEFT(X48,6))</f>
        <v/>
      </c>
      <c r="AA48" s="23" t="str">
        <f aca="false">IF(X48="","",IF(Y48&gt;=3,MID(X48,8,6),""))</f>
        <v/>
      </c>
      <c r="AB48" s="23" t="str">
        <f aca="false">IF(X48="","",IF(Y48&gt;=4,MID(X48,15,6),""))</f>
        <v/>
      </c>
      <c r="AC48" s="23" t="str">
        <f aca="false">IF(X48="","",IF(Y48&gt;=5,MID(X48,22,6),""))</f>
        <v/>
      </c>
      <c r="AD48" s="23" t="str">
        <f aca="false">IF(X48="","",RIGHT(X48,6))</f>
        <v/>
      </c>
      <c r="AE48" s="23" t="str">
        <f aca="false">IF(F48="","",IF(ISNUMBER(SEARCH("-TK",UPPER(F48))),0,1))</f>
        <v/>
      </c>
      <c r="AF48" s="23" t="str">
        <f aca="false">IF(F48="","",IF(ISNUMBER(SEARCH("-LED",UPPER(F48))),1,0))</f>
        <v/>
      </c>
      <c r="AG48" s="24" t="n">
        <f aca="false">IF(Z48="",0,IFERROR(INDEX(Resep!$C$5:$C$7,MATCH(LEFT(Z48,3),Resep!$B$5:$B$7,0)),0))</f>
        <v>0</v>
      </c>
      <c r="AH48" s="24" t="n">
        <f aca="false">IF(AA48="",0,IFERROR(INDEX(Resep!$C$9:$C$13,MATCH(LEFT(AA48,3),Resep!$B$9:$B$13,0)),0))</f>
        <v>0</v>
      </c>
      <c r="AI48" s="24" t="n">
        <f aca="false">IF(AB48="",0,IFERROR(INDEX(Resep!$C$9:$C$13,MATCH(LEFT(AB48,3),Resep!$B$9:$B$13,0)),0))</f>
        <v>0</v>
      </c>
      <c r="AJ48" s="24" t="n">
        <f aca="false">IF(AC48="",0,IFERROR(INDEX(Resep!$C$9:$C$13,MATCH(LEFT(AC48,3),Resep!$B$9:$B$13,0)),0))</f>
        <v>0</v>
      </c>
      <c r="AK48" s="24" t="n">
        <f aca="false">IF(AD48="",0,IFERROR(INDEX(Resep!$C$15:$C$18,MATCH(LEFT(AD48,3),Resep!$B$15:$B$18,0)),0))</f>
        <v>0</v>
      </c>
      <c r="AL48" s="24" t="str">
        <f aca="false">IF(X48="","",AG48+AH48+AI48+AJ48+AK48)</f>
        <v/>
      </c>
      <c r="AM48" s="22" t="str">
        <f aca="false">IF(X48="","",AL48*(Pengaturan!$B$6+Pengaturan!$B$7)+Pengaturan!$B$8+AE48*Pengaturan!$B$9+AF48*Pengaturan!$B$10)</f>
        <v/>
      </c>
      <c r="AN48" s="22" t="str">
        <f aca="false">IF(X48="","",N(G48)-AM48)</f>
        <v/>
      </c>
      <c r="AO48" s="25" t="str">
        <f aca="false">IF(OR(X48="",N(G48)=0),"",AN48/G48)</f>
        <v/>
      </c>
    </row>
    <row r="49" customFormat="false" ht="15" hidden="false" customHeight="false" outlineLevel="0" collapsed="false">
      <c r="A49" s="19"/>
      <c r="B49" s="20"/>
      <c r="C49" s="19"/>
      <c r="D49" s="19"/>
      <c r="E49" s="19"/>
      <c r="F49" s="19"/>
      <c r="G49" s="21"/>
      <c r="H49" s="19"/>
      <c r="I49" s="21"/>
      <c r="J49" s="19"/>
      <c r="K49" s="20"/>
      <c r="L49" s="20"/>
      <c r="M49" s="19"/>
      <c r="N49" s="19"/>
      <c r="O49" s="20"/>
      <c r="P49" s="20"/>
      <c r="Q49" s="19"/>
      <c r="R49" s="22" t="str">
        <f aca="false">IF(A49="","",N(G49)+N(I49))</f>
        <v/>
      </c>
      <c r="S49" s="23" t="str">
        <f aca="false">IF(OR(K49="",O49=""),"",O49-K49)</f>
        <v/>
      </c>
      <c r="T49" s="23" t="str">
        <f aca="true">IF(AND(C49="Cetak",L49&lt;&gt;"",L49&lt;TODAY()),"YA","")</f>
        <v/>
      </c>
      <c r="U49" s="23" t="str">
        <f aca="false">IF(B49="","",TEXT(B49,"yyyy-mm"))</f>
        <v/>
      </c>
      <c r="V49" s="23" t="str">
        <f aca="false">IF(K49="","",TEXT(K49,"yyyy-mm"))</f>
        <v/>
      </c>
      <c r="W49" s="23" t="n">
        <f aca="false">IF(OR(C49="Cetak",C49="Dikirim",C49="Selesai"),1,0)</f>
        <v>0</v>
      </c>
      <c r="X49" s="23" t="str">
        <f aca="false">IF(F49="","",SUBSTITUTE(SUBSTITUTE(MID(UPPER(TRIM(F49)),4,99),"-LED",""),"-TK",""))</f>
        <v/>
      </c>
      <c r="Y49" s="23" t="str">
        <f aca="false">IF(X49="","",(LEN(X49)+1)/7)</f>
        <v/>
      </c>
      <c r="Z49" s="23" t="str">
        <f aca="false">IF(X49="","",LEFT(X49,6))</f>
        <v/>
      </c>
      <c r="AA49" s="23" t="str">
        <f aca="false">IF(X49="","",IF(Y49&gt;=3,MID(X49,8,6),""))</f>
        <v/>
      </c>
      <c r="AB49" s="23" t="str">
        <f aca="false">IF(X49="","",IF(Y49&gt;=4,MID(X49,15,6),""))</f>
        <v/>
      </c>
      <c r="AC49" s="23" t="str">
        <f aca="false">IF(X49="","",IF(Y49&gt;=5,MID(X49,22,6),""))</f>
        <v/>
      </c>
      <c r="AD49" s="23" t="str">
        <f aca="false">IF(X49="","",RIGHT(X49,6))</f>
        <v/>
      </c>
      <c r="AE49" s="23" t="str">
        <f aca="false">IF(F49="","",IF(ISNUMBER(SEARCH("-TK",UPPER(F49))),0,1))</f>
        <v/>
      </c>
      <c r="AF49" s="23" t="str">
        <f aca="false">IF(F49="","",IF(ISNUMBER(SEARCH("-LED",UPPER(F49))),1,0))</f>
        <v/>
      </c>
      <c r="AG49" s="24" t="n">
        <f aca="false">IF(Z49="",0,IFERROR(INDEX(Resep!$C$5:$C$7,MATCH(LEFT(Z49,3),Resep!$B$5:$B$7,0)),0))</f>
        <v>0</v>
      </c>
      <c r="AH49" s="24" t="n">
        <f aca="false">IF(AA49="",0,IFERROR(INDEX(Resep!$C$9:$C$13,MATCH(LEFT(AA49,3),Resep!$B$9:$B$13,0)),0))</f>
        <v>0</v>
      </c>
      <c r="AI49" s="24" t="n">
        <f aca="false">IF(AB49="",0,IFERROR(INDEX(Resep!$C$9:$C$13,MATCH(LEFT(AB49,3),Resep!$B$9:$B$13,0)),0))</f>
        <v>0</v>
      </c>
      <c r="AJ49" s="24" t="n">
        <f aca="false">IF(AC49="",0,IFERROR(INDEX(Resep!$C$9:$C$13,MATCH(LEFT(AC49,3),Resep!$B$9:$B$13,0)),0))</f>
        <v>0</v>
      </c>
      <c r="AK49" s="24" t="n">
        <f aca="false">IF(AD49="",0,IFERROR(INDEX(Resep!$C$15:$C$18,MATCH(LEFT(AD49,3),Resep!$B$15:$B$18,0)),0))</f>
        <v>0</v>
      </c>
      <c r="AL49" s="24" t="str">
        <f aca="false">IF(X49="","",AG49+AH49+AI49+AJ49+AK49)</f>
        <v/>
      </c>
      <c r="AM49" s="22" t="str">
        <f aca="false">IF(X49="","",AL49*(Pengaturan!$B$6+Pengaturan!$B$7)+Pengaturan!$B$8+AE49*Pengaturan!$B$9+AF49*Pengaturan!$B$10)</f>
        <v/>
      </c>
      <c r="AN49" s="22" t="str">
        <f aca="false">IF(X49="","",N(G49)-AM49)</f>
        <v/>
      </c>
      <c r="AO49" s="25" t="str">
        <f aca="false">IF(OR(X49="",N(G49)=0),"",AN49/G49)</f>
        <v/>
      </c>
    </row>
    <row r="50" customFormat="false" ht="15" hidden="false" customHeight="false" outlineLevel="0" collapsed="false">
      <c r="A50" s="19"/>
      <c r="B50" s="20"/>
      <c r="C50" s="19"/>
      <c r="D50" s="19"/>
      <c r="E50" s="19"/>
      <c r="F50" s="19"/>
      <c r="G50" s="21"/>
      <c r="H50" s="19"/>
      <c r="I50" s="21"/>
      <c r="J50" s="19"/>
      <c r="K50" s="20"/>
      <c r="L50" s="20"/>
      <c r="M50" s="19"/>
      <c r="N50" s="19"/>
      <c r="O50" s="20"/>
      <c r="P50" s="20"/>
      <c r="Q50" s="19"/>
      <c r="R50" s="22" t="str">
        <f aca="false">IF(A50="","",N(G50)+N(I50))</f>
        <v/>
      </c>
      <c r="S50" s="23" t="str">
        <f aca="false">IF(OR(K50="",O50=""),"",O50-K50)</f>
        <v/>
      </c>
      <c r="T50" s="23" t="str">
        <f aca="true">IF(AND(C50="Cetak",L50&lt;&gt;"",L50&lt;TODAY()),"YA","")</f>
        <v/>
      </c>
      <c r="U50" s="23" t="str">
        <f aca="false">IF(B50="","",TEXT(B50,"yyyy-mm"))</f>
        <v/>
      </c>
      <c r="V50" s="23" t="str">
        <f aca="false">IF(K50="","",TEXT(K50,"yyyy-mm"))</f>
        <v/>
      </c>
      <c r="W50" s="23" t="n">
        <f aca="false">IF(OR(C50="Cetak",C50="Dikirim",C50="Selesai"),1,0)</f>
        <v>0</v>
      </c>
      <c r="X50" s="23" t="str">
        <f aca="false">IF(F50="","",SUBSTITUTE(SUBSTITUTE(MID(UPPER(TRIM(F50)),4,99),"-LED",""),"-TK",""))</f>
        <v/>
      </c>
      <c r="Y50" s="23" t="str">
        <f aca="false">IF(X50="","",(LEN(X50)+1)/7)</f>
        <v/>
      </c>
      <c r="Z50" s="23" t="str">
        <f aca="false">IF(X50="","",LEFT(X50,6))</f>
        <v/>
      </c>
      <c r="AA50" s="23" t="str">
        <f aca="false">IF(X50="","",IF(Y50&gt;=3,MID(X50,8,6),""))</f>
        <v/>
      </c>
      <c r="AB50" s="23" t="str">
        <f aca="false">IF(X50="","",IF(Y50&gt;=4,MID(X50,15,6),""))</f>
        <v/>
      </c>
      <c r="AC50" s="23" t="str">
        <f aca="false">IF(X50="","",IF(Y50&gt;=5,MID(X50,22,6),""))</f>
        <v/>
      </c>
      <c r="AD50" s="23" t="str">
        <f aca="false">IF(X50="","",RIGHT(X50,6))</f>
        <v/>
      </c>
      <c r="AE50" s="23" t="str">
        <f aca="false">IF(F50="","",IF(ISNUMBER(SEARCH("-TK",UPPER(F50))),0,1))</f>
        <v/>
      </c>
      <c r="AF50" s="23" t="str">
        <f aca="false">IF(F50="","",IF(ISNUMBER(SEARCH("-LED",UPPER(F50))),1,0))</f>
        <v/>
      </c>
      <c r="AG50" s="24" t="n">
        <f aca="false">IF(Z50="",0,IFERROR(INDEX(Resep!$C$5:$C$7,MATCH(LEFT(Z50,3),Resep!$B$5:$B$7,0)),0))</f>
        <v>0</v>
      </c>
      <c r="AH50" s="24" t="n">
        <f aca="false">IF(AA50="",0,IFERROR(INDEX(Resep!$C$9:$C$13,MATCH(LEFT(AA50,3),Resep!$B$9:$B$13,0)),0))</f>
        <v>0</v>
      </c>
      <c r="AI50" s="24" t="n">
        <f aca="false">IF(AB50="",0,IFERROR(INDEX(Resep!$C$9:$C$13,MATCH(LEFT(AB50,3),Resep!$B$9:$B$13,0)),0))</f>
        <v>0</v>
      </c>
      <c r="AJ50" s="24" t="n">
        <f aca="false">IF(AC50="",0,IFERROR(INDEX(Resep!$C$9:$C$13,MATCH(LEFT(AC50,3),Resep!$B$9:$B$13,0)),0))</f>
        <v>0</v>
      </c>
      <c r="AK50" s="24" t="n">
        <f aca="false">IF(AD50="",0,IFERROR(INDEX(Resep!$C$15:$C$18,MATCH(LEFT(AD50,3),Resep!$B$15:$B$18,0)),0))</f>
        <v>0</v>
      </c>
      <c r="AL50" s="24" t="str">
        <f aca="false">IF(X50="","",AG50+AH50+AI50+AJ50+AK50)</f>
        <v/>
      </c>
      <c r="AM50" s="22" t="str">
        <f aca="false">IF(X50="","",AL50*(Pengaturan!$B$6+Pengaturan!$B$7)+Pengaturan!$B$8+AE50*Pengaturan!$B$9+AF50*Pengaturan!$B$10)</f>
        <v/>
      </c>
      <c r="AN50" s="22" t="str">
        <f aca="false">IF(X50="","",N(G50)-AM50)</f>
        <v/>
      </c>
      <c r="AO50" s="25" t="str">
        <f aca="false">IF(OR(X50="",N(G50)=0),"",AN50/G50)</f>
        <v/>
      </c>
    </row>
    <row r="51" customFormat="false" ht="15" hidden="false" customHeight="false" outlineLevel="0" collapsed="false">
      <c r="A51" s="19"/>
      <c r="B51" s="20"/>
      <c r="C51" s="19"/>
      <c r="D51" s="19"/>
      <c r="E51" s="19"/>
      <c r="F51" s="19"/>
      <c r="G51" s="21"/>
      <c r="H51" s="19"/>
      <c r="I51" s="21"/>
      <c r="J51" s="19"/>
      <c r="K51" s="20"/>
      <c r="L51" s="20"/>
      <c r="M51" s="19"/>
      <c r="N51" s="19"/>
      <c r="O51" s="20"/>
      <c r="P51" s="20"/>
      <c r="Q51" s="19"/>
      <c r="R51" s="22" t="str">
        <f aca="false">IF(A51="","",N(G51)+N(I51))</f>
        <v/>
      </c>
      <c r="S51" s="23" t="str">
        <f aca="false">IF(OR(K51="",O51=""),"",O51-K51)</f>
        <v/>
      </c>
      <c r="T51" s="23" t="str">
        <f aca="true">IF(AND(C51="Cetak",L51&lt;&gt;"",L51&lt;TODAY()),"YA","")</f>
        <v/>
      </c>
      <c r="U51" s="23" t="str">
        <f aca="false">IF(B51="","",TEXT(B51,"yyyy-mm"))</f>
        <v/>
      </c>
      <c r="V51" s="23" t="str">
        <f aca="false">IF(K51="","",TEXT(K51,"yyyy-mm"))</f>
        <v/>
      </c>
      <c r="W51" s="23" t="n">
        <f aca="false">IF(OR(C51="Cetak",C51="Dikirim",C51="Selesai"),1,0)</f>
        <v>0</v>
      </c>
      <c r="X51" s="23" t="str">
        <f aca="false">IF(F51="","",SUBSTITUTE(SUBSTITUTE(MID(UPPER(TRIM(F51)),4,99),"-LED",""),"-TK",""))</f>
        <v/>
      </c>
      <c r="Y51" s="23" t="str">
        <f aca="false">IF(X51="","",(LEN(X51)+1)/7)</f>
        <v/>
      </c>
      <c r="Z51" s="23" t="str">
        <f aca="false">IF(X51="","",LEFT(X51,6))</f>
        <v/>
      </c>
      <c r="AA51" s="23" t="str">
        <f aca="false">IF(X51="","",IF(Y51&gt;=3,MID(X51,8,6),""))</f>
        <v/>
      </c>
      <c r="AB51" s="23" t="str">
        <f aca="false">IF(X51="","",IF(Y51&gt;=4,MID(X51,15,6),""))</f>
        <v/>
      </c>
      <c r="AC51" s="23" t="str">
        <f aca="false">IF(X51="","",IF(Y51&gt;=5,MID(X51,22,6),""))</f>
        <v/>
      </c>
      <c r="AD51" s="23" t="str">
        <f aca="false">IF(X51="","",RIGHT(X51,6))</f>
        <v/>
      </c>
      <c r="AE51" s="23" t="str">
        <f aca="false">IF(F51="","",IF(ISNUMBER(SEARCH("-TK",UPPER(F51))),0,1))</f>
        <v/>
      </c>
      <c r="AF51" s="23" t="str">
        <f aca="false">IF(F51="","",IF(ISNUMBER(SEARCH("-LED",UPPER(F51))),1,0))</f>
        <v/>
      </c>
      <c r="AG51" s="24" t="n">
        <f aca="false">IF(Z51="",0,IFERROR(INDEX(Resep!$C$5:$C$7,MATCH(LEFT(Z51,3),Resep!$B$5:$B$7,0)),0))</f>
        <v>0</v>
      </c>
      <c r="AH51" s="24" t="n">
        <f aca="false">IF(AA51="",0,IFERROR(INDEX(Resep!$C$9:$C$13,MATCH(LEFT(AA51,3),Resep!$B$9:$B$13,0)),0))</f>
        <v>0</v>
      </c>
      <c r="AI51" s="24" t="n">
        <f aca="false">IF(AB51="",0,IFERROR(INDEX(Resep!$C$9:$C$13,MATCH(LEFT(AB51,3),Resep!$B$9:$B$13,0)),0))</f>
        <v>0</v>
      </c>
      <c r="AJ51" s="24" t="n">
        <f aca="false">IF(AC51="",0,IFERROR(INDEX(Resep!$C$9:$C$13,MATCH(LEFT(AC51,3),Resep!$B$9:$B$13,0)),0))</f>
        <v>0</v>
      </c>
      <c r="AK51" s="24" t="n">
        <f aca="false">IF(AD51="",0,IFERROR(INDEX(Resep!$C$15:$C$18,MATCH(LEFT(AD51,3),Resep!$B$15:$B$18,0)),0))</f>
        <v>0</v>
      </c>
      <c r="AL51" s="24" t="str">
        <f aca="false">IF(X51="","",AG51+AH51+AI51+AJ51+AK51)</f>
        <v/>
      </c>
      <c r="AM51" s="22" t="str">
        <f aca="false">IF(X51="","",AL51*(Pengaturan!$B$6+Pengaturan!$B$7)+Pengaturan!$B$8+AE51*Pengaturan!$B$9+AF51*Pengaturan!$B$10)</f>
        <v/>
      </c>
      <c r="AN51" s="22" t="str">
        <f aca="false">IF(X51="","",N(G51)-AM51)</f>
        <v/>
      </c>
      <c r="AO51" s="25" t="str">
        <f aca="false">IF(OR(X51="",N(G51)=0),"",AN51/G51)</f>
        <v/>
      </c>
    </row>
    <row r="52" customFormat="false" ht="15" hidden="false" customHeight="false" outlineLevel="0" collapsed="false">
      <c r="A52" s="19"/>
      <c r="B52" s="20"/>
      <c r="C52" s="19"/>
      <c r="D52" s="19"/>
      <c r="E52" s="19"/>
      <c r="F52" s="19"/>
      <c r="G52" s="21"/>
      <c r="H52" s="19"/>
      <c r="I52" s="21"/>
      <c r="J52" s="19"/>
      <c r="K52" s="20"/>
      <c r="L52" s="20"/>
      <c r="M52" s="19"/>
      <c r="N52" s="19"/>
      <c r="O52" s="20"/>
      <c r="P52" s="20"/>
      <c r="Q52" s="19"/>
      <c r="R52" s="22" t="str">
        <f aca="false">IF(A52="","",N(G52)+N(I52))</f>
        <v/>
      </c>
      <c r="S52" s="23" t="str">
        <f aca="false">IF(OR(K52="",O52=""),"",O52-K52)</f>
        <v/>
      </c>
      <c r="T52" s="23" t="str">
        <f aca="true">IF(AND(C52="Cetak",L52&lt;&gt;"",L52&lt;TODAY()),"YA","")</f>
        <v/>
      </c>
      <c r="U52" s="23" t="str">
        <f aca="false">IF(B52="","",TEXT(B52,"yyyy-mm"))</f>
        <v/>
      </c>
      <c r="V52" s="23" t="str">
        <f aca="false">IF(K52="","",TEXT(K52,"yyyy-mm"))</f>
        <v/>
      </c>
      <c r="W52" s="23" t="n">
        <f aca="false">IF(OR(C52="Cetak",C52="Dikirim",C52="Selesai"),1,0)</f>
        <v>0</v>
      </c>
      <c r="X52" s="23" t="str">
        <f aca="false">IF(F52="","",SUBSTITUTE(SUBSTITUTE(MID(UPPER(TRIM(F52)),4,99),"-LED",""),"-TK",""))</f>
        <v/>
      </c>
      <c r="Y52" s="23" t="str">
        <f aca="false">IF(X52="","",(LEN(X52)+1)/7)</f>
        <v/>
      </c>
      <c r="Z52" s="23" t="str">
        <f aca="false">IF(X52="","",LEFT(X52,6))</f>
        <v/>
      </c>
      <c r="AA52" s="23" t="str">
        <f aca="false">IF(X52="","",IF(Y52&gt;=3,MID(X52,8,6),""))</f>
        <v/>
      </c>
      <c r="AB52" s="23" t="str">
        <f aca="false">IF(X52="","",IF(Y52&gt;=4,MID(X52,15,6),""))</f>
        <v/>
      </c>
      <c r="AC52" s="23" t="str">
        <f aca="false">IF(X52="","",IF(Y52&gt;=5,MID(X52,22,6),""))</f>
        <v/>
      </c>
      <c r="AD52" s="23" t="str">
        <f aca="false">IF(X52="","",RIGHT(X52,6))</f>
        <v/>
      </c>
      <c r="AE52" s="23" t="str">
        <f aca="false">IF(F52="","",IF(ISNUMBER(SEARCH("-TK",UPPER(F52))),0,1))</f>
        <v/>
      </c>
      <c r="AF52" s="23" t="str">
        <f aca="false">IF(F52="","",IF(ISNUMBER(SEARCH("-LED",UPPER(F52))),1,0))</f>
        <v/>
      </c>
      <c r="AG52" s="24" t="n">
        <f aca="false">IF(Z52="",0,IFERROR(INDEX(Resep!$C$5:$C$7,MATCH(LEFT(Z52,3),Resep!$B$5:$B$7,0)),0))</f>
        <v>0</v>
      </c>
      <c r="AH52" s="24" t="n">
        <f aca="false">IF(AA52="",0,IFERROR(INDEX(Resep!$C$9:$C$13,MATCH(LEFT(AA52,3),Resep!$B$9:$B$13,0)),0))</f>
        <v>0</v>
      </c>
      <c r="AI52" s="24" t="n">
        <f aca="false">IF(AB52="",0,IFERROR(INDEX(Resep!$C$9:$C$13,MATCH(LEFT(AB52,3),Resep!$B$9:$B$13,0)),0))</f>
        <v>0</v>
      </c>
      <c r="AJ52" s="24" t="n">
        <f aca="false">IF(AC52="",0,IFERROR(INDEX(Resep!$C$9:$C$13,MATCH(LEFT(AC52,3),Resep!$B$9:$B$13,0)),0))</f>
        <v>0</v>
      </c>
      <c r="AK52" s="24" t="n">
        <f aca="false">IF(AD52="",0,IFERROR(INDEX(Resep!$C$15:$C$18,MATCH(LEFT(AD52,3),Resep!$B$15:$B$18,0)),0))</f>
        <v>0</v>
      </c>
      <c r="AL52" s="24" t="str">
        <f aca="false">IF(X52="","",AG52+AH52+AI52+AJ52+AK52)</f>
        <v/>
      </c>
      <c r="AM52" s="22" t="str">
        <f aca="false">IF(X52="","",AL52*(Pengaturan!$B$6+Pengaturan!$B$7)+Pengaturan!$B$8+AE52*Pengaturan!$B$9+AF52*Pengaturan!$B$10)</f>
        <v/>
      </c>
      <c r="AN52" s="22" t="str">
        <f aca="false">IF(X52="","",N(G52)-AM52)</f>
        <v/>
      </c>
      <c r="AO52" s="25" t="str">
        <f aca="false">IF(OR(X52="",N(G52)=0),"",AN52/G52)</f>
        <v/>
      </c>
    </row>
    <row r="53" customFormat="false" ht="15" hidden="false" customHeight="false" outlineLevel="0" collapsed="false">
      <c r="A53" s="19"/>
      <c r="B53" s="20"/>
      <c r="C53" s="19"/>
      <c r="D53" s="19"/>
      <c r="E53" s="19"/>
      <c r="F53" s="19"/>
      <c r="G53" s="21"/>
      <c r="H53" s="19"/>
      <c r="I53" s="21"/>
      <c r="J53" s="19"/>
      <c r="K53" s="20"/>
      <c r="L53" s="20"/>
      <c r="M53" s="19"/>
      <c r="N53" s="19"/>
      <c r="O53" s="20"/>
      <c r="P53" s="20"/>
      <c r="Q53" s="19"/>
      <c r="R53" s="22" t="str">
        <f aca="false">IF(A53="","",N(G53)+N(I53))</f>
        <v/>
      </c>
      <c r="S53" s="23" t="str">
        <f aca="false">IF(OR(K53="",O53=""),"",O53-K53)</f>
        <v/>
      </c>
      <c r="T53" s="23" t="str">
        <f aca="true">IF(AND(C53="Cetak",L53&lt;&gt;"",L53&lt;TODAY()),"YA","")</f>
        <v/>
      </c>
      <c r="U53" s="23" t="str">
        <f aca="false">IF(B53="","",TEXT(B53,"yyyy-mm"))</f>
        <v/>
      </c>
      <c r="V53" s="23" t="str">
        <f aca="false">IF(K53="","",TEXT(K53,"yyyy-mm"))</f>
        <v/>
      </c>
      <c r="W53" s="23" t="n">
        <f aca="false">IF(OR(C53="Cetak",C53="Dikirim",C53="Selesai"),1,0)</f>
        <v>0</v>
      </c>
      <c r="X53" s="23" t="str">
        <f aca="false">IF(F53="","",SUBSTITUTE(SUBSTITUTE(MID(UPPER(TRIM(F53)),4,99),"-LED",""),"-TK",""))</f>
        <v/>
      </c>
      <c r="Y53" s="23" t="str">
        <f aca="false">IF(X53="","",(LEN(X53)+1)/7)</f>
        <v/>
      </c>
      <c r="Z53" s="23" t="str">
        <f aca="false">IF(X53="","",LEFT(X53,6))</f>
        <v/>
      </c>
      <c r="AA53" s="23" t="str">
        <f aca="false">IF(X53="","",IF(Y53&gt;=3,MID(X53,8,6),""))</f>
        <v/>
      </c>
      <c r="AB53" s="23" t="str">
        <f aca="false">IF(X53="","",IF(Y53&gt;=4,MID(X53,15,6),""))</f>
        <v/>
      </c>
      <c r="AC53" s="23" t="str">
        <f aca="false">IF(X53="","",IF(Y53&gt;=5,MID(X53,22,6),""))</f>
        <v/>
      </c>
      <c r="AD53" s="23" t="str">
        <f aca="false">IF(X53="","",RIGHT(X53,6))</f>
        <v/>
      </c>
      <c r="AE53" s="23" t="str">
        <f aca="false">IF(F53="","",IF(ISNUMBER(SEARCH("-TK",UPPER(F53))),0,1))</f>
        <v/>
      </c>
      <c r="AF53" s="23" t="str">
        <f aca="false">IF(F53="","",IF(ISNUMBER(SEARCH("-LED",UPPER(F53))),1,0))</f>
        <v/>
      </c>
      <c r="AG53" s="24" t="n">
        <f aca="false">IF(Z53="",0,IFERROR(INDEX(Resep!$C$5:$C$7,MATCH(LEFT(Z53,3),Resep!$B$5:$B$7,0)),0))</f>
        <v>0</v>
      </c>
      <c r="AH53" s="24" t="n">
        <f aca="false">IF(AA53="",0,IFERROR(INDEX(Resep!$C$9:$C$13,MATCH(LEFT(AA53,3),Resep!$B$9:$B$13,0)),0))</f>
        <v>0</v>
      </c>
      <c r="AI53" s="24" t="n">
        <f aca="false">IF(AB53="",0,IFERROR(INDEX(Resep!$C$9:$C$13,MATCH(LEFT(AB53,3),Resep!$B$9:$B$13,0)),0))</f>
        <v>0</v>
      </c>
      <c r="AJ53" s="24" t="n">
        <f aca="false">IF(AC53="",0,IFERROR(INDEX(Resep!$C$9:$C$13,MATCH(LEFT(AC53,3),Resep!$B$9:$B$13,0)),0))</f>
        <v>0</v>
      </c>
      <c r="AK53" s="24" t="n">
        <f aca="false">IF(AD53="",0,IFERROR(INDEX(Resep!$C$15:$C$18,MATCH(LEFT(AD53,3),Resep!$B$15:$B$18,0)),0))</f>
        <v>0</v>
      </c>
      <c r="AL53" s="24" t="str">
        <f aca="false">IF(X53="","",AG53+AH53+AI53+AJ53+AK53)</f>
        <v/>
      </c>
      <c r="AM53" s="22" t="str">
        <f aca="false">IF(X53="","",AL53*(Pengaturan!$B$6+Pengaturan!$B$7)+Pengaturan!$B$8+AE53*Pengaturan!$B$9+AF53*Pengaturan!$B$10)</f>
        <v/>
      </c>
      <c r="AN53" s="22" t="str">
        <f aca="false">IF(X53="","",N(G53)-AM53)</f>
        <v/>
      </c>
      <c r="AO53" s="25" t="str">
        <f aca="false">IF(OR(X53="",N(G53)=0),"",AN53/G53)</f>
        <v/>
      </c>
    </row>
    <row r="54" customFormat="false" ht="15" hidden="false" customHeight="false" outlineLevel="0" collapsed="false">
      <c r="A54" s="19"/>
      <c r="B54" s="20"/>
      <c r="C54" s="19"/>
      <c r="D54" s="19"/>
      <c r="E54" s="19"/>
      <c r="F54" s="19"/>
      <c r="G54" s="21"/>
      <c r="H54" s="19"/>
      <c r="I54" s="21"/>
      <c r="J54" s="19"/>
      <c r="K54" s="20"/>
      <c r="L54" s="20"/>
      <c r="M54" s="19"/>
      <c r="N54" s="19"/>
      <c r="O54" s="20"/>
      <c r="P54" s="20"/>
      <c r="Q54" s="19"/>
      <c r="R54" s="22" t="str">
        <f aca="false">IF(A54="","",N(G54)+N(I54))</f>
        <v/>
      </c>
      <c r="S54" s="23" t="str">
        <f aca="false">IF(OR(K54="",O54=""),"",O54-K54)</f>
        <v/>
      </c>
      <c r="T54" s="23" t="str">
        <f aca="true">IF(AND(C54="Cetak",L54&lt;&gt;"",L54&lt;TODAY()),"YA","")</f>
        <v/>
      </c>
      <c r="U54" s="23" t="str">
        <f aca="false">IF(B54="","",TEXT(B54,"yyyy-mm"))</f>
        <v/>
      </c>
      <c r="V54" s="23" t="str">
        <f aca="false">IF(K54="","",TEXT(K54,"yyyy-mm"))</f>
        <v/>
      </c>
      <c r="W54" s="23" t="n">
        <f aca="false">IF(OR(C54="Cetak",C54="Dikirim",C54="Selesai"),1,0)</f>
        <v>0</v>
      </c>
      <c r="X54" s="23" t="str">
        <f aca="false">IF(F54="","",SUBSTITUTE(SUBSTITUTE(MID(UPPER(TRIM(F54)),4,99),"-LED",""),"-TK",""))</f>
        <v/>
      </c>
      <c r="Y54" s="23" t="str">
        <f aca="false">IF(X54="","",(LEN(X54)+1)/7)</f>
        <v/>
      </c>
      <c r="Z54" s="23" t="str">
        <f aca="false">IF(X54="","",LEFT(X54,6))</f>
        <v/>
      </c>
      <c r="AA54" s="23" t="str">
        <f aca="false">IF(X54="","",IF(Y54&gt;=3,MID(X54,8,6),""))</f>
        <v/>
      </c>
      <c r="AB54" s="23" t="str">
        <f aca="false">IF(X54="","",IF(Y54&gt;=4,MID(X54,15,6),""))</f>
        <v/>
      </c>
      <c r="AC54" s="23" t="str">
        <f aca="false">IF(X54="","",IF(Y54&gt;=5,MID(X54,22,6),""))</f>
        <v/>
      </c>
      <c r="AD54" s="23" t="str">
        <f aca="false">IF(X54="","",RIGHT(X54,6))</f>
        <v/>
      </c>
      <c r="AE54" s="23" t="str">
        <f aca="false">IF(F54="","",IF(ISNUMBER(SEARCH("-TK",UPPER(F54))),0,1))</f>
        <v/>
      </c>
      <c r="AF54" s="23" t="str">
        <f aca="false">IF(F54="","",IF(ISNUMBER(SEARCH("-LED",UPPER(F54))),1,0))</f>
        <v/>
      </c>
      <c r="AG54" s="24" t="n">
        <f aca="false">IF(Z54="",0,IFERROR(INDEX(Resep!$C$5:$C$7,MATCH(LEFT(Z54,3),Resep!$B$5:$B$7,0)),0))</f>
        <v>0</v>
      </c>
      <c r="AH54" s="24" t="n">
        <f aca="false">IF(AA54="",0,IFERROR(INDEX(Resep!$C$9:$C$13,MATCH(LEFT(AA54,3),Resep!$B$9:$B$13,0)),0))</f>
        <v>0</v>
      </c>
      <c r="AI54" s="24" t="n">
        <f aca="false">IF(AB54="",0,IFERROR(INDEX(Resep!$C$9:$C$13,MATCH(LEFT(AB54,3),Resep!$B$9:$B$13,0)),0))</f>
        <v>0</v>
      </c>
      <c r="AJ54" s="24" t="n">
        <f aca="false">IF(AC54="",0,IFERROR(INDEX(Resep!$C$9:$C$13,MATCH(LEFT(AC54,3),Resep!$B$9:$B$13,0)),0))</f>
        <v>0</v>
      </c>
      <c r="AK54" s="24" t="n">
        <f aca="false">IF(AD54="",0,IFERROR(INDEX(Resep!$C$15:$C$18,MATCH(LEFT(AD54,3),Resep!$B$15:$B$18,0)),0))</f>
        <v>0</v>
      </c>
      <c r="AL54" s="24" t="str">
        <f aca="false">IF(X54="","",AG54+AH54+AI54+AJ54+AK54)</f>
        <v/>
      </c>
      <c r="AM54" s="22" t="str">
        <f aca="false">IF(X54="","",AL54*(Pengaturan!$B$6+Pengaturan!$B$7)+Pengaturan!$B$8+AE54*Pengaturan!$B$9+AF54*Pengaturan!$B$10)</f>
        <v/>
      </c>
      <c r="AN54" s="22" t="str">
        <f aca="false">IF(X54="","",N(G54)-AM54)</f>
        <v/>
      </c>
      <c r="AO54" s="25" t="str">
        <f aca="false">IF(OR(X54="",N(G54)=0),"",AN54/G54)</f>
        <v/>
      </c>
    </row>
    <row r="55" customFormat="false" ht="15" hidden="false" customHeight="false" outlineLevel="0" collapsed="false">
      <c r="A55" s="19"/>
      <c r="B55" s="20"/>
      <c r="C55" s="19"/>
      <c r="D55" s="19"/>
      <c r="E55" s="19"/>
      <c r="F55" s="19"/>
      <c r="G55" s="21"/>
      <c r="H55" s="19"/>
      <c r="I55" s="21"/>
      <c r="J55" s="19"/>
      <c r="K55" s="20"/>
      <c r="L55" s="20"/>
      <c r="M55" s="19"/>
      <c r="N55" s="19"/>
      <c r="O55" s="20"/>
      <c r="P55" s="20"/>
      <c r="Q55" s="19"/>
      <c r="R55" s="22" t="str">
        <f aca="false">IF(A55="","",N(G55)+N(I55))</f>
        <v/>
      </c>
      <c r="S55" s="23" t="str">
        <f aca="false">IF(OR(K55="",O55=""),"",O55-K55)</f>
        <v/>
      </c>
      <c r="T55" s="23" t="str">
        <f aca="true">IF(AND(C55="Cetak",L55&lt;&gt;"",L55&lt;TODAY()),"YA","")</f>
        <v/>
      </c>
      <c r="U55" s="23" t="str">
        <f aca="false">IF(B55="","",TEXT(B55,"yyyy-mm"))</f>
        <v/>
      </c>
      <c r="V55" s="23" t="str">
        <f aca="false">IF(K55="","",TEXT(K55,"yyyy-mm"))</f>
        <v/>
      </c>
      <c r="W55" s="23" t="n">
        <f aca="false">IF(OR(C55="Cetak",C55="Dikirim",C55="Selesai"),1,0)</f>
        <v>0</v>
      </c>
      <c r="X55" s="23" t="str">
        <f aca="false">IF(F55="","",SUBSTITUTE(SUBSTITUTE(MID(UPPER(TRIM(F55)),4,99),"-LED",""),"-TK",""))</f>
        <v/>
      </c>
      <c r="Y55" s="23" t="str">
        <f aca="false">IF(X55="","",(LEN(X55)+1)/7)</f>
        <v/>
      </c>
      <c r="Z55" s="23" t="str">
        <f aca="false">IF(X55="","",LEFT(X55,6))</f>
        <v/>
      </c>
      <c r="AA55" s="23" t="str">
        <f aca="false">IF(X55="","",IF(Y55&gt;=3,MID(X55,8,6),""))</f>
        <v/>
      </c>
      <c r="AB55" s="23" t="str">
        <f aca="false">IF(X55="","",IF(Y55&gt;=4,MID(X55,15,6),""))</f>
        <v/>
      </c>
      <c r="AC55" s="23" t="str">
        <f aca="false">IF(X55="","",IF(Y55&gt;=5,MID(X55,22,6),""))</f>
        <v/>
      </c>
      <c r="AD55" s="23" t="str">
        <f aca="false">IF(X55="","",RIGHT(X55,6))</f>
        <v/>
      </c>
      <c r="AE55" s="23" t="str">
        <f aca="false">IF(F55="","",IF(ISNUMBER(SEARCH("-TK",UPPER(F55))),0,1))</f>
        <v/>
      </c>
      <c r="AF55" s="23" t="str">
        <f aca="false">IF(F55="","",IF(ISNUMBER(SEARCH("-LED",UPPER(F55))),1,0))</f>
        <v/>
      </c>
      <c r="AG55" s="24" t="n">
        <f aca="false">IF(Z55="",0,IFERROR(INDEX(Resep!$C$5:$C$7,MATCH(LEFT(Z55,3),Resep!$B$5:$B$7,0)),0))</f>
        <v>0</v>
      </c>
      <c r="AH55" s="24" t="n">
        <f aca="false">IF(AA55="",0,IFERROR(INDEX(Resep!$C$9:$C$13,MATCH(LEFT(AA55,3),Resep!$B$9:$B$13,0)),0))</f>
        <v>0</v>
      </c>
      <c r="AI55" s="24" t="n">
        <f aca="false">IF(AB55="",0,IFERROR(INDEX(Resep!$C$9:$C$13,MATCH(LEFT(AB55,3),Resep!$B$9:$B$13,0)),0))</f>
        <v>0</v>
      </c>
      <c r="AJ55" s="24" t="n">
        <f aca="false">IF(AC55="",0,IFERROR(INDEX(Resep!$C$9:$C$13,MATCH(LEFT(AC55,3),Resep!$B$9:$B$13,0)),0))</f>
        <v>0</v>
      </c>
      <c r="AK55" s="24" t="n">
        <f aca="false">IF(AD55="",0,IFERROR(INDEX(Resep!$C$15:$C$18,MATCH(LEFT(AD55,3),Resep!$B$15:$B$18,0)),0))</f>
        <v>0</v>
      </c>
      <c r="AL55" s="24" t="str">
        <f aca="false">IF(X55="","",AG55+AH55+AI55+AJ55+AK55)</f>
        <v/>
      </c>
      <c r="AM55" s="22" t="str">
        <f aca="false">IF(X55="","",AL55*(Pengaturan!$B$6+Pengaturan!$B$7)+Pengaturan!$B$8+AE55*Pengaturan!$B$9+AF55*Pengaturan!$B$10)</f>
        <v/>
      </c>
      <c r="AN55" s="22" t="str">
        <f aca="false">IF(X55="","",N(G55)-AM55)</f>
        <v/>
      </c>
      <c r="AO55" s="25" t="str">
        <f aca="false">IF(OR(X55="",N(G55)=0),"",AN55/G55)</f>
        <v/>
      </c>
    </row>
    <row r="56" customFormat="false" ht="15" hidden="false" customHeight="false" outlineLevel="0" collapsed="false">
      <c r="A56" s="19"/>
      <c r="B56" s="20"/>
      <c r="C56" s="19"/>
      <c r="D56" s="19"/>
      <c r="E56" s="19"/>
      <c r="F56" s="19"/>
      <c r="G56" s="21"/>
      <c r="H56" s="19"/>
      <c r="I56" s="21"/>
      <c r="J56" s="19"/>
      <c r="K56" s="20"/>
      <c r="L56" s="20"/>
      <c r="M56" s="19"/>
      <c r="N56" s="19"/>
      <c r="O56" s="20"/>
      <c r="P56" s="20"/>
      <c r="Q56" s="19"/>
      <c r="R56" s="22" t="str">
        <f aca="false">IF(A56="","",N(G56)+N(I56))</f>
        <v/>
      </c>
      <c r="S56" s="23" t="str">
        <f aca="false">IF(OR(K56="",O56=""),"",O56-K56)</f>
        <v/>
      </c>
      <c r="T56" s="23" t="str">
        <f aca="true">IF(AND(C56="Cetak",L56&lt;&gt;"",L56&lt;TODAY()),"YA","")</f>
        <v/>
      </c>
      <c r="U56" s="23" t="str">
        <f aca="false">IF(B56="","",TEXT(B56,"yyyy-mm"))</f>
        <v/>
      </c>
      <c r="V56" s="23" t="str">
        <f aca="false">IF(K56="","",TEXT(K56,"yyyy-mm"))</f>
        <v/>
      </c>
      <c r="W56" s="23" t="n">
        <f aca="false">IF(OR(C56="Cetak",C56="Dikirim",C56="Selesai"),1,0)</f>
        <v>0</v>
      </c>
      <c r="X56" s="23" t="str">
        <f aca="false">IF(F56="","",SUBSTITUTE(SUBSTITUTE(MID(UPPER(TRIM(F56)),4,99),"-LED",""),"-TK",""))</f>
        <v/>
      </c>
      <c r="Y56" s="23" t="str">
        <f aca="false">IF(X56="","",(LEN(X56)+1)/7)</f>
        <v/>
      </c>
      <c r="Z56" s="23" t="str">
        <f aca="false">IF(X56="","",LEFT(X56,6))</f>
        <v/>
      </c>
      <c r="AA56" s="23" t="str">
        <f aca="false">IF(X56="","",IF(Y56&gt;=3,MID(X56,8,6),""))</f>
        <v/>
      </c>
      <c r="AB56" s="23" t="str">
        <f aca="false">IF(X56="","",IF(Y56&gt;=4,MID(X56,15,6),""))</f>
        <v/>
      </c>
      <c r="AC56" s="23" t="str">
        <f aca="false">IF(X56="","",IF(Y56&gt;=5,MID(X56,22,6),""))</f>
        <v/>
      </c>
      <c r="AD56" s="23" t="str">
        <f aca="false">IF(X56="","",RIGHT(X56,6))</f>
        <v/>
      </c>
      <c r="AE56" s="23" t="str">
        <f aca="false">IF(F56="","",IF(ISNUMBER(SEARCH("-TK",UPPER(F56))),0,1))</f>
        <v/>
      </c>
      <c r="AF56" s="23" t="str">
        <f aca="false">IF(F56="","",IF(ISNUMBER(SEARCH("-LED",UPPER(F56))),1,0))</f>
        <v/>
      </c>
      <c r="AG56" s="24" t="n">
        <f aca="false">IF(Z56="",0,IFERROR(INDEX(Resep!$C$5:$C$7,MATCH(LEFT(Z56,3),Resep!$B$5:$B$7,0)),0))</f>
        <v>0</v>
      </c>
      <c r="AH56" s="24" t="n">
        <f aca="false">IF(AA56="",0,IFERROR(INDEX(Resep!$C$9:$C$13,MATCH(LEFT(AA56,3),Resep!$B$9:$B$13,0)),0))</f>
        <v>0</v>
      </c>
      <c r="AI56" s="24" t="n">
        <f aca="false">IF(AB56="",0,IFERROR(INDEX(Resep!$C$9:$C$13,MATCH(LEFT(AB56,3),Resep!$B$9:$B$13,0)),0))</f>
        <v>0</v>
      </c>
      <c r="AJ56" s="24" t="n">
        <f aca="false">IF(AC56="",0,IFERROR(INDEX(Resep!$C$9:$C$13,MATCH(LEFT(AC56,3),Resep!$B$9:$B$13,0)),0))</f>
        <v>0</v>
      </c>
      <c r="AK56" s="24" t="n">
        <f aca="false">IF(AD56="",0,IFERROR(INDEX(Resep!$C$15:$C$18,MATCH(LEFT(AD56,3),Resep!$B$15:$B$18,0)),0))</f>
        <v>0</v>
      </c>
      <c r="AL56" s="24" t="str">
        <f aca="false">IF(X56="","",AG56+AH56+AI56+AJ56+AK56)</f>
        <v/>
      </c>
      <c r="AM56" s="22" t="str">
        <f aca="false">IF(X56="","",AL56*(Pengaturan!$B$6+Pengaturan!$B$7)+Pengaturan!$B$8+AE56*Pengaturan!$B$9+AF56*Pengaturan!$B$10)</f>
        <v/>
      </c>
      <c r="AN56" s="22" t="str">
        <f aca="false">IF(X56="","",N(G56)-AM56)</f>
        <v/>
      </c>
      <c r="AO56" s="25" t="str">
        <f aca="false">IF(OR(X56="",N(G56)=0),"",AN56/G56)</f>
        <v/>
      </c>
    </row>
    <row r="57" customFormat="false" ht="15" hidden="false" customHeight="false" outlineLevel="0" collapsed="false">
      <c r="A57" s="19"/>
      <c r="B57" s="20"/>
      <c r="C57" s="19"/>
      <c r="D57" s="19"/>
      <c r="E57" s="19"/>
      <c r="F57" s="19"/>
      <c r="G57" s="21"/>
      <c r="H57" s="19"/>
      <c r="I57" s="21"/>
      <c r="J57" s="19"/>
      <c r="K57" s="20"/>
      <c r="L57" s="20"/>
      <c r="M57" s="19"/>
      <c r="N57" s="19"/>
      <c r="O57" s="20"/>
      <c r="P57" s="20"/>
      <c r="Q57" s="19"/>
      <c r="R57" s="22" t="str">
        <f aca="false">IF(A57="","",N(G57)+N(I57))</f>
        <v/>
      </c>
      <c r="S57" s="23" t="str">
        <f aca="false">IF(OR(K57="",O57=""),"",O57-K57)</f>
        <v/>
      </c>
      <c r="T57" s="23" t="str">
        <f aca="true">IF(AND(C57="Cetak",L57&lt;&gt;"",L57&lt;TODAY()),"YA","")</f>
        <v/>
      </c>
      <c r="U57" s="23" t="str">
        <f aca="false">IF(B57="","",TEXT(B57,"yyyy-mm"))</f>
        <v/>
      </c>
      <c r="V57" s="23" t="str">
        <f aca="false">IF(K57="","",TEXT(K57,"yyyy-mm"))</f>
        <v/>
      </c>
      <c r="W57" s="23" t="n">
        <f aca="false">IF(OR(C57="Cetak",C57="Dikirim",C57="Selesai"),1,0)</f>
        <v>0</v>
      </c>
      <c r="X57" s="23" t="str">
        <f aca="false">IF(F57="","",SUBSTITUTE(SUBSTITUTE(MID(UPPER(TRIM(F57)),4,99),"-LED",""),"-TK",""))</f>
        <v/>
      </c>
      <c r="Y57" s="23" t="str">
        <f aca="false">IF(X57="","",(LEN(X57)+1)/7)</f>
        <v/>
      </c>
      <c r="Z57" s="23" t="str">
        <f aca="false">IF(X57="","",LEFT(X57,6))</f>
        <v/>
      </c>
      <c r="AA57" s="23" t="str">
        <f aca="false">IF(X57="","",IF(Y57&gt;=3,MID(X57,8,6),""))</f>
        <v/>
      </c>
      <c r="AB57" s="23" t="str">
        <f aca="false">IF(X57="","",IF(Y57&gt;=4,MID(X57,15,6),""))</f>
        <v/>
      </c>
      <c r="AC57" s="23" t="str">
        <f aca="false">IF(X57="","",IF(Y57&gt;=5,MID(X57,22,6),""))</f>
        <v/>
      </c>
      <c r="AD57" s="23" t="str">
        <f aca="false">IF(X57="","",RIGHT(X57,6))</f>
        <v/>
      </c>
      <c r="AE57" s="23" t="str">
        <f aca="false">IF(F57="","",IF(ISNUMBER(SEARCH("-TK",UPPER(F57))),0,1))</f>
        <v/>
      </c>
      <c r="AF57" s="23" t="str">
        <f aca="false">IF(F57="","",IF(ISNUMBER(SEARCH("-LED",UPPER(F57))),1,0))</f>
        <v/>
      </c>
      <c r="AG57" s="24" t="n">
        <f aca="false">IF(Z57="",0,IFERROR(INDEX(Resep!$C$5:$C$7,MATCH(LEFT(Z57,3),Resep!$B$5:$B$7,0)),0))</f>
        <v>0</v>
      </c>
      <c r="AH57" s="24" t="n">
        <f aca="false">IF(AA57="",0,IFERROR(INDEX(Resep!$C$9:$C$13,MATCH(LEFT(AA57,3),Resep!$B$9:$B$13,0)),0))</f>
        <v>0</v>
      </c>
      <c r="AI57" s="24" t="n">
        <f aca="false">IF(AB57="",0,IFERROR(INDEX(Resep!$C$9:$C$13,MATCH(LEFT(AB57,3),Resep!$B$9:$B$13,0)),0))</f>
        <v>0</v>
      </c>
      <c r="AJ57" s="24" t="n">
        <f aca="false">IF(AC57="",0,IFERROR(INDEX(Resep!$C$9:$C$13,MATCH(LEFT(AC57,3),Resep!$B$9:$B$13,0)),0))</f>
        <v>0</v>
      </c>
      <c r="AK57" s="24" t="n">
        <f aca="false">IF(AD57="",0,IFERROR(INDEX(Resep!$C$15:$C$18,MATCH(LEFT(AD57,3),Resep!$B$15:$B$18,0)),0))</f>
        <v>0</v>
      </c>
      <c r="AL57" s="24" t="str">
        <f aca="false">IF(X57="","",AG57+AH57+AI57+AJ57+AK57)</f>
        <v/>
      </c>
      <c r="AM57" s="22" t="str">
        <f aca="false">IF(X57="","",AL57*(Pengaturan!$B$6+Pengaturan!$B$7)+Pengaturan!$B$8+AE57*Pengaturan!$B$9+AF57*Pengaturan!$B$10)</f>
        <v/>
      </c>
      <c r="AN57" s="22" t="str">
        <f aca="false">IF(X57="","",N(G57)-AM57)</f>
        <v/>
      </c>
      <c r="AO57" s="25" t="str">
        <f aca="false">IF(OR(X57="",N(G57)=0),"",AN57/G57)</f>
        <v/>
      </c>
    </row>
    <row r="58" customFormat="false" ht="15" hidden="false" customHeight="false" outlineLevel="0" collapsed="false">
      <c r="A58" s="19"/>
      <c r="B58" s="20"/>
      <c r="C58" s="19"/>
      <c r="D58" s="19"/>
      <c r="E58" s="19"/>
      <c r="F58" s="19"/>
      <c r="G58" s="21"/>
      <c r="H58" s="19"/>
      <c r="I58" s="21"/>
      <c r="J58" s="19"/>
      <c r="K58" s="20"/>
      <c r="L58" s="20"/>
      <c r="M58" s="19"/>
      <c r="N58" s="19"/>
      <c r="O58" s="20"/>
      <c r="P58" s="20"/>
      <c r="Q58" s="19"/>
      <c r="R58" s="22" t="str">
        <f aca="false">IF(A58="","",N(G58)+N(I58))</f>
        <v/>
      </c>
      <c r="S58" s="23" t="str">
        <f aca="false">IF(OR(K58="",O58=""),"",O58-K58)</f>
        <v/>
      </c>
      <c r="T58" s="23" t="str">
        <f aca="true">IF(AND(C58="Cetak",L58&lt;&gt;"",L58&lt;TODAY()),"YA","")</f>
        <v/>
      </c>
      <c r="U58" s="23" t="str">
        <f aca="false">IF(B58="","",TEXT(B58,"yyyy-mm"))</f>
        <v/>
      </c>
      <c r="V58" s="23" t="str">
        <f aca="false">IF(K58="","",TEXT(K58,"yyyy-mm"))</f>
        <v/>
      </c>
      <c r="W58" s="23" t="n">
        <f aca="false">IF(OR(C58="Cetak",C58="Dikirim",C58="Selesai"),1,0)</f>
        <v>0</v>
      </c>
      <c r="X58" s="23" t="str">
        <f aca="false">IF(F58="","",SUBSTITUTE(SUBSTITUTE(MID(UPPER(TRIM(F58)),4,99),"-LED",""),"-TK",""))</f>
        <v/>
      </c>
      <c r="Y58" s="23" t="str">
        <f aca="false">IF(X58="","",(LEN(X58)+1)/7)</f>
        <v/>
      </c>
      <c r="Z58" s="23" t="str">
        <f aca="false">IF(X58="","",LEFT(X58,6))</f>
        <v/>
      </c>
      <c r="AA58" s="23" t="str">
        <f aca="false">IF(X58="","",IF(Y58&gt;=3,MID(X58,8,6),""))</f>
        <v/>
      </c>
      <c r="AB58" s="23" t="str">
        <f aca="false">IF(X58="","",IF(Y58&gt;=4,MID(X58,15,6),""))</f>
        <v/>
      </c>
      <c r="AC58" s="23" t="str">
        <f aca="false">IF(X58="","",IF(Y58&gt;=5,MID(X58,22,6),""))</f>
        <v/>
      </c>
      <c r="AD58" s="23" t="str">
        <f aca="false">IF(X58="","",RIGHT(X58,6))</f>
        <v/>
      </c>
      <c r="AE58" s="23" t="str">
        <f aca="false">IF(F58="","",IF(ISNUMBER(SEARCH("-TK",UPPER(F58))),0,1))</f>
        <v/>
      </c>
      <c r="AF58" s="23" t="str">
        <f aca="false">IF(F58="","",IF(ISNUMBER(SEARCH("-LED",UPPER(F58))),1,0))</f>
        <v/>
      </c>
      <c r="AG58" s="24" t="n">
        <f aca="false">IF(Z58="",0,IFERROR(INDEX(Resep!$C$5:$C$7,MATCH(LEFT(Z58,3),Resep!$B$5:$B$7,0)),0))</f>
        <v>0</v>
      </c>
      <c r="AH58" s="24" t="n">
        <f aca="false">IF(AA58="",0,IFERROR(INDEX(Resep!$C$9:$C$13,MATCH(LEFT(AA58,3),Resep!$B$9:$B$13,0)),0))</f>
        <v>0</v>
      </c>
      <c r="AI58" s="24" t="n">
        <f aca="false">IF(AB58="",0,IFERROR(INDEX(Resep!$C$9:$C$13,MATCH(LEFT(AB58,3),Resep!$B$9:$B$13,0)),0))</f>
        <v>0</v>
      </c>
      <c r="AJ58" s="24" t="n">
        <f aca="false">IF(AC58="",0,IFERROR(INDEX(Resep!$C$9:$C$13,MATCH(LEFT(AC58,3),Resep!$B$9:$B$13,0)),0))</f>
        <v>0</v>
      </c>
      <c r="AK58" s="24" t="n">
        <f aca="false">IF(AD58="",0,IFERROR(INDEX(Resep!$C$15:$C$18,MATCH(LEFT(AD58,3),Resep!$B$15:$B$18,0)),0))</f>
        <v>0</v>
      </c>
      <c r="AL58" s="24" t="str">
        <f aca="false">IF(X58="","",AG58+AH58+AI58+AJ58+AK58)</f>
        <v/>
      </c>
      <c r="AM58" s="22" t="str">
        <f aca="false">IF(X58="","",AL58*(Pengaturan!$B$6+Pengaturan!$B$7)+Pengaturan!$B$8+AE58*Pengaturan!$B$9+AF58*Pengaturan!$B$10)</f>
        <v/>
      </c>
      <c r="AN58" s="22" t="str">
        <f aca="false">IF(X58="","",N(G58)-AM58)</f>
        <v/>
      </c>
      <c r="AO58" s="25" t="str">
        <f aca="false">IF(OR(X58="",N(G58)=0),"",AN58/G58)</f>
        <v/>
      </c>
    </row>
    <row r="59" customFormat="false" ht="15" hidden="false" customHeight="false" outlineLevel="0" collapsed="false">
      <c r="A59" s="19"/>
      <c r="B59" s="20"/>
      <c r="C59" s="19"/>
      <c r="D59" s="19"/>
      <c r="E59" s="19"/>
      <c r="F59" s="19"/>
      <c r="G59" s="21"/>
      <c r="H59" s="19"/>
      <c r="I59" s="21"/>
      <c r="J59" s="19"/>
      <c r="K59" s="20"/>
      <c r="L59" s="20"/>
      <c r="M59" s="19"/>
      <c r="N59" s="19"/>
      <c r="O59" s="20"/>
      <c r="P59" s="20"/>
      <c r="Q59" s="19"/>
      <c r="R59" s="22" t="str">
        <f aca="false">IF(A59="","",N(G59)+N(I59))</f>
        <v/>
      </c>
      <c r="S59" s="23" t="str">
        <f aca="false">IF(OR(K59="",O59=""),"",O59-K59)</f>
        <v/>
      </c>
      <c r="T59" s="23" t="str">
        <f aca="true">IF(AND(C59="Cetak",L59&lt;&gt;"",L59&lt;TODAY()),"YA","")</f>
        <v/>
      </c>
      <c r="U59" s="23" t="str">
        <f aca="false">IF(B59="","",TEXT(B59,"yyyy-mm"))</f>
        <v/>
      </c>
      <c r="V59" s="23" t="str">
        <f aca="false">IF(K59="","",TEXT(K59,"yyyy-mm"))</f>
        <v/>
      </c>
      <c r="W59" s="23" t="n">
        <f aca="false">IF(OR(C59="Cetak",C59="Dikirim",C59="Selesai"),1,0)</f>
        <v>0</v>
      </c>
      <c r="X59" s="23" t="str">
        <f aca="false">IF(F59="","",SUBSTITUTE(SUBSTITUTE(MID(UPPER(TRIM(F59)),4,99),"-LED",""),"-TK",""))</f>
        <v/>
      </c>
      <c r="Y59" s="23" t="str">
        <f aca="false">IF(X59="","",(LEN(X59)+1)/7)</f>
        <v/>
      </c>
      <c r="Z59" s="23" t="str">
        <f aca="false">IF(X59="","",LEFT(X59,6))</f>
        <v/>
      </c>
      <c r="AA59" s="23" t="str">
        <f aca="false">IF(X59="","",IF(Y59&gt;=3,MID(X59,8,6),""))</f>
        <v/>
      </c>
      <c r="AB59" s="23" t="str">
        <f aca="false">IF(X59="","",IF(Y59&gt;=4,MID(X59,15,6),""))</f>
        <v/>
      </c>
      <c r="AC59" s="23" t="str">
        <f aca="false">IF(X59="","",IF(Y59&gt;=5,MID(X59,22,6),""))</f>
        <v/>
      </c>
      <c r="AD59" s="23" t="str">
        <f aca="false">IF(X59="","",RIGHT(X59,6))</f>
        <v/>
      </c>
      <c r="AE59" s="23" t="str">
        <f aca="false">IF(F59="","",IF(ISNUMBER(SEARCH("-TK",UPPER(F59))),0,1))</f>
        <v/>
      </c>
      <c r="AF59" s="23" t="str">
        <f aca="false">IF(F59="","",IF(ISNUMBER(SEARCH("-LED",UPPER(F59))),1,0))</f>
        <v/>
      </c>
      <c r="AG59" s="24" t="n">
        <f aca="false">IF(Z59="",0,IFERROR(INDEX(Resep!$C$5:$C$7,MATCH(LEFT(Z59,3),Resep!$B$5:$B$7,0)),0))</f>
        <v>0</v>
      </c>
      <c r="AH59" s="24" t="n">
        <f aca="false">IF(AA59="",0,IFERROR(INDEX(Resep!$C$9:$C$13,MATCH(LEFT(AA59,3),Resep!$B$9:$B$13,0)),0))</f>
        <v>0</v>
      </c>
      <c r="AI59" s="24" t="n">
        <f aca="false">IF(AB59="",0,IFERROR(INDEX(Resep!$C$9:$C$13,MATCH(LEFT(AB59,3),Resep!$B$9:$B$13,0)),0))</f>
        <v>0</v>
      </c>
      <c r="AJ59" s="24" t="n">
        <f aca="false">IF(AC59="",0,IFERROR(INDEX(Resep!$C$9:$C$13,MATCH(LEFT(AC59,3),Resep!$B$9:$B$13,0)),0))</f>
        <v>0</v>
      </c>
      <c r="AK59" s="24" t="n">
        <f aca="false">IF(AD59="",0,IFERROR(INDEX(Resep!$C$15:$C$18,MATCH(LEFT(AD59,3),Resep!$B$15:$B$18,0)),0))</f>
        <v>0</v>
      </c>
      <c r="AL59" s="24" t="str">
        <f aca="false">IF(X59="","",AG59+AH59+AI59+AJ59+AK59)</f>
        <v/>
      </c>
      <c r="AM59" s="22" t="str">
        <f aca="false">IF(X59="","",AL59*(Pengaturan!$B$6+Pengaturan!$B$7)+Pengaturan!$B$8+AE59*Pengaturan!$B$9+AF59*Pengaturan!$B$10)</f>
        <v/>
      </c>
      <c r="AN59" s="22" t="str">
        <f aca="false">IF(X59="","",N(G59)-AM59)</f>
        <v/>
      </c>
      <c r="AO59" s="25" t="str">
        <f aca="false">IF(OR(X59="",N(G59)=0),"",AN59/G59)</f>
        <v/>
      </c>
    </row>
    <row r="60" customFormat="false" ht="15" hidden="false" customHeight="false" outlineLevel="0" collapsed="false">
      <c r="A60" s="19"/>
      <c r="B60" s="20"/>
      <c r="C60" s="19"/>
      <c r="D60" s="19"/>
      <c r="E60" s="19"/>
      <c r="F60" s="19"/>
      <c r="G60" s="21"/>
      <c r="H60" s="19"/>
      <c r="I60" s="21"/>
      <c r="J60" s="19"/>
      <c r="K60" s="20"/>
      <c r="L60" s="20"/>
      <c r="M60" s="19"/>
      <c r="N60" s="19"/>
      <c r="O60" s="20"/>
      <c r="P60" s="20"/>
      <c r="Q60" s="19"/>
      <c r="R60" s="22" t="str">
        <f aca="false">IF(A60="","",N(G60)+N(I60))</f>
        <v/>
      </c>
      <c r="S60" s="23" t="str">
        <f aca="false">IF(OR(K60="",O60=""),"",O60-K60)</f>
        <v/>
      </c>
      <c r="T60" s="23" t="str">
        <f aca="true">IF(AND(C60="Cetak",L60&lt;&gt;"",L60&lt;TODAY()),"YA","")</f>
        <v/>
      </c>
      <c r="U60" s="23" t="str">
        <f aca="false">IF(B60="","",TEXT(B60,"yyyy-mm"))</f>
        <v/>
      </c>
      <c r="V60" s="23" t="str">
        <f aca="false">IF(K60="","",TEXT(K60,"yyyy-mm"))</f>
        <v/>
      </c>
      <c r="W60" s="23" t="n">
        <f aca="false">IF(OR(C60="Cetak",C60="Dikirim",C60="Selesai"),1,0)</f>
        <v>0</v>
      </c>
      <c r="X60" s="23" t="str">
        <f aca="false">IF(F60="","",SUBSTITUTE(SUBSTITUTE(MID(UPPER(TRIM(F60)),4,99),"-LED",""),"-TK",""))</f>
        <v/>
      </c>
      <c r="Y60" s="23" t="str">
        <f aca="false">IF(X60="","",(LEN(X60)+1)/7)</f>
        <v/>
      </c>
      <c r="Z60" s="23" t="str">
        <f aca="false">IF(X60="","",LEFT(X60,6))</f>
        <v/>
      </c>
      <c r="AA60" s="23" t="str">
        <f aca="false">IF(X60="","",IF(Y60&gt;=3,MID(X60,8,6),""))</f>
        <v/>
      </c>
      <c r="AB60" s="23" t="str">
        <f aca="false">IF(X60="","",IF(Y60&gt;=4,MID(X60,15,6),""))</f>
        <v/>
      </c>
      <c r="AC60" s="23" t="str">
        <f aca="false">IF(X60="","",IF(Y60&gt;=5,MID(X60,22,6),""))</f>
        <v/>
      </c>
      <c r="AD60" s="23" t="str">
        <f aca="false">IF(X60="","",RIGHT(X60,6))</f>
        <v/>
      </c>
      <c r="AE60" s="23" t="str">
        <f aca="false">IF(F60="","",IF(ISNUMBER(SEARCH("-TK",UPPER(F60))),0,1))</f>
        <v/>
      </c>
      <c r="AF60" s="23" t="str">
        <f aca="false">IF(F60="","",IF(ISNUMBER(SEARCH("-LED",UPPER(F60))),1,0))</f>
        <v/>
      </c>
      <c r="AG60" s="24" t="n">
        <f aca="false">IF(Z60="",0,IFERROR(INDEX(Resep!$C$5:$C$7,MATCH(LEFT(Z60,3),Resep!$B$5:$B$7,0)),0))</f>
        <v>0</v>
      </c>
      <c r="AH60" s="24" t="n">
        <f aca="false">IF(AA60="",0,IFERROR(INDEX(Resep!$C$9:$C$13,MATCH(LEFT(AA60,3),Resep!$B$9:$B$13,0)),0))</f>
        <v>0</v>
      </c>
      <c r="AI60" s="24" t="n">
        <f aca="false">IF(AB60="",0,IFERROR(INDEX(Resep!$C$9:$C$13,MATCH(LEFT(AB60,3),Resep!$B$9:$B$13,0)),0))</f>
        <v>0</v>
      </c>
      <c r="AJ60" s="24" t="n">
        <f aca="false">IF(AC60="",0,IFERROR(INDEX(Resep!$C$9:$C$13,MATCH(LEFT(AC60,3),Resep!$B$9:$B$13,0)),0))</f>
        <v>0</v>
      </c>
      <c r="AK60" s="24" t="n">
        <f aca="false">IF(AD60="",0,IFERROR(INDEX(Resep!$C$15:$C$18,MATCH(LEFT(AD60,3),Resep!$B$15:$B$18,0)),0))</f>
        <v>0</v>
      </c>
      <c r="AL60" s="24" t="str">
        <f aca="false">IF(X60="","",AG60+AH60+AI60+AJ60+AK60)</f>
        <v/>
      </c>
      <c r="AM60" s="22" t="str">
        <f aca="false">IF(X60="","",AL60*(Pengaturan!$B$6+Pengaturan!$B$7)+Pengaturan!$B$8+AE60*Pengaturan!$B$9+AF60*Pengaturan!$B$10)</f>
        <v/>
      </c>
      <c r="AN60" s="22" t="str">
        <f aca="false">IF(X60="","",N(G60)-AM60)</f>
        <v/>
      </c>
      <c r="AO60" s="25" t="str">
        <f aca="false">IF(OR(X60="",N(G60)=0),"",AN60/G60)</f>
        <v/>
      </c>
    </row>
    <row r="61" customFormat="false" ht="15" hidden="false" customHeight="false" outlineLevel="0" collapsed="false">
      <c r="A61" s="19"/>
      <c r="B61" s="20"/>
      <c r="C61" s="19"/>
      <c r="D61" s="19"/>
      <c r="E61" s="19"/>
      <c r="F61" s="19"/>
      <c r="G61" s="21"/>
      <c r="H61" s="19"/>
      <c r="I61" s="21"/>
      <c r="J61" s="19"/>
      <c r="K61" s="20"/>
      <c r="L61" s="20"/>
      <c r="M61" s="19"/>
      <c r="N61" s="19"/>
      <c r="O61" s="20"/>
      <c r="P61" s="20"/>
      <c r="Q61" s="19"/>
      <c r="R61" s="22" t="str">
        <f aca="false">IF(A61="","",N(G61)+N(I61))</f>
        <v/>
      </c>
      <c r="S61" s="23" t="str">
        <f aca="false">IF(OR(K61="",O61=""),"",O61-K61)</f>
        <v/>
      </c>
      <c r="T61" s="23" t="str">
        <f aca="true">IF(AND(C61="Cetak",L61&lt;&gt;"",L61&lt;TODAY()),"YA","")</f>
        <v/>
      </c>
      <c r="U61" s="23" t="str">
        <f aca="false">IF(B61="","",TEXT(B61,"yyyy-mm"))</f>
        <v/>
      </c>
      <c r="V61" s="23" t="str">
        <f aca="false">IF(K61="","",TEXT(K61,"yyyy-mm"))</f>
        <v/>
      </c>
      <c r="W61" s="23" t="n">
        <f aca="false">IF(OR(C61="Cetak",C61="Dikirim",C61="Selesai"),1,0)</f>
        <v>0</v>
      </c>
      <c r="X61" s="23" t="str">
        <f aca="false">IF(F61="","",SUBSTITUTE(SUBSTITUTE(MID(UPPER(TRIM(F61)),4,99),"-LED",""),"-TK",""))</f>
        <v/>
      </c>
      <c r="Y61" s="23" t="str">
        <f aca="false">IF(X61="","",(LEN(X61)+1)/7)</f>
        <v/>
      </c>
      <c r="Z61" s="23" t="str">
        <f aca="false">IF(X61="","",LEFT(X61,6))</f>
        <v/>
      </c>
      <c r="AA61" s="23" t="str">
        <f aca="false">IF(X61="","",IF(Y61&gt;=3,MID(X61,8,6),""))</f>
        <v/>
      </c>
      <c r="AB61" s="23" t="str">
        <f aca="false">IF(X61="","",IF(Y61&gt;=4,MID(X61,15,6),""))</f>
        <v/>
      </c>
      <c r="AC61" s="23" t="str">
        <f aca="false">IF(X61="","",IF(Y61&gt;=5,MID(X61,22,6),""))</f>
        <v/>
      </c>
      <c r="AD61" s="23" t="str">
        <f aca="false">IF(X61="","",RIGHT(X61,6))</f>
        <v/>
      </c>
      <c r="AE61" s="23" t="str">
        <f aca="false">IF(F61="","",IF(ISNUMBER(SEARCH("-TK",UPPER(F61))),0,1))</f>
        <v/>
      </c>
      <c r="AF61" s="23" t="str">
        <f aca="false">IF(F61="","",IF(ISNUMBER(SEARCH("-LED",UPPER(F61))),1,0))</f>
        <v/>
      </c>
      <c r="AG61" s="24" t="n">
        <f aca="false">IF(Z61="",0,IFERROR(INDEX(Resep!$C$5:$C$7,MATCH(LEFT(Z61,3),Resep!$B$5:$B$7,0)),0))</f>
        <v>0</v>
      </c>
      <c r="AH61" s="24" t="n">
        <f aca="false">IF(AA61="",0,IFERROR(INDEX(Resep!$C$9:$C$13,MATCH(LEFT(AA61,3),Resep!$B$9:$B$13,0)),0))</f>
        <v>0</v>
      </c>
      <c r="AI61" s="24" t="n">
        <f aca="false">IF(AB61="",0,IFERROR(INDEX(Resep!$C$9:$C$13,MATCH(LEFT(AB61,3),Resep!$B$9:$B$13,0)),0))</f>
        <v>0</v>
      </c>
      <c r="AJ61" s="24" t="n">
        <f aca="false">IF(AC61="",0,IFERROR(INDEX(Resep!$C$9:$C$13,MATCH(LEFT(AC61,3),Resep!$B$9:$B$13,0)),0))</f>
        <v>0</v>
      </c>
      <c r="AK61" s="24" t="n">
        <f aca="false">IF(AD61="",0,IFERROR(INDEX(Resep!$C$15:$C$18,MATCH(LEFT(AD61,3),Resep!$B$15:$B$18,0)),0))</f>
        <v>0</v>
      </c>
      <c r="AL61" s="24" t="str">
        <f aca="false">IF(X61="","",AG61+AH61+AI61+AJ61+AK61)</f>
        <v/>
      </c>
      <c r="AM61" s="22" t="str">
        <f aca="false">IF(X61="","",AL61*(Pengaturan!$B$6+Pengaturan!$B$7)+Pengaturan!$B$8+AE61*Pengaturan!$B$9+AF61*Pengaturan!$B$10)</f>
        <v/>
      </c>
      <c r="AN61" s="22" t="str">
        <f aca="false">IF(X61="","",N(G61)-AM61)</f>
        <v/>
      </c>
      <c r="AO61" s="25" t="str">
        <f aca="false">IF(OR(X61="",N(G61)=0),"",AN61/G61)</f>
        <v/>
      </c>
    </row>
    <row r="62" customFormat="false" ht="15" hidden="false" customHeight="false" outlineLevel="0" collapsed="false">
      <c r="A62" s="19"/>
      <c r="B62" s="20"/>
      <c r="C62" s="19"/>
      <c r="D62" s="19"/>
      <c r="E62" s="19"/>
      <c r="F62" s="19"/>
      <c r="G62" s="21"/>
      <c r="H62" s="19"/>
      <c r="I62" s="21"/>
      <c r="J62" s="19"/>
      <c r="K62" s="20"/>
      <c r="L62" s="20"/>
      <c r="M62" s="19"/>
      <c r="N62" s="19"/>
      <c r="O62" s="20"/>
      <c r="P62" s="20"/>
      <c r="Q62" s="19"/>
      <c r="R62" s="22" t="str">
        <f aca="false">IF(A62="","",N(G62)+N(I62))</f>
        <v/>
      </c>
      <c r="S62" s="23" t="str">
        <f aca="false">IF(OR(K62="",O62=""),"",O62-K62)</f>
        <v/>
      </c>
      <c r="T62" s="23" t="str">
        <f aca="true">IF(AND(C62="Cetak",L62&lt;&gt;"",L62&lt;TODAY()),"YA","")</f>
        <v/>
      </c>
      <c r="U62" s="23" t="str">
        <f aca="false">IF(B62="","",TEXT(B62,"yyyy-mm"))</f>
        <v/>
      </c>
      <c r="V62" s="23" t="str">
        <f aca="false">IF(K62="","",TEXT(K62,"yyyy-mm"))</f>
        <v/>
      </c>
      <c r="W62" s="23" t="n">
        <f aca="false">IF(OR(C62="Cetak",C62="Dikirim",C62="Selesai"),1,0)</f>
        <v>0</v>
      </c>
      <c r="X62" s="23" t="str">
        <f aca="false">IF(F62="","",SUBSTITUTE(SUBSTITUTE(MID(UPPER(TRIM(F62)),4,99),"-LED",""),"-TK",""))</f>
        <v/>
      </c>
      <c r="Y62" s="23" t="str">
        <f aca="false">IF(X62="","",(LEN(X62)+1)/7)</f>
        <v/>
      </c>
      <c r="Z62" s="23" t="str">
        <f aca="false">IF(X62="","",LEFT(X62,6))</f>
        <v/>
      </c>
      <c r="AA62" s="23" t="str">
        <f aca="false">IF(X62="","",IF(Y62&gt;=3,MID(X62,8,6),""))</f>
        <v/>
      </c>
      <c r="AB62" s="23" t="str">
        <f aca="false">IF(X62="","",IF(Y62&gt;=4,MID(X62,15,6),""))</f>
        <v/>
      </c>
      <c r="AC62" s="23" t="str">
        <f aca="false">IF(X62="","",IF(Y62&gt;=5,MID(X62,22,6),""))</f>
        <v/>
      </c>
      <c r="AD62" s="23" t="str">
        <f aca="false">IF(X62="","",RIGHT(X62,6))</f>
        <v/>
      </c>
      <c r="AE62" s="23" t="str">
        <f aca="false">IF(F62="","",IF(ISNUMBER(SEARCH("-TK",UPPER(F62))),0,1))</f>
        <v/>
      </c>
      <c r="AF62" s="23" t="str">
        <f aca="false">IF(F62="","",IF(ISNUMBER(SEARCH("-LED",UPPER(F62))),1,0))</f>
        <v/>
      </c>
      <c r="AG62" s="24" t="n">
        <f aca="false">IF(Z62="",0,IFERROR(INDEX(Resep!$C$5:$C$7,MATCH(LEFT(Z62,3),Resep!$B$5:$B$7,0)),0))</f>
        <v>0</v>
      </c>
      <c r="AH62" s="24" t="n">
        <f aca="false">IF(AA62="",0,IFERROR(INDEX(Resep!$C$9:$C$13,MATCH(LEFT(AA62,3),Resep!$B$9:$B$13,0)),0))</f>
        <v>0</v>
      </c>
      <c r="AI62" s="24" t="n">
        <f aca="false">IF(AB62="",0,IFERROR(INDEX(Resep!$C$9:$C$13,MATCH(LEFT(AB62,3),Resep!$B$9:$B$13,0)),0))</f>
        <v>0</v>
      </c>
      <c r="AJ62" s="24" t="n">
        <f aca="false">IF(AC62="",0,IFERROR(INDEX(Resep!$C$9:$C$13,MATCH(LEFT(AC62,3),Resep!$B$9:$B$13,0)),0))</f>
        <v>0</v>
      </c>
      <c r="AK62" s="24" t="n">
        <f aca="false">IF(AD62="",0,IFERROR(INDEX(Resep!$C$15:$C$18,MATCH(LEFT(AD62,3),Resep!$B$15:$B$18,0)),0))</f>
        <v>0</v>
      </c>
      <c r="AL62" s="24" t="str">
        <f aca="false">IF(X62="","",AG62+AH62+AI62+AJ62+AK62)</f>
        <v/>
      </c>
      <c r="AM62" s="22" t="str">
        <f aca="false">IF(X62="","",AL62*(Pengaturan!$B$6+Pengaturan!$B$7)+Pengaturan!$B$8+AE62*Pengaturan!$B$9+AF62*Pengaturan!$B$10)</f>
        <v/>
      </c>
      <c r="AN62" s="22" t="str">
        <f aca="false">IF(X62="","",N(G62)-AM62)</f>
        <v/>
      </c>
      <c r="AO62" s="25" t="str">
        <f aca="false">IF(OR(X62="",N(G62)=0),"",AN62/G62)</f>
        <v/>
      </c>
    </row>
    <row r="63" customFormat="false" ht="15" hidden="false" customHeight="false" outlineLevel="0" collapsed="false">
      <c r="A63" s="19"/>
      <c r="B63" s="20"/>
      <c r="C63" s="19"/>
      <c r="D63" s="19"/>
      <c r="E63" s="19"/>
      <c r="F63" s="19"/>
      <c r="G63" s="21"/>
      <c r="H63" s="19"/>
      <c r="I63" s="21"/>
      <c r="J63" s="19"/>
      <c r="K63" s="20"/>
      <c r="L63" s="20"/>
      <c r="M63" s="19"/>
      <c r="N63" s="19"/>
      <c r="O63" s="20"/>
      <c r="P63" s="20"/>
      <c r="Q63" s="19"/>
      <c r="R63" s="22" t="str">
        <f aca="false">IF(A63="","",N(G63)+N(I63))</f>
        <v/>
      </c>
      <c r="S63" s="23" t="str">
        <f aca="false">IF(OR(K63="",O63=""),"",O63-K63)</f>
        <v/>
      </c>
      <c r="T63" s="23" t="str">
        <f aca="true">IF(AND(C63="Cetak",L63&lt;&gt;"",L63&lt;TODAY()),"YA","")</f>
        <v/>
      </c>
      <c r="U63" s="23" t="str">
        <f aca="false">IF(B63="","",TEXT(B63,"yyyy-mm"))</f>
        <v/>
      </c>
      <c r="V63" s="23" t="str">
        <f aca="false">IF(K63="","",TEXT(K63,"yyyy-mm"))</f>
        <v/>
      </c>
      <c r="W63" s="23" t="n">
        <f aca="false">IF(OR(C63="Cetak",C63="Dikirim",C63="Selesai"),1,0)</f>
        <v>0</v>
      </c>
      <c r="X63" s="23" t="str">
        <f aca="false">IF(F63="","",SUBSTITUTE(SUBSTITUTE(MID(UPPER(TRIM(F63)),4,99),"-LED",""),"-TK",""))</f>
        <v/>
      </c>
      <c r="Y63" s="23" t="str">
        <f aca="false">IF(X63="","",(LEN(X63)+1)/7)</f>
        <v/>
      </c>
      <c r="Z63" s="23" t="str">
        <f aca="false">IF(X63="","",LEFT(X63,6))</f>
        <v/>
      </c>
      <c r="AA63" s="23" t="str">
        <f aca="false">IF(X63="","",IF(Y63&gt;=3,MID(X63,8,6),""))</f>
        <v/>
      </c>
      <c r="AB63" s="23" t="str">
        <f aca="false">IF(X63="","",IF(Y63&gt;=4,MID(X63,15,6),""))</f>
        <v/>
      </c>
      <c r="AC63" s="23" t="str">
        <f aca="false">IF(X63="","",IF(Y63&gt;=5,MID(X63,22,6),""))</f>
        <v/>
      </c>
      <c r="AD63" s="23" t="str">
        <f aca="false">IF(X63="","",RIGHT(X63,6))</f>
        <v/>
      </c>
      <c r="AE63" s="23" t="str">
        <f aca="false">IF(F63="","",IF(ISNUMBER(SEARCH("-TK",UPPER(F63))),0,1))</f>
        <v/>
      </c>
      <c r="AF63" s="23" t="str">
        <f aca="false">IF(F63="","",IF(ISNUMBER(SEARCH("-LED",UPPER(F63))),1,0))</f>
        <v/>
      </c>
      <c r="AG63" s="24" t="n">
        <f aca="false">IF(Z63="",0,IFERROR(INDEX(Resep!$C$5:$C$7,MATCH(LEFT(Z63,3),Resep!$B$5:$B$7,0)),0))</f>
        <v>0</v>
      </c>
      <c r="AH63" s="24" t="n">
        <f aca="false">IF(AA63="",0,IFERROR(INDEX(Resep!$C$9:$C$13,MATCH(LEFT(AA63,3),Resep!$B$9:$B$13,0)),0))</f>
        <v>0</v>
      </c>
      <c r="AI63" s="24" t="n">
        <f aca="false">IF(AB63="",0,IFERROR(INDEX(Resep!$C$9:$C$13,MATCH(LEFT(AB63,3),Resep!$B$9:$B$13,0)),0))</f>
        <v>0</v>
      </c>
      <c r="AJ63" s="24" t="n">
        <f aca="false">IF(AC63="",0,IFERROR(INDEX(Resep!$C$9:$C$13,MATCH(LEFT(AC63,3),Resep!$B$9:$B$13,0)),0))</f>
        <v>0</v>
      </c>
      <c r="AK63" s="24" t="n">
        <f aca="false">IF(AD63="",0,IFERROR(INDEX(Resep!$C$15:$C$18,MATCH(LEFT(AD63,3),Resep!$B$15:$B$18,0)),0))</f>
        <v>0</v>
      </c>
      <c r="AL63" s="24" t="str">
        <f aca="false">IF(X63="","",AG63+AH63+AI63+AJ63+AK63)</f>
        <v/>
      </c>
      <c r="AM63" s="22" t="str">
        <f aca="false">IF(X63="","",AL63*(Pengaturan!$B$6+Pengaturan!$B$7)+Pengaturan!$B$8+AE63*Pengaturan!$B$9+AF63*Pengaturan!$B$10)</f>
        <v/>
      </c>
      <c r="AN63" s="22" t="str">
        <f aca="false">IF(X63="","",N(G63)-AM63)</f>
        <v/>
      </c>
      <c r="AO63" s="25" t="str">
        <f aca="false">IF(OR(X63="",N(G63)=0),"",AN63/G63)</f>
        <v/>
      </c>
    </row>
    <row r="64" customFormat="false" ht="15" hidden="false" customHeight="false" outlineLevel="0" collapsed="false">
      <c r="A64" s="19"/>
      <c r="B64" s="20"/>
      <c r="C64" s="19"/>
      <c r="D64" s="19"/>
      <c r="E64" s="19"/>
      <c r="F64" s="19"/>
      <c r="G64" s="21"/>
      <c r="H64" s="19"/>
      <c r="I64" s="21"/>
      <c r="J64" s="19"/>
      <c r="K64" s="20"/>
      <c r="L64" s="20"/>
      <c r="M64" s="19"/>
      <c r="N64" s="19"/>
      <c r="O64" s="20"/>
      <c r="P64" s="20"/>
      <c r="Q64" s="19"/>
      <c r="R64" s="22" t="str">
        <f aca="false">IF(A64="","",N(G64)+N(I64))</f>
        <v/>
      </c>
      <c r="S64" s="23" t="str">
        <f aca="false">IF(OR(K64="",O64=""),"",O64-K64)</f>
        <v/>
      </c>
      <c r="T64" s="23" t="str">
        <f aca="true">IF(AND(C64="Cetak",L64&lt;&gt;"",L64&lt;TODAY()),"YA","")</f>
        <v/>
      </c>
      <c r="U64" s="23" t="str">
        <f aca="false">IF(B64="","",TEXT(B64,"yyyy-mm"))</f>
        <v/>
      </c>
      <c r="V64" s="23" t="str">
        <f aca="false">IF(K64="","",TEXT(K64,"yyyy-mm"))</f>
        <v/>
      </c>
      <c r="W64" s="23" t="n">
        <f aca="false">IF(OR(C64="Cetak",C64="Dikirim",C64="Selesai"),1,0)</f>
        <v>0</v>
      </c>
      <c r="X64" s="23" t="str">
        <f aca="false">IF(F64="","",SUBSTITUTE(SUBSTITUTE(MID(UPPER(TRIM(F64)),4,99),"-LED",""),"-TK",""))</f>
        <v/>
      </c>
      <c r="Y64" s="23" t="str">
        <f aca="false">IF(X64="","",(LEN(X64)+1)/7)</f>
        <v/>
      </c>
      <c r="Z64" s="23" t="str">
        <f aca="false">IF(X64="","",LEFT(X64,6))</f>
        <v/>
      </c>
      <c r="AA64" s="23" t="str">
        <f aca="false">IF(X64="","",IF(Y64&gt;=3,MID(X64,8,6),""))</f>
        <v/>
      </c>
      <c r="AB64" s="23" t="str">
        <f aca="false">IF(X64="","",IF(Y64&gt;=4,MID(X64,15,6),""))</f>
        <v/>
      </c>
      <c r="AC64" s="23" t="str">
        <f aca="false">IF(X64="","",IF(Y64&gt;=5,MID(X64,22,6),""))</f>
        <v/>
      </c>
      <c r="AD64" s="23" t="str">
        <f aca="false">IF(X64="","",RIGHT(X64,6))</f>
        <v/>
      </c>
      <c r="AE64" s="23" t="str">
        <f aca="false">IF(F64="","",IF(ISNUMBER(SEARCH("-TK",UPPER(F64))),0,1))</f>
        <v/>
      </c>
      <c r="AF64" s="23" t="str">
        <f aca="false">IF(F64="","",IF(ISNUMBER(SEARCH("-LED",UPPER(F64))),1,0))</f>
        <v/>
      </c>
      <c r="AG64" s="24" t="n">
        <f aca="false">IF(Z64="",0,IFERROR(INDEX(Resep!$C$5:$C$7,MATCH(LEFT(Z64,3),Resep!$B$5:$B$7,0)),0))</f>
        <v>0</v>
      </c>
      <c r="AH64" s="24" t="n">
        <f aca="false">IF(AA64="",0,IFERROR(INDEX(Resep!$C$9:$C$13,MATCH(LEFT(AA64,3),Resep!$B$9:$B$13,0)),0))</f>
        <v>0</v>
      </c>
      <c r="AI64" s="24" t="n">
        <f aca="false">IF(AB64="",0,IFERROR(INDEX(Resep!$C$9:$C$13,MATCH(LEFT(AB64,3),Resep!$B$9:$B$13,0)),0))</f>
        <v>0</v>
      </c>
      <c r="AJ64" s="24" t="n">
        <f aca="false">IF(AC64="",0,IFERROR(INDEX(Resep!$C$9:$C$13,MATCH(LEFT(AC64,3),Resep!$B$9:$B$13,0)),0))</f>
        <v>0</v>
      </c>
      <c r="AK64" s="24" t="n">
        <f aca="false">IF(AD64="",0,IFERROR(INDEX(Resep!$C$15:$C$18,MATCH(LEFT(AD64,3),Resep!$B$15:$B$18,0)),0))</f>
        <v>0</v>
      </c>
      <c r="AL64" s="24" t="str">
        <f aca="false">IF(X64="","",AG64+AH64+AI64+AJ64+AK64)</f>
        <v/>
      </c>
      <c r="AM64" s="22" t="str">
        <f aca="false">IF(X64="","",AL64*(Pengaturan!$B$6+Pengaturan!$B$7)+Pengaturan!$B$8+AE64*Pengaturan!$B$9+AF64*Pengaturan!$B$10)</f>
        <v/>
      </c>
      <c r="AN64" s="22" t="str">
        <f aca="false">IF(X64="","",N(G64)-AM64)</f>
        <v/>
      </c>
      <c r="AO64" s="25" t="str">
        <f aca="false">IF(OR(X64="",N(G64)=0),"",AN64/G64)</f>
        <v/>
      </c>
    </row>
    <row r="65" customFormat="false" ht="15" hidden="false" customHeight="false" outlineLevel="0" collapsed="false">
      <c r="A65" s="19"/>
      <c r="B65" s="20"/>
      <c r="C65" s="19"/>
      <c r="D65" s="19"/>
      <c r="E65" s="19"/>
      <c r="F65" s="19"/>
      <c r="G65" s="21"/>
      <c r="H65" s="19"/>
      <c r="I65" s="21"/>
      <c r="J65" s="19"/>
      <c r="K65" s="20"/>
      <c r="L65" s="20"/>
      <c r="M65" s="19"/>
      <c r="N65" s="19"/>
      <c r="O65" s="20"/>
      <c r="P65" s="20"/>
      <c r="Q65" s="19"/>
      <c r="R65" s="22" t="str">
        <f aca="false">IF(A65="","",N(G65)+N(I65))</f>
        <v/>
      </c>
      <c r="S65" s="23" t="str">
        <f aca="false">IF(OR(K65="",O65=""),"",O65-K65)</f>
        <v/>
      </c>
      <c r="T65" s="23" t="str">
        <f aca="true">IF(AND(C65="Cetak",L65&lt;&gt;"",L65&lt;TODAY()),"YA","")</f>
        <v/>
      </c>
      <c r="U65" s="23" t="str">
        <f aca="false">IF(B65="","",TEXT(B65,"yyyy-mm"))</f>
        <v/>
      </c>
      <c r="V65" s="23" t="str">
        <f aca="false">IF(K65="","",TEXT(K65,"yyyy-mm"))</f>
        <v/>
      </c>
      <c r="W65" s="23" t="n">
        <f aca="false">IF(OR(C65="Cetak",C65="Dikirim",C65="Selesai"),1,0)</f>
        <v>0</v>
      </c>
      <c r="X65" s="23" t="str">
        <f aca="false">IF(F65="","",SUBSTITUTE(SUBSTITUTE(MID(UPPER(TRIM(F65)),4,99),"-LED",""),"-TK",""))</f>
        <v/>
      </c>
      <c r="Y65" s="23" t="str">
        <f aca="false">IF(X65="","",(LEN(X65)+1)/7)</f>
        <v/>
      </c>
      <c r="Z65" s="23" t="str">
        <f aca="false">IF(X65="","",LEFT(X65,6))</f>
        <v/>
      </c>
      <c r="AA65" s="23" t="str">
        <f aca="false">IF(X65="","",IF(Y65&gt;=3,MID(X65,8,6),""))</f>
        <v/>
      </c>
      <c r="AB65" s="23" t="str">
        <f aca="false">IF(X65="","",IF(Y65&gt;=4,MID(X65,15,6),""))</f>
        <v/>
      </c>
      <c r="AC65" s="23" t="str">
        <f aca="false">IF(X65="","",IF(Y65&gt;=5,MID(X65,22,6),""))</f>
        <v/>
      </c>
      <c r="AD65" s="23" t="str">
        <f aca="false">IF(X65="","",RIGHT(X65,6))</f>
        <v/>
      </c>
      <c r="AE65" s="23" t="str">
        <f aca="false">IF(F65="","",IF(ISNUMBER(SEARCH("-TK",UPPER(F65))),0,1))</f>
        <v/>
      </c>
      <c r="AF65" s="23" t="str">
        <f aca="false">IF(F65="","",IF(ISNUMBER(SEARCH("-LED",UPPER(F65))),1,0))</f>
        <v/>
      </c>
      <c r="AG65" s="24" t="n">
        <f aca="false">IF(Z65="",0,IFERROR(INDEX(Resep!$C$5:$C$7,MATCH(LEFT(Z65,3),Resep!$B$5:$B$7,0)),0))</f>
        <v>0</v>
      </c>
      <c r="AH65" s="24" t="n">
        <f aca="false">IF(AA65="",0,IFERROR(INDEX(Resep!$C$9:$C$13,MATCH(LEFT(AA65,3),Resep!$B$9:$B$13,0)),0))</f>
        <v>0</v>
      </c>
      <c r="AI65" s="24" t="n">
        <f aca="false">IF(AB65="",0,IFERROR(INDEX(Resep!$C$9:$C$13,MATCH(LEFT(AB65,3),Resep!$B$9:$B$13,0)),0))</f>
        <v>0</v>
      </c>
      <c r="AJ65" s="24" t="n">
        <f aca="false">IF(AC65="",0,IFERROR(INDEX(Resep!$C$9:$C$13,MATCH(LEFT(AC65,3),Resep!$B$9:$B$13,0)),0))</f>
        <v>0</v>
      </c>
      <c r="AK65" s="24" t="n">
        <f aca="false">IF(AD65="",0,IFERROR(INDEX(Resep!$C$15:$C$18,MATCH(LEFT(AD65,3),Resep!$B$15:$B$18,0)),0))</f>
        <v>0</v>
      </c>
      <c r="AL65" s="24" t="str">
        <f aca="false">IF(X65="","",AG65+AH65+AI65+AJ65+AK65)</f>
        <v/>
      </c>
      <c r="AM65" s="22" t="str">
        <f aca="false">IF(X65="","",AL65*(Pengaturan!$B$6+Pengaturan!$B$7)+Pengaturan!$B$8+AE65*Pengaturan!$B$9+AF65*Pengaturan!$B$10)</f>
        <v/>
      </c>
      <c r="AN65" s="22" t="str">
        <f aca="false">IF(X65="","",N(G65)-AM65)</f>
        <v/>
      </c>
      <c r="AO65" s="25" t="str">
        <f aca="false">IF(OR(X65="",N(G65)=0),"",AN65/G65)</f>
        <v/>
      </c>
    </row>
    <row r="66" customFormat="false" ht="15" hidden="false" customHeight="false" outlineLevel="0" collapsed="false">
      <c r="A66" s="19"/>
      <c r="B66" s="20"/>
      <c r="C66" s="19"/>
      <c r="D66" s="19"/>
      <c r="E66" s="19"/>
      <c r="F66" s="19"/>
      <c r="G66" s="21"/>
      <c r="H66" s="19"/>
      <c r="I66" s="21"/>
      <c r="J66" s="19"/>
      <c r="K66" s="20"/>
      <c r="L66" s="20"/>
      <c r="M66" s="19"/>
      <c r="N66" s="19"/>
      <c r="O66" s="20"/>
      <c r="P66" s="20"/>
      <c r="Q66" s="19"/>
      <c r="R66" s="22" t="str">
        <f aca="false">IF(A66="","",N(G66)+N(I66))</f>
        <v/>
      </c>
      <c r="S66" s="23" t="str">
        <f aca="false">IF(OR(K66="",O66=""),"",O66-K66)</f>
        <v/>
      </c>
      <c r="T66" s="23" t="str">
        <f aca="true">IF(AND(C66="Cetak",L66&lt;&gt;"",L66&lt;TODAY()),"YA","")</f>
        <v/>
      </c>
      <c r="U66" s="23" t="str">
        <f aca="false">IF(B66="","",TEXT(B66,"yyyy-mm"))</f>
        <v/>
      </c>
      <c r="V66" s="23" t="str">
        <f aca="false">IF(K66="","",TEXT(K66,"yyyy-mm"))</f>
        <v/>
      </c>
      <c r="W66" s="23" t="n">
        <f aca="false">IF(OR(C66="Cetak",C66="Dikirim",C66="Selesai"),1,0)</f>
        <v>0</v>
      </c>
      <c r="X66" s="23" t="str">
        <f aca="false">IF(F66="","",SUBSTITUTE(SUBSTITUTE(MID(UPPER(TRIM(F66)),4,99),"-LED",""),"-TK",""))</f>
        <v/>
      </c>
      <c r="Y66" s="23" t="str">
        <f aca="false">IF(X66="","",(LEN(X66)+1)/7)</f>
        <v/>
      </c>
      <c r="Z66" s="23" t="str">
        <f aca="false">IF(X66="","",LEFT(X66,6))</f>
        <v/>
      </c>
      <c r="AA66" s="23" t="str">
        <f aca="false">IF(X66="","",IF(Y66&gt;=3,MID(X66,8,6),""))</f>
        <v/>
      </c>
      <c r="AB66" s="23" t="str">
        <f aca="false">IF(X66="","",IF(Y66&gt;=4,MID(X66,15,6),""))</f>
        <v/>
      </c>
      <c r="AC66" s="23" t="str">
        <f aca="false">IF(X66="","",IF(Y66&gt;=5,MID(X66,22,6),""))</f>
        <v/>
      </c>
      <c r="AD66" s="23" t="str">
        <f aca="false">IF(X66="","",RIGHT(X66,6))</f>
        <v/>
      </c>
      <c r="AE66" s="23" t="str">
        <f aca="false">IF(F66="","",IF(ISNUMBER(SEARCH("-TK",UPPER(F66))),0,1))</f>
        <v/>
      </c>
      <c r="AF66" s="23" t="str">
        <f aca="false">IF(F66="","",IF(ISNUMBER(SEARCH("-LED",UPPER(F66))),1,0))</f>
        <v/>
      </c>
      <c r="AG66" s="24" t="n">
        <f aca="false">IF(Z66="",0,IFERROR(INDEX(Resep!$C$5:$C$7,MATCH(LEFT(Z66,3),Resep!$B$5:$B$7,0)),0))</f>
        <v>0</v>
      </c>
      <c r="AH66" s="24" t="n">
        <f aca="false">IF(AA66="",0,IFERROR(INDEX(Resep!$C$9:$C$13,MATCH(LEFT(AA66,3),Resep!$B$9:$B$13,0)),0))</f>
        <v>0</v>
      </c>
      <c r="AI66" s="24" t="n">
        <f aca="false">IF(AB66="",0,IFERROR(INDEX(Resep!$C$9:$C$13,MATCH(LEFT(AB66,3),Resep!$B$9:$B$13,0)),0))</f>
        <v>0</v>
      </c>
      <c r="AJ66" s="24" t="n">
        <f aca="false">IF(AC66="",0,IFERROR(INDEX(Resep!$C$9:$C$13,MATCH(LEFT(AC66,3),Resep!$B$9:$B$13,0)),0))</f>
        <v>0</v>
      </c>
      <c r="AK66" s="24" t="n">
        <f aca="false">IF(AD66="",0,IFERROR(INDEX(Resep!$C$15:$C$18,MATCH(LEFT(AD66,3),Resep!$B$15:$B$18,0)),0))</f>
        <v>0</v>
      </c>
      <c r="AL66" s="24" t="str">
        <f aca="false">IF(X66="","",AG66+AH66+AI66+AJ66+AK66)</f>
        <v/>
      </c>
      <c r="AM66" s="22" t="str">
        <f aca="false">IF(X66="","",AL66*(Pengaturan!$B$6+Pengaturan!$B$7)+Pengaturan!$B$8+AE66*Pengaturan!$B$9+AF66*Pengaturan!$B$10)</f>
        <v/>
      </c>
      <c r="AN66" s="22" t="str">
        <f aca="false">IF(X66="","",N(G66)-AM66)</f>
        <v/>
      </c>
      <c r="AO66" s="25" t="str">
        <f aca="false">IF(OR(X66="",N(G66)=0),"",AN66/G66)</f>
        <v/>
      </c>
    </row>
    <row r="67" customFormat="false" ht="15" hidden="false" customHeight="false" outlineLevel="0" collapsed="false">
      <c r="A67" s="19"/>
      <c r="B67" s="20"/>
      <c r="C67" s="19"/>
      <c r="D67" s="19"/>
      <c r="E67" s="19"/>
      <c r="F67" s="19"/>
      <c r="G67" s="21"/>
      <c r="H67" s="19"/>
      <c r="I67" s="21"/>
      <c r="J67" s="19"/>
      <c r="K67" s="20"/>
      <c r="L67" s="20"/>
      <c r="M67" s="19"/>
      <c r="N67" s="19"/>
      <c r="O67" s="20"/>
      <c r="P67" s="20"/>
      <c r="Q67" s="19"/>
      <c r="R67" s="22" t="str">
        <f aca="false">IF(A67="","",N(G67)+N(I67))</f>
        <v/>
      </c>
      <c r="S67" s="23" t="str">
        <f aca="false">IF(OR(K67="",O67=""),"",O67-K67)</f>
        <v/>
      </c>
      <c r="T67" s="23" t="str">
        <f aca="true">IF(AND(C67="Cetak",L67&lt;&gt;"",L67&lt;TODAY()),"YA","")</f>
        <v/>
      </c>
      <c r="U67" s="23" t="str">
        <f aca="false">IF(B67="","",TEXT(B67,"yyyy-mm"))</f>
        <v/>
      </c>
      <c r="V67" s="23" t="str">
        <f aca="false">IF(K67="","",TEXT(K67,"yyyy-mm"))</f>
        <v/>
      </c>
      <c r="W67" s="23" t="n">
        <f aca="false">IF(OR(C67="Cetak",C67="Dikirim",C67="Selesai"),1,0)</f>
        <v>0</v>
      </c>
      <c r="X67" s="23" t="str">
        <f aca="false">IF(F67="","",SUBSTITUTE(SUBSTITUTE(MID(UPPER(TRIM(F67)),4,99),"-LED",""),"-TK",""))</f>
        <v/>
      </c>
      <c r="Y67" s="23" t="str">
        <f aca="false">IF(X67="","",(LEN(X67)+1)/7)</f>
        <v/>
      </c>
      <c r="Z67" s="23" t="str">
        <f aca="false">IF(X67="","",LEFT(X67,6))</f>
        <v/>
      </c>
      <c r="AA67" s="23" t="str">
        <f aca="false">IF(X67="","",IF(Y67&gt;=3,MID(X67,8,6),""))</f>
        <v/>
      </c>
      <c r="AB67" s="23" t="str">
        <f aca="false">IF(X67="","",IF(Y67&gt;=4,MID(X67,15,6),""))</f>
        <v/>
      </c>
      <c r="AC67" s="23" t="str">
        <f aca="false">IF(X67="","",IF(Y67&gt;=5,MID(X67,22,6),""))</f>
        <v/>
      </c>
      <c r="AD67" s="23" t="str">
        <f aca="false">IF(X67="","",RIGHT(X67,6))</f>
        <v/>
      </c>
      <c r="AE67" s="23" t="str">
        <f aca="false">IF(F67="","",IF(ISNUMBER(SEARCH("-TK",UPPER(F67))),0,1))</f>
        <v/>
      </c>
      <c r="AF67" s="23" t="str">
        <f aca="false">IF(F67="","",IF(ISNUMBER(SEARCH("-LED",UPPER(F67))),1,0))</f>
        <v/>
      </c>
      <c r="AG67" s="24" t="n">
        <f aca="false">IF(Z67="",0,IFERROR(INDEX(Resep!$C$5:$C$7,MATCH(LEFT(Z67,3),Resep!$B$5:$B$7,0)),0))</f>
        <v>0</v>
      </c>
      <c r="AH67" s="24" t="n">
        <f aca="false">IF(AA67="",0,IFERROR(INDEX(Resep!$C$9:$C$13,MATCH(LEFT(AA67,3),Resep!$B$9:$B$13,0)),0))</f>
        <v>0</v>
      </c>
      <c r="AI67" s="24" t="n">
        <f aca="false">IF(AB67="",0,IFERROR(INDEX(Resep!$C$9:$C$13,MATCH(LEFT(AB67,3),Resep!$B$9:$B$13,0)),0))</f>
        <v>0</v>
      </c>
      <c r="AJ67" s="24" t="n">
        <f aca="false">IF(AC67="",0,IFERROR(INDEX(Resep!$C$9:$C$13,MATCH(LEFT(AC67,3),Resep!$B$9:$B$13,0)),0))</f>
        <v>0</v>
      </c>
      <c r="AK67" s="24" t="n">
        <f aca="false">IF(AD67="",0,IFERROR(INDEX(Resep!$C$15:$C$18,MATCH(LEFT(AD67,3),Resep!$B$15:$B$18,0)),0))</f>
        <v>0</v>
      </c>
      <c r="AL67" s="24" t="str">
        <f aca="false">IF(X67="","",AG67+AH67+AI67+AJ67+AK67)</f>
        <v/>
      </c>
      <c r="AM67" s="22" t="str">
        <f aca="false">IF(X67="","",AL67*(Pengaturan!$B$6+Pengaturan!$B$7)+Pengaturan!$B$8+AE67*Pengaturan!$B$9+AF67*Pengaturan!$B$10)</f>
        <v/>
      </c>
      <c r="AN67" s="22" t="str">
        <f aca="false">IF(X67="","",N(G67)-AM67)</f>
        <v/>
      </c>
      <c r="AO67" s="25" t="str">
        <f aca="false">IF(OR(X67="",N(G67)=0),"",AN67/G67)</f>
        <v/>
      </c>
    </row>
    <row r="68" customFormat="false" ht="15" hidden="false" customHeight="false" outlineLevel="0" collapsed="false">
      <c r="A68" s="19"/>
      <c r="B68" s="20"/>
      <c r="C68" s="19"/>
      <c r="D68" s="19"/>
      <c r="E68" s="19"/>
      <c r="F68" s="19"/>
      <c r="G68" s="21"/>
      <c r="H68" s="19"/>
      <c r="I68" s="21"/>
      <c r="J68" s="19"/>
      <c r="K68" s="20"/>
      <c r="L68" s="20"/>
      <c r="M68" s="19"/>
      <c r="N68" s="19"/>
      <c r="O68" s="20"/>
      <c r="P68" s="20"/>
      <c r="Q68" s="19"/>
      <c r="R68" s="22" t="str">
        <f aca="false">IF(A68="","",N(G68)+N(I68))</f>
        <v/>
      </c>
      <c r="S68" s="23" t="str">
        <f aca="false">IF(OR(K68="",O68=""),"",O68-K68)</f>
        <v/>
      </c>
      <c r="T68" s="23" t="str">
        <f aca="true">IF(AND(C68="Cetak",L68&lt;&gt;"",L68&lt;TODAY()),"YA","")</f>
        <v/>
      </c>
      <c r="U68" s="23" t="str">
        <f aca="false">IF(B68="","",TEXT(B68,"yyyy-mm"))</f>
        <v/>
      </c>
      <c r="V68" s="23" t="str">
        <f aca="false">IF(K68="","",TEXT(K68,"yyyy-mm"))</f>
        <v/>
      </c>
      <c r="W68" s="23" t="n">
        <f aca="false">IF(OR(C68="Cetak",C68="Dikirim",C68="Selesai"),1,0)</f>
        <v>0</v>
      </c>
      <c r="X68" s="23" t="str">
        <f aca="false">IF(F68="","",SUBSTITUTE(SUBSTITUTE(MID(UPPER(TRIM(F68)),4,99),"-LED",""),"-TK",""))</f>
        <v/>
      </c>
      <c r="Y68" s="23" t="str">
        <f aca="false">IF(X68="","",(LEN(X68)+1)/7)</f>
        <v/>
      </c>
      <c r="Z68" s="23" t="str">
        <f aca="false">IF(X68="","",LEFT(X68,6))</f>
        <v/>
      </c>
      <c r="AA68" s="23" t="str">
        <f aca="false">IF(X68="","",IF(Y68&gt;=3,MID(X68,8,6),""))</f>
        <v/>
      </c>
      <c r="AB68" s="23" t="str">
        <f aca="false">IF(X68="","",IF(Y68&gt;=4,MID(X68,15,6),""))</f>
        <v/>
      </c>
      <c r="AC68" s="23" t="str">
        <f aca="false">IF(X68="","",IF(Y68&gt;=5,MID(X68,22,6),""))</f>
        <v/>
      </c>
      <c r="AD68" s="23" t="str">
        <f aca="false">IF(X68="","",RIGHT(X68,6))</f>
        <v/>
      </c>
      <c r="AE68" s="23" t="str">
        <f aca="false">IF(F68="","",IF(ISNUMBER(SEARCH("-TK",UPPER(F68))),0,1))</f>
        <v/>
      </c>
      <c r="AF68" s="23" t="str">
        <f aca="false">IF(F68="","",IF(ISNUMBER(SEARCH("-LED",UPPER(F68))),1,0))</f>
        <v/>
      </c>
      <c r="AG68" s="24" t="n">
        <f aca="false">IF(Z68="",0,IFERROR(INDEX(Resep!$C$5:$C$7,MATCH(LEFT(Z68,3),Resep!$B$5:$B$7,0)),0))</f>
        <v>0</v>
      </c>
      <c r="AH68" s="24" t="n">
        <f aca="false">IF(AA68="",0,IFERROR(INDEX(Resep!$C$9:$C$13,MATCH(LEFT(AA68,3),Resep!$B$9:$B$13,0)),0))</f>
        <v>0</v>
      </c>
      <c r="AI68" s="24" t="n">
        <f aca="false">IF(AB68="",0,IFERROR(INDEX(Resep!$C$9:$C$13,MATCH(LEFT(AB68,3),Resep!$B$9:$B$13,0)),0))</f>
        <v>0</v>
      </c>
      <c r="AJ68" s="24" t="n">
        <f aca="false">IF(AC68="",0,IFERROR(INDEX(Resep!$C$9:$C$13,MATCH(LEFT(AC68,3),Resep!$B$9:$B$13,0)),0))</f>
        <v>0</v>
      </c>
      <c r="AK68" s="24" t="n">
        <f aca="false">IF(AD68="",0,IFERROR(INDEX(Resep!$C$15:$C$18,MATCH(LEFT(AD68,3),Resep!$B$15:$B$18,0)),0))</f>
        <v>0</v>
      </c>
      <c r="AL68" s="24" t="str">
        <f aca="false">IF(X68="","",AG68+AH68+AI68+AJ68+AK68)</f>
        <v/>
      </c>
      <c r="AM68" s="22" t="str">
        <f aca="false">IF(X68="","",AL68*(Pengaturan!$B$6+Pengaturan!$B$7)+Pengaturan!$B$8+AE68*Pengaturan!$B$9+AF68*Pengaturan!$B$10)</f>
        <v/>
      </c>
      <c r="AN68" s="22" t="str">
        <f aca="false">IF(X68="","",N(G68)-AM68)</f>
        <v/>
      </c>
      <c r="AO68" s="25" t="str">
        <f aca="false">IF(OR(X68="",N(G68)=0),"",AN68/G68)</f>
        <v/>
      </c>
    </row>
    <row r="69" customFormat="false" ht="15" hidden="false" customHeight="false" outlineLevel="0" collapsed="false">
      <c r="A69" s="19"/>
      <c r="B69" s="20"/>
      <c r="C69" s="19"/>
      <c r="D69" s="19"/>
      <c r="E69" s="19"/>
      <c r="F69" s="19"/>
      <c r="G69" s="21"/>
      <c r="H69" s="19"/>
      <c r="I69" s="21"/>
      <c r="J69" s="19"/>
      <c r="K69" s="20"/>
      <c r="L69" s="20"/>
      <c r="M69" s="19"/>
      <c r="N69" s="19"/>
      <c r="O69" s="20"/>
      <c r="P69" s="20"/>
      <c r="Q69" s="19"/>
      <c r="R69" s="22" t="str">
        <f aca="false">IF(A69="","",N(G69)+N(I69))</f>
        <v/>
      </c>
      <c r="S69" s="23" t="str">
        <f aca="false">IF(OR(K69="",O69=""),"",O69-K69)</f>
        <v/>
      </c>
      <c r="T69" s="23" t="str">
        <f aca="true">IF(AND(C69="Cetak",L69&lt;&gt;"",L69&lt;TODAY()),"YA","")</f>
        <v/>
      </c>
      <c r="U69" s="23" t="str">
        <f aca="false">IF(B69="","",TEXT(B69,"yyyy-mm"))</f>
        <v/>
      </c>
      <c r="V69" s="23" t="str">
        <f aca="false">IF(K69="","",TEXT(K69,"yyyy-mm"))</f>
        <v/>
      </c>
      <c r="W69" s="23" t="n">
        <f aca="false">IF(OR(C69="Cetak",C69="Dikirim",C69="Selesai"),1,0)</f>
        <v>0</v>
      </c>
      <c r="X69" s="23" t="str">
        <f aca="false">IF(F69="","",SUBSTITUTE(SUBSTITUTE(MID(UPPER(TRIM(F69)),4,99),"-LED",""),"-TK",""))</f>
        <v/>
      </c>
      <c r="Y69" s="23" t="str">
        <f aca="false">IF(X69="","",(LEN(X69)+1)/7)</f>
        <v/>
      </c>
      <c r="Z69" s="23" t="str">
        <f aca="false">IF(X69="","",LEFT(X69,6))</f>
        <v/>
      </c>
      <c r="AA69" s="23" t="str">
        <f aca="false">IF(X69="","",IF(Y69&gt;=3,MID(X69,8,6),""))</f>
        <v/>
      </c>
      <c r="AB69" s="23" t="str">
        <f aca="false">IF(X69="","",IF(Y69&gt;=4,MID(X69,15,6),""))</f>
        <v/>
      </c>
      <c r="AC69" s="23" t="str">
        <f aca="false">IF(X69="","",IF(Y69&gt;=5,MID(X69,22,6),""))</f>
        <v/>
      </c>
      <c r="AD69" s="23" t="str">
        <f aca="false">IF(X69="","",RIGHT(X69,6))</f>
        <v/>
      </c>
      <c r="AE69" s="23" t="str">
        <f aca="false">IF(F69="","",IF(ISNUMBER(SEARCH("-TK",UPPER(F69))),0,1))</f>
        <v/>
      </c>
      <c r="AF69" s="23" t="str">
        <f aca="false">IF(F69="","",IF(ISNUMBER(SEARCH("-LED",UPPER(F69))),1,0))</f>
        <v/>
      </c>
      <c r="AG69" s="24" t="n">
        <f aca="false">IF(Z69="",0,IFERROR(INDEX(Resep!$C$5:$C$7,MATCH(LEFT(Z69,3),Resep!$B$5:$B$7,0)),0))</f>
        <v>0</v>
      </c>
      <c r="AH69" s="24" t="n">
        <f aca="false">IF(AA69="",0,IFERROR(INDEX(Resep!$C$9:$C$13,MATCH(LEFT(AA69,3),Resep!$B$9:$B$13,0)),0))</f>
        <v>0</v>
      </c>
      <c r="AI69" s="24" t="n">
        <f aca="false">IF(AB69="",0,IFERROR(INDEX(Resep!$C$9:$C$13,MATCH(LEFT(AB69,3),Resep!$B$9:$B$13,0)),0))</f>
        <v>0</v>
      </c>
      <c r="AJ69" s="24" t="n">
        <f aca="false">IF(AC69="",0,IFERROR(INDEX(Resep!$C$9:$C$13,MATCH(LEFT(AC69,3),Resep!$B$9:$B$13,0)),0))</f>
        <v>0</v>
      </c>
      <c r="AK69" s="24" t="n">
        <f aca="false">IF(AD69="",0,IFERROR(INDEX(Resep!$C$15:$C$18,MATCH(LEFT(AD69,3),Resep!$B$15:$B$18,0)),0))</f>
        <v>0</v>
      </c>
      <c r="AL69" s="24" t="str">
        <f aca="false">IF(X69="","",AG69+AH69+AI69+AJ69+AK69)</f>
        <v/>
      </c>
      <c r="AM69" s="22" t="str">
        <f aca="false">IF(X69="","",AL69*(Pengaturan!$B$6+Pengaturan!$B$7)+Pengaturan!$B$8+AE69*Pengaturan!$B$9+AF69*Pengaturan!$B$10)</f>
        <v/>
      </c>
      <c r="AN69" s="22" t="str">
        <f aca="false">IF(X69="","",N(G69)-AM69)</f>
        <v/>
      </c>
      <c r="AO69" s="25" t="str">
        <f aca="false">IF(OR(X69="",N(G69)=0),"",AN69/G69)</f>
        <v/>
      </c>
    </row>
    <row r="70" customFormat="false" ht="15" hidden="false" customHeight="false" outlineLevel="0" collapsed="false">
      <c r="A70" s="19"/>
      <c r="B70" s="20"/>
      <c r="C70" s="19"/>
      <c r="D70" s="19"/>
      <c r="E70" s="19"/>
      <c r="F70" s="19"/>
      <c r="G70" s="21"/>
      <c r="H70" s="19"/>
      <c r="I70" s="21"/>
      <c r="J70" s="19"/>
      <c r="K70" s="20"/>
      <c r="L70" s="20"/>
      <c r="M70" s="19"/>
      <c r="N70" s="19"/>
      <c r="O70" s="20"/>
      <c r="P70" s="20"/>
      <c r="Q70" s="19"/>
      <c r="R70" s="22" t="str">
        <f aca="false">IF(A70="","",N(G70)+N(I70))</f>
        <v/>
      </c>
      <c r="S70" s="23" t="str">
        <f aca="false">IF(OR(K70="",O70=""),"",O70-K70)</f>
        <v/>
      </c>
      <c r="T70" s="23" t="str">
        <f aca="true">IF(AND(C70="Cetak",L70&lt;&gt;"",L70&lt;TODAY()),"YA","")</f>
        <v/>
      </c>
      <c r="U70" s="23" t="str">
        <f aca="false">IF(B70="","",TEXT(B70,"yyyy-mm"))</f>
        <v/>
      </c>
      <c r="V70" s="23" t="str">
        <f aca="false">IF(K70="","",TEXT(K70,"yyyy-mm"))</f>
        <v/>
      </c>
      <c r="W70" s="23" t="n">
        <f aca="false">IF(OR(C70="Cetak",C70="Dikirim",C70="Selesai"),1,0)</f>
        <v>0</v>
      </c>
      <c r="X70" s="23" t="str">
        <f aca="false">IF(F70="","",SUBSTITUTE(SUBSTITUTE(MID(UPPER(TRIM(F70)),4,99),"-LED",""),"-TK",""))</f>
        <v/>
      </c>
      <c r="Y70" s="23" t="str">
        <f aca="false">IF(X70="","",(LEN(X70)+1)/7)</f>
        <v/>
      </c>
      <c r="Z70" s="23" t="str">
        <f aca="false">IF(X70="","",LEFT(X70,6))</f>
        <v/>
      </c>
      <c r="AA70" s="23" t="str">
        <f aca="false">IF(X70="","",IF(Y70&gt;=3,MID(X70,8,6),""))</f>
        <v/>
      </c>
      <c r="AB70" s="23" t="str">
        <f aca="false">IF(X70="","",IF(Y70&gt;=4,MID(X70,15,6),""))</f>
        <v/>
      </c>
      <c r="AC70" s="23" t="str">
        <f aca="false">IF(X70="","",IF(Y70&gt;=5,MID(X70,22,6),""))</f>
        <v/>
      </c>
      <c r="AD70" s="23" t="str">
        <f aca="false">IF(X70="","",RIGHT(X70,6))</f>
        <v/>
      </c>
      <c r="AE70" s="23" t="str">
        <f aca="false">IF(F70="","",IF(ISNUMBER(SEARCH("-TK",UPPER(F70))),0,1))</f>
        <v/>
      </c>
      <c r="AF70" s="23" t="str">
        <f aca="false">IF(F70="","",IF(ISNUMBER(SEARCH("-LED",UPPER(F70))),1,0))</f>
        <v/>
      </c>
      <c r="AG70" s="24" t="n">
        <f aca="false">IF(Z70="",0,IFERROR(INDEX(Resep!$C$5:$C$7,MATCH(LEFT(Z70,3),Resep!$B$5:$B$7,0)),0))</f>
        <v>0</v>
      </c>
      <c r="AH70" s="24" t="n">
        <f aca="false">IF(AA70="",0,IFERROR(INDEX(Resep!$C$9:$C$13,MATCH(LEFT(AA70,3),Resep!$B$9:$B$13,0)),0))</f>
        <v>0</v>
      </c>
      <c r="AI70" s="24" t="n">
        <f aca="false">IF(AB70="",0,IFERROR(INDEX(Resep!$C$9:$C$13,MATCH(LEFT(AB70,3),Resep!$B$9:$B$13,0)),0))</f>
        <v>0</v>
      </c>
      <c r="AJ70" s="24" t="n">
        <f aca="false">IF(AC70="",0,IFERROR(INDEX(Resep!$C$9:$C$13,MATCH(LEFT(AC70,3),Resep!$B$9:$B$13,0)),0))</f>
        <v>0</v>
      </c>
      <c r="AK70" s="24" t="n">
        <f aca="false">IF(AD70="",0,IFERROR(INDEX(Resep!$C$15:$C$18,MATCH(LEFT(AD70,3),Resep!$B$15:$B$18,0)),0))</f>
        <v>0</v>
      </c>
      <c r="AL70" s="24" t="str">
        <f aca="false">IF(X70="","",AG70+AH70+AI70+AJ70+AK70)</f>
        <v/>
      </c>
      <c r="AM70" s="22" t="str">
        <f aca="false">IF(X70="","",AL70*(Pengaturan!$B$6+Pengaturan!$B$7)+Pengaturan!$B$8+AE70*Pengaturan!$B$9+AF70*Pengaturan!$B$10)</f>
        <v/>
      </c>
      <c r="AN70" s="22" t="str">
        <f aca="false">IF(X70="","",N(G70)-AM70)</f>
        <v/>
      </c>
      <c r="AO70" s="25" t="str">
        <f aca="false">IF(OR(X70="",N(G70)=0),"",AN70/G70)</f>
        <v/>
      </c>
    </row>
    <row r="71" customFormat="false" ht="15" hidden="false" customHeight="false" outlineLevel="0" collapsed="false">
      <c r="A71" s="19"/>
      <c r="B71" s="20"/>
      <c r="C71" s="19"/>
      <c r="D71" s="19"/>
      <c r="E71" s="19"/>
      <c r="F71" s="19"/>
      <c r="G71" s="21"/>
      <c r="H71" s="19"/>
      <c r="I71" s="21"/>
      <c r="J71" s="19"/>
      <c r="K71" s="20"/>
      <c r="L71" s="20"/>
      <c r="M71" s="19"/>
      <c r="N71" s="19"/>
      <c r="O71" s="20"/>
      <c r="P71" s="20"/>
      <c r="Q71" s="19"/>
      <c r="R71" s="22" t="str">
        <f aca="false">IF(A71="","",N(G71)+N(I71))</f>
        <v/>
      </c>
      <c r="S71" s="23" t="str">
        <f aca="false">IF(OR(K71="",O71=""),"",O71-K71)</f>
        <v/>
      </c>
      <c r="T71" s="23" t="str">
        <f aca="true">IF(AND(C71="Cetak",L71&lt;&gt;"",L71&lt;TODAY()),"YA","")</f>
        <v/>
      </c>
      <c r="U71" s="23" t="str">
        <f aca="false">IF(B71="","",TEXT(B71,"yyyy-mm"))</f>
        <v/>
      </c>
      <c r="V71" s="23" t="str">
        <f aca="false">IF(K71="","",TEXT(K71,"yyyy-mm"))</f>
        <v/>
      </c>
      <c r="W71" s="23" t="n">
        <f aca="false">IF(OR(C71="Cetak",C71="Dikirim",C71="Selesai"),1,0)</f>
        <v>0</v>
      </c>
      <c r="X71" s="23" t="str">
        <f aca="false">IF(F71="","",SUBSTITUTE(SUBSTITUTE(MID(UPPER(TRIM(F71)),4,99),"-LED",""),"-TK",""))</f>
        <v/>
      </c>
      <c r="Y71" s="23" t="str">
        <f aca="false">IF(X71="","",(LEN(X71)+1)/7)</f>
        <v/>
      </c>
      <c r="Z71" s="23" t="str">
        <f aca="false">IF(X71="","",LEFT(X71,6))</f>
        <v/>
      </c>
      <c r="AA71" s="23" t="str">
        <f aca="false">IF(X71="","",IF(Y71&gt;=3,MID(X71,8,6),""))</f>
        <v/>
      </c>
      <c r="AB71" s="23" t="str">
        <f aca="false">IF(X71="","",IF(Y71&gt;=4,MID(X71,15,6),""))</f>
        <v/>
      </c>
      <c r="AC71" s="23" t="str">
        <f aca="false">IF(X71="","",IF(Y71&gt;=5,MID(X71,22,6),""))</f>
        <v/>
      </c>
      <c r="AD71" s="23" t="str">
        <f aca="false">IF(X71="","",RIGHT(X71,6))</f>
        <v/>
      </c>
      <c r="AE71" s="23" t="str">
        <f aca="false">IF(F71="","",IF(ISNUMBER(SEARCH("-TK",UPPER(F71))),0,1))</f>
        <v/>
      </c>
      <c r="AF71" s="23" t="str">
        <f aca="false">IF(F71="","",IF(ISNUMBER(SEARCH("-LED",UPPER(F71))),1,0))</f>
        <v/>
      </c>
      <c r="AG71" s="24" t="n">
        <f aca="false">IF(Z71="",0,IFERROR(INDEX(Resep!$C$5:$C$7,MATCH(LEFT(Z71,3),Resep!$B$5:$B$7,0)),0))</f>
        <v>0</v>
      </c>
      <c r="AH71" s="24" t="n">
        <f aca="false">IF(AA71="",0,IFERROR(INDEX(Resep!$C$9:$C$13,MATCH(LEFT(AA71,3),Resep!$B$9:$B$13,0)),0))</f>
        <v>0</v>
      </c>
      <c r="AI71" s="24" t="n">
        <f aca="false">IF(AB71="",0,IFERROR(INDEX(Resep!$C$9:$C$13,MATCH(LEFT(AB71,3),Resep!$B$9:$B$13,0)),0))</f>
        <v>0</v>
      </c>
      <c r="AJ71" s="24" t="n">
        <f aca="false">IF(AC71="",0,IFERROR(INDEX(Resep!$C$9:$C$13,MATCH(LEFT(AC71,3),Resep!$B$9:$B$13,0)),0))</f>
        <v>0</v>
      </c>
      <c r="AK71" s="24" t="n">
        <f aca="false">IF(AD71="",0,IFERROR(INDEX(Resep!$C$15:$C$18,MATCH(LEFT(AD71,3),Resep!$B$15:$B$18,0)),0))</f>
        <v>0</v>
      </c>
      <c r="AL71" s="24" t="str">
        <f aca="false">IF(X71="","",AG71+AH71+AI71+AJ71+AK71)</f>
        <v/>
      </c>
      <c r="AM71" s="22" t="str">
        <f aca="false">IF(X71="","",AL71*(Pengaturan!$B$6+Pengaturan!$B$7)+Pengaturan!$B$8+AE71*Pengaturan!$B$9+AF71*Pengaturan!$B$10)</f>
        <v/>
      </c>
      <c r="AN71" s="22" t="str">
        <f aca="false">IF(X71="","",N(G71)-AM71)</f>
        <v/>
      </c>
      <c r="AO71" s="25" t="str">
        <f aca="false">IF(OR(X71="",N(G71)=0),"",AN71/G71)</f>
        <v/>
      </c>
    </row>
    <row r="72" customFormat="false" ht="15" hidden="false" customHeight="false" outlineLevel="0" collapsed="false">
      <c r="A72" s="19"/>
      <c r="B72" s="20"/>
      <c r="C72" s="19"/>
      <c r="D72" s="19"/>
      <c r="E72" s="19"/>
      <c r="F72" s="19"/>
      <c r="G72" s="21"/>
      <c r="H72" s="19"/>
      <c r="I72" s="21"/>
      <c r="J72" s="19"/>
      <c r="K72" s="20"/>
      <c r="L72" s="20"/>
      <c r="M72" s="19"/>
      <c r="N72" s="19"/>
      <c r="O72" s="20"/>
      <c r="P72" s="20"/>
      <c r="Q72" s="19"/>
      <c r="R72" s="22" t="str">
        <f aca="false">IF(A72="","",N(G72)+N(I72))</f>
        <v/>
      </c>
      <c r="S72" s="23" t="str">
        <f aca="false">IF(OR(K72="",O72=""),"",O72-K72)</f>
        <v/>
      </c>
      <c r="T72" s="23" t="str">
        <f aca="true">IF(AND(C72="Cetak",L72&lt;&gt;"",L72&lt;TODAY()),"YA","")</f>
        <v/>
      </c>
      <c r="U72" s="23" t="str">
        <f aca="false">IF(B72="","",TEXT(B72,"yyyy-mm"))</f>
        <v/>
      </c>
      <c r="V72" s="23" t="str">
        <f aca="false">IF(K72="","",TEXT(K72,"yyyy-mm"))</f>
        <v/>
      </c>
      <c r="W72" s="23" t="n">
        <f aca="false">IF(OR(C72="Cetak",C72="Dikirim",C72="Selesai"),1,0)</f>
        <v>0</v>
      </c>
      <c r="X72" s="23" t="str">
        <f aca="false">IF(F72="","",SUBSTITUTE(SUBSTITUTE(MID(UPPER(TRIM(F72)),4,99),"-LED",""),"-TK",""))</f>
        <v/>
      </c>
      <c r="Y72" s="23" t="str">
        <f aca="false">IF(X72="","",(LEN(X72)+1)/7)</f>
        <v/>
      </c>
      <c r="Z72" s="23" t="str">
        <f aca="false">IF(X72="","",LEFT(X72,6))</f>
        <v/>
      </c>
      <c r="AA72" s="23" t="str">
        <f aca="false">IF(X72="","",IF(Y72&gt;=3,MID(X72,8,6),""))</f>
        <v/>
      </c>
      <c r="AB72" s="23" t="str">
        <f aca="false">IF(X72="","",IF(Y72&gt;=4,MID(X72,15,6),""))</f>
        <v/>
      </c>
      <c r="AC72" s="23" t="str">
        <f aca="false">IF(X72="","",IF(Y72&gt;=5,MID(X72,22,6),""))</f>
        <v/>
      </c>
      <c r="AD72" s="23" t="str">
        <f aca="false">IF(X72="","",RIGHT(X72,6))</f>
        <v/>
      </c>
      <c r="AE72" s="23" t="str">
        <f aca="false">IF(F72="","",IF(ISNUMBER(SEARCH("-TK",UPPER(F72))),0,1))</f>
        <v/>
      </c>
      <c r="AF72" s="23" t="str">
        <f aca="false">IF(F72="","",IF(ISNUMBER(SEARCH("-LED",UPPER(F72))),1,0))</f>
        <v/>
      </c>
      <c r="AG72" s="24" t="n">
        <f aca="false">IF(Z72="",0,IFERROR(INDEX(Resep!$C$5:$C$7,MATCH(LEFT(Z72,3),Resep!$B$5:$B$7,0)),0))</f>
        <v>0</v>
      </c>
      <c r="AH72" s="24" t="n">
        <f aca="false">IF(AA72="",0,IFERROR(INDEX(Resep!$C$9:$C$13,MATCH(LEFT(AA72,3),Resep!$B$9:$B$13,0)),0))</f>
        <v>0</v>
      </c>
      <c r="AI72" s="24" t="n">
        <f aca="false">IF(AB72="",0,IFERROR(INDEX(Resep!$C$9:$C$13,MATCH(LEFT(AB72,3),Resep!$B$9:$B$13,0)),0))</f>
        <v>0</v>
      </c>
      <c r="AJ72" s="24" t="n">
        <f aca="false">IF(AC72="",0,IFERROR(INDEX(Resep!$C$9:$C$13,MATCH(LEFT(AC72,3),Resep!$B$9:$B$13,0)),0))</f>
        <v>0</v>
      </c>
      <c r="AK72" s="24" t="n">
        <f aca="false">IF(AD72="",0,IFERROR(INDEX(Resep!$C$15:$C$18,MATCH(LEFT(AD72,3),Resep!$B$15:$B$18,0)),0))</f>
        <v>0</v>
      </c>
      <c r="AL72" s="24" t="str">
        <f aca="false">IF(X72="","",AG72+AH72+AI72+AJ72+AK72)</f>
        <v/>
      </c>
      <c r="AM72" s="22" t="str">
        <f aca="false">IF(X72="","",AL72*(Pengaturan!$B$6+Pengaturan!$B$7)+Pengaturan!$B$8+AE72*Pengaturan!$B$9+AF72*Pengaturan!$B$10)</f>
        <v/>
      </c>
      <c r="AN72" s="22" t="str">
        <f aca="false">IF(X72="","",N(G72)-AM72)</f>
        <v/>
      </c>
      <c r="AO72" s="25" t="str">
        <f aca="false">IF(OR(X72="",N(G72)=0),"",AN72/G72)</f>
        <v/>
      </c>
    </row>
    <row r="73" customFormat="false" ht="15" hidden="false" customHeight="false" outlineLevel="0" collapsed="false">
      <c r="A73" s="19"/>
      <c r="B73" s="20"/>
      <c r="C73" s="19"/>
      <c r="D73" s="19"/>
      <c r="E73" s="19"/>
      <c r="F73" s="19"/>
      <c r="G73" s="21"/>
      <c r="H73" s="19"/>
      <c r="I73" s="21"/>
      <c r="J73" s="19"/>
      <c r="K73" s="20"/>
      <c r="L73" s="20"/>
      <c r="M73" s="19"/>
      <c r="N73" s="19"/>
      <c r="O73" s="20"/>
      <c r="P73" s="20"/>
      <c r="Q73" s="19"/>
      <c r="R73" s="22" t="str">
        <f aca="false">IF(A73="","",N(G73)+N(I73))</f>
        <v/>
      </c>
      <c r="S73" s="23" t="str">
        <f aca="false">IF(OR(K73="",O73=""),"",O73-K73)</f>
        <v/>
      </c>
      <c r="T73" s="23" t="str">
        <f aca="true">IF(AND(C73="Cetak",L73&lt;&gt;"",L73&lt;TODAY()),"YA","")</f>
        <v/>
      </c>
      <c r="U73" s="23" t="str">
        <f aca="false">IF(B73="","",TEXT(B73,"yyyy-mm"))</f>
        <v/>
      </c>
      <c r="V73" s="23" t="str">
        <f aca="false">IF(K73="","",TEXT(K73,"yyyy-mm"))</f>
        <v/>
      </c>
      <c r="W73" s="23" t="n">
        <f aca="false">IF(OR(C73="Cetak",C73="Dikirim",C73="Selesai"),1,0)</f>
        <v>0</v>
      </c>
      <c r="X73" s="23" t="str">
        <f aca="false">IF(F73="","",SUBSTITUTE(SUBSTITUTE(MID(UPPER(TRIM(F73)),4,99),"-LED",""),"-TK",""))</f>
        <v/>
      </c>
      <c r="Y73" s="23" t="str">
        <f aca="false">IF(X73="","",(LEN(X73)+1)/7)</f>
        <v/>
      </c>
      <c r="Z73" s="23" t="str">
        <f aca="false">IF(X73="","",LEFT(X73,6))</f>
        <v/>
      </c>
      <c r="AA73" s="23" t="str">
        <f aca="false">IF(X73="","",IF(Y73&gt;=3,MID(X73,8,6),""))</f>
        <v/>
      </c>
      <c r="AB73" s="23" t="str">
        <f aca="false">IF(X73="","",IF(Y73&gt;=4,MID(X73,15,6),""))</f>
        <v/>
      </c>
      <c r="AC73" s="23" t="str">
        <f aca="false">IF(X73="","",IF(Y73&gt;=5,MID(X73,22,6),""))</f>
        <v/>
      </c>
      <c r="AD73" s="23" t="str">
        <f aca="false">IF(X73="","",RIGHT(X73,6))</f>
        <v/>
      </c>
      <c r="AE73" s="23" t="str">
        <f aca="false">IF(F73="","",IF(ISNUMBER(SEARCH("-TK",UPPER(F73))),0,1))</f>
        <v/>
      </c>
      <c r="AF73" s="23" t="str">
        <f aca="false">IF(F73="","",IF(ISNUMBER(SEARCH("-LED",UPPER(F73))),1,0))</f>
        <v/>
      </c>
      <c r="AG73" s="24" t="n">
        <f aca="false">IF(Z73="",0,IFERROR(INDEX(Resep!$C$5:$C$7,MATCH(LEFT(Z73,3),Resep!$B$5:$B$7,0)),0))</f>
        <v>0</v>
      </c>
      <c r="AH73" s="24" t="n">
        <f aca="false">IF(AA73="",0,IFERROR(INDEX(Resep!$C$9:$C$13,MATCH(LEFT(AA73,3),Resep!$B$9:$B$13,0)),0))</f>
        <v>0</v>
      </c>
      <c r="AI73" s="24" t="n">
        <f aca="false">IF(AB73="",0,IFERROR(INDEX(Resep!$C$9:$C$13,MATCH(LEFT(AB73,3),Resep!$B$9:$B$13,0)),0))</f>
        <v>0</v>
      </c>
      <c r="AJ73" s="24" t="n">
        <f aca="false">IF(AC73="",0,IFERROR(INDEX(Resep!$C$9:$C$13,MATCH(LEFT(AC73,3),Resep!$B$9:$B$13,0)),0))</f>
        <v>0</v>
      </c>
      <c r="AK73" s="24" t="n">
        <f aca="false">IF(AD73="",0,IFERROR(INDEX(Resep!$C$15:$C$18,MATCH(LEFT(AD73,3),Resep!$B$15:$B$18,0)),0))</f>
        <v>0</v>
      </c>
      <c r="AL73" s="24" t="str">
        <f aca="false">IF(X73="","",AG73+AH73+AI73+AJ73+AK73)</f>
        <v/>
      </c>
      <c r="AM73" s="22" t="str">
        <f aca="false">IF(X73="","",AL73*(Pengaturan!$B$6+Pengaturan!$B$7)+Pengaturan!$B$8+AE73*Pengaturan!$B$9+AF73*Pengaturan!$B$10)</f>
        <v/>
      </c>
      <c r="AN73" s="22" t="str">
        <f aca="false">IF(X73="","",N(G73)-AM73)</f>
        <v/>
      </c>
      <c r="AO73" s="25" t="str">
        <f aca="false">IF(OR(X73="",N(G73)=0),"",AN73/G73)</f>
        <v/>
      </c>
    </row>
    <row r="74" customFormat="false" ht="15" hidden="false" customHeight="false" outlineLevel="0" collapsed="false">
      <c r="A74" s="19"/>
      <c r="B74" s="20"/>
      <c r="C74" s="19"/>
      <c r="D74" s="19"/>
      <c r="E74" s="19"/>
      <c r="F74" s="19"/>
      <c r="G74" s="21"/>
      <c r="H74" s="19"/>
      <c r="I74" s="21"/>
      <c r="J74" s="19"/>
      <c r="K74" s="20"/>
      <c r="L74" s="20"/>
      <c r="M74" s="19"/>
      <c r="N74" s="19"/>
      <c r="O74" s="20"/>
      <c r="P74" s="20"/>
      <c r="Q74" s="19"/>
      <c r="R74" s="22" t="str">
        <f aca="false">IF(A74="","",N(G74)+N(I74))</f>
        <v/>
      </c>
      <c r="S74" s="23" t="str">
        <f aca="false">IF(OR(K74="",O74=""),"",O74-K74)</f>
        <v/>
      </c>
      <c r="T74" s="23" t="str">
        <f aca="true">IF(AND(C74="Cetak",L74&lt;&gt;"",L74&lt;TODAY()),"YA","")</f>
        <v/>
      </c>
      <c r="U74" s="23" t="str">
        <f aca="false">IF(B74="","",TEXT(B74,"yyyy-mm"))</f>
        <v/>
      </c>
      <c r="V74" s="23" t="str">
        <f aca="false">IF(K74="","",TEXT(K74,"yyyy-mm"))</f>
        <v/>
      </c>
      <c r="W74" s="23" t="n">
        <f aca="false">IF(OR(C74="Cetak",C74="Dikirim",C74="Selesai"),1,0)</f>
        <v>0</v>
      </c>
      <c r="X74" s="23" t="str">
        <f aca="false">IF(F74="","",SUBSTITUTE(SUBSTITUTE(MID(UPPER(TRIM(F74)),4,99),"-LED",""),"-TK",""))</f>
        <v/>
      </c>
      <c r="Y74" s="23" t="str">
        <f aca="false">IF(X74="","",(LEN(X74)+1)/7)</f>
        <v/>
      </c>
      <c r="Z74" s="23" t="str">
        <f aca="false">IF(X74="","",LEFT(X74,6))</f>
        <v/>
      </c>
      <c r="AA74" s="23" t="str">
        <f aca="false">IF(X74="","",IF(Y74&gt;=3,MID(X74,8,6),""))</f>
        <v/>
      </c>
      <c r="AB74" s="23" t="str">
        <f aca="false">IF(X74="","",IF(Y74&gt;=4,MID(X74,15,6),""))</f>
        <v/>
      </c>
      <c r="AC74" s="23" t="str">
        <f aca="false">IF(X74="","",IF(Y74&gt;=5,MID(X74,22,6),""))</f>
        <v/>
      </c>
      <c r="AD74" s="23" t="str">
        <f aca="false">IF(X74="","",RIGHT(X74,6))</f>
        <v/>
      </c>
      <c r="AE74" s="23" t="str">
        <f aca="false">IF(F74="","",IF(ISNUMBER(SEARCH("-TK",UPPER(F74))),0,1))</f>
        <v/>
      </c>
      <c r="AF74" s="23" t="str">
        <f aca="false">IF(F74="","",IF(ISNUMBER(SEARCH("-LED",UPPER(F74))),1,0))</f>
        <v/>
      </c>
      <c r="AG74" s="24" t="n">
        <f aca="false">IF(Z74="",0,IFERROR(INDEX(Resep!$C$5:$C$7,MATCH(LEFT(Z74,3),Resep!$B$5:$B$7,0)),0))</f>
        <v>0</v>
      </c>
      <c r="AH74" s="24" t="n">
        <f aca="false">IF(AA74="",0,IFERROR(INDEX(Resep!$C$9:$C$13,MATCH(LEFT(AA74,3),Resep!$B$9:$B$13,0)),0))</f>
        <v>0</v>
      </c>
      <c r="AI74" s="24" t="n">
        <f aca="false">IF(AB74="",0,IFERROR(INDEX(Resep!$C$9:$C$13,MATCH(LEFT(AB74,3),Resep!$B$9:$B$13,0)),0))</f>
        <v>0</v>
      </c>
      <c r="AJ74" s="24" t="n">
        <f aca="false">IF(AC74="",0,IFERROR(INDEX(Resep!$C$9:$C$13,MATCH(LEFT(AC74,3),Resep!$B$9:$B$13,0)),0))</f>
        <v>0</v>
      </c>
      <c r="AK74" s="24" t="n">
        <f aca="false">IF(AD74="",0,IFERROR(INDEX(Resep!$C$15:$C$18,MATCH(LEFT(AD74,3),Resep!$B$15:$B$18,0)),0))</f>
        <v>0</v>
      </c>
      <c r="AL74" s="24" t="str">
        <f aca="false">IF(X74="","",AG74+AH74+AI74+AJ74+AK74)</f>
        <v/>
      </c>
      <c r="AM74" s="22" t="str">
        <f aca="false">IF(X74="","",AL74*(Pengaturan!$B$6+Pengaturan!$B$7)+Pengaturan!$B$8+AE74*Pengaturan!$B$9+AF74*Pengaturan!$B$10)</f>
        <v/>
      </c>
      <c r="AN74" s="22" t="str">
        <f aca="false">IF(X74="","",N(G74)-AM74)</f>
        <v/>
      </c>
      <c r="AO74" s="25" t="str">
        <f aca="false">IF(OR(X74="",N(G74)=0),"",AN74/G74)</f>
        <v/>
      </c>
    </row>
    <row r="75" customFormat="false" ht="15" hidden="false" customHeight="false" outlineLevel="0" collapsed="false">
      <c r="A75" s="19"/>
      <c r="B75" s="20"/>
      <c r="C75" s="19"/>
      <c r="D75" s="19"/>
      <c r="E75" s="19"/>
      <c r="F75" s="19"/>
      <c r="G75" s="21"/>
      <c r="H75" s="19"/>
      <c r="I75" s="21"/>
      <c r="J75" s="19"/>
      <c r="K75" s="20"/>
      <c r="L75" s="20"/>
      <c r="M75" s="19"/>
      <c r="N75" s="19"/>
      <c r="O75" s="20"/>
      <c r="P75" s="20"/>
      <c r="Q75" s="19"/>
      <c r="R75" s="22" t="str">
        <f aca="false">IF(A75="","",N(G75)+N(I75))</f>
        <v/>
      </c>
      <c r="S75" s="23" t="str">
        <f aca="false">IF(OR(K75="",O75=""),"",O75-K75)</f>
        <v/>
      </c>
      <c r="T75" s="23" t="str">
        <f aca="true">IF(AND(C75="Cetak",L75&lt;&gt;"",L75&lt;TODAY()),"YA","")</f>
        <v/>
      </c>
      <c r="U75" s="23" t="str">
        <f aca="false">IF(B75="","",TEXT(B75,"yyyy-mm"))</f>
        <v/>
      </c>
      <c r="V75" s="23" t="str">
        <f aca="false">IF(K75="","",TEXT(K75,"yyyy-mm"))</f>
        <v/>
      </c>
      <c r="W75" s="23" t="n">
        <f aca="false">IF(OR(C75="Cetak",C75="Dikirim",C75="Selesai"),1,0)</f>
        <v>0</v>
      </c>
      <c r="X75" s="23" t="str">
        <f aca="false">IF(F75="","",SUBSTITUTE(SUBSTITUTE(MID(UPPER(TRIM(F75)),4,99),"-LED",""),"-TK",""))</f>
        <v/>
      </c>
      <c r="Y75" s="23" t="str">
        <f aca="false">IF(X75="","",(LEN(X75)+1)/7)</f>
        <v/>
      </c>
      <c r="Z75" s="23" t="str">
        <f aca="false">IF(X75="","",LEFT(X75,6))</f>
        <v/>
      </c>
      <c r="AA75" s="23" t="str">
        <f aca="false">IF(X75="","",IF(Y75&gt;=3,MID(X75,8,6),""))</f>
        <v/>
      </c>
      <c r="AB75" s="23" t="str">
        <f aca="false">IF(X75="","",IF(Y75&gt;=4,MID(X75,15,6),""))</f>
        <v/>
      </c>
      <c r="AC75" s="23" t="str">
        <f aca="false">IF(X75="","",IF(Y75&gt;=5,MID(X75,22,6),""))</f>
        <v/>
      </c>
      <c r="AD75" s="23" t="str">
        <f aca="false">IF(X75="","",RIGHT(X75,6))</f>
        <v/>
      </c>
      <c r="AE75" s="23" t="str">
        <f aca="false">IF(F75="","",IF(ISNUMBER(SEARCH("-TK",UPPER(F75))),0,1))</f>
        <v/>
      </c>
      <c r="AF75" s="23" t="str">
        <f aca="false">IF(F75="","",IF(ISNUMBER(SEARCH("-LED",UPPER(F75))),1,0))</f>
        <v/>
      </c>
      <c r="AG75" s="24" t="n">
        <f aca="false">IF(Z75="",0,IFERROR(INDEX(Resep!$C$5:$C$7,MATCH(LEFT(Z75,3),Resep!$B$5:$B$7,0)),0))</f>
        <v>0</v>
      </c>
      <c r="AH75" s="24" t="n">
        <f aca="false">IF(AA75="",0,IFERROR(INDEX(Resep!$C$9:$C$13,MATCH(LEFT(AA75,3),Resep!$B$9:$B$13,0)),0))</f>
        <v>0</v>
      </c>
      <c r="AI75" s="24" t="n">
        <f aca="false">IF(AB75="",0,IFERROR(INDEX(Resep!$C$9:$C$13,MATCH(LEFT(AB75,3),Resep!$B$9:$B$13,0)),0))</f>
        <v>0</v>
      </c>
      <c r="AJ75" s="24" t="n">
        <f aca="false">IF(AC75="",0,IFERROR(INDEX(Resep!$C$9:$C$13,MATCH(LEFT(AC75,3),Resep!$B$9:$B$13,0)),0))</f>
        <v>0</v>
      </c>
      <c r="AK75" s="24" t="n">
        <f aca="false">IF(AD75="",0,IFERROR(INDEX(Resep!$C$15:$C$18,MATCH(LEFT(AD75,3),Resep!$B$15:$B$18,0)),0))</f>
        <v>0</v>
      </c>
      <c r="AL75" s="24" t="str">
        <f aca="false">IF(X75="","",AG75+AH75+AI75+AJ75+AK75)</f>
        <v/>
      </c>
      <c r="AM75" s="22" t="str">
        <f aca="false">IF(X75="","",AL75*(Pengaturan!$B$6+Pengaturan!$B$7)+Pengaturan!$B$8+AE75*Pengaturan!$B$9+AF75*Pengaturan!$B$10)</f>
        <v/>
      </c>
      <c r="AN75" s="22" t="str">
        <f aca="false">IF(X75="","",N(G75)-AM75)</f>
        <v/>
      </c>
      <c r="AO75" s="25" t="str">
        <f aca="false">IF(OR(X75="",N(G75)=0),"",AN75/G75)</f>
        <v/>
      </c>
    </row>
    <row r="76" customFormat="false" ht="15" hidden="false" customHeight="false" outlineLevel="0" collapsed="false">
      <c r="A76" s="19"/>
      <c r="B76" s="20"/>
      <c r="C76" s="19"/>
      <c r="D76" s="19"/>
      <c r="E76" s="19"/>
      <c r="F76" s="19"/>
      <c r="G76" s="21"/>
      <c r="H76" s="19"/>
      <c r="I76" s="21"/>
      <c r="J76" s="19"/>
      <c r="K76" s="20"/>
      <c r="L76" s="20"/>
      <c r="M76" s="19"/>
      <c r="N76" s="19"/>
      <c r="O76" s="20"/>
      <c r="P76" s="20"/>
      <c r="Q76" s="19"/>
      <c r="R76" s="22" t="str">
        <f aca="false">IF(A76="","",N(G76)+N(I76))</f>
        <v/>
      </c>
      <c r="S76" s="23" t="str">
        <f aca="false">IF(OR(K76="",O76=""),"",O76-K76)</f>
        <v/>
      </c>
      <c r="T76" s="23" t="str">
        <f aca="true">IF(AND(C76="Cetak",L76&lt;&gt;"",L76&lt;TODAY()),"YA","")</f>
        <v/>
      </c>
      <c r="U76" s="23" t="str">
        <f aca="false">IF(B76="","",TEXT(B76,"yyyy-mm"))</f>
        <v/>
      </c>
      <c r="V76" s="23" t="str">
        <f aca="false">IF(K76="","",TEXT(K76,"yyyy-mm"))</f>
        <v/>
      </c>
      <c r="W76" s="23" t="n">
        <f aca="false">IF(OR(C76="Cetak",C76="Dikirim",C76="Selesai"),1,0)</f>
        <v>0</v>
      </c>
      <c r="X76" s="23" t="str">
        <f aca="false">IF(F76="","",SUBSTITUTE(SUBSTITUTE(MID(UPPER(TRIM(F76)),4,99),"-LED",""),"-TK",""))</f>
        <v/>
      </c>
      <c r="Y76" s="23" t="str">
        <f aca="false">IF(X76="","",(LEN(X76)+1)/7)</f>
        <v/>
      </c>
      <c r="Z76" s="23" t="str">
        <f aca="false">IF(X76="","",LEFT(X76,6))</f>
        <v/>
      </c>
      <c r="AA76" s="23" t="str">
        <f aca="false">IF(X76="","",IF(Y76&gt;=3,MID(X76,8,6),""))</f>
        <v/>
      </c>
      <c r="AB76" s="23" t="str">
        <f aca="false">IF(X76="","",IF(Y76&gt;=4,MID(X76,15,6),""))</f>
        <v/>
      </c>
      <c r="AC76" s="23" t="str">
        <f aca="false">IF(X76="","",IF(Y76&gt;=5,MID(X76,22,6),""))</f>
        <v/>
      </c>
      <c r="AD76" s="23" t="str">
        <f aca="false">IF(X76="","",RIGHT(X76,6))</f>
        <v/>
      </c>
      <c r="AE76" s="23" t="str">
        <f aca="false">IF(F76="","",IF(ISNUMBER(SEARCH("-TK",UPPER(F76))),0,1))</f>
        <v/>
      </c>
      <c r="AF76" s="23" t="str">
        <f aca="false">IF(F76="","",IF(ISNUMBER(SEARCH("-LED",UPPER(F76))),1,0))</f>
        <v/>
      </c>
      <c r="AG76" s="24" t="n">
        <f aca="false">IF(Z76="",0,IFERROR(INDEX(Resep!$C$5:$C$7,MATCH(LEFT(Z76,3),Resep!$B$5:$B$7,0)),0))</f>
        <v>0</v>
      </c>
      <c r="AH76" s="24" t="n">
        <f aca="false">IF(AA76="",0,IFERROR(INDEX(Resep!$C$9:$C$13,MATCH(LEFT(AA76,3),Resep!$B$9:$B$13,0)),0))</f>
        <v>0</v>
      </c>
      <c r="AI76" s="24" t="n">
        <f aca="false">IF(AB76="",0,IFERROR(INDEX(Resep!$C$9:$C$13,MATCH(LEFT(AB76,3),Resep!$B$9:$B$13,0)),0))</f>
        <v>0</v>
      </c>
      <c r="AJ76" s="24" t="n">
        <f aca="false">IF(AC76="",0,IFERROR(INDEX(Resep!$C$9:$C$13,MATCH(LEFT(AC76,3),Resep!$B$9:$B$13,0)),0))</f>
        <v>0</v>
      </c>
      <c r="AK76" s="24" t="n">
        <f aca="false">IF(AD76="",0,IFERROR(INDEX(Resep!$C$15:$C$18,MATCH(LEFT(AD76,3),Resep!$B$15:$B$18,0)),0))</f>
        <v>0</v>
      </c>
      <c r="AL76" s="24" t="str">
        <f aca="false">IF(X76="","",AG76+AH76+AI76+AJ76+AK76)</f>
        <v/>
      </c>
      <c r="AM76" s="22" t="str">
        <f aca="false">IF(X76="","",AL76*(Pengaturan!$B$6+Pengaturan!$B$7)+Pengaturan!$B$8+AE76*Pengaturan!$B$9+AF76*Pengaturan!$B$10)</f>
        <v/>
      </c>
      <c r="AN76" s="22" t="str">
        <f aca="false">IF(X76="","",N(G76)-AM76)</f>
        <v/>
      </c>
      <c r="AO76" s="25" t="str">
        <f aca="false">IF(OR(X76="",N(G76)=0),"",AN76/G76)</f>
        <v/>
      </c>
    </row>
    <row r="77" customFormat="false" ht="15" hidden="false" customHeight="false" outlineLevel="0" collapsed="false">
      <c r="A77" s="19"/>
      <c r="B77" s="20"/>
      <c r="C77" s="19"/>
      <c r="D77" s="19"/>
      <c r="E77" s="19"/>
      <c r="F77" s="19"/>
      <c r="G77" s="21"/>
      <c r="H77" s="19"/>
      <c r="I77" s="21"/>
      <c r="J77" s="19"/>
      <c r="K77" s="20"/>
      <c r="L77" s="20"/>
      <c r="M77" s="19"/>
      <c r="N77" s="19"/>
      <c r="O77" s="20"/>
      <c r="P77" s="20"/>
      <c r="Q77" s="19"/>
      <c r="R77" s="22" t="str">
        <f aca="false">IF(A77="","",N(G77)+N(I77))</f>
        <v/>
      </c>
      <c r="S77" s="23" t="str">
        <f aca="false">IF(OR(K77="",O77=""),"",O77-K77)</f>
        <v/>
      </c>
      <c r="T77" s="23" t="str">
        <f aca="true">IF(AND(C77="Cetak",L77&lt;&gt;"",L77&lt;TODAY()),"YA","")</f>
        <v/>
      </c>
      <c r="U77" s="23" t="str">
        <f aca="false">IF(B77="","",TEXT(B77,"yyyy-mm"))</f>
        <v/>
      </c>
      <c r="V77" s="23" t="str">
        <f aca="false">IF(K77="","",TEXT(K77,"yyyy-mm"))</f>
        <v/>
      </c>
      <c r="W77" s="23" t="n">
        <f aca="false">IF(OR(C77="Cetak",C77="Dikirim",C77="Selesai"),1,0)</f>
        <v>0</v>
      </c>
      <c r="X77" s="23" t="str">
        <f aca="false">IF(F77="","",SUBSTITUTE(SUBSTITUTE(MID(UPPER(TRIM(F77)),4,99),"-LED",""),"-TK",""))</f>
        <v/>
      </c>
      <c r="Y77" s="23" t="str">
        <f aca="false">IF(X77="","",(LEN(X77)+1)/7)</f>
        <v/>
      </c>
      <c r="Z77" s="23" t="str">
        <f aca="false">IF(X77="","",LEFT(X77,6))</f>
        <v/>
      </c>
      <c r="AA77" s="23" t="str">
        <f aca="false">IF(X77="","",IF(Y77&gt;=3,MID(X77,8,6),""))</f>
        <v/>
      </c>
      <c r="AB77" s="23" t="str">
        <f aca="false">IF(X77="","",IF(Y77&gt;=4,MID(X77,15,6),""))</f>
        <v/>
      </c>
      <c r="AC77" s="23" t="str">
        <f aca="false">IF(X77="","",IF(Y77&gt;=5,MID(X77,22,6),""))</f>
        <v/>
      </c>
      <c r="AD77" s="23" t="str">
        <f aca="false">IF(X77="","",RIGHT(X77,6))</f>
        <v/>
      </c>
      <c r="AE77" s="23" t="str">
        <f aca="false">IF(F77="","",IF(ISNUMBER(SEARCH("-TK",UPPER(F77))),0,1))</f>
        <v/>
      </c>
      <c r="AF77" s="23" t="str">
        <f aca="false">IF(F77="","",IF(ISNUMBER(SEARCH("-LED",UPPER(F77))),1,0))</f>
        <v/>
      </c>
      <c r="AG77" s="24" t="n">
        <f aca="false">IF(Z77="",0,IFERROR(INDEX(Resep!$C$5:$C$7,MATCH(LEFT(Z77,3),Resep!$B$5:$B$7,0)),0))</f>
        <v>0</v>
      </c>
      <c r="AH77" s="24" t="n">
        <f aca="false">IF(AA77="",0,IFERROR(INDEX(Resep!$C$9:$C$13,MATCH(LEFT(AA77,3),Resep!$B$9:$B$13,0)),0))</f>
        <v>0</v>
      </c>
      <c r="AI77" s="24" t="n">
        <f aca="false">IF(AB77="",0,IFERROR(INDEX(Resep!$C$9:$C$13,MATCH(LEFT(AB77,3),Resep!$B$9:$B$13,0)),0))</f>
        <v>0</v>
      </c>
      <c r="AJ77" s="24" t="n">
        <f aca="false">IF(AC77="",0,IFERROR(INDEX(Resep!$C$9:$C$13,MATCH(LEFT(AC77,3),Resep!$B$9:$B$13,0)),0))</f>
        <v>0</v>
      </c>
      <c r="AK77" s="24" t="n">
        <f aca="false">IF(AD77="",0,IFERROR(INDEX(Resep!$C$15:$C$18,MATCH(LEFT(AD77,3),Resep!$B$15:$B$18,0)),0))</f>
        <v>0</v>
      </c>
      <c r="AL77" s="24" t="str">
        <f aca="false">IF(X77="","",AG77+AH77+AI77+AJ77+AK77)</f>
        <v/>
      </c>
      <c r="AM77" s="22" t="str">
        <f aca="false">IF(X77="","",AL77*(Pengaturan!$B$6+Pengaturan!$B$7)+Pengaturan!$B$8+AE77*Pengaturan!$B$9+AF77*Pengaturan!$B$10)</f>
        <v/>
      </c>
      <c r="AN77" s="22" t="str">
        <f aca="false">IF(X77="","",N(G77)-AM77)</f>
        <v/>
      </c>
      <c r="AO77" s="25" t="str">
        <f aca="false">IF(OR(X77="",N(G77)=0),"",AN77/G77)</f>
        <v/>
      </c>
    </row>
    <row r="78" customFormat="false" ht="15" hidden="false" customHeight="false" outlineLevel="0" collapsed="false">
      <c r="A78" s="19"/>
      <c r="B78" s="20"/>
      <c r="C78" s="19"/>
      <c r="D78" s="19"/>
      <c r="E78" s="19"/>
      <c r="F78" s="19"/>
      <c r="G78" s="21"/>
      <c r="H78" s="19"/>
      <c r="I78" s="21"/>
      <c r="J78" s="19"/>
      <c r="K78" s="20"/>
      <c r="L78" s="20"/>
      <c r="M78" s="19"/>
      <c r="N78" s="19"/>
      <c r="O78" s="20"/>
      <c r="P78" s="20"/>
      <c r="Q78" s="19"/>
      <c r="R78" s="22" t="str">
        <f aca="false">IF(A78="","",N(G78)+N(I78))</f>
        <v/>
      </c>
      <c r="S78" s="23" t="str">
        <f aca="false">IF(OR(K78="",O78=""),"",O78-K78)</f>
        <v/>
      </c>
      <c r="T78" s="23" t="str">
        <f aca="true">IF(AND(C78="Cetak",L78&lt;&gt;"",L78&lt;TODAY()),"YA","")</f>
        <v/>
      </c>
      <c r="U78" s="23" t="str">
        <f aca="false">IF(B78="","",TEXT(B78,"yyyy-mm"))</f>
        <v/>
      </c>
      <c r="V78" s="23" t="str">
        <f aca="false">IF(K78="","",TEXT(K78,"yyyy-mm"))</f>
        <v/>
      </c>
      <c r="W78" s="23" t="n">
        <f aca="false">IF(OR(C78="Cetak",C78="Dikirim",C78="Selesai"),1,0)</f>
        <v>0</v>
      </c>
      <c r="X78" s="23" t="str">
        <f aca="false">IF(F78="","",SUBSTITUTE(SUBSTITUTE(MID(UPPER(TRIM(F78)),4,99),"-LED",""),"-TK",""))</f>
        <v/>
      </c>
      <c r="Y78" s="23" t="str">
        <f aca="false">IF(X78="","",(LEN(X78)+1)/7)</f>
        <v/>
      </c>
      <c r="Z78" s="23" t="str">
        <f aca="false">IF(X78="","",LEFT(X78,6))</f>
        <v/>
      </c>
      <c r="AA78" s="23" t="str">
        <f aca="false">IF(X78="","",IF(Y78&gt;=3,MID(X78,8,6),""))</f>
        <v/>
      </c>
      <c r="AB78" s="23" t="str">
        <f aca="false">IF(X78="","",IF(Y78&gt;=4,MID(X78,15,6),""))</f>
        <v/>
      </c>
      <c r="AC78" s="23" t="str">
        <f aca="false">IF(X78="","",IF(Y78&gt;=5,MID(X78,22,6),""))</f>
        <v/>
      </c>
      <c r="AD78" s="23" t="str">
        <f aca="false">IF(X78="","",RIGHT(X78,6))</f>
        <v/>
      </c>
      <c r="AE78" s="23" t="str">
        <f aca="false">IF(F78="","",IF(ISNUMBER(SEARCH("-TK",UPPER(F78))),0,1))</f>
        <v/>
      </c>
      <c r="AF78" s="23" t="str">
        <f aca="false">IF(F78="","",IF(ISNUMBER(SEARCH("-LED",UPPER(F78))),1,0))</f>
        <v/>
      </c>
      <c r="AG78" s="24" t="n">
        <f aca="false">IF(Z78="",0,IFERROR(INDEX(Resep!$C$5:$C$7,MATCH(LEFT(Z78,3),Resep!$B$5:$B$7,0)),0))</f>
        <v>0</v>
      </c>
      <c r="AH78" s="24" t="n">
        <f aca="false">IF(AA78="",0,IFERROR(INDEX(Resep!$C$9:$C$13,MATCH(LEFT(AA78,3),Resep!$B$9:$B$13,0)),0))</f>
        <v>0</v>
      </c>
      <c r="AI78" s="24" t="n">
        <f aca="false">IF(AB78="",0,IFERROR(INDEX(Resep!$C$9:$C$13,MATCH(LEFT(AB78,3),Resep!$B$9:$B$13,0)),0))</f>
        <v>0</v>
      </c>
      <c r="AJ78" s="24" t="n">
        <f aca="false">IF(AC78="",0,IFERROR(INDEX(Resep!$C$9:$C$13,MATCH(LEFT(AC78,3),Resep!$B$9:$B$13,0)),0))</f>
        <v>0</v>
      </c>
      <c r="AK78" s="24" t="n">
        <f aca="false">IF(AD78="",0,IFERROR(INDEX(Resep!$C$15:$C$18,MATCH(LEFT(AD78,3),Resep!$B$15:$B$18,0)),0))</f>
        <v>0</v>
      </c>
      <c r="AL78" s="24" t="str">
        <f aca="false">IF(X78="","",AG78+AH78+AI78+AJ78+AK78)</f>
        <v/>
      </c>
      <c r="AM78" s="22" t="str">
        <f aca="false">IF(X78="","",AL78*(Pengaturan!$B$6+Pengaturan!$B$7)+Pengaturan!$B$8+AE78*Pengaturan!$B$9+AF78*Pengaturan!$B$10)</f>
        <v/>
      </c>
      <c r="AN78" s="22" t="str">
        <f aca="false">IF(X78="","",N(G78)-AM78)</f>
        <v/>
      </c>
      <c r="AO78" s="25" t="str">
        <f aca="false">IF(OR(X78="",N(G78)=0),"",AN78/G78)</f>
        <v/>
      </c>
    </row>
    <row r="79" customFormat="false" ht="15" hidden="false" customHeight="false" outlineLevel="0" collapsed="false">
      <c r="A79" s="19"/>
      <c r="B79" s="20"/>
      <c r="C79" s="19"/>
      <c r="D79" s="19"/>
      <c r="E79" s="19"/>
      <c r="F79" s="19"/>
      <c r="G79" s="21"/>
      <c r="H79" s="19"/>
      <c r="I79" s="21"/>
      <c r="J79" s="19"/>
      <c r="K79" s="20"/>
      <c r="L79" s="20"/>
      <c r="M79" s="19"/>
      <c r="N79" s="19"/>
      <c r="O79" s="20"/>
      <c r="P79" s="20"/>
      <c r="Q79" s="19"/>
      <c r="R79" s="22" t="str">
        <f aca="false">IF(A79="","",N(G79)+N(I79))</f>
        <v/>
      </c>
      <c r="S79" s="23" t="str">
        <f aca="false">IF(OR(K79="",O79=""),"",O79-K79)</f>
        <v/>
      </c>
      <c r="T79" s="23" t="str">
        <f aca="true">IF(AND(C79="Cetak",L79&lt;&gt;"",L79&lt;TODAY()),"YA","")</f>
        <v/>
      </c>
      <c r="U79" s="23" t="str">
        <f aca="false">IF(B79="","",TEXT(B79,"yyyy-mm"))</f>
        <v/>
      </c>
      <c r="V79" s="23" t="str">
        <f aca="false">IF(K79="","",TEXT(K79,"yyyy-mm"))</f>
        <v/>
      </c>
      <c r="W79" s="23" t="n">
        <f aca="false">IF(OR(C79="Cetak",C79="Dikirim",C79="Selesai"),1,0)</f>
        <v>0</v>
      </c>
      <c r="X79" s="23" t="str">
        <f aca="false">IF(F79="","",SUBSTITUTE(SUBSTITUTE(MID(UPPER(TRIM(F79)),4,99),"-LED",""),"-TK",""))</f>
        <v/>
      </c>
      <c r="Y79" s="23" t="str">
        <f aca="false">IF(X79="","",(LEN(X79)+1)/7)</f>
        <v/>
      </c>
      <c r="Z79" s="23" t="str">
        <f aca="false">IF(X79="","",LEFT(X79,6))</f>
        <v/>
      </c>
      <c r="AA79" s="23" t="str">
        <f aca="false">IF(X79="","",IF(Y79&gt;=3,MID(X79,8,6),""))</f>
        <v/>
      </c>
      <c r="AB79" s="23" t="str">
        <f aca="false">IF(X79="","",IF(Y79&gt;=4,MID(X79,15,6),""))</f>
        <v/>
      </c>
      <c r="AC79" s="23" t="str">
        <f aca="false">IF(X79="","",IF(Y79&gt;=5,MID(X79,22,6),""))</f>
        <v/>
      </c>
      <c r="AD79" s="23" t="str">
        <f aca="false">IF(X79="","",RIGHT(X79,6))</f>
        <v/>
      </c>
      <c r="AE79" s="23" t="str">
        <f aca="false">IF(F79="","",IF(ISNUMBER(SEARCH("-TK",UPPER(F79))),0,1))</f>
        <v/>
      </c>
      <c r="AF79" s="23" t="str">
        <f aca="false">IF(F79="","",IF(ISNUMBER(SEARCH("-LED",UPPER(F79))),1,0))</f>
        <v/>
      </c>
      <c r="AG79" s="24" t="n">
        <f aca="false">IF(Z79="",0,IFERROR(INDEX(Resep!$C$5:$C$7,MATCH(LEFT(Z79,3),Resep!$B$5:$B$7,0)),0))</f>
        <v>0</v>
      </c>
      <c r="AH79" s="24" t="n">
        <f aca="false">IF(AA79="",0,IFERROR(INDEX(Resep!$C$9:$C$13,MATCH(LEFT(AA79,3),Resep!$B$9:$B$13,0)),0))</f>
        <v>0</v>
      </c>
      <c r="AI79" s="24" t="n">
        <f aca="false">IF(AB79="",0,IFERROR(INDEX(Resep!$C$9:$C$13,MATCH(LEFT(AB79,3),Resep!$B$9:$B$13,0)),0))</f>
        <v>0</v>
      </c>
      <c r="AJ79" s="24" t="n">
        <f aca="false">IF(AC79="",0,IFERROR(INDEX(Resep!$C$9:$C$13,MATCH(LEFT(AC79,3),Resep!$B$9:$B$13,0)),0))</f>
        <v>0</v>
      </c>
      <c r="AK79" s="24" t="n">
        <f aca="false">IF(AD79="",0,IFERROR(INDEX(Resep!$C$15:$C$18,MATCH(LEFT(AD79,3),Resep!$B$15:$B$18,0)),0))</f>
        <v>0</v>
      </c>
      <c r="AL79" s="24" t="str">
        <f aca="false">IF(X79="","",AG79+AH79+AI79+AJ79+AK79)</f>
        <v/>
      </c>
      <c r="AM79" s="22" t="str">
        <f aca="false">IF(X79="","",AL79*(Pengaturan!$B$6+Pengaturan!$B$7)+Pengaturan!$B$8+AE79*Pengaturan!$B$9+AF79*Pengaturan!$B$10)</f>
        <v/>
      </c>
      <c r="AN79" s="22" t="str">
        <f aca="false">IF(X79="","",N(G79)-AM79)</f>
        <v/>
      </c>
      <c r="AO79" s="25" t="str">
        <f aca="false">IF(OR(X79="",N(G79)=0),"",AN79/G79)</f>
        <v/>
      </c>
    </row>
    <row r="80" customFormat="false" ht="15" hidden="false" customHeight="false" outlineLevel="0" collapsed="false">
      <c r="A80" s="19"/>
      <c r="B80" s="20"/>
      <c r="C80" s="19"/>
      <c r="D80" s="19"/>
      <c r="E80" s="19"/>
      <c r="F80" s="19"/>
      <c r="G80" s="21"/>
      <c r="H80" s="19"/>
      <c r="I80" s="21"/>
      <c r="J80" s="19"/>
      <c r="K80" s="20"/>
      <c r="L80" s="20"/>
      <c r="M80" s="19"/>
      <c r="N80" s="19"/>
      <c r="O80" s="20"/>
      <c r="P80" s="20"/>
      <c r="Q80" s="19"/>
      <c r="R80" s="22" t="str">
        <f aca="false">IF(A80="","",N(G80)+N(I80))</f>
        <v/>
      </c>
      <c r="S80" s="23" t="str">
        <f aca="false">IF(OR(K80="",O80=""),"",O80-K80)</f>
        <v/>
      </c>
      <c r="T80" s="23" t="str">
        <f aca="true">IF(AND(C80="Cetak",L80&lt;&gt;"",L80&lt;TODAY()),"YA","")</f>
        <v/>
      </c>
      <c r="U80" s="23" t="str">
        <f aca="false">IF(B80="","",TEXT(B80,"yyyy-mm"))</f>
        <v/>
      </c>
      <c r="V80" s="23" t="str">
        <f aca="false">IF(K80="","",TEXT(K80,"yyyy-mm"))</f>
        <v/>
      </c>
      <c r="W80" s="23" t="n">
        <f aca="false">IF(OR(C80="Cetak",C80="Dikirim",C80="Selesai"),1,0)</f>
        <v>0</v>
      </c>
      <c r="X80" s="23" t="str">
        <f aca="false">IF(F80="","",SUBSTITUTE(SUBSTITUTE(MID(UPPER(TRIM(F80)),4,99),"-LED",""),"-TK",""))</f>
        <v/>
      </c>
      <c r="Y80" s="23" t="str">
        <f aca="false">IF(X80="","",(LEN(X80)+1)/7)</f>
        <v/>
      </c>
      <c r="Z80" s="23" t="str">
        <f aca="false">IF(X80="","",LEFT(X80,6))</f>
        <v/>
      </c>
      <c r="AA80" s="23" t="str">
        <f aca="false">IF(X80="","",IF(Y80&gt;=3,MID(X80,8,6),""))</f>
        <v/>
      </c>
      <c r="AB80" s="23" t="str">
        <f aca="false">IF(X80="","",IF(Y80&gt;=4,MID(X80,15,6),""))</f>
        <v/>
      </c>
      <c r="AC80" s="23" t="str">
        <f aca="false">IF(X80="","",IF(Y80&gt;=5,MID(X80,22,6),""))</f>
        <v/>
      </c>
      <c r="AD80" s="23" t="str">
        <f aca="false">IF(X80="","",RIGHT(X80,6))</f>
        <v/>
      </c>
      <c r="AE80" s="23" t="str">
        <f aca="false">IF(F80="","",IF(ISNUMBER(SEARCH("-TK",UPPER(F80))),0,1))</f>
        <v/>
      </c>
      <c r="AF80" s="23" t="str">
        <f aca="false">IF(F80="","",IF(ISNUMBER(SEARCH("-LED",UPPER(F80))),1,0))</f>
        <v/>
      </c>
      <c r="AG80" s="24" t="n">
        <f aca="false">IF(Z80="",0,IFERROR(INDEX(Resep!$C$5:$C$7,MATCH(LEFT(Z80,3),Resep!$B$5:$B$7,0)),0))</f>
        <v>0</v>
      </c>
      <c r="AH80" s="24" t="n">
        <f aca="false">IF(AA80="",0,IFERROR(INDEX(Resep!$C$9:$C$13,MATCH(LEFT(AA80,3),Resep!$B$9:$B$13,0)),0))</f>
        <v>0</v>
      </c>
      <c r="AI80" s="24" t="n">
        <f aca="false">IF(AB80="",0,IFERROR(INDEX(Resep!$C$9:$C$13,MATCH(LEFT(AB80,3),Resep!$B$9:$B$13,0)),0))</f>
        <v>0</v>
      </c>
      <c r="AJ80" s="24" t="n">
        <f aca="false">IF(AC80="",0,IFERROR(INDEX(Resep!$C$9:$C$13,MATCH(LEFT(AC80,3),Resep!$B$9:$B$13,0)),0))</f>
        <v>0</v>
      </c>
      <c r="AK80" s="24" t="n">
        <f aca="false">IF(AD80="",0,IFERROR(INDEX(Resep!$C$15:$C$18,MATCH(LEFT(AD80,3),Resep!$B$15:$B$18,0)),0))</f>
        <v>0</v>
      </c>
      <c r="AL80" s="24" t="str">
        <f aca="false">IF(X80="","",AG80+AH80+AI80+AJ80+AK80)</f>
        <v/>
      </c>
      <c r="AM80" s="22" t="str">
        <f aca="false">IF(X80="","",AL80*(Pengaturan!$B$6+Pengaturan!$B$7)+Pengaturan!$B$8+AE80*Pengaturan!$B$9+AF80*Pengaturan!$B$10)</f>
        <v/>
      </c>
      <c r="AN80" s="22" t="str">
        <f aca="false">IF(X80="","",N(G80)-AM80)</f>
        <v/>
      </c>
      <c r="AO80" s="25" t="str">
        <f aca="false">IF(OR(X80="",N(G80)=0),"",AN80/G80)</f>
        <v/>
      </c>
    </row>
    <row r="81" customFormat="false" ht="15" hidden="false" customHeight="false" outlineLevel="0" collapsed="false">
      <c r="A81" s="19"/>
      <c r="B81" s="20"/>
      <c r="C81" s="19"/>
      <c r="D81" s="19"/>
      <c r="E81" s="19"/>
      <c r="F81" s="19"/>
      <c r="G81" s="21"/>
      <c r="H81" s="19"/>
      <c r="I81" s="21"/>
      <c r="J81" s="19"/>
      <c r="K81" s="20"/>
      <c r="L81" s="20"/>
      <c r="M81" s="19"/>
      <c r="N81" s="19"/>
      <c r="O81" s="20"/>
      <c r="P81" s="20"/>
      <c r="Q81" s="19"/>
      <c r="R81" s="22" t="str">
        <f aca="false">IF(A81="","",N(G81)+N(I81))</f>
        <v/>
      </c>
      <c r="S81" s="23" t="str">
        <f aca="false">IF(OR(K81="",O81=""),"",O81-K81)</f>
        <v/>
      </c>
      <c r="T81" s="23" t="str">
        <f aca="true">IF(AND(C81="Cetak",L81&lt;&gt;"",L81&lt;TODAY()),"YA","")</f>
        <v/>
      </c>
      <c r="U81" s="23" t="str">
        <f aca="false">IF(B81="","",TEXT(B81,"yyyy-mm"))</f>
        <v/>
      </c>
      <c r="V81" s="23" t="str">
        <f aca="false">IF(K81="","",TEXT(K81,"yyyy-mm"))</f>
        <v/>
      </c>
      <c r="W81" s="23" t="n">
        <f aca="false">IF(OR(C81="Cetak",C81="Dikirim",C81="Selesai"),1,0)</f>
        <v>0</v>
      </c>
      <c r="X81" s="23" t="str">
        <f aca="false">IF(F81="","",SUBSTITUTE(SUBSTITUTE(MID(UPPER(TRIM(F81)),4,99),"-LED",""),"-TK",""))</f>
        <v/>
      </c>
      <c r="Y81" s="23" t="str">
        <f aca="false">IF(X81="","",(LEN(X81)+1)/7)</f>
        <v/>
      </c>
      <c r="Z81" s="23" t="str">
        <f aca="false">IF(X81="","",LEFT(X81,6))</f>
        <v/>
      </c>
      <c r="AA81" s="23" t="str">
        <f aca="false">IF(X81="","",IF(Y81&gt;=3,MID(X81,8,6),""))</f>
        <v/>
      </c>
      <c r="AB81" s="23" t="str">
        <f aca="false">IF(X81="","",IF(Y81&gt;=4,MID(X81,15,6),""))</f>
        <v/>
      </c>
      <c r="AC81" s="23" t="str">
        <f aca="false">IF(X81="","",IF(Y81&gt;=5,MID(X81,22,6),""))</f>
        <v/>
      </c>
      <c r="AD81" s="23" t="str">
        <f aca="false">IF(X81="","",RIGHT(X81,6))</f>
        <v/>
      </c>
      <c r="AE81" s="23" t="str">
        <f aca="false">IF(F81="","",IF(ISNUMBER(SEARCH("-TK",UPPER(F81))),0,1))</f>
        <v/>
      </c>
      <c r="AF81" s="23" t="str">
        <f aca="false">IF(F81="","",IF(ISNUMBER(SEARCH("-LED",UPPER(F81))),1,0))</f>
        <v/>
      </c>
      <c r="AG81" s="24" t="n">
        <f aca="false">IF(Z81="",0,IFERROR(INDEX(Resep!$C$5:$C$7,MATCH(LEFT(Z81,3),Resep!$B$5:$B$7,0)),0))</f>
        <v>0</v>
      </c>
      <c r="AH81" s="24" t="n">
        <f aca="false">IF(AA81="",0,IFERROR(INDEX(Resep!$C$9:$C$13,MATCH(LEFT(AA81,3),Resep!$B$9:$B$13,0)),0))</f>
        <v>0</v>
      </c>
      <c r="AI81" s="24" t="n">
        <f aca="false">IF(AB81="",0,IFERROR(INDEX(Resep!$C$9:$C$13,MATCH(LEFT(AB81,3),Resep!$B$9:$B$13,0)),0))</f>
        <v>0</v>
      </c>
      <c r="AJ81" s="24" t="n">
        <f aca="false">IF(AC81="",0,IFERROR(INDEX(Resep!$C$9:$C$13,MATCH(LEFT(AC81,3),Resep!$B$9:$B$13,0)),0))</f>
        <v>0</v>
      </c>
      <c r="AK81" s="24" t="n">
        <f aca="false">IF(AD81="",0,IFERROR(INDEX(Resep!$C$15:$C$18,MATCH(LEFT(AD81,3),Resep!$B$15:$B$18,0)),0))</f>
        <v>0</v>
      </c>
      <c r="AL81" s="24" t="str">
        <f aca="false">IF(X81="","",AG81+AH81+AI81+AJ81+AK81)</f>
        <v/>
      </c>
      <c r="AM81" s="22" t="str">
        <f aca="false">IF(X81="","",AL81*(Pengaturan!$B$6+Pengaturan!$B$7)+Pengaturan!$B$8+AE81*Pengaturan!$B$9+AF81*Pengaturan!$B$10)</f>
        <v/>
      </c>
      <c r="AN81" s="22" t="str">
        <f aca="false">IF(X81="","",N(G81)-AM81)</f>
        <v/>
      </c>
      <c r="AO81" s="25" t="str">
        <f aca="false">IF(OR(X81="",N(G81)=0),"",AN81/G81)</f>
        <v/>
      </c>
    </row>
    <row r="82" customFormat="false" ht="15" hidden="false" customHeight="false" outlineLevel="0" collapsed="false">
      <c r="A82" s="19"/>
      <c r="B82" s="20"/>
      <c r="C82" s="19"/>
      <c r="D82" s="19"/>
      <c r="E82" s="19"/>
      <c r="F82" s="19"/>
      <c r="G82" s="21"/>
      <c r="H82" s="19"/>
      <c r="I82" s="21"/>
      <c r="J82" s="19"/>
      <c r="K82" s="20"/>
      <c r="L82" s="20"/>
      <c r="M82" s="19"/>
      <c r="N82" s="19"/>
      <c r="O82" s="20"/>
      <c r="P82" s="20"/>
      <c r="Q82" s="19"/>
      <c r="R82" s="22" t="str">
        <f aca="false">IF(A82="","",N(G82)+N(I82))</f>
        <v/>
      </c>
      <c r="S82" s="23" t="str">
        <f aca="false">IF(OR(K82="",O82=""),"",O82-K82)</f>
        <v/>
      </c>
      <c r="T82" s="23" t="str">
        <f aca="true">IF(AND(C82="Cetak",L82&lt;&gt;"",L82&lt;TODAY()),"YA","")</f>
        <v/>
      </c>
      <c r="U82" s="23" t="str">
        <f aca="false">IF(B82="","",TEXT(B82,"yyyy-mm"))</f>
        <v/>
      </c>
      <c r="V82" s="23" t="str">
        <f aca="false">IF(K82="","",TEXT(K82,"yyyy-mm"))</f>
        <v/>
      </c>
      <c r="W82" s="23" t="n">
        <f aca="false">IF(OR(C82="Cetak",C82="Dikirim",C82="Selesai"),1,0)</f>
        <v>0</v>
      </c>
      <c r="X82" s="23" t="str">
        <f aca="false">IF(F82="","",SUBSTITUTE(SUBSTITUTE(MID(UPPER(TRIM(F82)),4,99),"-LED",""),"-TK",""))</f>
        <v/>
      </c>
      <c r="Y82" s="23" t="str">
        <f aca="false">IF(X82="","",(LEN(X82)+1)/7)</f>
        <v/>
      </c>
      <c r="Z82" s="23" t="str">
        <f aca="false">IF(X82="","",LEFT(X82,6))</f>
        <v/>
      </c>
      <c r="AA82" s="23" t="str">
        <f aca="false">IF(X82="","",IF(Y82&gt;=3,MID(X82,8,6),""))</f>
        <v/>
      </c>
      <c r="AB82" s="23" t="str">
        <f aca="false">IF(X82="","",IF(Y82&gt;=4,MID(X82,15,6),""))</f>
        <v/>
      </c>
      <c r="AC82" s="23" t="str">
        <f aca="false">IF(X82="","",IF(Y82&gt;=5,MID(X82,22,6),""))</f>
        <v/>
      </c>
      <c r="AD82" s="23" t="str">
        <f aca="false">IF(X82="","",RIGHT(X82,6))</f>
        <v/>
      </c>
      <c r="AE82" s="23" t="str">
        <f aca="false">IF(F82="","",IF(ISNUMBER(SEARCH("-TK",UPPER(F82))),0,1))</f>
        <v/>
      </c>
      <c r="AF82" s="23" t="str">
        <f aca="false">IF(F82="","",IF(ISNUMBER(SEARCH("-LED",UPPER(F82))),1,0))</f>
        <v/>
      </c>
      <c r="AG82" s="24" t="n">
        <f aca="false">IF(Z82="",0,IFERROR(INDEX(Resep!$C$5:$C$7,MATCH(LEFT(Z82,3),Resep!$B$5:$B$7,0)),0))</f>
        <v>0</v>
      </c>
      <c r="AH82" s="24" t="n">
        <f aca="false">IF(AA82="",0,IFERROR(INDEX(Resep!$C$9:$C$13,MATCH(LEFT(AA82,3),Resep!$B$9:$B$13,0)),0))</f>
        <v>0</v>
      </c>
      <c r="AI82" s="24" t="n">
        <f aca="false">IF(AB82="",0,IFERROR(INDEX(Resep!$C$9:$C$13,MATCH(LEFT(AB82,3),Resep!$B$9:$B$13,0)),0))</f>
        <v>0</v>
      </c>
      <c r="AJ82" s="24" t="n">
        <f aca="false">IF(AC82="",0,IFERROR(INDEX(Resep!$C$9:$C$13,MATCH(LEFT(AC82,3),Resep!$B$9:$B$13,0)),0))</f>
        <v>0</v>
      </c>
      <c r="AK82" s="24" t="n">
        <f aca="false">IF(AD82="",0,IFERROR(INDEX(Resep!$C$15:$C$18,MATCH(LEFT(AD82,3),Resep!$B$15:$B$18,0)),0))</f>
        <v>0</v>
      </c>
      <c r="AL82" s="24" t="str">
        <f aca="false">IF(X82="","",AG82+AH82+AI82+AJ82+AK82)</f>
        <v/>
      </c>
      <c r="AM82" s="22" t="str">
        <f aca="false">IF(X82="","",AL82*(Pengaturan!$B$6+Pengaturan!$B$7)+Pengaturan!$B$8+AE82*Pengaturan!$B$9+AF82*Pengaturan!$B$10)</f>
        <v/>
      </c>
      <c r="AN82" s="22" t="str">
        <f aca="false">IF(X82="","",N(G82)-AM82)</f>
        <v/>
      </c>
      <c r="AO82" s="25" t="str">
        <f aca="false">IF(OR(X82="",N(G82)=0),"",AN82/G82)</f>
        <v/>
      </c>
    </row>
    <row r="83" customFormat="false" ht="15" hidden="false" customHeight="false" outlineLevel="0" collapsed="false">
      <c r="A83" s="19"/>
      <c r="B83" s="20"/>
      <c r="C83" s="19"/>
      <c r="D83" s="19"/>
      <c r="E83" s="19"/>
      <c r="F83" s="19"/>
      <c r="G83" s="21"/>
      <c r="H83" s="19"/>
      <c r="I83" s="21"/>
      <c r="J83" s="19"/>
      <c r="K83" s="20"/>
      <c r="L83" s="20"/>
      <c r="M83" s="19"/>
      <c r="N83" s="19"/>
      <c r="O83" s="20"/>
      <c r="P83" s="20"/>
      <c r="Q83" s="19"/>
      <c r="R83" s="22" t="str">
        <f aca="false">IF(A83="","",N(G83)+N(I83))</f>
        <v/>
      </c>
      <c r="S83" s="23" t="str">
        <f aca="false">IF(OR(K83="",O83=""),"",O83-K83)</f>
        <v/>
      </c>
      <c r="T83" s="23" t="str">
        <f aca="true">IF(AND(C83="Cetak",L83&lt;&gt;"",L83&lt;TODAY()),"YA","")</f>
        <v/>
      </c>
      <c r="U83" s="23" t="str">
        <f aca="false">IF(B83="","",TEXT(B83,"yyyy-mm"))</f>
        <v/>
      </c>
      <c r="V83" s="23" t="str">
        <f aca="false">IF(K83="","",TEXT(K83,"yyyy-mm"))</f>
        <v/>
      </c>
      <c r="W83" s="23" t="n">
        <f aca="false">IF(OR(C83="Cetak",C83="Dikirim",C83="Selesai"),1,0)</f>
        <v>0</v>
      </c>
      <c r="X83" s="23" t="str">
        <f aca="false">IF(F83="","",SUBSTITUTE(SUBSTITUTE(MID(UPPER(TRIM(F83)),4,99),"-LED",""),"-TK",""))</f>
        <v/>
      </c>
      <c r="Y83" s="23" t="str">
        <f aca="false">IF(X83="","",(LEN(X83)+1)/7)</f>
        <v/>
      </c>
      <c r="Z83" s="23" t="str">
        <f aca="false">IF(X83="","",LEFT(X83,6))</f>
        <v/>
      </c>
      <c r="AA83" s="23" t="str">
        <f aca="false">IF(X83="","",IF(Y83&gt;=3,MID(X83,8,6),""))</f>
        <v/>
      </c>
      <c r="AB83" s="23" t="str">
        <f aca="false">IF(X83="","",IF(Y83&gt;=4,MID(X83,15,6),""))</f>
        <v/>
      </c>
      <c r="AC83" s="23" t="str">
        <f aca="false">IF(X83="","",IF(Y83&gt;=5,MID(X83,22,6),""))</f>
        <v/>
      </c>
      <c r="AD83" s="23" t="str">
        <f aca="false">IF(X83="","",RIGHT(X83,6))</f>
        <v/>
      </c>
      <c r="AE83" s="23" t="str">
        <f aca="false">IF(F83="","",IF(ISNUMBER(SEARCH("-TK",UPPER(F83))),0,1))</f>
        <v/>
      </c>
      <c r="AF83" s="23" t="str">
        <f aca="false">IF(F83="","",IF(ISNUMBER(SEARCH("-LED",UPPER(F83))),1,0))</f>
        <v/>
      </c>
      <c r="AG83" s="24" t="n">
        <f aca="false">IF(Z83="",0,IFERROR(INDEX(Resep!$C$5:$C$7,MATCH(LEFT(Z83,3),Resep!$B$5:$B$7,0)),0))</f>
        <v>0</v>
      </c>
      <c r="AH83" s="24" t="n">
        <f aca="false">IF(AA83="",0,IFERROR(INDEX(Resep!$C$9:$C$13,MATCH(LEFT(AA83,3),Resep!$B$9:$B$13,0)),0))</f>
        <v>0</v>
      </c>
      <c r="AI83" s="24" t="n">
        <f aca="false">IF(AB83="",0,IFERROR(INDEX(Resep!$C$9:$C$13,MATCH(LEFT(AB83,3),Resep!$B$9:$B$13,0)),0))</f>
        <v>0</v>
      </c>
      <c r="AJ83" s="24" t="n">
        <f aca="false">IF(AC83="",0,IFERROR(INDEX(Resep!$C$9:$C$13,MATCH(LEFT(AC83,3),Resep!$B$9:$B$13,0)),0))</f>
        <v>0</v>
      </c>
      <c r="AK83" s="24" t="n">
        <f aca="false">IF(AD83="",0,IFERROR(INDEX(Resep!$C$15:$C$18,MATCH(LEFT(AD83,3),Resep!$B$15:$B$18,0)),0))</f>
        <v>0</v>
      </c>
      <c r="AL83" s="24" t="str">
        <f aca="false">IF(X83="","",AG83+AH83+AI83+AJ83+AK83)</f>
        <v/>
      </c>
      <c r="AM83" s="22" t="str">
        <f aca="false">IF(X83="","",AL83*(Pengaturan!$B$6+Pengaturan!$B$7)+Pengaturan!$B$8+AE83*Pengaturan!$B$9+AF83*Pengaturan!$B$10)</f>
        <v/>
      </c>
      <c r="AN83" s="22" t="str">
        <f aca="false">IF(X83="","",N(G83)-AM83)</f>
        <v/>
      </c>
      <c r="AO83" s="25" t="str">
        <f aca="false">IF(OR(X83="",N(G83)=0),"",AN83/G83)</f>
        <v/>
      </c>
    </row>
    <row r="84" customFormat="false" ht="15" hidden="false" customHeight="false" outlineLevel="0" collapsed="false">
      <c r="A84" s="19"/>
      <c r="B84" s="20"/>
      <c r="C84" s="19"/>
      <c r="D84" s="19"/>
      <c r="E84" s="19"/>
      <c r="F84" s="19"/>
      <c r="G84" s="21"/>
      <c r="H84" s="19"/>
      <c r="I84" s="21"/>
      <c r="J84" s="19"/>
      <c r="K84" s="20"/>
      <c r="L84" s="20"/>
      <c r="M84" s="19"/>
      <c r="N84" s="19"/>
      <c r="O84" s="20"/>
      <c r="P84" s="20"/>
      <c r="Q84" s="19"/>
      <c r="R84" s="22" t="str">
        <f aca="false">IF(A84="","",N(G84)+N(I84))</f>
        <v/>
      </c>
      <c r="S84" s="23" t="str">
        <f aca="false">IF(OR(K84="",O84=""),"",O84-K84)</f>
        <v/>
      </c>
      <c r="T84" s="23" t="str">
        <f aca="true">IF(AND(C84="Cetak",L84&lt;&gt;"",L84&lt;TODAY()),"YA","")</f>
        <v/>
      </c>
      <c r="U84" s="23" t="str">
        <f aca="false">IF(B84="","",TEXT(B84,"yyyy-mm"))</f>
        <v/>
      </c>
      <c r="V84" s="23" t="str">
        <f aca="false">IF(K84="","",TEXT(K84,"yyyy-mm"))</f>
        <v/>
      </c>
      <c r="W84" s="23" t="n">
        <f aca="false">IF(OR(C84="Cetak",C84="Dikirim",C84="Selesai"),1,0)</f>
        <v>0</v>
      </c>
      <c r="X84" s="23" t="str">
        <f aca="false">IF(F84="","",SUBSTITUTE(SUBSTITUTE(MID(UPPER(TRIM(F84)),4,99),"-LED",""),"-TK",""))</f>
        <v/>
      </c>
      <c r="Y84" s="23" t="str">
        <f aca="false">IF(X84="","",(LEN(X84)+1)/7)</f>
        <v/>
      </c>
      <c r="Z84" s="23" t="str">
        <f aca="false">IF(X84="","",LEFT(X84,6))</f>
        <v/>
      </c>
      <c r="AA84" s="23" t="str">
        <f aca="false">IF(X84="","",IF(Y84&gt;=3,MID(X84,8,6),""))</f>
        <v/>
      </c>
      <c r="AB84" s="23" t="str">
        <f aca="false">IF(X84="","",IF(Y84&gt;=4,MID(X84,15,6),""))</f>
        <v/>
      </c>
      <c r="AC84" s="23" t="str">
        <f aca="false">IF(X84="","",IF(Y84&gt;=5,MID(X84,22,6),""))</f>
        <v/>
      </c>
      <c r="AD84" s="23" t="str">
        <f aca="false">IF(X84="","",RIGHT(X84,6))</f>
        <v/>
      </c>
      <c r="AE84" s="23" t="str">
        <f aca="false">IF(F84="","",IF(ISNUMBER(SEARCH("-TK",UPPER(F84))),0,1))</f>
        <v/>
      </c>
      <c r="AF84" s="23" t="str">
        <f aca="false">IF(F84="","",IF(ISNUMBER(SEARCH("-LED",UPPER(F84))),1,0))</f>
        <v/>
      </c>
      <c r="AG84" s="24" t="n">
        <f aca="false">IF(Z84="",0,IFERROR(INDEX(Resep!$C$5:$C$7,MATCH(LEFT(Z84,3),Resep!$B$5:$B$7,0)),0))</f>
        <v>0</v>
      </c>
      <c r="AH84" s="24" t="n">
        <f aca="false">IF(AA84="",0,IFERROR(INDEX(Resep!$C$9:$C$13,MATCH(LEFT(AA84,3),Resep!$B$9:$B$13,0)),0))</f>
        <v>0</v>
      </c>
      <c r="AI84" s="24" t="n">
        <f aca="false">IF(AB84="",0,IFERROR(INDEX(Resep!$C$9:$C$13,MATCH(LEFT(AB84,3),Resep!$B$9:$B$13,0)),0))</f>
        <v>0</v>
      </c>
      <c r="AJ84" s="24" t="n">
        <f aca="false">IF(AC84="",0,IFERROR(INDEX(Resep!$C$9:$C$13,MATCH(LEFT(AC84,3),Resep!$B$9:$B$13,0)),0))</f>
        <v>0</v>
      </c>
      <c r="AK84" s="24" t="n">
        <f aca="false">IF(AD84="",0,IFERROR(INDEX(Resep!$C$15:$C$18,MATCH(LEFT(AD84,3),Resep!$B$15:$B$18,0)),0))</f>
        <v>0</v>
      </c>
      <c r="AL84" s="24" t="str">
        <f aca="false">IF(X84="","",AG84+AH84+AI84+AJ84+AK84)</f>
        <v/>
      </c>
      <c r="AM84" s="22" t="str">
        <f aca="false">IF(X84="","",AL84*(Pengaturan!$B$6+Pengaturan!$B$7)+Pengaturan!$B$8+AE84*Pengaturan!$B$9+AF84*Pengaturan!$B$10)</f>
        <v/>
      </c>
      <c r="AN84" s="22" t="str">
        <f aca="false">IF(X84="","",N(G84)-AM84)</f>
        <v/>
      </c>
      <c r="AO84" s="25" t="str">
        <f aca="false">IF(OR(X84="",N(G84)=0),"",AN84/G84)</f>
        <v/>
      </c>
    </row>
    <row r="85" customFormat="false" ht="15" hidden="false" customHeight="false" outlineLevel="0" collapsed="false">
      <c r="A85" s="19"/>
      <c r="B85" s="20"/>
      <c r="C85" s="19"/>
      <c r="D85" s="19"/>
      <c r="E85" s="19"/>
      <c r="F85" s="19"/>
      <c r="G85" s="21"/>
      <c r="H85" s="19"/>
      <c r="I85" s="21"/>
      <c r="J85" s="19"/>
      <c r="K85" s="20"/>
      <c r="L85" s="20"/>
      <c r="M85" s="19"/>
      <c r="N85" s="19"/>
      <c r="O85" s="20"/>
      <c r="P85" s="20"/>
      <c r="Q85" s="19"/>
      <c r="R85" s="22" t="str">
        <f aca="false">IF(A85="","",N(G85)+N(I85))</f>
        <v/>
      </c>
      <c r="S85" s="23" t="str">
        <f aca="false">IF(OR(K85="",O85=""),"",O85-K85)</f>
        <v/>
      </c>
      <c r="T85" s="23" t="str">
        <f aca="true">IF(AND(C85="Cetak",L85&lt;&gt;"",L85&lt;TODAY()),"YA","")</f>
        <v/>
      </c>
      <c r="U85" s="23" t="str">
        <f aca="false">IF(B85="","",TEXT(B85,"yyyy-mm"))</f>
        <v/>
      </c>
      <c r="V85" s="23" t="str">
        <f aca="false">IF(K85="","",TEXT(K85,"yyyy-mm"))</f>
        <v/>
      </c>
      <c r="W85" s="23" t="n">
        <f aca="false">IF(OR(C85="Cetak",C85="Dikirim",C85="Selesai"),1,0)</f>
        <v>0</v>
      </c>
      <c r="X85" s="23" t="str">
        <f aca="false">IF(F85="","",SUBSTITUTE(SUBSTITUTE(MID(UPPER(TRIM(F85)),4,99),"-LED",""),"-TK",""))</f>
        <v/>
      </c>
      <c r="Y85" s="23" t="str">
        <f aca="false">IF(X85="","",(LEN(X85)+1)/7)</f>
        <v/>
      </c>
      <c r="Z85" s="23" t="str">
        <f aca="false">IF(X85="","",LEFT(X85,6))</f>
        <v/>
      </c>
      <c r="AA85" s="23" t="str">
        <f aca="false">IF(X85="","",IF(Y85&gt;=3,MID(X85,8,6),""))</f>
        <v/>
      </c>
      <c r="AB85" s="23" t="str">
        <f aca="false">IF(X85="","",IF(Y85&gt;=4,MID(X85,15,6),""))</f>
        <v/>
      </c>
      <c r="AC85" s="23" t="str">
        <f aca="false">IF(X85="","",IF(Y85&gt;=5,MID(X85,22,6),""))</f>
        <v/>
      </c>
      <c r="AD85" s="23" t="str">
        <f aca="false">IF(X85="","",RIGHT(X85,6))</f>
        <v/>
      </c>
      <c r="AE85" s="23" t="str">
        <f aca="false">IF(F85="","",IF(ISNUMBER(SEARCH("-TK",UPPER(F85))),0,1))</f>
        <v/>
      </c>
      <c r="AF85" s="23" t="str">
        <f aca="false">IF(F85="","",IF(ISNUMBER(SEARCH("-LED",UPPER(F85))),1,0))</f>
        <v/>
      </c>
      <c r="AG85" s="24" t="n">
        <f aca="false">IF(Z85="",0,IFERROR(INDEX(Resep!$C$5:$C$7,MATCH(LEFT(Z85,3),Resep!$B$5:$B$7,0)),0))</f>
        <v>0</v>
      </c>
      <c r="AH85" s="24" t="n">
        <f aca="false">IF(AA85="",0,IFERROR(INDEX(Resep!$C$9:$C$13,MATCH(LEFT(AA85,3),Resep!$B$9:$B$13,0)),0))</f>
        <v>0</v>
      </c>
      <c r="AI85" s="24" t="n">
        <f aca="false">IF(AB85="",0,IFERROR(INDEX(Resep!$C$9:$C$13,MATCH(LEFT(AB85,3),Resep!$B$9:$B$13,0)),0))</f>
        <v>0</v>
      </c>
      <c r="AJ85" s="24" t="n">
        <f aca="false">IF(AC85="",0,IFERROR(INDEX(Resep!$C$9:$C$13,MATCH(LEFT(AC85,3),Resep!$B$9:$B$13,0)),0))</f>
        <v>0</v>
      </c>
      <c r="AK85" s="24" t="n">
        <f aca="false">IF(AD85="",0,IFERROR(INDEX(Resep!$C$15:$C$18,MATCH(LEFT(AD85,3),Resep!$B$15:$B$18,0)),0))</f>
        <v>0</v>
      </c>
      <c r="AL85" s="24" t="str">
        <f aca="false">IF(X85="","",AG85+AH85+AI85+AJ85+AK85)</f>
        <v/>
      </c>
      <c r="AM85" s="22" t="str">
        <f aca="false">IF(X85="","",AL85*(Pengaturan!$B$6+Pengaturan!$B$7)+Pengaturan!$B$8+AE85*Pengaturan!$B$9+AF85*Pengaturan!$B$10)</f>
        <v/>
      </c>
      <c r="AN85" s="22" t="str">
        <f aca="false">IF(X85="","",N(G85)-AM85)</f>
        <v/>
      </c>
      <c r="AO85" s="25" t="str">
        <f aca="false">IF(OR(X85="",N(G85)=0),"",AN85/G85)</f>
        <v/>
      </c>
    </row>
    <row r="86" customFormat="false" ht="15" hidden="false" customHeight="false" outlineLevel="0" collapsed="false">
      <c r="A86" s="19"/>
      <c r="B86" s="20"/>
      <c r="C86" s="19"/>
      <c r="D86" s="19"/>
      <c r="E86" s="19"/>
      <c r="F86" s="19"/>
      <c r="G86" s="21"/>
      <c r="H86" s="19"/>
      <c r="I86" s="21"/>
      <c r="J86" s="19"/>
      <c r="K86" s="20"/>
      <c r="L86" s="20"/>
      <c r="M86" s="19"/>
      <c r="N86" s="19"/>
      <c r="O86" s="20"/>
      <c r="P86" s="20"/>
      <c r="Q86" s="19"/>
      <c r="R86" s="22" t="str">
        <f aca="false">IF(A86="","",N(G86)+N(I86))</f>
        <v/>
      </c>
      <c r="S86" s="23" t="str">
        <f aca="false">IF(OR(K86="",O86=""),"",O86-K86)</f>
        <v/>
      </c>
      <c r="T86" s="23" t="str">
        <f aca="true">IF(AND(C86="Cetak",L86&lt;&gt;"",L86&lt;TODAY()),"YA","")</f>
        <v/>
      </c>
      <c r="U86" s="23" t="str">
        <f aca="false">IF(B86="","",TEXT(B86,"yyyy-mm"))</f>
        <v/>
      </c>
      <c r="V86" s="23" t="str">
        <f aca="false">IF(K86="","",TEXT(K86,"yyyy-mm"))</f>
        <v/>
      </c>
      <c r="W86" s="23" t="n">
        <f aca="false">IF(OR(C86="Cetak",C86="Dikirim",C86="Selesai"),1,0)</f>
        <v>0</v>
      </c>
      <c r="X86" s="23" t="str">
        <f aca="false">IF(F86="","",SUBSTITUTE(SUBSTITUTE(MID(UPPER(TRIM(F86)),4,99),"-LED",""),"-TK",""))</f>
        <v/>
      </c>
      <c r="Y86" s="23" t="str">
        <f aca="false">IF(X86="","",(LEN(X86)+1)/7)</f>
        <v/>
      </c>
      <c r="Z86" s="23" t="str">
        <f aca="false">IF(X86="","",LEFT(X86,6))</f>
        <v/>
      </c>
      <c r="AA86" s="23" t="str">
        <f aca="false">IF(X86="","",IF(Y86&gt;=3,MID(X86,8,6),""))</f>
        <v/>
      </c>
      <c r="AB86" s="23" t="str">
        <f aca="false">IF(X86="","",IF(Y86&gt;=4,MID(X86,15,6),""))</f>
        <v/>
      </c>
      <c r="AC86" s="23" t="str">
        <f aca="false">IF(X86="","",IF(Y86&gt;=5,MID(X86,22,6),""))</f>
        <v/>
      </c>
      <c r="AD86" s="23" t="str">
        <f aca="false">IF(X86="","",RIGHT(X86,6))</f>
        <v/>
      </c>
      <c r="AE86" s="23" t="str">
        <f aca="false">IF(F86="","",IF(ISNUMBER(SEARCH("-TK",UPPER(F86))),0,1))</f>
        <v/>
      </c>
      <c r="AF86" s="23" t="str">
        <f aca="false">IF(F86="","",IF(ISNUMBER(SEARCH("-LED",UPPER(F86))),1,0))</f>
        <v/>
      </c>
      <c r="AG86" s="24" t="n">
        <f aca="false">IF(Z86="",0,IFERROR(INDEX(Resep!$C$5:$C$7,MATCH(LEFT(Z86,3),Resep!$B$5:$B$7,0)),0))</f>
        <v>0</v>
      </c>
      <c r="AH86" s="24" t="n">
        <f aca="false">IF(AA86="",0,IFERROR(INDEX(Resep!$C$9:$C$13,MATCH(LEFT(AA86,3),Resep!$B$9:$B$13,0)),0))</f>
        <v>0</v>
      </c>
      <c r="AI86" s="24" t="n">
        <f aca="false">IF(AB86="",0,IFERROR(INDEX(Resep!$C$9:$C$13,MATCH(LEFT(AB86,3),Resep!$B$9:$B$13,0)),0))</f>
        <v>0</v>
      </c>
      <c r="AJ86" s="24" t="n">
        <f aca="false">IF(AC86="",0,IFERROR(INDEX(Resep!$C$9:$C$13,MATCH(LEFT(AC86,3),Resep!$B$9:$B$13,0)),0))</f>
        <v>0</v>
      </c>
      <c r="AK86" s="24" t="n">
        <f aca="false">IF(AD86="",0,IFERROR(INDEX(Resep!$C$15:$C$18,MATCH(LEFT(AD86,3),Resep!$B$15:$B$18,0)),0))</f>
        <v>0</v>
      </c>
      <c r="AL86" s="24" t="str">
        <f aca="false">IF(X86="","",AG86+AH86+AI86+AJ86+AK86)</f>
        <v/>
      </c>
      <c r="AM86" s="22" t="str">
        <f aca="false">IF(X86="","",AL86*(Pengaturan!$B$6+Pengaturan!$B$7)+Pengaturan!$B$8+AE86*Pengaturan!$B$9+AF86*Pengaturan!$B$10)</f>
        <v/>
      </c>
      <c r="AN86" s="22" t="str">
        <f aca="false">IF(X86="","",N(G86)-AM86)</f>
        <v/>
      </c>
      <c r="AO86" s="25" t="str">
        <f aca="false">IF(OR(X86="",N(G86)=0),"",AN86/G86)</f>
        <v/>
      </c>
    </row>
    <row r="87" customFormat="false" ht="15" hidden="false" customHeight="false" outlineLevel="0" collapsed="false">
      <c r="A87" s="19"/>
      <c r="B87" s="20"/>
      <c r="C87" s="19"/>
      <c r="D87" s="19"/>
      <c r="E87" s="19"/>
      <c r="F87" s="19"/>
      <c r="G87" s="21"/>
      <c r="H87" s="19"/>
      <c r="I87" s="21"/>
      <c r="J87" s="19"/>
      <c r="K87" s="20"/>
      <c r="L87" s="20"/>
      <c r="M87" s="19"/>
      <c r="N87" s="19"/>
      <c r="O87" s="20"/>
      <c r="P87" s="20"/>
      <c r="Q87" s="19"/>
      <c r="R87" s="22" t="str">
        <f aca="false">IF(A87="","",N(G87)+N(I87))</f>
        <v/>
      </c>
      <c r="S87" s="23" t="str">
        <f aca="false">IF(OR(K87="",O87=""),"",O87-K87)</f>
        <v/>
      </c>
      <c r="T87" s="23" t="str">
        <f aca="true">IF(AND(C87="Cetak",L87&lt;&gt;"",L87&lt;TODAY()),"YA","")</f>
        <v/>
      </c>
      <c r="U87" s="23" t="str">
        <f aca="false">IF(B87="","",TEXT(B87,"yyyy-mm"))</f>
        <v/>
      </c>
      <c r="V87" s="23" t="str">
        <f aca="false">IF(K87="","",TEXT(K87,"yyyy-mm"))</f>
        <v/>
      </c>
      <c r="W87" s="23" t="n">
        <f aca="false">IF(OR(C87="Cetak",C87="Dikirim",C87="Selesai"),1,0)</f>
        <v>0</v>
      </c>
      <c r="X87" s="23" t="str">
        <f aca="false">IF(F87="","",SUBSTITUTE(SUBSTITUTE(MID(UPPER(TRIM(F87)),4,99),"-LED",""),"-TK",""))</f>
        <v/>
      </c>
      <c r="Y87" s="23" t="str">
        <f aca="false">IF(X87="","",(LEN(X87)+1)/7)</f>
        <v/>
      </c>
      <c r="Z87" s="23" t="str">
        <f aca="false">IF(X87="","",LEFT(X87,6))</f>
        <v/>
      </c>
      <c r="AA87" s="23" t="str">
        <f aca="false">IF(X87="","",IF(Y87&gt;=3,MID(X87,8,6),""))</f>
        <v/>
      </c>
      <c r="AB87" s="23" t="str">
        <f aca="false">IF(X87="","",IF(Y87&gt;=4,MID(X87,15,6),""))</f>
        <v/>
      </c>
      <c r="AC87" s="23" t="str">
        <f aca="false">IF(X87="","",IF(Y87&gt;=5,MID(X87,22,6),""))</f>
        <v/>
      </c>
      <c r="AD87" s="23" t="str">
        <f aca="false">IF(X87="","",RIGHT(X87,6))</f>
        <v/>
      </c>
      <c r="AE87" s="23" t="str">
        <f aca="false">IF(F87="","",IF(ISNUMBER(SEARCH("-TK",UPPER(F87))),0,1))</f>
        <v/>
      </c>
      <c r="AF87" s="23" t="str">
        <f aca="false">IF(F87="","",IF(ISNUMBER(SEARCH("-LED",UPPER(F87))),1,0))</f>
        <v/>
      </c>
      <c r="AG87" s="24" t="n">
        <f aca="false">IF(Z87="",0,IFERROR(INDEX(Resep!$C$5:$C$7,MATCH(LEFT(Z87,3),Resep!$B$5:$B$7,0)),0))</f>
        <v>0</v>
      </c>
      <c r="AH87" s="24" t="n">
        <f aca="false">IF(AA87="",0,IFERROR(INDEX(Resep!$C$9:$C$13,MATCH(LEFT(AA87,3),Resep!$B$9:$B$13,0)),0))</f>
        <v>0</v>
      </c>
      <c r="AI87" s="24" t="n">
        <f aca="false">IF(AB87="",0,IFERROR(INDEX(Resep!$C$9:$C$13,MATCH(LEFT(AB87,3),Resep!$B$9:$B$13,0)),0))</f>
        <v>0</v>
      </c>
      <c r="AJ87" s="24" t="n">
        <f aca="false">IF(AC87="",0,IFERROR(INDEX(Resep!$C$9:$C$13,MATCH(LEFT(AC87,3),Resep!$B$9:$B$13,0)),0))</f>
        <v>0</v>
      </c>
      <c r="AK87" s="24" t="n">
        <f aca="false">IF(AD87="",0,IFERROR(INDEX(Resep!$C$15:$C$18,MATCH(LEFT(AD87,3),Resep!$B$15:$B$18,0)),0))</f>
        <v>0</v>
      </c>
      <c r="AL87" s="24" t="str">
        <f aca="false">IF(X87="","",AG87+AH87+AI87+AJ87+AK87)</f>
        <v/>
      </c>
      <c r="AM87" s="22" t="str">
        <f aca="false">IF(X87="","",AL87*(Pengaturan!$B$6+Pengaturan!$B$7)+Pengaturan!$B$8+AE87*Pengaturan!$B$9+AF87*Pengaturan!$B$10)</f>
        <v/>
      </c>
      <c r="AN87" s="22" t="str">
        <f aca="false">IF(X87="","",N(G87)-AM87)</f>
        <v/>
      </c>
      <c r="AO87" s="25" t="str">
        <f aca="false">IF(OR(X87="",N(G87)=0),"",AN87/G87)</f>
        <v/>
      </c>
    </row>
    <row r="88" customFormat="false" ht="15" hidden="false" customHeight="false" outlineLevel="0" collapsed="false">
      <c r="A88" s="19"/>
      <c r="B88" s="20"/>
      <c r="C88" s="19"/>
      <c r="D88" s="19"/>
      <c r="E88" s="19"/>
      <c r="F88" s="19"/>
      <c r="G88" s="21"/>
      <c r="H88" s="19"/>
      <c r="I88" s="21"/>
      <c r="J88" s="19"/>
      <c r="K88" s="20"/>
      <c r="L88" s="20"/>
      <c r="M88" s="19"/>
      <c r="N88" s="19"/>
      <c r="O88" s="20"/>
      <c r="P88" s="20"/>
      <c r="Q88" s="19"/>
      <c r="R88" s="22" t="str">
        <f aca="false">IF(A88="","",N(G88)+N(I88))</f>
        <v/>
      </c>
      <c r="S88" s="23" t="str">
        <f aca="false">IF(OR(K88="",O88=""),"",O88-K88)</f>
        <v/>
      </c>
      <c r="T88" s="23" t="str">
        <f aca="true">IF(AND(C88="Cetak",L88&lt;&gt;"",L88&lt;TODAY()),"YA","")</f>
        <v/>
      </c>
      <c r="U88" s="23" t="str">
        <f aca="false">IF(B88="","",TEXT(B88,"yyyy-mm"))</f>
        <v/>
      </c>
      <c r="V88" s="23" t="str">
        <f aca="false">IF(K88="","",TEXT(K88,"yyyy-mm"))</f>
        <v/>
      </c>
      <c r="W88" s="23" t="n">
        <f aca="false">IF(OR(C88="Cetak",C88="Dikirim",C88="Selesai"),1,0)</f>
        <v>0</v>
      </c>
      <c r="X88" s="23" t="str">
        <f aca="false">IF(F88="","",SUBSTITUTE(SUBSTITUTE(MID(UPPER(TRIM(F88)),4,99),"-LED",""),"-TK",""))</f>
        <v/>
      </c>
      <c r="Y88" s="23" t="str">
        <f aca="false">IF(X88="","",(LEN(X88)+1)/7)</f>
        <v/>
      </c>
      <c r="Z88" s="23" t="str">
        <f aca="false">IF(X88="","",LEFT(X88,6))</f>
        <v/>
      </c>
      <c r="AA88" s="23" t="str">
        <f aca="false">IF(X88="","",IF(Y88&gt;=3,MID(X88,8,6),""))</f>
        <v/>
      </c>
      <c r="AB88" s="23" t="str">
        <f aca="false">IF(X88="","",IF(Y88&gt;=4,MID(X88,15,6),""))</f>
        <v/>
      </c>
      <c r="AC88" s="23" t="str">
        <f aca="false">IF(X88="","",IF(Y88&gt;=5,MID(X88,22,6),""))</f>
        <v/>
      </c>
      <c r="AD88" s="23" t="str">
        <f aca="false">IF(X88="","",RIGHT(X88,6))</f>
        <v/>
      </c>
      <c r="AE88" s="23" t="str">
        <f aca="false">IF(F88="","",IF(ISNUMBER(SEARCH("-TK",UPPER(F88))),0,1))</f>
        <v/>
      </c>
      <c r="AF88" s="23" t="str">
        <f aca="false">IF(F88="","",IF(ISNUMBER(SEARCH("-LED",UPPER(F88))),1,0))</f>
        <v/>
      </c>
      <c r="AG88" s="24" t="n">
        <f aca="false">IF(Z88="",0,IFERROR(INDEX(Resep!$C$5:$C$7,MATCH(LEFT(Z88,3),Resep!$B$5:$B$7,0)),0))</f>
        <v>0</v>
      </c>
      <c r="AH88" s="24" t="n">
        <f aca="false">IF(AA88="",0,IFERROR(INDEX(Resep!$C$9:$C$13,MATCH(LEFT(AA88,3),Resep!$B$9:$B$13,0)),0))</f>
        <v>0</v>
      </c>
      <c r="AI88" s="24" t="n">
        <f aca="false">IF(AB88="",0,IFERROR(INDEX(Resep!$C$9:$C$13,MATCH(LEFT(AB88,3),Resep!$B$9:$B$13,0)),0))</f>
        <v>0</v>
      </c>
      <c r="AJ88" s="24" t="n">
        <f aca="false">IF(AC88="",0,IFERROR(INDEX(Resep!$C$9:$C$13,MATCH(LEFT(AC88,3),Resep!$B$9:$B$13,0)),0))</f>
        <v>0</v>
      </c>
      <c r="AK88" s="24" t="n">
        <f aca="false">IF(AD88="",0,IFERROR(INDEX(Resep!$C$15:$C$18,MATCH(LEFT(AD88,3),Resep!$B$15:$B$18,0)),0))</f>
        <v>0</v>
      </c>
      <c r="AL88" s="24" t="str">
        <f aca="false">IF(X88="","",AG88+AH88+AI88+AJ88+AK88)</f>
        <v/>
      </c>
      <c r="AM88" s="22" t="str">
        <f aca="false">IF(X88="","",AL88*(Pengaturan!$B$6+Pengaturan!$B$7)+Pengaturan!$B$8+AE88*Pengaturan!$B$9+AF88*Pengaturan!$B$10)</f>
        <v/>
      </c>
      <c r="AN88" s="22" t="str">
        <f aca="false">IF(X88="","",N(G88)-AM88)</f>
        <v/>
      </c>
      <c r="AO88" s="25" t="str">
        <f aca="false">IF(OR(X88="",N(G88)=0),"",AN88/G88)</f>
        <v/>
      </c>
    </row>
    <row r="89" customFormat="false" ht="15" hidden="false" customHeight="false" outlineLevel="0" collapsed="false">
      <c r="A89" s="19"/>
      <c r="B89" s="20"/>
      <c r="C89" s="19"/>
      <c r="D89" s="19"/>
      <c r="E89" s="19"/>
      <c r="F89" s="19"/>
      <c r="G89" s="21"/>
      <c r="H89" s="19"/>
      <c r="I89" s="21"/>
      <c r="J89" s="19"/>
      <c r="K89" s="20"/>
      <c r="L89" s="20"/>
      <c r="M89" s="19"/>
      <c r="N89" s="19"/>
      <c r="O89" s="20"/>
      <c r="P89" s="20"/>
      <c r="Q89" s="19"/>
      <c r="R89" s="22" t="str">
        <f aca="false">IF(A89="","",N(G89)+N(I89))</f>
        <v/>
      </c>
      <c r="S89" s="23" t="str">
        <f aca="false">IF(OR(K89="",O89=""),"",O89-K89)</f>
        <v/>
      </c>
      <c r="T89" s="23" t="str">
        <f aca="true">IF(AND(C89="Cetak",L89&lt;&gt;"",L89&lt;TODAY()),"YA","")</f>
        <v/>
      </c>
      <c r="U89" s="23" t="str">
        <f aca="false">IF(B89="","",TEXT(B89,"yyyy-mm"))</f>
        <v/>
      </c>
      <c r="V89" s="23" t="str">
        <f aca="false">IF(K89="","",TEXT(K89,"yyyy-mm"))</f>
        <v/>
      </c>
      <c r="W89" s="23" t="n">
        <f aca="false">IF(OR(C89="Cetak",C89="Dikirim",C89="Selesai"),1,0)</f>
        <v>0</v>
      </c>
      <c r="X89" s="23" t="str">
        <f aca="false">IF(F89="","",SUBSTITUTE(SUBSTITUTE(MID(UPPER(TRIM(F89)),4,99),"-LED",""),"-TK",""))</f>
        <v/>
      </c>
      <c r="Y89" s="23" t="str">
        <f aca="false">IF(X89="","",(LEN(X89)+1)/7)</f>
        <v/>
      </c>
      <c r="Z89" s="23" t="str">
        <f aca="false">IF(X89="","",LEFT(X89,6))</f>
        <v/>
      </c>
      <c r="AA89" s="23" t="str">
        <f aca="false">IF(X89="","",IF(Y89&gt;=3,MID(X89,8,6),""))</f>
        <v/>
      </c>
      <c r="AB89" s="23" t="str">
        <f aca="false">IF(X89="","",IF(Y89&gt;=4,MID(X89,15,6),""))</f>
        <v/>
      </c>
      <c r="AC89" s="23" t="str">
        <f aca="false">IF(X89="","",IF(Y89&gt;=5,MID(X89,22,6),""))</f>
        <v/>
      </c>
      <c r="AD89" s="23" t="str">
        <f aca="false">IF(X89="","",RIGHT(X89,6))</f>
        <v/>
      </c>
      <c r="AE89" s="23" t="str">
        <f aca="false">IF(F89="","",IF(ISNUMBER(SEARCH("-TK",UPPER(F89))),0,1))</f>
        <v/>
      </c>
      <c r="AF89" s="23" t="str">
        <f aca="false">IF(F89="","",IF(ISNUMBER(SEARCH("-LED",UPPER(F89))),1,0))</f>
        <v/>
      </c>
      <c r="AG89" s="24" t="n">
        <f aca="false">IF(Z89="",0,IFERROR(INDEX(Resep!$C$5:$C$7,MATCH(LEFT(Z89,3),Resep!$B$5:$B$7,0)),0))</f>
        <v>0</v>
      </c>
      <c r="AH89" s="24" t="n">
        <f aca="false">IF(AA89="",0,IFERROR(INDEX(Resep!$C$9:$C$13,MATCH(LEFT(AA89,3),Resep!$B$9:$B$13,0)),0))</f>
        <v>0</v>
      </c>
      <c r="AI89" s="24" t="n">
        <f aca="false">IF(AB89="",0,IFERROR(INDEX(Resep!$C$9:$C$13,MATCH(LEFT(AB89,3),Resep!$B$9:$B$13,0)),0))</f>
        <v>0</v>
      </c>
      <c r="AJ89" s="24" t="n">
        <f aca="false">IF(AC89="",0,IFERROR(INDEX(Resep!$C$9:$C$13,MATCH(LEFT(AC89,3),Resep!$B$9:$B$13,0)),0))</f>
        <v>0</v>
      </c>
      <c r="AK89" s="24" t="n">
        <f aca="false">IF(AD89="",0,IFERROR(INDEX(Resep!$C$15:$C$18,MATCH(LEFT(AD89,3),Resep!$B$15:$B$18,0)),0))</f>
        <v>0</v>
      </c>
      <c r="AL89" s="24" t="str">
        <f aca="false">IF(X89="","",AG89+AH89+AI89+AJ89+AK89)</f>
        <v/>
      </c>
      <c r="AM89" s="22" t="str">
        <f aca="false">IF(X89="","",AL89*(Pengaturan!$B$6+Pengaturan!$B$7)+Pengaturan!$B$8+AE89*Pengaturan!$B$9+AF89*Pengaturan!$B$10)</f>
        <v/>
      </c>
      <c r="AN89" s="22" t="str">
        <f aca="false">IF(X89="","",N(G89)-AM89)</f>
        <v/>
      </c>
      <c r="AO89" s="25" t="str">
        <f aca="false">IF(OR(X89="",N(G89)=0),"",AN89/G89)</f>
        <v/>
      </c>
    </row>
    <row r="90" customFormat="false" ht="15" hidden="false" customHeight="false" outlineLevel="0" collapsed="false">
      <c r="A90" s="19"/>
      <c r="B90" s="20"/>
      <c r="C90" s="19"/>
      <c r="D90" s="19"/>
      <c r="E90" s="19"/>
      <c r="F90" s="19"/>
      <c r="G90" s="21"/>
      <c r="H90" s="19"/>
      <c r="I90" s="21"/>
      <c r="J90" s="19"/>
      <c r="K90" s="20"/>
      <c r="L90" s="20"/>
      <c r="M90" s="19"/>
      <c r="N90" s="19"/>
      <c r="O90" s="20"/>
      <c r="P90" s="20"/>
      <c r="Q90" s="19"/>
      <c r="R90" s="22" t="str">
        <f aca="false">IF(A90="","",N(G90)+N(I90))</f>
        <v/>
      </c>
      <c r="S90" s="23" t="str">
        <f aca="false">IF(OR(K90="",O90=""),"",O90-K90)</f>
        <v/>
      </c>
      <c r="T90" s="23" t="str">
        <f aca="true">IF(AND(C90="Cetak",L90&lt;&gt;"",L90&lt;TODAY()),"YA","")</f>
        <v/>
      </c>
      <c r="U90" s="23" t="str">
        <f aca="false">IF(B90="","",TEXT(B90,"yyyy-mm"))</f>
        <v/>
      </c>
      <c r="V90" s="23" t="str">
        <f aca="false">IF(K90="","",TEXT(K90,"yyyy-mm"))</f>
        <v/>
      </c>
      <c r="W90" s="23" t="n">
        <f aca="false">IF(OR(C90="Cetak",C90="Dikirim",C90="Selesai"),1,0)</f>
        <v>0</v>
      </c>
      <c r="X90" s="23" t="str">
        <f aca="false">IF(F90="","",SUBSTITUTE(SUBSTITUTE(MID(UPPER(TRIM(F90)),4,99),"-LED",""),"-TK",""))</f>
        <v/>
      </c>
      <c r="Y90" s="23" t="str">
        <f aca="false">IF(X90="","",(LEN(X90)+1)/7)</f>
        <v/>
      </c>
      <c r="Z90" s="23" t="str">
        <f aca="false">IF(X90="","",LEFT(X90,6))</f>
        <v/>
      </c>
      <c r="AA90" s="23" t="str">
        <f aca="false">IF(X90="","",IF(Y90&gt;=3,MID(X90,8,6),""))</f>
        <v/>
      </c>
      <c r="AB90" s="23" t="str">
        <f aca="false">IF(X90="","",IF(Y90&gt;=4,MID(X90,15,6),""))</f>
        <v/>
      </c>
      <c r="AC90" s="23" t="str">
        <f aca="false">IF(X90="","",IF(Y90&gt;=5,MID(X90,22,6),""))</f>
        <v/>
      </c>
      <c r="AD90" s="23" t="str">
        <f aca="false">IF(X90="","",RIGHT(X90,6))</f>
        <v/>
      </c>
      <c r="AE90" s="23" t="str">
        <f aca="false">IF(F90="","",IF(ISNUMBER(SEARCH("-TK",UPPER(F90))),0,1))</f>
        <v/>
      </c>
      <c r="AF90" s="23" t="str">
        <f aca="false">IF(F90="","",IF(ISNUMBER(SEARCH("-LED",UPPER(F90))),1,0))</f>
        <v/>
      </c>
      <c r="AG90" s="24" t="n">
        <f aca="false">IF(Z90="",0,IFERROR(INDEX(Resep!$C$5:$C$7,MATCH(LEFT(Z90,3),Resep!$B$5:$B$7,0)),0))</f>
        <v>0</v>
      </c>
      <c r="AH90" s="24" t="n">
        <f aca="false">IF(AA90="",0,IFERROR(INDEX(Resep!$C$9:$C$13,MATCH(LEFT(AA90,3),Resep!$B$9:$B$13,0)),0))</f>
        <v>0</v>
      </c>
      <c r="AI90" s="24" t="n">
        <f aca="false">IF(AB90="",0,IFERROR(INDEX(Resep!$C$9:$C$13,MATCH(LEFT(AB90,3),Resep!$B$9:$B$13,0)),0))</f>
        <v>0</v>
      </c>
      <c r="AJ90" s="24" t="n">
        <f aca="false">IF(AC90="",0,IFERROR(INDEX(Resep!$C$9:$C$13,MATCH(LEFT(AC90,3),Resep!$B$9:$B$13,0)),0))</f>
        <v>0</v>
      </c>
      <c r="AK90" s="24" t="n">
        <f aca="false">IF(AD90="",0,IFERROR(INDEX(Resep!$C$15:$C$18,MATCH(LEFT(AD90,3),Resep!$B$15:$B$18,0)),0))</f>
        <v>0</v>
      </c>
      <c r="AL90" s="24" t="str">
        <f aca="false">IF(X90="","",AG90+AH90+AI90+AJ90+AK90)</f>
        <v/>
      </c>
      <c r="AM90" s="22" t="str">
        <f aca="false">IF(X90="","",AL90*(Pengaturan!$B$6+Pengaturan!$B$7)+Pengaturan!$B$8+AE90*Pengaturan!$B$9+AF90*Pengaturan!$B$10)</f>
        <v/>
      </c>
      <c r="AN90" s="22" t="str">
        <f aca="false">IF(X90="","",N(G90)-AM90)</f>
        <v/>
      </c>
      <c r="AO90" s="25" t="str">
        <f aca="false">IF(OR(X90="",N(G90)=0),"",AN90/G90)</f>
        <v/>
      </c>
    </row>
    <row r="91" customFormat="false" ht="15" hidden="false" customHeight="false" outlineLevel="0" collapsed="false">
      <c r="A91" s="19"/>
      <c r="B91" s="20"/>
      <c r="C91" s="19"/>
      <c r="D91" s="19"/>
      <c r="E91" s="19"/>
      <c r="F91" s="19"/>
      <c r="G91" s="21"/>
      <c r="H91" s="19"/>
      <c r="I91" s="21"/>
      <c r="J91" s="19"/>
      <c r="K91" s="20"/>
      <c r="L91" s="20"/>
      <c r="M91" s="19"/>
      <c r="N91" s="19"/>
      <c r="O91" s="20"/>
      <c r="P91" s="20"/>
      <c r="Q91" s="19"/>
      <c r="R91" s="22" t="str">
        <f aca="false">IF(A91="","",N(G91)+N(I91))</f>
        <v/>
      </c>
      <c r="S91" s="23" t="str">
        <f aca="false">IF(OR(K91="",O91=""),"",O91-K91)</f>
        <v/>
      </c>
      <c r="T91" s="23" t="str">
        <f aca="true">IF(AND(C91="Cetak",L91&lt;&gt;"",L91&lt;TODAY()),"YA","")</f>
        <v/>
      </c>
      <c r="U91" s="23" t="str">
        <f aca="false">IF(B91="","",TEXT(B91,"yyyy-mm"))</f>
        <v/>
      </c>
      <c r="V91" s="23" t="str">
        <f aca="false">IF(K91="","",TEXT(K91,"yyyy-mm"))</f>
        <v/>
      </c>
      <c r="W91" s="23" t="n">
        <f aca="false">IF(OR(C91="Cetak",C91="Dikirim",C91="Selesai"),1,0)</f>
        <v>0</v>
      </c>
      <c r="X91" s="23" t="str">
        <f aca="false">IF(F91="","",SUBSTITUTE(SUBSTITUTE(MID(UPPER(TRIM(F91)),4,99),"-LED",""),"-TK",""))</f>
        <v/>
      </c>
      <c r="Y91" s="23" t="str">
        <f aca="false">IF(X91="","",(LEN(X91)+1)/7)</f>
        <v/>
      </c>
      <c r="Z91" s="23" t="str">
        <f aca="false">IF(X91="","",LEFT(X91,6))</f>
        <v/>
      </c>
      <c r="AA91" s="23" t="str">
        <f aca="false">IF(X91="","",IF(Y91&gt;=3,MID(X91,8,6),""))</f>
        <v/>
      </c>
      <c r="AB91" s="23" t="str">
        <f aca="false">IF(X91="","",IF(Y91&gt;=4,MID(X91,15,6),""))</f>
        <v/>
      </c>
      <c r="AC91" s="23" t="str">
        <f aca="false">IF(X91="","",IF(Y91&gt;=5,MID(X91,22,6),""))</f>
        <v/>
      </c>
      <c r="AD91" s="23" t="str">
        <f aca="false">IF(X91="","",RIGHT(X91,6))</f>
        <v/>
      </c>
      <c r="AE91" s="23" t="str">
        <f aca="false">IF(F91="","",IF(ISNUMBER(SEARCH("-TK",UPPER(F91))),0,1))</f>
        <v/>
      </c>
      <c r="AF91" s="23" t="str">
        <f aca="false">IF(F91="","",IF(ISNUMBER(SEARCH("-LED",UPPER(F91))),1,0))</f>
        <v/>
      </c>
      <c r="AG91" s="24" t="n">
        <f aca="false">IF(Z91="",0,IFERROR(INDEX(Resep!$C$5:$C$7,MATCH(LEFT(Z91,3),Resep!$B$5:$B$7,0)),0))</f>
        <v>0</v>
      </c>
      <c r="AH91" s="24" t="n">
        <f aca="false">IF(AA91="",0,IFERROR(INDEX(Resep!$C$9:$C$13,MATCH(LEFT(AA91,3),Resep!$B$9:$B$13,0)),0))</f>
        <v>0</v>
      </c>
      <c r="AI91" s="24" t="n">
        <f aca="false">IF(AB91="",0,IFERROR(INDEX(Resep!$C$9:$C$13,MATCH(LEFT(AB91,3),Resep!$B$9:$B$13,0)),0))</f>
        <v>0</v>
      </c>
      <c r="AJ91" s="24" t="n">
        <f aca="false">IF(AC91="",0,IFERROR(INDEX(Resep!$C$9:$C$13,MATCH(LEFT(AC91,3),Resep!$B$9:$B$13,0)),0))</f>
        <v>0</v>
      </c>
      <c r="AK91" s="24" t="n">
        <f aca="false">IF(AD91="",0,IFERROR(INDEX(Resep!$C$15:$C$18,MATCH(LEFT(AD91,3),Resep!$B$15:$B$18,0)),0))</f>
        <v>0</v>
      </c>
      <c r="AL91" s="24" t="str">
        <f aca="false">IF(X91="","",AG91+AH91+AI91+AJ91+AK91)</f>
        <v/>
      </c>
      <c r="AM91" s="22" t="str">
        <f aca="false">IF(X91="","",AL91*(Pengaturan!$B$6+Pengaturan!$B$7)+Pengaturan!$B$8+AE91*Pengaturan!$B$9+AF91*Pengaturan!$B$10)</f>
        <v/>
      </c>
      <c r="AN91" s="22" t="str">
        <f aca="false">IF(X91="","",N(G91)-AM91)</f>
        <v/>
      </c>
      <c r="AO91" s="25" t="str">
        <f aca="false">IF(OR(X91="",N(G91)=0),"",AN91/G91)</f>
        <v/>
      </c>
    </row>
    <row r="92" customFormat="false" ht="15" hidden="false" customHeight="false" outlineLevel="0" collapsed="false">
      <c r="A92" s="19"/>
      <c r="B92" s="20"/>
      <c r="C92" s="19"/>
      <c r="D92" s="19"/>
      <c r="E92" s="19"/>
      <c r="F92" s="19"/>
      <c r="G92" s="21"/>
      <c r="H92" s="19"/>
      <c r="I92" s="21"/>
      <c r="J92" s="19"/>
      <c r="K92" s="20"/>
      <c r="L92" s="20"/>
      <c r="M92" s="19"/>
      <c r="N92" s="19"/>
      <c r="O92" s="20"/>
      <c r="P92" s="20"/>
      <c r="Q92" s="19"/>
      <c r="R92" s="22" t="str">
        <f aca="false">IF(A92="","",N(G92)+N(I92))</f>
        <v/>
      </c>
      <c r="S92" s="23" t="str">
        <f aca="false">IF(OR(K92="",O92=""),"",O92-K92)</f>
        <v/>
      </c>
      <c r="T92" s="23" t="str">
        <f aca="true">IF(AND(C92="Cetak",L92&lt;&gt;"",L92&lt;TODAY()),"YA","")</f>
        <v/>
      </c>
      <c r="U92" s="23" t="str">
        <f aca="false">IF(B92="","",TEXT(B92,"yyyy-mm"))</f>
        <v/>
      </c>
      <c r="V92" s="23" t="str">
        <f aca="false">IF(K92="","",TEXT(K92,"yyyy-mm"))</f>
        <v/>
      </c>
      <c r="W92" s="23" t="n">
        <f aca="false">IF(OR(C92="Cetak",C92="Dikirim",C92="Selesai"),1,0)</f>
        <v>0</v>
      </c>
      <c r="X92" s="23" t="str">
        <f aca="false">IF(F92="","",SUBSTITUTE(SUBSTITUTE(MID(UPPER(TRIM(F92)),4,99),"-LED",""),"-TK",""))</f>
        <v/>
      </c>
      <c r="Y92" s="23" t="str">
        <f aca="false">IF(X92="","",(LEN(X92)+1)/7)</f>
        <v/>
      </c>
      <c r="Z92" s="23" t="str">
        <f aca="false">IF(X92="","",LEFT(X92,6))</f>
        <v/>
      </c>
      <c r="AA92" s="23" t="str">
        <f aca="false">IF(X92="","",IF(Y92&gt;=3,MID(X92,8,6),""))</f>
        <v/>
      </c>
      <c r="AB92" s="23" t="str">
        <f aca="false">IF(X92="","",IF(Y92&gt;=4,MID(X92,15,6),""))</f>
        <v/>
      </c>
      <c r="AC92" s="23" t="str">
        <f aca="false">IF(X92="","",IF(Y92&gt;=5,MID(X92,22,6),""))</f>
        <v/>
      </c>
      <c r="AD92" s="23" t="str">
        <f aca="false">IF(X92="","",RIGHT(X92,6))</f>
        <v/>
      </c>
      <c r="AE92" s="23" t="str">
        <f aca="false">IF(F92="","",IF(ISNUMBER(SEARCH("-TK",UPPER(F92))),0,1))</f>
        <v/>
      </c>
      <c r="AF92" s="23" t="str">
        <f aca="false">IF(F92="","",IF(ISNUMBER(SEARCH("-LED",UPPER(F92))),1,0))</f>
        <v/>
      </c>
      <c r="AG92" s="24" t="n">
        <f aca="false">IF(Z92="",0,IFERROR(INDEX(Resep!$C$5:$C$7,MATCH(LEFT(Z92,3),Resep!$B$5:$B$7,0)),0))</f>
        <v>0</v>
      </c>
      <c r="AH92" s="24" t="n">
        <f aca="false">IF(AA92="",0,IFERROR(INDEX(Resep!$C$9:$C$13,MATCH(LEFT(AA92,3),Resep!$B$9:$B$13,0)),0))</f>
        <v>0</v>
      </c>
      <c r="AI92" s="24" t="n">
        <f aca="false">IF(AB92="",0,IFERROR(INDEX(Resep!$C$9:$C$13,MATCH(LEFT(AB92,3),Resep!$B$9:$B$13,0)),0))</f>
        <v>0</v>
      </c>
      <c r="AJ92" s="24" t="n">
        <f aca="false">IF(AC92="",0,IFERROR(INDEX(Resep!$C$9:$C$13,MATCH(LEFT(AC92,3),Resep!$B$9:$B$13,0)),0))</f>
        <v>0</v>
      </c>
      <c r="AK92" s="24" t="n">
        <f aca="false">IF(AD92="",0,IFERROR(INDEX(Resep!$C$15:$C$18,MATCH(LEFT(AD92,3),Resep!$B$15:$B$18,0)),0))</f>
        <v>0</v>
      </c>
      <c r="AL92" s="24" t="str">
        <f aca="false">IF(X92="","",AG92+AH92+AI92+AJ92+AK92)</f>
        <v/>
      </c>
      <c r="AM92" s="22" t="str">
        <f aca="false">IF(X92="","",AL92*(Pengaturan!$B$6+Pengaturan!$B$7)+Pengaturan!$B$8+AE92*Pengaturan!$B$9+AF92*Pengaturan!$B$10)</f>
        <v/>
      </c>
      <c r="AN92" s="22" t="str">
        <f aca="false">IF(X92="","",N(G92)-AM92)</f>
        <v/>
      </c>
      <c r="AO92" s="25" t="str">
        <f aca="false">IF(OR(X92="",N(G92)=0),"",AN92/G92)</f>
        <v/>
      </c>
    </row>
    <row r="93" customFormat="false" ht="15" hidden="false" customHeight="false" outlineLevel="0" collapsed="false">
      <c r="A93" s="19"/>
      <c r="B93" s="20"/>
      <c r="C93" s="19"/>
      <c r="D93" s="19"/>
      <c r="E93" s="19"/>
      <c r="F93" s="19"/>
      <c r="G93" s="21"/>
      <c r="H93" s="19"/>
      <c r="I93" s="21"/>
      <c r="J93" s="19"/>
      <c r="K93" s="20"/>
      <c r="L93" s="20"/>
      <c r="M93" s="19"/>
      <c r="N93" s="19"/>
      <c r="O93" s="20"/>
      <c r="P93" s="20"/>
      <c r="Q93" s="19"/>
      <c r="R93" s="22" t="str">
        <f aca="false">IF(A93="","",N(G93)+N(I93))</f>
        <v/>
      </c>
      <c r="S93" s="23" t="str">
        <f aca="false">IF(OR(K93="",O93=""),"",O93-K93)</f>
        <v/>
      </c>
      <c r="T93" s="23" t="str">
        <f aca="true">IF(AND(C93="Cetak",L93&lt;&gt;"",L93&lt;TODAY()),"YA","")</f>
        <v/>
      </c>
      <c r="U93" s="23" t="str">
        <f aca="false">IF(B93="","",TEXT(B93,"yyyy-mm"))</f>
        <v/>
      </c>
      <c r="V93" s="23" t="str">
        <f aca="false">IF(K93="","",TEXT(K93,"yyyy-mm"))</f>
        <v/>
      </c>
      <c r="W93" s="23" t="n">
        <f aca="false">IF(OR(C93="Cetak",C93="Dikirim",C93="Selesai"),1,0)</f>
        <v>0</v>
      </c>
      <c r="X93" s="23" t="str">
        <f aca="false">IF(F93="","",SUBSTITUTE(SUBSTITUTE(MID(UPPER(TRIM(F93)),4,99),"-LED",""),"-TK",""))</f>
        <v/>
      </c>
      <c r="Y93" s="23" t="str">
        <f aca="false">IF(X93="","",(LEN(X93)+1)/7)</f>
        <v/>
      </c>
      <c r="Z93" s="23" t="str">
        <f aca="false">IF(X93="","",LEFT(X93,6))</f>
        <v/>
      </c>
      <c r="AA93" s="23" t="str">
        <f aca="false">IF(X93="","",IF(Y93&gt;=3,MID(X93,8,6),""))</f>
        <v/>
      </c>
      <c r="AB93" s="23" t="str">
        <f aca="false">IF(X93="","",IF(Y93&gt;=4,MID(X93,15,6),""))</f>
        <v/>
      </c>
      <c r="AC93" s="23" t="str">
        <f aca="false">IF(X93="","",IF(Y93&gt;=5,MID(X93,22,6),""))</f>
        <v/>
      </c>
      <c r="AD93" s="23" t="str">
        <f aca="false">IF(X93="","",RIGHT(X93,6))</f>
        <v/>
      </c>
      <c r="AE93" s="23" t="str">
        <f aca="false">IF(F93="","",IF(ISNUMBER(SEARCH("-TK",UPPER(F93))),0,1))</f>
        <v/>
      </c>
      <c r="AF93" s="23" t="str">
        <f aca="false">IF(F93="","",IF(ISNUMBER(SEARCH("-LED",UPPER(F93))),1,0))</f>
        <v/>
      </c>
      <c r="AG93" s="24" t="n">
        <f aca="false">IF(Z93="",0,IFERROR(INDEX(Resep!$C$5:$C$7,MATCH(LEFT(Z93,3),Resep!$B$5:$B$7,0)),0))</f>
        <v>0</v>
      </c>
      <c r="AH93" s="24" t="n">
        <f aca="false">IF(AA93="",0,IFERROR(INDEX(Resep!$C$9:$C$13,MATCH(LEFT(AA93,3),Resep!$B$9:$B$13,0)),0))</f>
        <v>0</v>
      </c>
      <c r="AI93" s="24" t="n">
        <f aca="false">IF(AB93="",0,IFERROR(INDEX(Resep!$C$9:$C$13,MATCH(LEFT(AB93,3),Resep!$B$9:$B$13,0)),0))</f>
        <v>0</v>
      </c>
      <c r="AJ93" s="24" t="n">
        <f aca="false">IF(AC93="",0,IFERROR(INDEX(Resep!$C$9:$C$13,MATCH(LEFT(AC93,3),Resep!$B$9:$B$13,0)),0))</f>
        <v>0</v>
      </c>
      <c r="AK93" s="24" t="n">
        <f aca="false">IF(AD93="",0,IFERROR(INDEX(Resep!$C$15:$C$18,MATCH(LEFT(AD93,3),Resep!$B$15:$B$18,0)),0))</f>
        <v>0</v>
      </c>
      <c r="AL93" s="24" t="str">
        <f aca="false">IF(X93="","",AG93+AH93+AI93+AJ93+AK93)</f>
        <v/>
      </c>
      <c r="AM93" s="22" t="str">
        <f aca="false">IF(X93="","",AL93*(Pengaturan!$B$6+Pengaturan!$B$7)+Pengaturan!$B$8+AE93*Pengaturan!$B$9+AF93*Pengaturan!$B$10)</f>
        <v/>
      </c>
      <c r="AN93" s="22" t="str">
        <f aca="false">IF(X93="","",N(G93)-AM93)</f>
        <v/>
      </c>
      <c r="AO93" s="25" t="str">
        <f aca="false">IF(OR(X93="",N(G93)=0),"",AN93/G93)</f>
        <v/>
      </c>
    </row>
    <row r="94" customFormat="false" ht="15" hidden="false" customHeight="false" outlineLevel="0" collapsed="false">
      <c r="A94" s="19"/>
      <c r="B94" s="20"/>
      <c r="C94" s="19"/>
      <c r="D94" s="19"/>
      <c r="E94" s="19"/>
      <c r="F94" s="19"/>
      <c r="G94" s="21"/>
      <c r="H94" s="19"/>
      <c r="I94" s="21"/>
      <c r="J94" s="19"/>
      <c r="K94" s="20"/>
      <c r="L94" s="20"/>
      <c r="M94" s="19"/>
      <c r="N94" s="19"/>
      <c r="O94" s="20"/>
      <c r="P94" s="20"/>
      <c r="Q94" s="19"/>
      <c r="R94" s="22" t="str">
        <f aca="false">IF(A94="","",N(G94)+N(I94))</f>
        <v/>
      </c>
      <c r="S94" s="23" t="str">
        <f aca="false">IF(OR(K94="",O94=""),"",O94-K94)</f>
        <v/>
      </c>
      <c r="T94" s="23" t="str">
        <f aca="true">IF(AND(C94="Cetak",L94&lt;&gt;"",L94&lt;TODAY()),"YA","")</f>
        <v/>
      </c>
      <c r="U94" s="23" t="str">
        <f aca="false">IF(B94="","",TEXT(B94,"yyyy-mm"))</f>
        <v/>
      </c>
      <c r="V94" s="23" t="str">
        <f aca="false">IF(K94="","",TEXT(K94,"yyyy-mm"))</f>
        <v/>
      </c>
      <c r="W94" s="23" t="n">
        <f aca="false">IF(OR(C94="Cetak",C94="Dikirim",C94="Selesai"),1,0)</f>
        <v>0</v>
      </c>
      <c r="X94" s="23" t="str">
        <f aca="false">IF(F94="","",SUBSTITUTE(SUBSTITUTE(MID(UPPER(TRIM(F94)),4,99),"-LED",""),"-TK",""))</f>
        <v/>
      </c>
      <c r="Y94" s="23" t="str">
        <f aca="false">IF(X94="","",(LEN(X94)+1)/7)</f>
        <v/>
      </c>
      <c r="Z94" s="23" t="str">
        <f aca="false">IF(X94="","",LEFT(X94,6))</f>
        <v/>
      </c>
      <c r="AA94" s="23" t="str">
        <f aca="false">IF(X94="","",IF(Y94&gt;=3,MID(X94,8,6),""))</f>
        <v/>
      </c>
      <c r="AB94" s="23" t="str">
        <f aca="false">IF(X94="","",IF(Y94&gt;=4,MID(X94,15,6),""))</f>
        <v/>
      </c>
      <c r="AC94" s="23" t="str">
        <f aca="false">IF(X94="","",IF(Y94&gt;=5,MID(X94,22,6),""))</f>
        <v/>
      </c>
      <c r="AD94" s="23" t="str">
        <f aca="false">IF(X94="","",RIGHT(X94,6))</f>
        <v/>
      </c>
      <c r="AE94" s="23" t="str">
        <f aca="false">IF(F94="","",IF(ISNUMBER(SEARCH("-TK",UPPER(F94))),0,1))</f>
        <v/>
      </c>
      <c r="AF94" s="23" t="str">
        <f aca="false">IF(F94="","",IF(ISNUMBER(SEARCH("-LED",UPPER(F94))),1,0))</f>
        <v/>
      </c>
      <c r="AG94" s="24" t="n">
        <f aca="false">IF(Z94="",0,IFERROR(INDEX(Resep!$C$5:$C$7,MATCH(LEFT(Z94,3),Resep!$B$5:$B$7,0)),0))</f>
        <v>0</v>
      </c>
      <c r="AH94" s="24" t="n">
        <f aca="false">IF(AA94="",0,IFERROR(INDEX(Resep!$C$9:$C$13,MATCH(LEFT(AA94,3),Resep!$B$9:$B$13,0)),0))</f>
        <v>0</v>
      </c>
      <c r="AI94" s="24" t="n">
        <f aca="false">IF(AB94="",0,IFERROR(INDEX(Resep!$C$9:$C$13,MATCH(LEFT(AB94,3),Resep!$B$9:$B$13,0)),0))</f>
        <v>0</v>
      </c>
      <c r="AJ94" s="24" t="n">
        <f aca="false">IF(AC94="",0,IFERROR(INDEX(Resep!$C$9:$C$13,MATCH(LEFT(AC94,3),Resep!$B$9:$B$13,0)),0))</f>
        <v>0</v>
      </c>
      <c r="AK94" s="24" t="n">
        <f aca="false">IF(AD94="",0,IFERROR(INDEX(Resep!$C$15:$C$18,MATCH(LEFT(AD94,3),Resep!$B$15:$B$18,0)),0))</f>
        <v>0</v>
      </c>
      <c r="AL94" s="24" t="str">
        <f aca="false">IF(X94="","",AG94+AH94+AI94+AJ94+AK94)</f>
        <v/>
      </c>
      <c r="AM94" s="22" t="str">
        <f aca="false">IF(X94="","",AL94*(Pengaturan!$B$6+Pengaturan!$B$7)+Pengaturan!$B$8+AE94*Pengaturan!$B$9+AF94*Pengaturan!$B$10)</f>
        <v/>
      </c>
      <c r="AN94" s="22" t="str">
        <f aca="false">IF(X94="","",N(G94)-AM94)</f>
        <v/>
      </c>
      <c r="AO94" s="25" t="str">
        <f aca="false">IF(OR(X94="",N(G94)=0),"",AN94/G94)</f>
        <v/>
      </c>
    </row>
    <row r="95" customFormat="false" ht="15" hidden="false" customHeight="false" outlineLevel="0" collapsed="false">
      <c r="A95" s="19"/>
      <c r="B95" s="20"/>
      <c r="C95" s="19"/>
      <c r="D95" s="19"/>
      <c r="E95" s="19"/>
      <c r="F95" s="19"/>
      <c r="G95" s="21"/>
      <c r="H95" s="19"/>
      <c r="I95" s="21"/>
      <c r="J95" s="19"/>
      <c r="K95" s="20"/>
      <c r="L95" s="20"/>
      <c r="M95" s="19"/>
      <c r="N95" s="19"/>
      <c r="O95" s="20"/>
      <c r="P95" s="20"/>
      <c r="Q95" s="19"/>
      <c r="R95" s="22" t="str">
        <f aca="false">IF(A95="","",N(G95)+N(I95))</f>
        <v/>
      </c>
      <c r="S95" s="23" t="str">
        <f aca="false">IF(OR(K95="",O95=""),"",O95-K95)</f>
        <v/>
      </c>
      <c r="T95" s="23" t="str">
        <f aca="true">IF(AND(C95="Cetak",L95&lt;&gt;"",L95&lt;TODAY()),"YA","")</f>
        <v/>
      </c>
      <c r="U95" s="23" t="str">
        <f aca="false">IF(B95="","",TEXT(B95,"yyyy-mm"))</f>
        <v/>
      </c>
      <c r="V95" s="23" t="str">
        <f aca="false">IF(K95="","",TEXT(K95,"yyyy-mm"))</f>
        <v/>
      </c>
      <c r="W95" s="23" t="n">
        <f aca="false">IF(OR(C95="Cetak",C95="Dikirim",C95="Selesai"),1,0)</f>
        <v>0</v>
      </c>
      <c r="X95" s="23" t="str">
        <f aca="false">IF(F95="","",SUBSTITUTE(SUBSTITUTE(MID(UPPER(TRIM(F95)),4,99),"-LED",""),"-TK",""))</f>
        <v/>
      </c>
      <c r="Y95" s="23" t="str">
        <f aca="false">IF(X95="","",(LEN(X95)+1)/7)</f>
        <v/>
      </c>
      <c r="Z95" s="23" t="str">
        <f aca="false">IF(X95="","",LEFT(X95,6))</f>
        <v/>
      </c>
      <c r="AA95" s="23" t="str">
        <f aca="false">IF(X95="","",IF(Y95&gt;=3,MID(X95,8,6),""))</f>
        <v/>
      </c>
      <c r="AB95" s="23" t="str">
        <f aca="false">IF(X95="","",IF(Y95&gt;=4,MID(X95,15,6),""))</f>
        <v/>
      </c>
      <c r="AC95" s="23" t="str">
        <f aca="false">IF(X95="","",IF(Y95&gt;=5,MID(X95,22,6),""))</f>
        <v/>
      </c>
      <c r="AD95" s="23" t="str">
        <f aca="false">IF(X95="","",RIGHT(X95,6))</f>
        <v/>
      </c>
      <c r="AE95" s="23" t="str">
        <f aca="false">IF(F95="","",IF(ISNUMBER(SEARCH("-TK",UPPER(F95))),0,1))</f>
        <v/>
      </c>
      <c r="AF95" s="23" t="str">
        <f aca="false">IF(F95="","",IF(ISNUMBER(SEARCH("-LED",UPPER(F95))),1,0))</f>
        <v/>
      </c>
      <c r="AG95" s="24" t="n">
        <f aca="false">IF(Z95="",0,IFERROR(INDEX(Resep!$C$5:$C$7,MATCH(LEFT(Z95,3),Resep!$B$5:$B$7,0)),0))</f>
        <v>0</v>
      </c>
      <c r="AH95" s="24" t="n">
        <f aca="false">IF(AA95="",0,IFERROR(INDEX(Resep!$C$9:$C$13,MATCH(LEFT(AA95,3),Resep!$B$9:$B$13,0)),0))</f>
        <v>0</v>
      </c>
      <c r="AI95" s="24" t="n">
        <f aca="false">IF(AB95="",0,IFERROR(INDEX(Resep!$C$9:$C$13,MATCH(LEFT(AB95,3),Resep!$B$9:$B$13,0)),0))</f>
        <v>0</v>
      </c>
      <c r="AJ95" s="24" t="n">
        <f aca="false">IF(AC95="",0,IFERROR(INDEX(Resep!$C$9:$C$13,MATCH(LEFT(AC95,3),Resep!$B$9:$B$13,0)),0))</f>
        <v>0</v>
      </c>
      <c r="AK95" s="24" t="n">
        <f aca="false">IF(AD95="",0,IFERROR(INDEX(Resep!$C$15:$C$18,MATCH(LEFT(AD95,3),Resep!$B$15:$B$18,0)),0))</f>
        <v>0</v>
      </c>
      <c r="AL95" s="24" t="str">
        <f aca="false">IF(X95="","",AG95+AH95+AI95+AJ95+AK95)</f>
        <v/>
      </c>
      <c r="AM95" s="22" t="str">
        <f aca="false">IF(X95="","",AL95*(Pengaturan!$B$6+Pengaturan!$B$7)+Pengaturan!$B$8+AE95*Pengaturan!$B$9+AF95*Pengaturan!$B$10)</f>
        <v/>
      </c>
      <c r="AN95" s="22" t="str">
        <f aca="false">IF(X95="","",N(G95)-AM95)</f>
        <v/>
      </c>
      <c r="AO95" s="25" t="str">
        <f aca="false">IF(OR(X95="",N(G95)=0),"",AN95/G95)</f>
        <v/>
      </c>
    </row>
    <row r="96" customFormat="false" ht="15" hidden="false" customHeight="false" outlineLevel="0" collapsed="false">
      <c r="A96" s="19"/>
      <c r="B96" s="20"/>
      <c r="C96" s="19"/>
      <c r="D96" s="19"/>
      <c r="E96" s="19"/>
      <c r="F96" s="19"/>
      <c r="G96" s="21"/>
      <c r="H96" s="19"/>
      <c r="I96" s="21"/>
      <c r="J96" s="19"/>
      <c r="K96" s="20"/>
      <c r="L96" s="20"/>
      <c r="M96" s="19"/>
      <c r="N96" s="19"/>
      <c r="O96" s="20"/>
      <c r="P96" s="20"/>
      <c r="Q96" s="19"/>
      <c r="R96" s="22" t="str">
        <f aca="false">IF(A96="","",N(G96)+N(I96))</f>
        <v/>
      </c>
      <c r="S96" s="23" t="str">
        <f aca="false">IF(OR(K96="",O96=""),"",O96-K96)</f>
        <v/>
      </c>
      <c r="T96" s="23" t="str">
        <f aca="true">IF(AND(C96="Cetak",L96&lt;&gt;"",L96&lt;TODAY()),"YA","")</f>
        <v/>
      </c>
      <c r="U96" s="23" t="str">
        <f aca="false">IF(B96="","",TEXT(B96,"yyyy-mm"))</f>
        <v/>
      </c>
      <c r="V96" s="23" t="str">
        <f aca="false">IF(K96="","",TEXT(K96,"yyyy-mm"))</f>
        <v/>
      </c>
      <c r="W96" s="23" t="n">
        <f aca="false">IF(OR(C96="Cetak",C96="Dikirim",C96="Selesai"),1,0)</f>
        <v>0</v>
      </c>
      <c r="X96" s="23" t="str">
        <f aca="false">IF(F96="","",SUBSTITUTE(SUBSTITUTE(MID(UPPER(TRIM(F96)),4,99),"-LED",""),"-TK",""))</f>
        <v/>
      </c>
      <c r="Y96" s="23" t="str">
        <f aca="false">IF(X96="","",(LEN(X96)+1)/7)</f>
        <v/>
      </c>
      <c r="Z96" s="23" t="str">
        <f aca="false">IF(X96="","",LEFT(X96,6))</f>
        <v/>
      </c>
      <c r="AA96" s="23" t="str">
        <f aca="false">IF(X96="","",IF(Y96&gt;=3,MID(X96,8,6),""))</f>
        <v/>
      </c>
      <c r="AB96" s="23" t="str">
        <f aca="false">IF(X96="","",IF(Y96&gt;=4,MID(X96,15,6),""))</f>
        <v/>
      </c>
      <c r="AC96" s="23" t="str">
        <f aca="false">IF(X96="","",IF(Y96&gt;=5,MID(X96,22,6),""))</f>
        <v/>
      </c>
      <c r="AD96" s="23" t="str">
        <f aca="false">IF(X96="","",RIGHT(X96,6))</f>
        <v/>
      </c>
      <c r="AE96" s="23" t="str">
        <f aca="false">IF(F96="","",IF(ISNUMBER(SEARCH("-TK",UPPER(F96))),0,1))</f>
        <v/>
      </c>
      <c r="AF96" s="23" t="str">
        <f aca="false">IF(F96="","",IF(ISNUMBER(SEARCH("-LED",UPPER(F96))),1,0))</f>
        <v/>
      </c>
      <c r="AG96" s="24" t="n">
        <f aca="false">IF(Z96="",0,IFERROR(INDEX(Resep!$C$5:$C$7,MATCH(LEFT(Z96,3),Resep!$B$5:$B$7,0)),0))</f>
        <v>0</v>
      </c>
      <c r="AH96" s="24" t="n">
        <f aca="false">IF(AA96="",0,IFERROR(INDEX(Resep!$C$9:$C$13,MATCH(LEFT(AA96,3),Resep!$B$9:$B$13,0)),0))</f>
        <v>0</v>
      </c>
      <c r="AI96" s="24" t="n">
        <f aca="false">IF(AB96="",0,IFERROR(INDEX(Resep!$C$9:$C$13,MATCH(LEFT(AB96,3),Resep!$B$9:$B$13,0)),0))</f>
        <v>0</v>
      </c>
      <c r="AJ96" s="24" t="n">
        <f aca="false">IF(AC96="",0,IFERROR(INDEX(Resep!$C$9:$C$13,MATCH(LEFT(AC96,3),Resep!$B$9:$B$13,0)),0))</f>
        <v>0</v>
      </c>
      <c r="AK96" s="24" t="n">
        <f aca="false">IF(AD96="",0,IFERROR(INDEX(Resep!$C$15:$C$18,MATCH(LEFT(AD96,3),Resep!$B$15:$B$18,0)),0))</f>
        <v>0</v>
      </c>
      <c r="AL96" s="24" t="str">
        <f aca="false">IF(X96="","",AG96+AH96+AI96+AJ96+AK96)</f>
        <v/>
      </c>
      <c r="AM96" s="22" t="str">
        <f aca="false">IF(X96="","",AL96*(Pengaturan!$B$6+Pengaturan!$B$7)+Pengaturan!$B$8+AE96*Pengaturan!$B$9+AF96*Pengaturan!$B$10)</f>
        <v/>
      </c>
      <c r="AN96" s="22" t="str">
        <f aca="false">IF(X96="","",N(G96)-AM96)</f>
        <v/>
      </c>
      <c r="AO96" s="25" t="str">
        <f aca="false">IF(OR(X96="",N(G96)=0),"",AN96/G96)</f>
        <v/>
      </c>
    </row>
    <row r="97" customFormat="false" ht="15" hidden="false" customHeight="false" outlineLevel="0" collapsed="false">
      <c r="A97" s="19"/>
      <c r="B97" s="20"/>
      <c r="C97" s="19"/>
      <c r="D97" s="19"/>
      <c r="E97" s="19"/>
      <c r="F97" s="19"/>
      <c r="G97" s="21"/>
      <c r="H97" s="19"/>
      <c r="I97" s="21"/>
      <c r="J97" s="19"/>
      <c r="K97" s="20"/>
      <c r="L97" s="20"/>
      <c r="M97" s="19"/>
      <c r="N97" s="19"/>
      <c r="O97" s="20"/>
      <c r="P97" s="20"/>
      <c r="Q97" s="19"/>
      <c r="R97" s="22" t="str">
        <f aca="false">IF(A97="","",N(G97)+N(I97))</f>
        <v/>
      </c>
      <c r="S97" s="23" t="str">
        <f aca="false">IF(OR(K97="",O97=""),"",O97-K97)</f>
        <v/>
      </c>
      <c r="T97" s="23" t="str">
        <f aca="true">IF(AND(C97="Cetak",L97&lt;&gt;"",L97&lt;TODAY()),"YA","")</f>
        <v/>
      </c>
      <c r="U97" s="23" t="str">
        <f aca="false">IF(B97="","",TEXT(B97,"yyyy-mm"))</f>
        <v/>
      </c>
      <c r="V97" s="23" t="str">
        <f aca="false">IF(K97="","",TEXT(K97,"yyyy-mm"))</f>
        <v/>
      </c>
      <c r="W97" s="23" t="n">
        <f aca="false">IF(OR(C97="Cetak",C97="Dikirim",C97="Selesai"),1,0)</f>
        <v>0</v>
      </c>
      <c r="X97" s="23" t="str">
        <f aca="false">IF(F97="","",SUBSTITUTE(SUBSTITUTE(MID(UPPER(TRIM(F97)),4,99),"-LED",""),"-TK",""))</f>
        <v/>
      </c>
      <c r="Y97" s="23" t="str">
        <f aca="false">IF(X97="","",(LEN(X97)+1)/7)</f>
        <v/>
      </c>
      <c r="Z97" s="23" t="str">
        <f aca="false">IF(X97="","",LEFT(X97,6))</f>
        <v/>
      </c>
      <c r="AA97" s="23" t="str">
        <f aca="false">IF(X97="","",IF(Y97&gt;=3,MID(X97,8,6),""))</f>
        <v/>
      </c>
      <c r="AB97" s="23" t="str">
        <f aca="false">IF(X97="","",IF(Y97&gt;=4,MID(X97,15,6),""))</f>
        <v/>
      </c>
      <c r="AC97" s="23" t="str">
        <f aca="false">IF(X97="","",IF(Y97&gt;=5,MID(X97,22,6),""))</f>
        <v/>
      </c>
      <c r="AD97" s="23" t="str">
        <f aca="false">IF(X97="","",RIGHT(X97,6))</f>
        <v/>
      </c>
      <c r="AE97" s="23" t="str">
        <f aca="false">IF(F97="","",IF(ISNUMBER(SEARCH("-TK",UPPER(F97))),0,1))</f>
        <v/>
      </c>
      <c r="AF97" s="23" t="str">
        <f aca="false">IF(F97="","",IF(ISNUMBER(SEARCH("-LED",UPPER(F97))),1,0))</f>
        <v/>
      </c>
      <c r="AG97" s="24" t="n">
        <f aca="false">IF(Z97="",0,IFERROR(INDEX(Resep!$C$5:$C$7,MATCH(LEFT(Z97,3),Resep!$B$5:$B$7,0)),0))</f>
        <v>0</v>
      </c>
      <c r="AH97" s="24" t="n">
        <f aca="false">IF(AA97="",0,IFERROR(INDEX(Resep!$C$9:$C$13,MATCH(LEFT(AA97,3),Resep!$B$9:$B$13,0)),0))</f>
        <v>0</v>
      </c>
      <c r="AI97" s="24" t="n">
        <f aca="false">IF(AB97="",0,IFERROR(INDEX(Resep!$C$9:$C$13,MATCH(LEFT(AB97,3),Resep!$B$9:$B$13,0)),0))</f>
        <v>0</v>
      </c>
      <c r="AJ97" s="24" t="n">
        <f aca="false">IF(AC97="",0,IFERROR(INDEX(Resep!$C$9:$C$13,MATCH(LEFT(AC97,3),Resep!$B$9:$B$13,0)),0))</f>
        <v>0</v>
      </c>
      <c r="AK97" s="24" t="n">
        <f aca="false">IF(AD97="",0,IFERROR(INDEX(Resep!$C$15:$C$18,MATCH(LEFT(AD97,3),Resep!$B$15:$B$18,0)),0))</f>
        <v>0</v>
      </c>
      <c r="AL97" s="24" t="str">
        <f aca="false">IF(X97="","",AG97+AH97+AI97+AJ97+AK97)</f>
        <v/>
      </c>
      <c r="AM97" s="22" t="str">
        <f aca="false">IF(X97="","",AL97*(Pengaturan!$B$6+Pengaturan!$B$7)+Pengaturan!$B$8+AE97*Pengaturan!$B$9+AF97*Pengaturan!$B$10)</f>
        <v/>
      </c>
      <c r="AN97" s="22" t="str">
        <f aca="false">IF(X97="","",N(G97)-AM97)</f>
        <v/>
      </c>
      <c r="AO97" s="25" t="str">
        <f aca="false">IF(OR(X97="",N(G97)=0),"",AN97/G97)</f>
        <v/>
      </c>
    </row>
    <row r="98" customFormat="false" ht="15" hidden="false" customHeight="false" outlineLevel="0" collapsed="false">
      <c r="A98" s="19"/>
      <c r="B98" s="20"/>
      <c r="C98" s="19"/>
      <c r="D98" s="19"/>
      <c r="E98" s="19"/>
      <c r="F98" s="19"/>
      <c r="G98" s="21"/>
      <c r="H98" s="19"/>
      <c r="I98" s="21"/>
      <c r="J98" s="19"/>
      <c r="K98" s="20"/>
      <c r="L98" s="20"/>
      <c r="M98" s="19"/>
      <c r="N98" s="19"/>
      <c r="O98" s="20"/>
      <c r="P98" s="20"/>
      <c r="Q98" s="19"/>
      <c r="R98" s="22" t="str">
        <f aca="false">IF(A98="","",N(G98)+N(I98))</f>
        <v/>
      </c>
      <c r="S98" s="23" t="str">
        <f aca="false">IF(OR(K98="",O98=""),"",O98-K98)</f>
        <v/>
      </c>
      <c r="T98" s="23" t="str">
        <f aca="true">IF(AND(C98="Cetak",L98&lt;&gt;"",L98&lt;TODAY()),"YA","")</f>
        <v/>
      </c>
      <c r="U98" s="23" t="str">
        <f aca="false">IF(B98="","",TEXT(B98,"yyyy-mm"))</f>
        <v/>
      </c>
      <c r="V98" s="23" t="str">
        <f aca="false">IF(K98="","",TEXT(K98,"yyyy-mm"))</f>
        <v/>
      </c>
      <c r="W98" s="23" t="n">
        <f aca="false">IF(OR(C98="Cetak",C98="Dikirim",C98="Selesai"),1,0)</f>
        <v>0</v>
      </c>
      <c r="X98" s="23" t="str">
        <f aca="false">IF(F98="","",SUBSTITUTE(SUBSTITUTE(MID(UPPER(TRIM(F98)),4,99),"-LED",""),"-TK",""))</f>
        <v/>
      </c>
      <c r="Y98" s="23" t="str">
        <f aca="false">IF(X98="","",(LEN(X98)+1)/7)</f>
        <v/>
      </c>
      <c r="Z98" s="23" t="str">
        <f aca="false">IF(X98="","",LEFT(X98,6))</f>
        <v/>
      </c>
      <c r="AA98" s="23" t="str">
        <f aca="false">IF(X98="","",IF(Y98&gt;=3,MID(X98,8,6),""))</f>
        <v/>
      </c>
      <c r="AB98" s="23" t="str">
        <f aca="false">IF(X98="","",IF(Y98&gt;=4,MID(X98,15,6),""))</f>
        <v/>
      </c>
      <c r="AC98" s="23" t="str">
        <f aca="false">IF(X98="","",IF(Y98&gt;=5,MID(X98,22,6),""))</f>
        <v/>
      </c>
      <c r="AD98" s="23" t="str">
        <f aca="false">IF(X98="","",RIGHT(X98,6))</f>
        <v/>
      </c>
      <c r="AE98" s="23" t="str">
        <f aca="false">IF(F98="","",IF(ISNUMBER(SEARCH("-TK",UPPER(F98))),0,1))</f>
        <v/>
      </c>
      <c r="AF98" s="23" t="str">
        <f aca="false">IF(F98="","",IF(ISNUMBER(SEARCH("-LED",UPPER(F98))),1,0))</f>
        <v/>
      </c>
      <c r="AG98" s="24" t="n">
        <f aca="false">IF(Z98="",0,IFERROR(INDEX(Resep!$C$5:$C$7,MATCH(LEFT(Z98,3),Resep!$B$5:$B$7,0)),0))</f>
        <v>0</v>
      </c>
      <c r="AH98" s="24" t="n">
        <f aca="false">IF(AA98="",0,IFERROR(INDEX(Resep!$C$9:$C$13,MATCH(LEFT(AA98,3),Resep!$B$9:$B$13,0)),0))</f>
        <v>0</v>
      </c>
      <c r="AI98" s="24" t="n">
        <f aca="false">IF(AB98="",0,IFERROR(INDEX(Resep!$C$9:$C$13,MATCH(LEFT(AB98,3),Resep!$B$9:$B$13,0)),0))</f>
        <v>0</v>
      </c>
      <c r="AJ98" s="24" t="n">
        <f aca="false">IF(AC98="",0,IFERROR(INDEX(Resep!$C$9:$C$13,MATCH(LEFT(AC98,3),Resep!$B$9:$B$13,0)),0))</f>
        <v>0</v>
      </c>
      <c r="AK98" s="24" t="n">
        <f aca="false">IF(AD98="",0,IFERROR(INDEX(Resep!$C$15:$C$18,MATCH(LEFT(AD98,3),Resep!$B$15:$B$18,0)),0))</f>
        <v>0</v>
      </c>
      <c r="AL98" s="24" t="str">
        <f aca="false">IF(X98="","",AG98+AH98+AI98+AJ98+AK98)</f>
        <v/>
      </c>
      <c r="AM98" s="22" t="str">
        <f aca="false">IF(X98="","",AL98*(Pengaturan!$B$6+Pengaturan!$B$7)+Pengaturan!$B$8+AE98*Pengaturan!$B$9+AF98*Pengaturan!$B$10)</f>
        <v/>
      </c>
      <c r="AN98" s="22" t="str">
        <f aca="false">IF(X98="","",N(G98)-AM98)</f>
        <v/>
      </c>
      <c r="AO98" s="25" t="str">
        <f aca="false">IF(OR(X98="",N(G98)=0),"",AN98/G98)</f>
        <v/>
      </c>
    </row>
    <row r="99" customFormat="false" ht="15" hidden="false" customHeight="false" outlineLevel="0" collapsed="false">
      <c r="A99" s="19"/>
      <c r="B99" s="20"/>
      <c r="C99" s="19"/>
      <c r="D99" s="19"/>
      <c r="E99" s="19"/>
      <c r="F99" s="19"/>
      <c r="G99" s="21"/>
      <c r="H99" s="19"/>
      <c r="I99" s="21"/>
      <c r="J99" s="19"/>
      <c r="K99" s="20"/>
      <c r="L99" s="20"/>
      <c r="M99" s="19"/>
      <c r="N99" s="19"/>
      <c r="O99" s="20"/>
      <c r="P99" s="20"/>
      <c r="Q99" s="19"/>
      <c r="R99" s="22" t="str">
        <f aca="false">IF(A99="","",N(G99)+N(I99))</f>
        <v/>
      </c>
      <c r="S99" s="23" t="str">
        <f aca="false">IF(OR(K99="",O99=""),"",O99-K99)</f>
        <v/>
      </c>
      <c r="T99" s="23" t="str">
        <f aca="true">IF(AND(C99="Cetak",L99&lt;&gt;"",L99&lt;TODAY()),"YA","")</f>
        <v/>
      </c>
      <c r="U99" s="23" t="str">
        <f aca="false">IF(B99="","",TEXT(B99,"yyyy-mm"))</f>
        <v/>
      </c>
      <c r="V99" s="23" t="str">
        <f aca="false">IF(K99="","",TEXT(K99,"yyyy-mm"))</f>
        <v/>
      </c>
      <c r="W99" s="23" t="n">
        <f aca="false">IF(OR(C99="Cetak",C99="Dikirim",C99="Selesai"),1,0)</f>
        <v>0</v>
      </c>
      <c r="X99" s="23" t="str">
        <f aca="false">IF(F99="","",SUBSTITUTE(SUBSTITUTE(MID(UPPER(TRIM(F99)),4,99),"-LED",""),"-TK",""))</f>
        <v/>
      </c>
      <c r="Y99" s="23" t="str">
        <f aca="false">IF(X99="","",(LEN(X99)+1)/7)</f>
        <v/>
      </c>
      <c r="Z99" s="23" t="str">
        <f aca="false">IF(X99="","",LEFT(X99,6))</f>
        <v/>
      </c>
      <c r="AA99" s="23" t="str">
        <f aca="false">IF(X99="","",IF(Y99&gt;=3,MID(X99,8,6),""))</f>
        <v/>
      </c>
      <c r="AB99" s="23" t="str">
        <f aca="false">IF(X99="","",IF(Y99&gt;=4,MID(X99,15,6),""))</f>
        <v/>
      </c>
      <c r="AC99" s="23" t="str">
        <f aca="false">IF(X99="","",IF(Y99&gt;=5,MID(X99,22,6),""))</f>
        <v/>
      </c>
      <c r="AD99" s="23" t="str">
        <f aca="false">IF(X99="","",RIGHT(X99,6))</f>
        <v/>
      </c>
      <c r="AE99" s="23" t="str">
        <f aca="false">IF(F99="","",IF(ISNUMBER(SEARCH("-TK",UPPER(F99))),0,1))</f>
        <v/>
      </c>
      <c r="AF99" s="23" t="str">
        <f aca="false">IF(F99="","",IF(ISNUMBER(SEARCH("-LED",UPPER(F99))),1,0))</f>
        <v/>
      </c>
      <c r="AG99" s="24" t="n">
        <f aca="false">IF(Z99="",0,IFERROR(INDEX(Resep!$C$5:$C$7,MATCH(LEFT(Z99,3),Resep!$B$5:$B$7,0)),0))</f>
        <v>0</v>
      </c>
      <c r="AH99" s="24" t="n">
        <f aca="false">IF(AA99="",0,IFERROR(INDEX(Resep!$C$9:$C$13,MATCH(LEFT(AA99,3),Resep!$B$9:$B$13,0)),0))</f>
        <v>0</v>
      </c>
      <c r="AI99" s="24" t="n">
        <f aca="false">IF(AB99="",0,IFERROR(INDEX(Resep!$C$9:$C$13,MATCH(LEFT(AB99,3),Resep!$B$9:$B$13,0)),0))</f>
        <v>0</v>
      </c>
      <c r="AJ99" s="24" t="n">
        <f aca="false">IF(AC99="",0,IFERROR(INDEX(Resep!$C$9:$C$13,MATCH(LEFT(AC99,3),Resep!$B$9:$B$13,0)),0))</f>
        <v>0</v>
      </c>
      <c r="AK99" s="24" t="n">
        <f aca="false">IF(AD99="",0,IFERROR(INDEX(Resep!$C$15:$C$18,MATCH(LEFT(AD99,3),Resep!$B$15:$B$18,0)),0))</f>
        <v>0</v>
      </c>
      <c r="AL99" s="24" t="str">
        <f aca="false">IF(X99="","",AG99+AH99+AI99+AJ99+AK99)</f>
        <v/>
      </c>
      <c r="AM99" s="22" t="str">
        <f aca="false">IF(X99="","",AL99*(Pengaturan!$B$6+Pengaturan!$B$7)+Pengaturan!$B$8+AE99*Pengaturan!$B$9+AF99*Pengaturan!$B$10)</f>
        <v/>
      </c>
      <c r="AN99" s="22" t="str">
        <f aca="false">IF(X99="","",N(G99)-AM99)</f>
        <v/>
      </c>
      <c r="AO99" s="25" t="str">
        <f aca="false">IF(OR(X99="",N(G99)=0),"",AN99/G99)</f>
        <v/>
      </c>
    </row>
    <row r="100" customFormat="false" ht="15" hidden="false" customHeight="false" outlineLevel="0" collapsed="false">
      <c r="A100" s="19"/>
      <c r="B100" s="20"/>
      <c r="C100" s="19"/>
      <c r="D100" s="19"/>
      <c r="E100" s="19"/>
      <c r="F100" s="19"/>
      <c r="G100" s="21"/>
      <c r="H100" s="19"/>
      <c r="I100" s="21"/>
      <c r="J100" s="19"/>
      <c r="K100" s="20"/>
      <c r="L100" s="20"/>
      <c r="M100" s="19"/>
      <c r="N100" s="19"/>
      <c r="O100" s="20"/>
      <c r="P100" s="20"/>
      <c r="Q100" s="19"/>
      <c r="R100" s="22" t="str">
        <f aca="false">IF(A100="","",N(G100)+N(I100))</f>
        <v/>
      </c>
      <c r="S100" s="23" t="str">
        <f aca="false">IF(OR(K100="",O100=""),"",O100-K100)</f>
        <v/>
      </c>
      <c r="T100" s="23" t="str">
        <f aca="true">IF(AND(C100="Cetak",L100&lt;&gt;"",L100&lt;TODAY()),"YA","")</f>
        <v/>
      </c>
      <c r="U100" s="23" t="str">
        <f aca="false">IF(B100="","",TEXT(B100,"yyyy-mm"))</f>
        <v/>
      </c>
      <c r="V100" s="23" t="str">
        <f aca="false">IF(K100="","",TEXT(K100,"yyyy-mm"))</f>
        <v/>
      </c>
      <c r="W100" s="23" t="n">
        <f aca="false">IF(OR(C100="Cetak",C100="Dikirim",C100="Selesai"),1,0)</f>
        <v>0</v>
      </c>
      <c r="X100" s="23" t="str">
        <f aca="false">IF(F100="","",SUBSTITUTE(SUBSTITUTE(MID(UPPER(TRIM(F100)),4,99),"-LED",""),"-TK",""))</f>
        <v/>
      </c>
      <c r="Y100" s="23" t="str">
        <f aca="false">IF(X100="","",(LEN(X100)+1)/7)</f>
        <v/>
      </c>
      <c r="Z100" s="23" t="str">
        <f aca="false">IF(X100="","",LEFT(X100,6))</f>
        <v/>
      </c>
      <c r="AA100" s="23" t="str">
        <f aca="false">IF(X100="","",IF(Y100&gt;=3,MID(X100,8,6),""))</f>
        <v/>
      </c>
      <c r="AB100" s="23" t="str">
        <f aca="false">IF(X100="","",IF(Y100&gt;=4,MID(X100,15,6),""))</f>
        <v/>
      </c>
      <c r="AC100" s="23" t="str">
        <f aca="false">IF(X100="","",IF(Y100&gt;=5,MID(X100,22,6),""))</f>
        <v/>
      </c>
      <c r="AD100" s="23" t="str">
        <f aca="false">IF(X100="","",RIGHT(X100,6))</f>
        <v/>
      </c>
      <c r="AE100" s="23" t="str">
        <f aca="false">IF(F100="","",IF(ISNUMBER(SEARCH("-TK",UPPER(F100))),0,1))</f>
        <v/>
      </c>
      <c r="AF100" s="23" t="str">
        <f aca="false">IF(F100="","",IF(ISNUMBER(SEARCH("-LED",UPPER(F100))),1,0))</f>
        <v/>
      </c>
      <c r="AG100" s="24" t="n">
        <f aca="false">IF(Z100="",0,IFERROR(INDEX(Resep!$C$5:$C$7,MATCH(LEFT(Z100,3),Resep!$B$5:$B$7,0)),0))</f>
        <v>0</v>
      </c>
      <c r="AH100" s="24" t="n">
        <f aca="false">IF(AA100="",0,IFERROR(INDEX(Resep!$C$9:$C$13,MATCH(LEFT(AA100,3),Resep!$B$9:$B$13,0)),0))</f>
        <v>0</v>
      </c>
      <c r="AI100" s="24" t="n">
        <f aca="false">IF(AB100="",0,IFERROR(INDEX(Resep!$C$9:$C$13,MATCH(LEFT(AB100,3),Resep!$B$9:$B$13,0)),0))</f>
        <v>0</v>
      </c>
      <c r="AJ100" s="24" t="n">
        <f aca="false">IF(AC100="",0,IFERROR(INDEX(Resep!$C$9:$C$13,MATCH(LEFT(AC100,3),Resep!$B$9:$B$13,0)),0))</f>
        <v>0</v>
      </c>
      <c r="AK100" s="24" t="n">
        <f aca="false">IF(AD100="",0,IFERROR(INDEX(Resep!$C$15:$C$18,MATCH(LEFT(AD100,3),Resep!$B$15:$B$18,0)),0))</f>
        <v>0</v>
      </c>
      <c r="AL100" s="24" t="str">
        <f aca="false">IF(X100="","",AG100+AH100+AI100+AJ100+AK100)</f>
        <v/>
      </c>
      <c r="AM100" s="22" t="str">
        <f aca="false">IF(X100="","",AL100*(Pengaturan!$B$6+Pengaturan!$B$7)+Pengaturan!$B$8+AE100*Pengaturan!$B$9+AF100*Pengaturan!$B$10)</f>
        <v/>
      </c>
      <c r="AN100" s="22" t="str">
        <f aca="false">IF(X100="","",N(G100)-AM100)</f>
        <v/>
      </c>
      <c r="AO100" s="25" t="str">
        <f aca="false">IF(OR(X100="",N(G100)=0),"",AN100/G100)</f>
        <v/>
      </c>
    </row>
    <row r="101" customFormat="false" ht="15" hidden="false" customHeight="false" outlineLevel="0" collapsed="false">
      <c r="A101" s="19"/>
      <c r="B101" s="20"/>
      <c r="C101" s="19"/>
      <c r="D101" s="19"/>
      <c r="E101" s="19"/>
      <c r="F101" s="19"/>
      <c r="G101" s="21"/>
      <c r="H101" s="19"/>
      <c r="I101" s="21"/>
      <c r="J101" s="19"/>
      <c r="K101" s="20"/>
      <c r="L101" s="20"/>
      <c r="M101" s="19"/>
      <c r="N101" s="19"/>
      <c r="O101" s="20"/>
      <c r="P101" s="20"/>
      <c r="Q101" s="19"/>
      <c r="R101" s="22" t="str">
        <f aca="false">IF(A101="","",N(G101)+N(I101))</f>
        <v/>
      </c>
      <c r="S101" s="23" t="str">
        <f aca="false">IF(OR(K101="",O101=""),"",O101-K101)</f>
        <v/>
      </c>
      <c r="T101" s="23" t="str">
        <f aca="true">IF(AND(C101="Cetak",L101&lt;&gt;"",L101&lt;TODAY()),"YA","")</f>
        <v/>
      </c>
      <c r="U101" s="23" t="str">
        <f aca="false">IF(B101="","",TEXT(B101,"yyyy-mm"))</f>
        <v/>
      </c>
      <c r="V101" s="23" t="str">
        <f aca="false">IF(K101="","",TEXT(K101,"yyyy-mm"))</f>
        <v/>
      </c>
      <c r="W101" s="23" t="n">
        <f aca="false">IF(OR(C101="Cetak",C101="Dikirim",C101="Selesai"),1,0)</f>
        <v>0</v>
      </c>
      <c r="X101" s="23" t="str">
        <f aca="false">IF(F101="","",SUBSTITUTE(SUBSTITUTE(MID(UPPER(TRIM(F101)),4,99),"-LED",""),"-TK",""))</f>
        <v/>
      </c>
      <c r="Y101" s="23" t="str">
        <f aca="false">IF(X101="","",(LEN(X101)+1)/7)</f>
        <v/>
      </c>
      <c r="Z101" s="23" t="str">
        <f aca="false">IF(X101="","",LEFT(X101,6))</f>
        <v/>
      </c>
      <c r="AA101" s="23" t="str">
        <f aca="false">IF(X101="","",IF(Y101&gt;=3,MID(X101,8,6),""))</f>
        <v/>
      </c>
      <c r="AB101" s="23" t="str">
        <f aca="false">IF(X101="","",IF(Y101&gt;=4,MID(X101,15,6),""))</f>
        <v/>
      </c>
      <c r="AC101" s="23" t="str">
        <f aca="false">IF(X101="","",IF(Y101&gt;=5,MID(X101,22,6),""))</f>
        <v/>
      </c>
      <c r="AD101" s="23" t="str">
        <f aca="false">IF(X101="","",RIGHT(X101,6))</f>
        <v/>
      </c>
      <c r="AE101" s="23" t="str">
        <f aca="false">IF(F101="","",IF(ISNUMBER(SEARCH("-TK",UPPER(F101))),0,1))</f>
        <v/>
      </c>
      <c r="AF101" s="23" t="str">
        <f aca="false">IF(F101="","",IF(ISNUMBER(SEARCH("-LED",UPPER(F101))),1,0))</f>
        <v/>
      </c>
      <c r="AG101" s="24" t="n">
        <f aca="false">IF(Z101="",0,IFERROR(INDEX(Resep!$C$5:$C$7,MATCH(LEFT(Z101,3),Resep!$B$5:$B$7,0)),0))</f>
        <v>0</v>
      </c>
      <c r="AH101" s="24" t="n">
        <f aca="false">IF(AA101="",0,IFERROR(INDEX(Resep!$C$9:$C$13,MATCH(LEFT(AA101,3),Resep!$B$9:$B$13,0)),0))</f>
        <v>0</v>
      </c>
      <c r="AI101" s="24" t="n">
        <f aca="false">IF(AB101="",0,IFERROR(INDEX(Resep!$C$9:$C$13,MATCH(LEFT(AB101,3),Resep!$B$9:$B$13,0)),0))</f>
        <v>0</v>
      </c>
      <c r="AJ101" s="24" t="n">
        <f aca="false">IF(AC101="",0,IFERROR(INDEX(Resep!$C$9:$C$13,MATCH(LEFT(AC101,3),Resep!$B$9:$B$13,0)),0))</f>
        <v>0</v>
      </c>
      <c r="AK101" s="24" t="n">
        <f aca="false">IF(AD101="",0,IFERROR(INDEX(Resep!$C$15:$C$18,MATCH(LEFT(AD101,3),Resep!$B$15:$B$18,0)),0))</f>
        <v>0</v>
      </c>
      <c r="AL101" s="24" t="str">
        <f aca="false">IF(X101="","",AG101+AH101+AI101+AJ101+AK101)</f>
        <v/>
      </c>
      <c r="AM101" s="22" t="str">
        <f aca="false">IF(X101="","",AL101*(Pengaturan!$B$6+Pengaturan!$B$7)+Pengaturan!$B$8+AE101*Pengaturan!$B$9+AF101*Pengaturan!$B$10)</f>
        <v/>
      </c>
      <c r="AN101" s="22" t="str">
        <f aca="false">IF(X101="","",N(G101)-AM101)</f>
        <v/>
      </c>
      <c r="AO101" s="25" t="str">
        <f aca="false">IF(OR(X101="",N(G101)=0),"",AN101/G101)</f>
        <v/>
      </c>
    </row>
    <row r="102" customFormat="false" ht="15" hidden="false" customHeight="false" outlineLevel="0" collapsed="false">
      <c r="A102" s="19"/>
      <c r="B102" s="20"/>
      <c r="C102" s="19"/>
      <c r="D102" s="19"/>
      <c r="E102" s="19"/>
      <c r="F102" s="19"/>
      <c r="G102" s="21"/>
      <c r="H102" s="19"/>
      <c r="I102" s="21"/>
      <c r="J102" s="19"/>
      <c r="K102" s="20"/>
      <c r="L102" s="20"/>
      <c r="M102" s="19"/>
      <c r="N102" s="19"/>
      <c r="O102" s="20"/>
      <c r="P102" s="20"/>
      <c r="Q102" s="19"/>
      <c r="R102" s="22" t="str">
        <f aca="false">IF(A102="","",N(G102)+N(I102))</f>
        <v/>
      </c>
      <c r="S102" s="23" t="str">
        <f aca="false">IF(OR(K102="",O102=""),"",O102-K102)</f>
        <v/>
      </c>
      <c r="T102" s="23" t="str">
        <f aca="true">IF(AND(C102="Cetak",L102&lt;&gt;"",L102&lt;TODAY()),"YA","")</f>
        <v/>
      </c>
      <c r="U102" s="23" t="str">
        <f aca="false">IF(B102="","",TEXT(B102,"yyyy-mm"))</f>
        <v/>
      </c>
      <c r="V102" s="23" t="str">
        <f aca="false">IF(K102="","",TEXT(K102,"yyyy-mm"))</f>
        <v/>
      </c>
      <c r="W102" s="23" t="n">
        <f aca="false">IF(OR(C102="Cetak",C102="Dikirim",C102="Selesai"),1,0)</f>
        <v>0</v>
      </c>
      <c r="X102" s="23" t="str">
        <f aca="false">IF(F102="","",SUBSTITUTE(SUBSTITUTE(MID(UPPER(TRIM(F102)),4,99),"-LED",""),"-TK",""))</f>
        <v/>
      </c>
      <c r="Y102" s="23" t="str">
        <f aca="false">IF(X102="","",(LEN(X102)+1)/7)</f>
        <v/>
      </c>
      <c r="Z102" s="23" t="str">
        <f aca="false">IF(X102="","",LEFT(X102,6))</f>
        <v/>
      </c>
      <c r="AA102" s="23" t="str">
        <f aca="false">IF(X102="","",IF(Y102&gt;=3,MID(X102,8,6),""))</f>
        <v/>
      </c>
      <c r="AB102" s="23" t="str">
        <f aca="false">IF(X102="","",IF(Y102&gt;=4,MID(X102,15,6),""))</f>
        <v/>
      </c>
      <c r="AC102" s="23" t="str">
        <f aca="false">IF(X102="","",IF(Y102&gt;=5,MID(X102,22,6),""))</f>
        <v/>
      </c>
      <c r="AD102" s="23" t="str">
        <f aca="false">IF(X102="","",RIGHT(X102,6))</f>
        <v/>
      </c>
      <c r="AE102" s="23" t="str">
        <f aca="false">IF(F102="","",IF(ISNUMBER(SEARCH("-TK",UPPER(F102))),0,1))</f>
        <v/>
      </c>
      <c r="AF102" s="23" t="str">
        <f aca="false">IF(F102="","",IF(ISNUMBER(SEARCH("-LED",UPPER(F102))),1,0))</f>
        <v/>
      </c>
      <c r="AG102" s="24" t="n">
        <f aca="false">IF(Z102="",0,IFERROR(INDEX(Resep!$C$5:$C$7,MATCH(LEFT(Z102,3),Resep!$B$5:$B$7,0)),0))</f>
        <v>0</v>
      </c>
      <c r="AH102" s="24" t="n">
        <f aca="false">IF(AA102="",0,IFERROR(INDEX(Resep!$C$9:$C$13,MATCH(LEFT(AA102,3),Resep!$B$9:$B$13,0)),0))</f>
        <v>0</v>
      </c>
      <c r="AI102" s="24" t="n">
        <f aca="false">IF(AB102="",0,IFERROR(INDEX(Resep!$C$9:$C$13,MATCH(LEFT(AB102,3),Resep!$B$9:$B$13,0)),0))</f>
        <v>0</v>
      </c>
      <c r="AJ102" s="24" t="n">
        <f aca="false">IF(AC102="",0,IFERROR(INDEX(Resep!$C$9:$C$13,MATCH(LEFT(AC102,3),Resep!$B$9:$B$13,0)),0))</f>
        <v>0</v>
      </c>
      <c r="AK102" s="24" t="n">
        <f aca="false">IF(AD102="",0,IFERROR(INDEX(Resep!$C$15:$C$18,MATCH(LEFT(AD102,3),Resep!$B$15:$B$18,0)),0))</f>
        <v>0</v>
      </c>
      <c r="AL102" s="24" t="str">
        <f aca="false">IF(X102="","",AG102+AH102+AI102+AJ102+AK102)</f>
        <v/>
      </c>
      <c r="AM102" s="22" t="str">
        <f aca="false">IF(X102="","",AL102*(Pengaturan!$B$6+Pengaturan!$B$7)+Pengaturan!$B$8+AE102*Pengaturan!$B$9+AF102*Pengaturan!$B$10)</f>
        <v/>
      </c>
      <c r="AN102" s="22" t="str">
        <f aca="false">IF(X102="","",N(G102)-AM102)</f>
        <v/>
      </c>
      <c r="AO102" s="25" t="str">
        <f aca="false">IF(OR(X102="",N(G102)=0),"",AN102/G102)</f>
        <v/>
      </c>
    </row>
    <row r="103" customFormat="false" ht="15" hidden="false" customHeight="false" outlineLevel="0" collapsed="false">
      <c r="A103" s="19"/>
      <c r="B103" s="20"/>
      <c r="C103" s="19"/>
      <c r="D103" s="19"/>
      <c r="E103" s="19"/>
      <c r="F103" s="19"/>
      <c r="G103" s="21"/>
      <c r="H103" s="19"/>
      <c r="I103" s="21"/>
      <c r="J103" s="19"/>
      <c r="K103" s="20"/>
      <c r="L103" s="20"/>
      <c r="M103" s="19"/>
      <c r="N103" s="19"/>
      <c r="O103" s="20"/>
      <c r="P103" s="20"/>
      <c r="Q103" s="19"/>
      <c r="R103" s="22" t="str">
        <f aca="false">IF(A103="","",N(G103)+N(I103))</f>
        <v/>
      </c>
      <c r="S103" s="23" t="str">
        <f aca="false">IF(OR(K103="",O103=""),"",O103-K103)</f>
        <v/>
      </c>
      <c r="T103" s="23" t="str">
        <f aca="true">IF(AND(C103="Cetak",L103&lt;&gt;"",L103&lt;TODAY()),"YA","")</f>
        <v/>
      </c>
      <c r="U103" s="23" t="str">
        <f aca="false">IF(B103="","",TEXT(B103,"yyyy-mm"))</f>
        <v/>
      </c>
      <c r="V103" s="23" t="str">
        <f aca="false">IF(K103="","",TEXT(K103,"yyyy-mm"))</f>
        <v/>
      </c>
      <c r="W103" s="23" t="n">
        <f aca="false">IF(OR(C103="Cetak",C103="Dikirim",C103="Selesai"),1,0)</f>
        <v>0</v>
      </c>
      <c r="X103" s="23" t="str">
        <f aca="false">IF(F103="","",SUBSTITUTE(SUBSTITUTE(MID(UPPER(TRIM(F103)),4,99),"-LED",""),"-TK",""))</f>
        <v/>
      </c>
      <c r="Y103" s="23" t="str">
        <f aca="false">IF(X103="","",(LEN(X103)+1)/7)</f>
        <v/>
      </c>
      <c r="Z103" s="23" t="str">
        <f aca="false">IF(X103="","",LEFT(X103,6))</f>
        <v/>
      </c>
      <c r="AA103" s="23" t="str">
        <f aca="false">IF(X103="","",IF(Y103&gt;=3,MID(X103,8,6),""))</f>
        <v/>
      </c>
      <c r="AB103" s="23" t="str">
        <f aca="false">IF(X103="","",IF(Y103&gt;=4,MID(X103,15,6),""))</f>
        <v/>
      </c>
      <c r="AC103" s="23" t="str">
        <f aca="false">IF(X103="","",IF(Y103&gt;=5,MID(X103,22,6),""))</f>
        <v/>
      </c>
      <c r="AD103" s="23" t="str">
        <f aca="false">IF(X103="","",RIGHT(X103,6))</f>
        <v/>
      </c>
      <c r="AE103" s="23" t="str">
        <f aca="false">IF(F103="","",IF(ISNUMBER(SEARCH("-TK",UPPER(F103))),0,1))</f>
        <v/>
      </c>
      <c r="AF103" s="23" t="str">
        <f aca="false">IF(F103="","",IF(ISNUMBER(SEARCH("-LED",UPPER(F103))),1,0))</f>
        <v/>
      </c>
      <c r="AG103" s="24" t="n">
        <f aca="false">IF(Z103="",0,IFERROR(INDEX(Resep!$C$5:$C$7,MATCH(LEFT(Z103,3),Resep!$B$5:$B$7,0)),0))</f>
        <v>0</v>
      </c>
      <c r="AH103" s="24" t="n">
        <f aca="false">IF(AA103="",0,IFERROR(INDEX(Resep!$C$9:$C$13,MATCH(LEFT(AA103,3),Resep!$B$9:$B$13,0)),0))</f>
        <v>0</v>
      </c>
      <c r="AI103" s="24" t="n">
        <f aca="false">IF(AB103="",0,IFERROR(INDEX(Resep!$C$9:$C$13,MATCH(LEFT(AB103,3),Resep!$B$9:$B$13,0)),0))</f>
        <v>0</v>
      </c>
      <c r="AJ103" s="24" t="n">
        <f aca="false">IF(AC103="",0,IFERROR(INDEX(Resep!$C$9:$C$13,MATCH(LEFT(AC103,3),Resep!$B$9:$B$13,0)),0))</f>
        <v>0</v>
      </c>
      <c r="AK103" s="24" t="n">
        <f aca="false">IF(AD103="",0,IFERROR(INDEX(Resep!$C$15:$C$18,MATCH(LEFT(AD103,3),Resep!$B$15:$B$18,0)),0))</f>
        <v>0</v>
      </c>
      <c r="AL103" s="24" t="str">
        <f aca="false">IF(X103="","",AG103+AH103+AI103+AJ103+AK103)</f>
        <v/>
      </c>
      <c r="AM103" s="22" t="str">
        <f aca="false">IF(X103="","",AL103*(Pengaturan!$B$6+Pengaturan!$B$7)+Pengaturan!$B$8+AE103*Pengaturan!$B$9+AF103*Pengaturan!$B$10)</f>
        <v/>
      </c>
      <c r="AN103" s="22" t="str">
        <f aca="false">IF(X103="","",N(G103)-AM103)</f>
        <v/>
      </c>
      <c r="AO103" s="25" t="str">
        <f aca="false">IF(OR(X103="",N(G103)=0),"",AN103/G103)</f>
        <v/>
      </c>
    </row>
    <row r="104" customFormat="false" ht="15" hidden="false" customHeight="false" outlineLevel="0" collapsed="false">
      <c r="A104" s="19"/>
      <c r="B104" s="20"/>
      <c r="C104" s="19"/>
      <c r="D104" s="19"/>
      <c r="E104" s="19"/>
      <c r="F104" s="19"/>
      <c r="G104" s="21"/>
      <c r="H104" s="19"/>
      <c r="I104" s="21"/>
      <c r="J104" s="19"/>
      <c r="K104" s="20"/>
      <c r="L104" s="20"/>
      <c r="M104" s="19"/>
      <c r="N104" s="19"/>
      <c r="O104" s="20"/>
      <c r="P104" s="20"/>
      <c r="Q104" s="19"/>
      <c r="R104" s="22" t="str">
        <f aca="false">IF(A104="","",N(G104)+N(I104))</f>
        <v/>
      </c>
      <c r="S104" s="23" t="str">
        <f aca="false">IF(OR(K104="",O104=""),"",O104-K104)</f>
        <v/>
      </c>
      <c r="T104" s="23" t="str">
        <f aca="true">IF(AND(C104="Cetak",L104&lt;&gt;"",L104&lt;TODAY()),"YA","")</f>
        <v/>
      </c>
      <c r="U104" s="23" t="str">
        <f aca="false">IF(B104="","",TEXT(B104,"yyyy-mm"))</f>
        <v/>
      </c>
      <c r="V104" s="23" t="str">
        <f aca="false">IF(K104="","",TEXT(K104,"yyyy-mm"))</f>
        <v/>
      </c>
      <c r="W104" s="23" t="n">
        <f aca="false">IF(OR(C104="Cetak",C104="Dikirim",C104="Selesai"),1,0)</f>
        <v>0</v>
      </c>
      <c r="X104" s="23" t="str">
        <f aca="false">IF(F104="","",SUBSTITUTE(SUBSTITUTE(MID(UPPER(TRIM(F104)),4,99),"-LED",""),"-TK",""))</f>
        <v/>
      </c>
      <c r="Y104" s="23" t="str">
        <f aca="false">IF(X104="","",(LEN(X104)+1)/7)</f>
        <v/>
      </c>
      <c r="Z104" s="23" t="str">
        <f aca="false">IF(X104="","",LEFT(X104,6))</f>
        <v/>
      </c>
      <c r="AA104" s="23" t="str">
        <f aca="false">IF(X104="","",IF(Y104&gt;=3,MID(X104,8,6),""))</f>
        <v/>
      </c>
      <c r="AB104" s="23" t="str">
        <f aca="false">IF(X104="","",IF(Y104&gt;=4,MID(X104,15,6),""))</f>
        <v/>
      </c>
      <c r="AC104" s="23" t="str">
        <f aca="false">IF(X104="","",IF(Y104&gt;=5,MID(X104,22,6),""))</f>
        <v/>
      </c>
      <c r="AD104" s="23" t="str">
        <f aca="false">IF(X104="","",RIGHT(X104,6))</f>
        <v/>
      </c>
      <c r="AE104" s="23" t="str">
        <f aca="false">IF(F104="","",IF(ISNUMBER(SEARCH("-TK",UPPER(F104))),0,1))</f>
        <v/>
      </c>
      <c r="AF104" s="23" t="str">
        <f aca="false">IF(F104="","",IF(ISNUMBER(SEARCH("-LED",UPPER(F104))),1,0))</f>
        <v/>
      </c>
      <c r="AG104" s="24" t="n">
        <f aca="false">IF(Z104="",0,IFERROR(INDEX(Resep!$C$5:$C$7,MATCH(LEFT(Z104,3),Resep!$B$5:$B$7,0)),0))</f>
        <v>0</v>
      </c>
      <c r="AH104" s="24" t="n">
        <f aca="false">IF(AA104="",0,IFERROR(INDEX(Resep!$C$9:$C$13,MATCH(LEFT(AA104,3),Resep!$B$9:$B$13,0)),0))</f>
        <v>0</v>
      </c>
      <c r="AI104" s="24" t="n">
        <f aca="false">IF(AB104="",0,IFERROR(INDEX(Resep!$C$9:$C$13,MATCH(LEFT(AB104,3),Resep!$B$9:$B$13,0)),0))</f>
        <v>0</v>
      </c>
      <c r="AJ104" s="24" t="n">
        <f aca="false">IF(AC104="",0,IFERROR(INDEX(Resep!$C$9:$C$13,MATCH(LEFT(AC104,3),Resep!$B$9:$B$13,0)),0))</f>
        <v>0</v>
      </c>
      <c r="AK104" s="24" t="n">
        <f aca="false">IF(AD104="",0,IFERROR(INDEX(Resep!$C$15:$C$18,MATCH(LEFT(AD104,3),Resep!$B$15:$B$18,0)),0))</f>
        <v>0</v>
      </c>
      <c r="AL104" s="24" t="str">
        <f aca="false">IF(X104="","",AG104+AH104+AI104+AJ104+AK104)</f>
        <v/>
      </c>
      <c r="AM104" s="22" t="str">
        <f aca="false">IF(X104="","",AL104*(Pengaturan!$B$6+Pengaturan!$B$7)+Pengaturan!$B$8+AE104*Pengaturan!$B$9+AF104*Pengaturan!$B$10)</f>
        <v/>
      </c>
      <c r="AN104" s="22" t="str">
        <f aca="false">IF(X104="","",N(G104)-AM104)</f>
        <v/>
      </c>
      <c r="AO104" s="25" t="str">
        <f aca="false">IF(OR(X104="",N(G104)=0),"",AN104/G104)</f>
        <v/>
      </c>
    </row>
    <row r="105" customFormat="false" ht="15" hidden="false" customHeight="false" outlineLevel="0" collapsed="false">
      <c r="A105" s="19"/>
      <c r="B105" s="20"/>
      <c r="C105" s="19"/>
      <c r="D105" s="19"/>
      <c r="E105" s="19"/>
      <c r="F105" s="19"/>
      <c r="G105" s="21"/>
      <c r="H105" s="19"/>
      <c r="I105" s="21"/>
      <c r="J105" s="19"/>
      <c r="K105" s="20"/>
      <c r="L105" s="20"/>
      <c r="M105" s="19"/>
      <c r="N105" s="19"/>
      <c r="O105" s="20"/>
      <c r="P105" s="20"/>
      <c r="Q105" s="19"/>
      <c r="R105" s="22" t="str">
        <f aca="false">IF(A105="","",N(G105)+N(I105))</f>
        <v/>
      </c>
      <c r="S105" s="23" t="str">
        <f aca="false">IF(OR(K105="",O105=""),"",O105-K105)</f>
        <v/>
      </c>
      <c r="T105" s="23" t="str">
        <f aca="true">IF(AND(C105="Cetak",L105&lt;&gt;"",L105&lt;TODAY()),"YA","")</f>
        <v/>
      </c>
      <c r="U105" s="23" t="str">
        <f aca="false">IF(B105="","",TEXT(B105,"yyyy-mm"))</f>
        <v/>
      </c>
      <c r="V105" s="23" t="str">
        <f aca="false">IF(K105="","",TEXT(K105,"yyyy-mm"))</f>
        <v/>
      </c>
      <c r="W105" s="23" t="n">
        <f aca="false">IF(OR(C105="Cetak",C105="Dikirim",C105="Selesai"),1,0)</f>
        <v>0</v>
      </c>
      <c r="X105" s="23" t="str">
        <f aca="false">IF(F105="","",SUBSTITUTE(SUBSTITUTE(MID(UPPER(TRIM(F105)),4,99),"-LED",""),"-TK",""))</f>
        <v/>
      </c>
      <c r="Y105" s="23" t="str">
        <f aca="false">IF(X105="","",(LEN(X105)+1)/7)</f>
        <v/>
      </c>
      <c r="Z105" s="23" t="str">
        <f aca="false">IF(X105="","",LEFT(X105,6))</f>
        <v/>
      </c>
      <c r="AA105" s="23" t="str">
        <f aca="false">IF(X105="","",IF(Y105&gt;=3,MID(X105,8,6),""))</f>
        <v/>
      </c>
      <c r="AB105" s="23" t="str">
        <f aca="false">IF(X105="","",IF(Y105&gt;=4,MID(X105,15,6),""))</f>
        <v/>
      </c>
      <c r="AC105" s="23" t="str">
        <f aca="false">IF(X105="","",IF(Y105&gt;=5,MID(X105,22,6),""))</f>
        <v/>
      </c>
      <c r="AD105" s="23" t="str">
        <f aca="false">IF(X105="","",RIGHT(X105,6))</f>
        <v/>
      </c>
      <c r="AE105" s="23" t="str">
        <f aca="false">IF(F105="","",IF(ISNUMBER(SEARCH("-TK",UPPER(F105))),0,1))</f>
        <v/>
      </c>
      <c r="AF105" s="23" t="str">
        <f aca="false">IF(F105="","",IF(ISNUMBER(SEARCH("-LED",UPPER(F105))),1,0))</f>
        <v/>
      </c>
      <c r="AG105" s="24" t="n">
        <f aca="false">IF(Z105="",0,IFERROR(INDEX(Resep!$C$5:$C$7,MATCH(LEFT(Z105,3),Resep!$B$5:$B$7,0)),0))</f>
        <v>0</v>
      </c>
      <c r="AH105" s="24" t="n">
        <f aca="false">IF(AA105="",0,IFERROR(INDEX(Resep!$C$9:$C$13,MATCH(LEFT(AA105,3),Resep!$B$9:$B$13,0)),0))</f>
        <v>0</v>
      </c>
      <c r="AI105" s="24" t="n">
        <f aca="false">IF(AB105="",0,IFERROR(INDEX(Resep!$C$9:$C$13,MATCH(LEFT(AB105,3),Resep!$B$9:$B$13,0)),0))</f>
        <v>0</v>
      </c>
      <c r="AJ105" s="24" t="n">
        <f aca="false">IF(AC105="",0,IFERROR(INDEX(Resep!$C$9:$C$13,MATCH(LEFT(AC105,3),Resep!$B$9:$B$13,0)),0))</f>
        <v>0</v>
      </c>
      <c r="AK105" s="24" t="n">
        <f aca="false">IF(AD105="",0,IFERROR(INDEX(Resep!$C$15:$C$18,MATCH(LEFT(AD105,3),Resep!$B$15:$B$18,0)),0))</f>
        <v>0</v>
      </c>
      <c r="AL105" s="24" t="str">
        <f aca="false">IF(X105="","",AG105+AH105+AI105+AJ105+AK105)</f>
        <v/>
      </c>
      <c r="AM105" s="22" t="str">
        <f aca="false">IF(X105="","",AL105*(Pengaturan!$B$6+Pengaturan!$B$7)+Pengaturan!$B$8+AE105*Pengaturan!$B$9+AF105*Pengaturan!$B$10)</f>
        <v/>
      </c>
      <c r="AN105" s="22" t="str">
        <f aca="false">IF(X105="","",N(G105)-AM105)</f>
        <v/>
      </c>
      <c r="AO105" s="25" t="str">
        <f aca="false">IF(OR(X105="",N(G105)=0),"",AN105/G105)</f>
        <v/>
      </c>
    </row>
    <row r="106" customFormat="false" ht="15" hidden="false" customHeight="false" outlineLevel="0" collapsed="false">
      <c r="A106" s="19"/>
      <c r="B106" s="20"/>
      <c r="C106" s="19"/>
      <c r="D106" s="19"/>
      <c r="E106" s="19"/>
      <c r="F106" s="19"/>
      <c r="G106" s="21"/>
      <c r="H106" s="19"/>
      <c r="I106" s="21"/>
      <c r="J106" s="19"/>
      <c r="K106" s="20"/>
      <c r="L106" s="20"/>
      <c r="M106" s="19"/>
      <c r="N106" s="19"/>
      <c r="O106" s="20"/>
      <c r="P106" s="20"/>
      <c r="Q106" s="19"/>
      <c r="R106" s="22" t="str">
        <f aca="false">IF(A106="","",N(G106)+N(I106))</f>
        <v/>
      </c>
      <c r="S106" s="23" t="str">
        <f aca="false">IF(OR(K106="",O106=""),"",O106-K106)</f>
        <v/>
      </c>
      <c r="T106" s="23" t="str">
        <f aca="true">IF(AND(C106="Cetak",L106&lt;&gt;"",L106&lt;TODAY()),"YA","")</f>
        <v/>
      </c>
      <c r="U106" s="23" t="str">
        <f aca="false">IF(B106="","",TEXT(B106,"yyyy-mm"))</f>
        <v/>
      </c>
      <c r="V106" s="23" t="str">
        <f aca="false">IF(K106="","",TEXT(K106,"yyyy-mm"))</f>
        <v/>
      </c>
      <c r="W106" s="23" t="n">
        <f aca="false">IF(OR(C106="Cetak",C106="Dikirim",C106="Selesai"),1,0)</f>
        <v>0</v>
      </c>
      <c r="X106" s="23" t="str">
        <f aca="false">IF(F106="","",SUBSTITUTE(SUBSTITUTE(MID(UPPER(TRIM(F106)),4,99),"-LED",""),"-TK",""))</f>
        <v/>
      </c>
      <c r="Y106" s="23" t="str">
        <f aca="false">IF(X106="","",(LEN(X106)+1)/7)</f>
        <v/>
      </c>
      <c r="Z106" s="23" t="str">
        <f aca="false">IF(X106="","",LEFT(X106,6))</f>
        <v/>
      </c>
      <c r="AA106" s="23" t="str">
        <f aca="false">IF(X106="","",IF(Y106&gt;=3,MID(X106,8,6),""))</f>
        <v/>
      </c>
      <c r="AB106" s="23" t="str">
        <f aca="false">IF(X106="","",IF(Y106&gt;=4,MID(X106,15,6),""))</f>
        <v/>
      </c>
      <c r="AC106" s="23" t="str">
        <f aca="false">IF(X106="","",IF(Y106&gt;=5,MID(X106,22,6),""))</f>
        <v/>
      </c>
      <c r="AD106" s="23" t="str">
        <f aca="false">IF(X106="","",RIGHT(X106,6))</f>
        <v/>
      </c>
      <c r="AE106" s="23" t="str">
        <f aca="false">IF(F106="","",IF(ISNUMBER(SEARCH("-TK",UPPER(F106))),0,1))</f>
        <v/>
      </c>
      <c r="AF106" s="23" t="str">
        <f aca="false">IF(F106="","",IF(ISNUMBER(SEARCH("-LED",UPPER(F106))),1,0))</f>
        <v/>
      </c>
      <c r="AG106" s="24" t="n">
        <f aca="false">IF(Z106="",0,IFERROR(INDEX(Resep!$C$5:$C$7,MATCH(LEFT(Z106,3),Resep!$B$5:$B$7,0)),0))</f>
        <v>0</v>
      </c>
      <c r="AH106" s="24" t="n">
        <f aca="false">IF(AA106="",0,IFERROR(INDEX(Resep!$C$9:$C$13,MATCH(LEFT(AA106,3),Resep!$B$9:$B$13,0)),0))</f>
        <v>0</v>
      </c>
      <c r="AI106" s="24" t="n">
        <f aca="false">IF(AB106="",0,IFERROR(INDEX(Resep!$C$9:$C$13,MATCH(LEFT(AB106,3),Resep!$B$9:$B$13,0)),0))</f>
        <v>0</v>
      </c>
      <c r="AJ106" s="24" t="n">
        <f aca="false">IF(AC106="",0,IFERROR(INDEX(Resep!$C$9:$C$13,MATCH(LEFT(AC106,3),Resep!$B$9:$B$13,0)),0))</f>
        <v>0</v>
      </c>
      <c r="AK106" s="24" t="n">
        <f aca="false">IF(AD106="",0,IFERROR(INDEX(Resep!$C$15:$C$18,MATCH(LEFT(AD106,3),Resep!$B$15:$B$18,0)),0))</f>
        <v>0</v>
      </c>
      <c r="AL106" s="24" t="str">
        <f aca="false">IF(X106="","",AG106+AH106+AI106+AJ106+AK106)</f>
        <v/>
      </c>
      <c r="AM106" s="22" t="str">
        <f aca="false">IF(X106="","",AL106*(Pengaturan!$B$6+Pengaturan!$B$7)+Pengaturan!$B$8+AE106*Pengaturan!$B$9+AF106*Pengaturan!$B$10)</f>
        <v/>
      </c>
      <c r="AN106" s="22" t="str">
        <f aca="false">IF(X106="","",N(G106)-AM106)</f>
        <v/>
      </c>
      <c r="AO106" s="25" t="str">
        <f aca="false">IF(OR(X106="",N(G106)=0),"",AN106/G106)</f>
        <v/>
      </c>
    </row>
    <row r="107" customFormat="false" ht="15" hidden="false" customHeight="false" outlineLevel="0" collapsed="false">
      <c r="A107" s="19"/>
      <c r="B107" s="20"/>
      <c r="C107" s="19"/>
      <c r="D107" s="19"/>
      <c r="E107" s="19"/>
      <c r="F107" s="19"/>
      <c r="G107" s="21"/>
      <c r="H107" s="19"/>
      <c r="I107" s="21"/>
      <c r="J107" s="19"/>
      <c r="K107" s="20"/>
      <c r="L107" s="20"/>
      <c r="M107" s="19"/>
      <c r="N107" s="19"/>
      <c r="O107" s="20"/>
      <c r="P107" s="20"/>
      <c r="Q107" s="19"/>
      <c r="R107" s="22" t="str">
        <f aca="false">IF(A107="","",N(G107)+N(I107))</f>
        <v/>
      </c>
      <c r="S107" s="23" t="str">
        <f aca="false">IF(OR(K107="",O107=""),"",O107-K107)</f>
        <v/>
      </c>
      <c r="T107" s="23" t="str">
        <f aca="true">IF(AND(C107="Cetak",L107&lt;&gt;"",L107&lt;TODAY()),"YA","")</f>
        <v/>
      </c>
      <c r="U107" s="23" t="str">
        <f aca="false">IF(B107="","",TEXT(B107,"yyyy-mm"))</f>
        <v/>
      </c>
      <c r="V107" s="23" t="str">
        <f aca="false">IF(K107="","",TEXT(K107,"yyyy-mm"))</f>
        <v/>
      </c>
      <c r="W107" s="23" t="n">
        <f aca="false">IF(OR(C107="Cetak",C107="Dikirim",C107="Selesai"),1,0)</f>
        <v>0</v>
      </c>
      <c r="X107" s="23" t="str">
        <f aca="false">IF(F107="","",SUBSTITUTE(SUBSTITUTE(MID(UPPER(TRIM(F107)),4,99),"-LED",""),"-TK",""))</f>
        <v/>
      </c>
      <c r="Y107" s="23" t="str">
        <f aca="false">IF(X107="","",(LEN(X107)+1)/7)</f>
        <v/>
      </c>
      <c r="Z107" s="23" t="str">
        <f aca="false">IF(X107="","",LEFT(X107,6))</f>
        <v/>
      </c>
      <c r="AA107" s="23" t="str">
        <f aca="false">IF(X107="","",IF(Y107&gt;=3,MID(X107,8,6),""))</f>
        <v/>
      </c>
      <c r="AB107" s="23" t="str">
        <f aca="false">IF(X107="","",IF(Y107&gt;=4,MID(X107,15,6),""))</f>
        <v/>
      </c>
      <c r="AC107" s="23" t="str">
        <f aca="false">IF(X107="","",IF(Y107&gt;=5,MID(X107,22,6),""))</f>
        <v/>
      </c>
      <c r="AD107" s="23" t="str">
        <f aca="false">IF(X107="","",RIGHT(X107,6))</f>
        <v/>
      </c>
      <c r="AE107" s="23" t="str">
        <f aca="false">IF(F107="","",IF(ISNUMBER(SEARCH("-TK",UPPER(F107))),0,1))</f>
        <v/>
      </c>
      <c r="AF107" s="23" t="str">
        <f aca="false">IF(F107="","",IF(ISNUMBER(SEARCH("-LED",UPPER(F107))),1,0))</f>
        <v/>
      </c>
      <c r="AG107" s="24" t="n">
        <f aca="false">IF(Z107="",0,IFERROR(INDEX(Resep!$C$5:$C$7,MATCH(LEFT(Z107,3),Resep!$B$5:$B$7,0)),0))</f>
        <v>0</v>
      </c>
      <c r="AH107" s="24" t="n">
        <f aca="false">IF(AA107="",0,IFERROR(INDEX(Resep!$C$9:$C$13,MATCH(LEFT(AA107,3),Resep!$B$9:$B$13,0)),0))</f>
        <v>0</v>
      </c>
      <c r="AI107" s="24" t="n">
        <f aca="false">IF(AB107="",0,IFERROR(INDEX(Resep!$C$9:$C$13,MATCH(LEFT(AB107,3),Resep!$B$9:$B$13,0)),0))</f>
        <v>0</v>
      </c>
      <c r="AJ107" s="24" t="n">
        <f aca="false">IF(AC107="",0,IFERROR(INDEX(Resep!$C$9:$C$13,MATCH(LEFT(AC107,3),Resep!$B$9:$B$13,0)),0))</f>
        <v>0</v>
      </c>
      <c r="AK107" s="24" t="n">
        <f aca="false">IF(AD107="",0,IFERROR(INDEX(Resep!$C$15:$C$18,MATCH(LEFT(AD107,3),Resep!$B$15:$B$18,0)),0))</f>
        <v>0</v>
      </c>
      <c r="AL107" s="24" t="str">
        <f aca="false">IF(X107="","",AG107+AH107+AI107+AJ107+AK107)</f>
        <v/>
      </c>
      <c r="AM107" s="22" t="str">
        <f aca="false">IF(X107="","",AL107*(Pengaturan!$B$6+Pengaturan!$B$7)+Pengaturan!$B$8+AE107*Pengaturan!$B$9+AF107*Pengaturan!$B$10)</f>
        <v/>
      </c>
      <c r="AN107" s="22" t="str">
        <f aca="false">IF(X107="","",N(G107)-AM107)</f>
        <v/>
      </c>
      <c r="AO107" s="25" t="str">
        <f aca="false">IF(OR(X107="",N(G107)=0),"",AN107/G107)</f>
        <v/>
      </c>
    </row>
    <row r="108" customFormat="false" ht="15" hidden="false" customHeight="false" outlineLevel="0" collapsed="false">
      <c r="A108" s="19"/>
      <c r="B108" s="20"/>
      <c r="C108" s="19"/>
      <c r="D108" s="19"/>
      <c r="E108" s="19"/>
      <c r="F108" s="19"/>
      <c r="G108" s="21"/>
      <c r="H108" s="19"/>
      <c r="I108" s="21"/>
      <c r="J108" s="19"/>
      <c r="K108" s="20"/>
      <c r="L108" s="20"/>
      <c r="M108" s="19"/>
      <c r="N108" s="19"/>
      <c r="O108" s="20"/>
      <c r="P108" s="20"/>
      <c r="Q108" s="19"/>
      <c r="R108" s="22" t="str">
        <f aca="false">IF(A108="","",N(G108)+N(I108))</f>
        <v/>
      </c>
      <c r="S108" s="23" t="str">
        <f aca="false">IF(OR(K108="",O108=""),"",O108-K108)</f>
        <v/>
      </c>
      <c r="T108" s="23" t="str">
        <f aca="true">IF(AND(C108="Cetak",L108&lt;&gt;"",L108&lt;TODAY()),"YA","")</f>
        <v/>
      </c>
      <c r="U108" s="23" t="str">
        <f aca="false">IF(B108="","",TEXT(B108,"yyyy-mm"))</f>
        <v/>
      </c>
      <c r="V108" s="23" t="str">
        <f aca="false">IF(K108="","",TEXT(K108,"yyyy-mm"))</f>
        <v/>
      </c>
      <c r="W108" s="23" t="n">
        <f aca="false">IF(OR(C108="Cetak",C108="Dikirim",C108="Selesai"),1,0)</f>
        <v>0</v>
      </c>
      <c r="X108" s="23" t="str">
        <f aca="false">IF(F108="","",SUBSTITUTE(SUBSTITUTE(MID(UPPER(TRIM(F108)),4,99),"-LED",""),"-TK",""))</f>
        <v/>
      </c>
      <c r="Y108" s="23" t="str">
        <f aca="false">IF(X108="","",(LEN(X108)+1)/7)</f>
        <v/>
      </c>
      <c r="Z108" s="23" t="str">
        <f aca="false">IF(X108="","",LEFT(X108,6))</f>
        <v/>
      </c>
      <c r="AA108" s="23" t="str">
        <f aca="false">IF(X108="","",IF(Y108&gt;=3,MID(X108,8,6),""))</f>
        <v/>
      </c>
      <c r="AB108" s="23" t="str">
        <f aca="false">IF(X108="","",IF(Y108&gt;=4,MID(X108,15,6),""))</f>
        <v/>
      </c>
      <c r="AC108" s="23" t="str">
        <f aca="false">IF(X108="","",IF(Y108&gt;=5,MID(X108,22,6),""))</f>
        <v/>
      </c>
      <c r="AD108" s="23" t="str">
        <f aca="false">IF(X108="","",RIGHT(X108,6))</f>
        <v/>
      </c>
      <c r="AE108" s="23" t="str">
        <f aca="false">IF(F108="","",IF(ISNUMBER(SEARCH("-TK",UPPER(F108))),0,1))</f>
        <v/>
      </c>
      <c r="AF108" s="23" t="str">
        <f aca="false">IF(F108="","",IF(ISNUMBER(SEARCH("-LED",UPPER(F108))),1,0))</f>
        <v/>
      </c>
      <c r="AG108" s="24" t="n">
        <f aca="false">IF(Z108="",0,IFERROR(INDEX(Resep!$C$5:$C$7,MATCH(LEFT(Z108,3),Resep!$B$5:$B$7,0)),0))</f>
        <v>0</v>
      </c>
      <c r="AH108" s="24" t="n">
        <f aca="false">IF(AA108="",0,IFERROR(INDEX(Resep!$C$9:$C$13,MATCH(LEFT(AA108,3),Resep!$B$9:$B$13,0)),0))</f>
        <v>0</v>
      </c>
      <c r="AI108" s="24" t="n">
        <f aca="false">IF(AB108="",0,IFERROR(INDEX(Resep!$C$9:$C$13,MATCH(LEFT(AB108,3),Resep!$B$9:$B$13,0)),0))</f>
        <v>0</v>
      </c>
      <c r="AJ108" s="24" t="n">
        <f aca="false">IF(AC108="",0,IFERROR(INDEX(Resep!$C$9:$C$13,MATCH(LEFT(AC108,3),Resep!$B$9:$B$13,0)),0))</f>
        <v>0</v>
      </c>
      <c r="AK108" s="24" t="n">
        <f aca="false">IF(AD108="",0,IFERROR(INDEX(Resep!$C$15:$C$18,MATCH(LEFT(AD108,3),Resep!$B$15:$B$18,0)),0))</f>
        <v>0</v>
      </c>
      <c r="AL108" s="24" t="str">
        <f aca="false">IF(X108="","",AG108+AH108+AI108+AJ108+AK108)</f>
        <v/>
      </c>
      <c r="AM108" s="22" t="str">
        <f aca="false">IF(X108="","",AL108*(Pengaturan!$B$6+Pengaturan!$B$7)+Pengaturan!$B$8+AE108*Pengaturan!$B$9+AF108*Pengaturan!$B$10)</f>
        <v/>
      </c>
      <c r="AN108" s="22" t="str">
        <f aca="false">IF(X108="","",N(G108)-AM108)</f>
        <v/>
      </c>
      <c r="AO108" s="25" t="str">
        <f aca="false">IF(OR(X108="",N(G108)=0),"",AN108/G108)</f>
        <v/>
      </c>
    </row>
    <row r="109" customFormat="false" ht="15" hidden="false" customHeight="false" outlineLevel="0" collapsed="false">
      <c r="A109" s="19"/>
      <c r="B109" s="20"/>
      <c r="C109" s="19"/>
      <c r="D109" s="19"/>
      <c r="E109" s="19"/>
      <c r="F109" s="19"/>
      <c r="G109" s="21"/>
      <c r="H109" s="19"/>
      <c r="I109" s="21"/>
      <c r="J109" s="19"/>
      <c r="K109" s="20"/>
      <c r="L109" s="20"/>
      <c r="M109" s="19"/>
      <c r="N109" s="19"/>
      <c r="O109" s="20"/>
      <c r="P109" s="20"/>
      <c r="Q109" s="19"/>
      <c r="R109" s="22" t="str">
        <f aca="false">IF(A109="","",N(G109)+N(I109))</f>
        <v/>
      </c>
      <c r="S109" s="23" t="str">
        <f aca="false">IF(OR(K109="",O109=""),"",O109-K109)</f>
        <v/>
      </c>
      <c r="T109" s="23" t="str">
        <f aca="true">IF(AND(C109="Cetak",L109&lt;&gt;"",L109&lt;TODAY()),"YA","")</f>
        <v/>
      </c>
      <c r="U109" s="23" t="str">
        <f aca="false">IF(B109="","",TEXT(B109,"yyyy-mm"))</f>
        <v/>
      </c>
      <c r="V109" s="23" t="str">
        <f aca="false">IF(K109="","",TEXT(K109,"yyyy-mm"))</f>
        <v/>
      </c>
      <c r="W109" s="23" t="n">
        <f aca="false">IF(OR(C109="Cetak",C109="Dikirim",C109="Selesai"),1,0)</f>
        <v>0</v>
      </c>
      <c r="X109" s="23" t="str">
        <f aca="false">IF(F109="","",SUBSTITUTE(SUBSTITUTE(MID(UPPER(TRIM(F109)),4,99),"-LED",""),"-TK",""))</f>
        <v/>
      </c>
      <c r="Y109" s="23" t="str">
        <f aca="false">IF(X109="","",(LEN(X109)+1)/7)</f>
        <v/>
      </c>
      <c r="Z109" s="23" t="str">
        <f aca="false">IF(X109="","",LEFT(X109,6))</f>
        <v/>
      </c>
      <c r="AA109" s="23" t="str">
        <f aca="false">IF(X109="","",IF(Y109&gt;=3,MID(X109,8,6),""))</f>
        <v/>
      </c>
      <c r="AB109" s="23" t="str">
        <f aca="false">IF(X109="","",IF(Y109&gt;=4,MID(X109,15,6),""))</f>
        <v/>
      </c>
      <c r="AC109" s="23" t="str">
        <f aca="false">IF(X109="","",IF(Y109&gt;=5,MID(X109,22,6),""))</f>
        <v/>
      </c>
      <c r="AD109" s="23" t="str">
        <f aca="false">IF(X109="","",RIGHT(X109,6))</f>
        <v/>
      </c>
      <c r="AE109" s="23" t="str">
        <f aca="false">IF(F109="","",IF(ISNUMBER(SEARCH("-TK",UPPER(F109))),0,1))</f>
        <v/>
      </c>
      <c r="AF109" s="23" t="str">
        <f aca="false">IF(F109="","",IF(ISNUMBER(SEARCH("-LED",UPPER(F109))),1,0))</f>
        <v/>
      </c>
      <c r="AG109" s="24" t="n">
        <f aca="false">IF(Z109="",0,IFERROR(INDEX(Resep!$C$5:$C$7,MATCH(LEFT(Z109,3),Resep!$B$5:$B$7,0)),0))</f>
        <v>0</v>
      </c>
      <c r="AH109" s="24" t="n">
        <f aca="false">IF(AA109="",0,IFERROR(INDEX(Resep!$C$9:$C$13,MATCH(LEFT(AA109,3),Resep!$B$9:$B$13,0)),0))</f>
        <v>0</v>
      </c>
      <c r="AI109" s="24" t="n">
        <f aca="false">IF(AB109="",0,IFERROR(INDEX(Resep!$C$9:$C$13,MATCH(LEFT(AB109,3),Resep!$B$9:$B$13,0)),0))</f>
        <v>0</v>
      </c>
      <c r="AJ109" s="24" t="n">
        <f aca="false">IF(AC109="",0,IFERROR(INDEX(Resep!$C$9:$C$13,MATCH(LEFT(AC109,3),Resep!$B$9:$B$13,0)),0))</f>
        <v>0</v>
      </c>
      <c r="AK109" s="24" t="n">
        <f aca="false">IF(AD109="",0,IFERROR(INDEX(Resep!$C$15:$C$18,MATCH(LEFT(AD109,3),Resep!$B$15:$B$18,0)),0))</f>
        <v>0</v>
      </c>
      <c r="AL109" s="24" t="str">
        <f aca="false">IF(X109="","",AG109+AH109+AI109+AJ109+AK109)</f>
        <v/>
      </c>
      <c r="AM109" s="22" t="str">
        <f aca="false">IF(X109="","",AL109*(Pengaturan!$B$6+Pengaturan!$B$7)+Pengaturan!$B$8+AE109*Pengaturan!$B$9+AF109*Pengaturan!$B$10)</f>
        <v/>
      </c>
      <c r="AN109" s="22" t="str">
        <f aca="false">IF(X109="","",N(G109)-AM109)</f>
        <v/>
      </c>
      <c r="AO109" s="25" t="str">
        <f aca="false">IF(OR(X109="",N(G109)=0),"",AN109/G109)</f>
        <v/>
      </c>
    </row>
    <row r="110" customFormat="false" ht="15" hidden="false" customHeight="false" outlineLevel="0" collapsed="false">
      <c r="A110" s="19"/>
      <c r="B110" s="20"/>
      <c r="C110" s="19"/>
      <c r="D110" s="19"/>
      <c r="E110" s="19"/>
      <c r="F110" s="19"/>
      <c r="G110" s="21"/>
      <c r="H110" s="19"/>
      <c r="I110" s="21"/>
      <c r="J110" s="19"/>
      <c r="K110" s="20"/>
      <c r="L110" s="20"/>
      <c r="M110" s="19"/>
      <c r="N110" s="19"/>
      <c r="O110" s="20"/>
      <c r="P110" s="20"/>
      <c r="Q110" s="19"/>
      <c r="R110" s="22" t="str">
        <f aca="false">IF(A110="","",N(G110)+N(I110))</f>
        <v/>
      </c>
      <c r="S110" s="23" t="str">
        <f aca="false">IF(OR(K110="",O110=""),"",O110-K110)</f>
        <v/>
      </c>
      <c r="T110" s="23" t="str">
        <f aca="true">IF(AND(C110="Cetak",L110&lt;&gt;"",L110&lt;TODAY()),"YA","")</f>
        <v/>
      </c>
      <c r="U110" s="23" t="str">
        <f aca="false">IF(B110="","",TEXT(B110,"yyyy-mm"))</f>
        <v/>
      </c>
      <c r="V110" s="23" t="str">
        <f aca="false">IF(K110="","",TEXT(K110,"yyyy-mm"))</f>
        <v/>
      </c>
      <c r="W110" s="23" t="n">
        <f aca="false">IF(OR(C110="Cetak",C110="Dikirim",C110="Selesai"),1,0)</f>
        <v>0</v>
      </c>
      <c r="X110" s="23" t="str">
        <f aca="false">IF(F110="","",SUBSTITUTE(SUBSTITUTE(MID(UPPER(TRIM(F110)),4,99),"-LED",""),"-TK",""))</f>
        <v/>
      </c>
      <c r="Y110" s="23" t="str">
        <f aca="false">IF(X110="","",(LEN(X110)+1)/7)</f>
        <v/>
      </c>
      <c r="Z110" s="23" t="str">
        <f aca="false">IF(X110="","",LEFT(X110,6))</f>
        <v/>
      </c>
      <c r="AA110" s="23" t="str">
        <f aca="false">IF(X110="","",IF(Y110&gt;=3,MID(X110,8,6),""))</f>
        <v/>
      </c>
      <c r="AB110" s="23" t="str">
        <f aca="false">IF(X110="","",IF(Y110&gt;=4,MID(X110,15,6),""))</f>
        <v/>
      </c>
      <c r="AC110" s="23" t="str">
        <f aca="false">IF(X110="","",IF(Y110&gt;=5,MID(X110,22,6),""))</f>
        <v/>
      </c>
      <c r="AD110" s="23" t="str">
        <f aca="false">IF(X110="","",RIGHT(X110,6))</f>
        <v/>
      </c>
      <c r="AE110" s="23" t="str">
        <f aca="false">IF(F110="","",IF(ISNUMBER(SEARCH("-TK",UPPER(F110))),0,1))</f>
        <v/>
      </c>
      <c r="AF110" s="23" t="str">
        <f aca="false">IF(F110="","",IF(ISNUMBER(SEARCH("-LED",UPPER(F110))),1,0))</f>
        <v/>
      </c>
      <c r="AG110" s="24" t="n">
        <f aca="false">IF(Z110="",0,IFERROR(INDEX(Resep!$C$5:$C$7,MATCH(LEFT(Z110,3),Resep!$B$5:$B$7,0)),0))</f>
        <v>0</v>
      </c>
      <c r="AH110" s="24" t="n">
        <f aca="false">IF(AA110="",0,IFERROR(INDEX(Resep!$C$9:$C$13,MATCH(LEFT(AA110,3),Resep!$B$9:$B$13,0)),0))</f>
        <v>0</v>
      </c>
      <c r="AI110" s="24" t="n">
        <f aca="false">IF(AB110="",0,IFERROR(INDEX(Resep!$C$9:$C$13,MATCH(LEFT(AB110,3),Resep!$B$9:$B$13,0)),0))</f>
        <v>0</v>
      </c>
      <c r="AJ110" s="24" t="n">
        <f aca="false">IF(AC110="",0,IFERROR(INDEX(Resep!$C$9:$C$13,MATCH(LEFT(AC110,3),Resep!$B$9:$B$13,0)),0))</f>
        <v>0</v>
      </c>
      <c r="AK110" s="24" t="n">
        <f aca="false">IF(AD110="",0,IFERROR(INDEX(Resep!$C$15:$C$18,MATCH(LEFT(AD110,3),Resep!$B$15:$B$18,0)),0))</f>
        <v>0</v>
      </c>
      <c r="AL110" s="24" t="str">
        <f aca="false">IF(X110="","",AG110+AH110+AI110+AJ110+AK110)</f>
        <v/>
      </c>
      <c r="AM110" s="22" t="str">
        <f aca="false">IF(X110="","",AL110*(Pengaturan!$B$6+Pengaturan!$B$7)+Pengaturan!$B$8+AE110*Pengaturan!$B$9+AF110*Pengaturan!$B$10)</f>
        <v/>
      </c>
      <c r="AN110" s="22" t="str">
        <f aca="false">IF(X110="","",N(G110)-AM110)</f>
        <v/>
      </c>
      <c r="AO110" s="25" t="str">
        <f aca="false">IF(OR(X110="",N(G110)=0),"",AN110/G110)</f>
        <v/>
      </c>
    </row>
    <row r="111" customFormat="false" ht="15" hidden="false" customHeight="false" outlineLevel="0" collapsed="false">
      <c r="A111" s="19"/>
      <c r="B111" s="20"/>
      <c r="C111" s="19"/>
      <c r="D111" s="19"/>
      <c r="E111" s="19"/>
      <c r="F111" s="19"/>
      <c r="G111" s="21"/>
      <c r="H111" s="19"/>
      <c r="I111" s="21"/>
      <c r="J111" s="19"/>
      <c r="K111" s="20"/>
      <c r="L111" s="20"/>
      <c r="M111" s="19"/>
      <c r="N111" s="19"/>
      <c r="O111" s="20"/>
      <c r="P111" s="20"/>
      <c r="Q111" s="19"/>
      <c r="R111" s="22" t="str">
        <f aca="false">IF(A111="","",N(G111)+N(I111))</f>
        <v/>
      </c>
      <c r="S111" s="23" t="str">
        <f aca="false">IF(OR(K111="",O111=""),"",O111-K111)</f>
        <v/>
      </c>
      <c r="T111" s="23" t="str">
        <f aca="true">IF(AND(C111="Cetak",L111&lt;&gt;"",L111&lt;TODAY()),"YA","")</f>
        <v/>
      </c>
      <c r="U111" s="23" t="str">
        <f aca="false">IF(B111="","",TEXT(B111,"yyyy-mm"))</f>
        <v/>
      </c>
      <c r="V111" s="23" t="str">
        <f aca="false">IF(K111="","",TEXT(K111,"yyyy-mm"))</f>
        <v/>
      </c>
      <c r="W111" s="23" t="n">
        <f aca="false">IF(OR(C111="Cetak",C111="Dikirim",C111="Selesai"),1,0)</f>
        <v>0</v>
      </c>
      <c r="X111" s="23" t="str">
        <f aca="false">IF(F111="","",SUBSTITUTE(SUBSTITUTE(MID(UPPER(TRIM(F111)),4,99),"-LED",""),"-TK",""))</f>
        <v/>
      </c>
      <c r="Y111" s="23" t="str">
        <f aca="false">IF(X111="","",(LEN(X111)+1)/7)</f>
        <v/>
      </c>
      <c r="Z111" s="23" t="str">
        <f aca="false">IF(X111="","",LEFT(X111,6))</f>
        <v/>
      </c>
      <c r="AA111" s="23" t="str">
        <f aca="false">IF(X111="","",IF(Y111&gt;=3,MID(X111,8,6),""))</f>
        <v/>
      </c>
      <c r="AB111" s="23" t="str">
        <f aca="false">IF(X111="","",IF(Y111&gt;=4,MID(X111,15,6),""))</f>
        <v/>
      </c>
      <c r="AC111" s="23" t="str">
        <f aca="false">IF(X111="","",IF(Y111&gt;=5,MID(X111,22,6),""))</f>
        <v/>
      </c>
      <c r="AD111" s="23" t="str">
        <f aca="false">IF(X111="","",RIGHT(X111,6))</f>
        <v/>
      </c>
      <c r="AE111" s="23" t="str">
        <f aca="false">IF(F111="","",IF(ISNUMBER(SEARCH("-TK",UPPER(F111))),0,1))</f>
        <v/>
      </c>
      <c r="AF111" s="23" t="str">
        <f aca="false">IF(F111="","",IF(ISNUMBER(SEARCH("-LED",UPPER(F111))),1,0))</f>
        <v/>
      </c>
      <c r="AG111" s="24" t="n">
        <f aca="false">IF(Z111="",0,IFERROR(INDEX(Resep!$C$5:$C$7,MATCH(LEFT(Z111,3),Resep!$B$5:$B$7,0)),0))</f>
        <v>0</v>
      </c>
      <c r="AH111" s="24" t="n">
        <f aca="false">IF(AA111="",0,IFERROR(INDEX(Resep!$C$9:$C$13,MATCH(LEFT(AA111,3),Resep!$B$9:$B$13,0)),0))</f>
        <v>0</v>
      </c>
      <c r="AI111" s="24" t="n">
        <f aca="false">IF(AB111="",0,IFERROR(INDEX(Resep!$C$9:$C$13,MATCH(LEFT(AB111,3),Resep!$B$9:$B$13,0)),0))</f>
        <v>0</v>
      </c>
      <c r="AJ111" s="24" t="n">
        <f aca="false">IF(AC111="",0,IFERROR(INDEX(Resep!$C$9:$C$13,MATCH(LEFT(AC111,3),Resep!$B$9:$B$13,0)),0))</f>
        <v>0</v>
      </c>
      <c r="AK111" s="24" t="n">
        <f aca="false">IF(AD111="",0,IFERROR(INDEX(Resep!$C$15:$C$18,MATCH(LEFT(AD111,3),Resep!$B$15:$B$18,0)),0))</f>
        <v>0</v>
      </c>
      <c r="AL111" s="24" t="str">
        <f aca="false">IF(X111="","",AG111+AH111+AI111+AJ111+AK111)</f>
        <v/>
      </c>
      <c r="AM111" s="22" t="str">
        <f aca="false">IF(X111="","",AL111*(Pengaturan!$B$6+Pengaturan!$B$7)+Pengaturan!$B$8+AE111*Pengaturan!$B$9+AF111*Pengaturan!$B$10)</f>
        <v/>
      </c>
      <c r="AN111" s="22" t="str">
        <f aca="false">IF(X111="","",N(G111)-AM111)</f>
        <v/>
      </c>
      <c r="AO111" s="25" t="str">
        <f aca="false">IF(OR(X111="",N(G111)=0),"",AN111/G111)</f>
        <v/>
      </c>
    </row>
    <row r="112" customFormat="false" ht="15" hidden="false" customHeight="false" outlineLevel="0" collapsed="false">
      <c r="A112" s="19"/>
      <c r="B112" s="20"/>
      <c r="C112" s="19"/>
      <c r="D112" s="19"/>
      <c r="E112" s="19"/>
      <c r="F112" s="19"/>
      <c r="G112" s="21"/>
      <c r="H112" s="19"/>
      <c r="I112" s="21"/>
      <c r="J112" s="19"/>
      <c r="K112" s="20"/>
      <c r="L112" s="20"/>
      <c r="M112" s="19"/>
      <c r="N112" s="19"/>
      <c r="O112" s="20"/>
      <c r="P112" s="20"/>
      <c r="Q112" s="19"/>
      <c r="R112" s="22" t="str">
        <f aca="false">IF(A112="","",N(G112)+N(I112))</f>
        <v/>
      </c>
      <c r="S112" s="23" t="str">
        <f aca="false">IF(OR(K112="",O112=""),"",O112-K112)</f>
        <v/>
      </c>
      <c r="T112" s="23" t="str">
        <f aca="true">IF(AND(C112="Cetak",L112&lt;&gt;"",L112&lt;TODAY()),"YA","")</f>
        <v/>
      </c>
      <c r="U112" s="23" t="str">
        <f aca="false">IF(B112="","",TEXT(B112,"yyyy-mm"))</f>
        <v/>
      </c>
      <c r="V112" s="23" t="str">
        <f aca="false">IF(K112="","",TEXT(K112,"yyyy-mm"))</f>
        <v/>
      </c>
      <c r="W112" s="23" t="n">
        <f aca="false">IF(OR(C112="Cetak",C112="Dikirim",C112="Selesai"),1,0)</f>
        <v>0</v>
      </c>
      <c r="X112" s="23" t="str">
        <f aca="false">IF(F112="","",SUBSTITUTE(SUBSTITUTE(MID(UPPER(TRIM(F112)),4,99),"-LED",""),"-TK",""))</f>
        <v/>
      </c>
      <c r="Y112" s="23" t="str">
        <f aca="false">IF(X112="","",(LEN(X112)+1)/7)</f>
        <v/>
      </c>
      <c r="Z112" s="23" t="str">
        <f aca="false">IF(X112="","",LEFT(X112,6))</f>
        <v/>
      </c>
      <c r="AA112" s="23" t="str">
        <f aca="false">IF(X112="","",IF(Y112&gt;=3,MID(X112,8,6),""))</f>
        <v/>
      </c>
      <c r="AB112" s="23" t="str">
        <f aca="false">IF(X112="","",IF(Y112&gt;=4,MID(X112,15,6),""))</f>
        <v/>
      </c>
      <c r="AC112" s="23" t="str">
        <f aca="false">IF(X112="","",IF(Y112&gt;=5,MID(X112,22,6),""))</f>
        <v/>
      </c>
      <c r="AD112" s="23" t="str">
        <f aca="false">IF(X112="","",RIGHT(X112,6))</f>
        <v/>
      </c>
      <c r="AE112" s="23" t="str">
        <f aca="false">IF(F112="","",IF(ISNUMBER(SEARCH("-TK",UPPER(F112))),0,1))</f>
        <v/>
      </c>
      <c r="AF112" s="23" t="str">
        <f aca="false">IF(F112="","",IF(ISNUMBER(SEARCH("-LED",UPPER(F112))),1,0))</f>
        <v/>
      </c>
      <c r="AG112" s="24" t="n">
        <f aca="false">IF(Z112="",0,IFERROR(INDEX(Resep!$C$5:$C$7,MATCH(LEFT(Z112,3),Resep!$B$5:$B$7,0)),0))</f>
        <v>0</v>
      </c>
      <c r="AH112" s="24" t="n">
        <f aca="false">IF(AA112="",0,IFERROR(INDEX(Resep!$C$9:$C$13,MATCH(LEFT(AA112,3),Resep!$B$9:$B$13,0)),0))</f>
        <v>0</v>
      </c>
      <c r="AI112" s="24" t="n">
        <f aca="false">IF(AB112="",0,IFERROR(INDEX(Resep!$C$9:$C$13,MATCH(LEFT(AB112,3),Resep!$B$9:$B$13,0)),0))</f>
        <v>0</v>
      </c>
      <c r="AJ112" s="24" t="n">
        <f aca="false">IF(AC112="",0,IFERROR(INDEX(Resep!$C$9:$C$13,MATCH(LEFT(AC112,3),Resep!$B$9:$B$13,0)),0))</f>
        <v>0</v>
      </c>
      <c r="AK112" s="24" t="n">
        <f aca="false">IF(AD112="",0,IFERROR(INDEX(Resep!$C$15:$C$18,MATCH(LEFT(AD112,3),Resep!$B$15:$B$18,0)),0))</f>
        <v>0</v>
      </c>
      <c r="AL112" s="24" t="str">
        <f aca="false">IF(X112="","",AG112+AH112+AI112+AJ112+AK112)</f>
        <v/>
      </c>
      <c r="AM112" s="22" t="str">
        <f aca="false">IF(X112="","",AL112*(Pengaturan!$B$6+Pengaturan!$B$7)+Pengaturan!$B$8+AE112*Pengaturan!$B$9+AF112*Pengaturan!$B$10)</f>
        <v/>
      </c>
      <c r="AN112" s="22" t="str">
        <f aca="false">IF(X112="","",N(G112)-AM112)</f>
        <v/>
      </c>
      <c r="AO112" s="25" t="str">
        <f aca="false">IF(OR(X112="",N(G112)=0),"",AN112/G112)</f>
        <v/>
      </c>
    </row>
    <row r="113" customFormat="false" ht="15" hidden="false" customHeight="false" outlineLevel="0" collapsed="false">
      <c r="A113" s="19"/>
      <c r="B113" s="20"/>
      <c r="C113" s="19"/>
      <c r="D113" s="19"/>
      <c r="E113" s="19"/>
      <c r="F113" s="19"/>
      <c r="G113" s="21"/>
      <c r="H113" s="19"/>
      <c r="I113" s="21"/>
      <c r="J113" s="19"/>
      <c r="K113" s="20"/>
      <c r="L113" s="20"/>
      <c r="M113" s="19"/>
      <c r="N113" s="19"/>
      <c r="O113" s="20"/>
      <c r="P113" s="20"/>
      <c r="Q113" s="19"/>
      <c r="R113" s="22" t="str">
        <f aca="false">IF(A113="","",N(G113)+N(I113))</f>
        <v/>
      </c>
      <c r="S113" s="23" t="str">
        <f aca="false">IF(OR(K113="",O113=""),"",O113-K113)</f>
        <v/>
      </c>
      <c r="T113" s="23" t="str">
        <f aca="true">IF(AND(C113="Cetak",L113&lt;&gt;"",L113&lt;TODAY()),"YA","")</f>
        <v/>
      </c>
      <c r="U113" s="23" t="str">
        <f aca="false">IF(B113="","",TEXT(B113,"yyyy-mm"))</f>
        <v/>
      </c>
      <c r="V113" s="23" t="str">
        <f aca="false">IF(K113="","",TEXT(K113,"yyyy-mm"))</f>
        <v/>
      </c>
      <c r="W113" s="23" t="n">
        <f aca="false">IF(OR(C113="Cetak",C113="Dikirim",C113="Selesai"),1,0)</f>
        <v>0</v>
      </c>
      <c r="X113" s="23" t="str">
        <f aca="false">IF(F113="","",SUBSTITUTE(SUBSTITUTE(MID(UPPER(TRIM(F113)),4,99),"-LED",""),"-TK",""))</f>
        <v/>
      </c>
      <c r="Y113" s="23" t="str">
        <f aca="false">IF(X113="","",(LEN(X113)+1)/7)</f>
        <v/>
      </c>
      <c r="Z113" s="23" t="str">
        <f aca="false">IF(X113="","",LEFT(X113,6))</f>
        <v/>
      </c>
      <c r="AA113" s="23" t="str">
        <f aca="false">IF(X113="","",IF(Y113&gt;=3,MID(X113,8,6),""))</f>
        <v/>
      </c>
      <c r="AB113" s="23" t="str">
        <f aca="false">IF(X113="","",IF(Y113&gt;=4,MID(X113,15,6),""))</f>
        <v/>
      </c>
      <c r="AC113" s="23" t="str">
        <f aca="false">IF(X113="","",IF(Y113&gt;=5,MID(X113,22,6),""))</f>
        <v/>
      </c>
      <c r="AD113" s="23" t="str">
        <f aca="false">IF(X113="","",RIGHT(X113,6))</f>
        <v/>
      </c>
      <c r="AE113" s="23" t="str">
        <f aca="false">IF(F113="","",IF(ISNUMBER(SEARCH("-TK",UPPER(F113))),0,1))</f>
        <v/>
      </c>
      <c r="AF113" s="23" t="str">
        <f aca="false">IF(F113="","",IF(ISNUMBER(SEARCH("-LED",UPPER(F113))),1,0))</f>
        <v/>
      </c>
      <c r="AG113" s="24" t="n">
        <f aca="false">IF(Z113="",0,IFERROR(INDEX(Resep!$C$5:$C$7,MATCH(LEFT(Z113,3),Resep!$B$5:$B$7,0)),0))</f>
        <v>0</v>
      </c>
      <c r="AH113" s="24" t="n">
        <f aca="false">IF(AA113="",0,IFERROR(INDEX(Resep!$C$9:$C$13,MATCH(LEFT(AA113,3),Resep!$B$9:$B$13,0)),0))</f>
        <v>0</v>
      </c>
      <c r="AI113" s="24" t="n">
        <f aca="false">IF(AB113="",0,IFERROR(INDEX(Resep!$C$9:$C$13,MATCH(LEFT(AB113,3),Resep!$B$9:$B$13,0)),0))</f>
        <v>0</v>
      </c>
      <c r="AJ113" s="24" t="n">
        <f aca="false">IF(AC113="",0,IFERROR(INDEX(Resep!$C$9:$C$13,MATCH(LEFT(AC113,3),Resep!$B$9:$B$13,0)),0))</f>
        <v>0</v>
      </c>
      <c r="AK113" s="24" t="n">
        <f aca="false">IF(AD113="",0,IFERROR(INDEX(Resep!$C$15:$C$18,MATCH(LEFT(AD113,3),Resep!$B$15:$B$18,0)),0))</f>
        <v>0</v>
      </c>
      <c r="AL113" s="24" t="str">
        <f aca="false">IF(X113="","",AG113+AH113+AI113+AJ113+AK113)</f>
        <v/>
      </c>
      <c r="AM113" s="22" t="str">
        <f aca="false">IF(X113="","",AL113*(Pengaturan!$B$6+Pengaturan!$B$7)+Pengaturan!$B$8+AE113*Pengaturan!$B$9+AF113*Pengaturan!$B$10)</f>
        <v/>
      </c>
      <c r="AN113" s="22" t="str">
        <f aca="false">IF(X113="","",N(G113)-AM113)</f>
        <v/>
      </c>
      <c r="AO113" s="25" t="str">
        <f aca="false">IF(OR(X113="",N(G113)=0),"",AN113/G113)</f>
        <v/>
      </c>
    </row>
    <row r="114" customFormat="false" ht="15" hidden="false" customHeight="false" outlineLevel="0" collapsed="false">
      <c r="A114" s="19"/>
      <c r="B114" s="20"/>
      <c r="C114" s="19"/>
      <c r="D114" s="19"/>
      <c r="E114" s="19"/>
      <c r="F114" s="19"/>
      <c r="G114" s="21"/>
      <c r="H114" s="19"/>
      <c r="I114" s="21"/>
      <c r="J114" s="19"/>
      <c r="K114" s="20"/>
      <c r="L114" s="20"/>
      <c r="M114" s="19"/>
      <c r="N114" s="19"/>
      <c r="O114" s="20"/>
      <c r="P114" s="20"/>
      <c r="Q114" s="19"/>
      <c r="R114" s="22" t="str">
        <f aca="false">IF(A114="","",N(G114)+N(I114))</f>
        <v/>
      </c>
      <c r="S114" s="23" t="str">
        <f aca="false">IF(OR(K114="",O114=""),"",O114-K114)</f>
        <v/>
      </c>
      <c r="T114" s="23" t="str">
        <f aca="true">IF(AND(C114="Cetak",L114&lt;&gt;"",L114&lt;TODAY()),"YA","")</f>
        <v/>
      </c>
      <c r="U114" s="23" t="str">
        <f aca="false">IF(B114="","",TEXT(B114,"yyyy-mm"))</f>
        <v/>
      </c>
      <c r="V114" s="23" t="str">
        <f aca="false">IF(K114="","",TEXT(K114,"yyyy-mm"))</f>
        <v/>
      </c>
      <c r="W114" s="23" t="n">
        <f aca="false">IF(OR(C114="Cetak",C114="Dikirim",C114="Selesai"),1,0)</f>
        <v>0</v>
      </c>
      <c r="X114" s="23" t="str">
        <f aca="false">IF(F114="","",SUBSTITUTE(SUBSTITUTE(MID(UPPER(TRIM(F114)),4,99),"-LED",""),"-TK",""))</f>
        <v/>
      </c>
      <c r="Y114" s="23" t="str">
        <f aca="false">IF(X114="","",(LEN(X114)+1)/7)</f>
        <v/>
      </c>
      <c r="Z114" s="23" t="str">
        <f aca="false">IF(X114="","",LEFT(X114,6))</f>
        <v/>
      </c>
      <c r="AA114" s="23" t="str">
        <f aca="false">IF(X114="","",IF(Y114&gt;=3,MID(X114,8,6),""))</f>
        <v/>
      </c>
      <c r="AB114" s="23" t="str">
        <f aca="false">IF(X114="","",IF(Y114&gt;=4,MID(X114,15,6),""))</f>
        <v/>
      </c>
      <c r="AC114" s="23" t="str">
        <f aca="false">IF(X114="","",IF(Y114&gt;=5,MID(X114,22,6),""))</f>
        <v/>
      </c>
      <c r="AD114" s="23" t="str">
        <f aca="false">IF(X114="","",RIGHT(X114,6))</f>
        <v/>
      </c>
      <c r="AE114" s="23" t="str">
        <f aca="false">IF(F114="","",IF(ISNUMBER(SEARCH("-TK",UPPER(F114))),0,1))</f>
        <v/>
      </c>
      <c r="AF114" s="23" t="str">
        <f aca="false">IF(F114="","",IF(ISNUMBER(SEARCH("-LED",UPPER(F114))),1,0))</f>
        <v/>
      </c>
      <c r="AG114" s="24" t="n">
        <f aca="false">IF(Z114="",0,IFERROR(INDEX(Resep!$C$5:$C$7,MATCH(LEFT(Z114,3),Resep!$B$5:$B$7,0)),0))</f>
        <v>0</v>
      </c>
      <c r="AH114" s="24" t="n">
        <f aca="false">IF(AA114="",0,IFERROR(INDEX(Resep!$C$9:$C$13,MATCH(LEFT(AA114,3),Resep!$B$9:$B$13,0)),0))</f>
        <v>0</v>
      </c>
      <c r="AI114" s="24" t="n">
        <f aca="false">IF(AB114="",0,IFERROR(INDEX(Resep!$C$9:$C$13,MATCH(LEFT(AB114,3),Resep!$B$9:$B$13,0)),0))</f>
        <v>0</v>
      </c>
      <c r="AJ114" s="24" t="n">
        <f aca="false">IF(AC114="",0,IFERROR(INDEX(Resep!$C$9:$C$13,MATCH(LEFT(AC114,3),Resep!$B$9:$B$13,0)),0))</f>
        <v>0</v>
      </c>
      <c r="AK114" s="24" t="n">
        <f aca="false">IF(AD114="",0,IFERROR(INDEX(Resep!$C$15:$C$18,MATCH(LEFT(AD114,3),Resep!$B$15:$B$18,0)),0))</f>
        <v>0</v>
      </c>
      <c r="AL114" s="24" t="str">
        <f aca="false">IF(X114="","",AG114+AH114+AI114+AJ114+AK114)</f>
        <v/>
      </c>
      <c r="AM114" s="22" t="str">
        <f aca="false">IF(X114="","",AL114*(Pengaturan!$B$6+Pengaturan!$B$7)+Pengaturan!$B$8+AE114*Pengaturan!$B$9+AF114*Pengaturan!$B$10)</f>
        <v/>
      </c>
      <c r="AN114" s="22" t="str">
        <f aca="false">IF(X114="","",N(G114)-AM114)</f>
        <v/>
      </c>
      <c r="AO114" s="25" t="str">
        <f aca="false">IF(OR(X114="",N(G114)=0),"",AN114/G114)</f>
        <v/>
      </c>
    </row>
    <row r="115" customFormat="false" ht="15" hidden="false" customHeight="false" outlineLevel="0" collapsed="false">
      <c r="A115" s="19"/>
      <c r="B115" s="20"/>
      <c r="C115" s="19"/>
      <c r="D115" s="19"/>
      <c r="E115" s="19"/>
      <c r="F115" s="19"/>
      <c r="G115" s="21"/>
      <c r="H115" s="19"/>
      <c r="I115" s="21"/>
      <c r="J115" s="19"/>
      <c r="K115" s="20"/>
      <c r="L115" s="20"/>
      <c r="M115" s="19"/>
      <c r="N115" s="19"/>
      <c r="O115" s="20"/>
      <c r="P115" s="20"/>
      <c r="Q115" s="19"/>
      <c r="R115" s="22" t="str">
        <f aca="false">IF(A115="","",N(G115)+N(I115))</f>
        <v/>
      </c>
      <c r="S115" s="23" t="str">
        <f aca="false">IF(OR(K115="",O115=""),"",O115-K115)</f>
        <v/>
      </c>
      <c r="T115" s="23" t="str">
        <f aca="true">IF(AND(C115="Cetak",L115&lt;&gt;"",L115&lt;TODAY()),"YA","")</f>
        <v/>
      </c>
      <c r="U115" s="23" t="str">
        <f aca="false">IF(B115="","",TEXT(B115,"yyyy-mm"))</f>
        <v/>
      </c>
      <c r="V115" s="23" t="str">
        <f aca="false">IF(K115="","",TEXT(K115,"yyyy-mm"))</f>
        <v/>
      </c>
      <c r="W115" s="23" t="n">
        <f aca="false">IF(OR(C115="Cetak",C115="Dikirim",C115="Selesai"),1,0)</f>
        <v>0</v>
      </c>
      <c r="X115" s="23" t="str">
        <f aca="false">IF(F115="","",SUBSTITUTE(SUBSTITUTE(MID(UPPER(TRIM(F115)),4,99),"-LED",""),"-TK",""))</f>
        <v/>
      </c>
      <c r="Y115" s="23" t="str">
        <f aca="false">IF(X115="","",(LEN(X115)+1)/7)</f>
        <v/>
      </c>
      <c r="Z115" s="23" t="str">
        <f aca="false">IF(X115="","",LEFT(X115,6))</f>
        <v/>
      </c>
      <c r="AA115" s="23" t="str">
        <f aca="false">IF(X115="","",IF(Y115&gt;=3,MID(X115,8,6),""))</f>
        <v/>
      </c>
      <c r="AB115" s="23" t="str">
        <f aca="false">IF(X115="","",IF(Y115&gt;=4,MID(X115,15,6),""))</f>
        <v/>
      </c>
      <c r="AC115" s="23" t="str">
        <f aca="false">IF(X115="","",IF(Y115&gt;=5,MID(X115,22,6),""))</f>
        <v/>
      </c>
      <c r="AD115" s="23" t="str">
        <f aca="false">IF(X115="","",RIGHT(X115,6))</f>
        <v/>
      </c>
      <c r="AE115" s="23" t="str">
        <f aca="false">IF(F115="","",IF(ISNUMBER(SEARCH("-TK",UPPER(F115))),0,1))</f>
        <v/>
      </c>
      <c r="AF115" s="23" t="str">
        <f aca="false">IF(F115="","",IF(ISNUMBER(SEARCH("-LED",UPPER(F115))),1,0))</f>
        <v/>
      </c>
      <c r="AG115" s="24" t="n">
        <f aca="false">IF(Z115="",0,IFERROR(INDEX(Resep!$C$5:$C$7,MATCH(LEFT(Z115,3),Resep!$B$5:$B$7,0)),0))</f>
        <v>0</v>
      </c>
      <c r="AH115" s="24" t="n">
        <f aca="false">IF(AA115="",0,IFERROR(INDEX(Resep!$C$9:$C$13,MATCH(LEFT(AA115,3),Resep!$B$9:$B$13,0)),0))</f>
        <v>0</v>
      </c>
      <c r="AI115" s="24" t="n">
        <f aca="false">IF(AB115="",0,IFERROR(INDEX(Resep!$C$9:$C$13,MATCH(LEFT(AB115,3),Resep!$B$9:$B$13,0)),0))</f>
        <v>0</v>
      </c>
      <c r="AJ115" s="24" t="n">
        <f aca="false">IF(AC115="",0,IFERROR(INDEX(Resep!$C$9:$C$13,MATCH(LEFT(AC115,3),Resep!$B$9:$B$13,0)),0))</f>
        <v>0</v>
      </c>
      <c r="AK115" s="24" t="n">
        <f aca="false">IF(AD115="",0,IFERROR(INDEX(Resep!$C$15:$C$18,MATCH(LEFT(AD115,3),Resep!$B$15:$B$18,0)),0))</f>
        <v>0</v>
      </c>
      <c r="AL115" s="24" t="str">
        <f aca="false">IF(X115="","",AG115+AH115+AI115+AJ115+AK115)</f>
        <v/>
      </c>
      <c r="AM115" s="22" t="str">
        <f aca="false">IF(X115="","",AL115*(Pengaturan!$B$6+Pengaturan!$B$7)+Pengaturan!$B$8+AE115*Pengaturan!$B$9+AF115*Pengaturan!$B$10)</f>
        <v/>
      </c>
      <c r="AN115" s="22" t="str">
        <f aca="false">IF(X115="","",N(G115)-AM115)</f>
        <v/>
      </c>
      <c r="AO115" s="25" t="str">
        <f aca="false">IF(OR(X115="",N(G115)=0),"",AN115/G115)</f>
        <v/>
      </c>
    </row>
    <row r="116" customFormat="false" ht="15" hidden="false" customHeight="false" outlineLevel="0" collapsed="false">
      <c r="A116" s="19"/>
      <c r="B116" s="20"/>
      <c r="C116" s="19"/>
      <c r="D116" s="19"/>
      <c r="E116" s="19"/>
      <c r="F116" s="19"/>
      <c r="G116" s="21"/>
      <c r="H116" s="19"/>
      <c r="I116" s="21"/>
      <c r="J116" s="19"/>
      <c r="K116" s="20"/>
      <c r="L116" s="20"/>
      <c r="M116" s="19"/>
      <c r="N116" s="19"/>
      <c r="O116" s="20"/>
      <c r="P116" s="20"/>
      <c r="Q116" s="19"/>
      <c r="R116" s="22" t="str">
        <f aca="false">IF(A116="","",N(G116)+N(I116))</f>
        <v/>
      </c>
      <c r="S116" s="23" t="str">
        <f aca="false">IF(OR(K116="",O116=""),"",O116-K116)</f>
        <v/>
      </c>
      <c r="T116" s="23" t="str">
        <f aca="true">IF(AND(C116="Cetak",L116&lt;&gt;"",L116&lt;TODAY()),"YA","")</f>
        <v/>
      </c>
      <c r="U116" s="23" t="str">
        <f aca="false">IF(B116="","",TEXT(B116,"yyyy-mm"))</f>
        <v/>
      </c>
      <c r="V116" s="23" t="str">
        <f aca="false">IF(K116="","",TEXT(K116,"yyyy-mm"))</f>
        <v/>
      </c>
      <c r="W116" s="23" t="n">
        <f aca="false">IF(OR(C116="Cetak",C116="Dikirim",C116="Selesai"),1,0)</f>
        <v>0</v>
      </c>
      <c r="X116" s="23" t="str">
        <f aca="false">IF(F116="","",SUBSTITUTE(SUBSTITUTE(MID(UPPER(TRIM(F116)),4,99),"-LED",""),"-TK",""))</f>
        <v/>
      </c>
      <c r="Y116" s="23" t="str">
        <f aca="false">IF(X116="","",(LEN(X116)+1)/7)</f>
        <v/>
      </c>
      <c r="Z116" s="23" t="str">
        <f aca="false">IF(X116="","",LEFT(X116,6))</f>
        <v/>
      </c>
      <c r="AA116" s="23" t="str">
        <f aca="false">IF(X116="","",IF(Y116&gt;=3,MID(X116,8,6),""))</f>
        <v/>
      </c>
      <c r="AB116" s="23" t="str">
        <f aca="false">IF(X116="","",IF(Y116&gt;=4,MID(X116,15,6),""))</f>
        <v/>
      </c>
      <c r="AC116" s="23" t="str">
        <f aca="false">IF(X116="","",IF(Y116&gt;=5,MID(X116,22,6),""))</f>
        <v/>
      </c>
      <c r="AD116" s="23" t="str">
        <f aca="false">IF(X116="","",RIGHT(X116,6))</f>
        <v/>
      </c>
      <c r="AE116" s="23" t="str">
        <f aca="false">IF(F116="","",IF(ISNUMBER(SEARCH("-TK",UPPER(F116))),0,1))</f>
        <v/>
      </c>
      <c r="AF116" s="23" t="str">
        <f aca="false">IF(F116="","",IF(ISNUMBER(SEARCH("-LED",UPPER(F116))),1,0))</f>
        <v/>
      </c>
      <c r="AG116" s="24" t="n">
        <f aca="false">IF(Z116="",0,IFERROR(INDEX(Resep!$C$5:$C$7,MATCH(LEFT(Z116,3),Resep!$B$5:$B$7,0)),0))</f>
        <v>0</v>
      </c>
      <c r="AH116" s="24" t="n">
        <f aca="false">IF(AA116="",0,IFERROR(INDEX(Resep!$C$9:$C$13,MATCH(LEFT(AA116,3),Resep!$B$9:$B$13,0)),0))</f>
        <v>0</v>
      </c>
      <c r="AI116" s="24" t="n">
        <f aca="false">IF(AB116="",0,IFERROR(INDEX(Resep!$C$9:$C$13,MATCH(LEFT(AB116,3),Resep!$B$9:$B$13,0)),0))</f>
        <v>0</v>
      </c>
      <c r="AJ116" s="24" t="n">
        <f aca="false">IF(AC116="",0,IFERROR(INDEX(Resep!$C$9:$C$13,MATCH(LEFT(AC116,3),Resep!$B$9:$B$13,0)),0))</f>
        <v>0</v>
      </c>
      <c r="AK116" s="24" t="n">
        <f aca="false">IF(AD116="",0,IFERROR(INDEX(Resep!$C$15:$C$18,MATCH(LEFT(AD116,3),Resep!$B$15:$B$18,0)),0))</f>
        <v>0</v>
      </c>
      <c r="AL116" s="24" t="str">
        <f aca="false">IF(X116="","",AG116+AH116+AI116+AJ116+AK116)</f>
        <v/>
      </c>
      <c r="AM116" s="22" t="str">
        <f aca="false">IF(X116="","",AL116*(Pengaturan!$B$6+Pengaturan!$B$7)+Pengaturan!$B$8+AE116*Pengaturan!$B$9+AF116*Pengaturan!$B$10)</f>
        <v/>
      </c>
      <c r="AN116" s="22" t="str">
        <f aca="false">IF(X116="","",N(G116)-AM116)</f>
        <v/>
      </c>
      <c r="AO116" s="25" t="str">
        <f aca="false">IF(OR(X116="",N(G116)=0),"",AN116/G116)</f>
        <v/>
      </c>
    </row>
    <row r="117" customFormat="false" ht="15" hidden="false" customHeight="false" outlineLevel="0" collapsed="false">
      <c r="A117" s="19"/>
      <c r="B117" s="20"/>
      <c r="C117" s="19"/>
      <c r="D117" s="19"/>
      <c r="E117" s="19"/>
      <c r="F117" s="19"/>
      <c r="G117" s="21"/>
      <c r="H117" s="19"/>
      <c r="I117" s="21"/>
      <c r="J117" s="19"/>
      <c r="K117" s="20"/>
      <c r="L117" s="20"/>
      <c r="M117" s="19"/>
      <c r="N117" s="19"/>
      <c r="O117" s="20"/>
      <c r="P117" s="20"/>
      <c r="Q117" s="19"/>
      <c r="R117" s="22" t="str">
        <f aca="false">IF(A117="","",N(G117)+N(I117))</f>
        <v/>
      </c>
      <c r="S117" s="23" t="str">
        <f aca="false">IF(OR(K117="",O117=""),"",O117-K117)</f>
        <v/>
      </c>
      <c r="T117" s="23" t="str">
        <f aca="true">IF(AND(C117="Cetak",L117&lt;&gt;"",L117&lt;TODAY()),"YA","")</f>
        <v/>
      </c>
      <c r="U117" s="23" t="str">
        <f aca="false">IF(B117="","",TEXT(B117,"yyyy-mm"))</f>
        <v/>
      </c>
      <c r="V117" s="23" t="str">
        <f aca="false">IF(K117="","",TEXT(K117,"yyyy-mm"))</f>
        <v/>
      </c>
      <c r="W117" s="23" t="n">
        <f aca="false">IF(OR(C117="Cetak",C117="Dikirim",C117="Selesai"),1,0)</f>
        <v>0</v>
      </c>
      <c r="X117" s="23" t="str">
        <f aca="false">IF(F117="","",SUBSTITUTE(SUBSTITUTE(MID(UPPER(TRIM(F117)),4,99),"-LED",""),"-TK",""))</f>
        <v/>
      </c>
      <c r="Y117" s="23" t="str">
        <f aca="false">IF(X117="","",(LEN(X117)+1)/7)</f>
        <v/>
      </c>
      <c r="Z117" s="23" t="str">
        <f aca="false">IF(X117="","",LEFT(X117,6))</f>
        <v/>
      </c>
      <c r="AA117" s="23" t="str">
        <f aca="false">IF(X117="","",IF(Y117&gt;=3,MID(X117,8,6),""))</f>
        <v/>
      </c>
      <c r="AB117" s="23" t="str">
        <f aca="false">IF(X117="","",IF(Y117&gt;=4,MID(X117,15,6),""))</f>
        <v/>
      </c>
      <c r="AC117" s="23" t="str">
        <f aca="false">IF(X117="","",IF(Y117&gt;=5,MID(X117,22,6),""))</f>
        <v/>
      </c>
      <c r="AD117" s="23" t="str">
        <f aca="false">IF(X117="","",RIGHT(X117,6))</f>
        <v/>
      </c>
      <c r="AE117" s="23" t="str">
        <f aca="false">IF(F117="","",IF(ISNUMBER(SEARCH("-TK",UPPER(F117))),0,1))</f>
        <v/>
      </c>
      <c r="AF117" s="23" t="str">
        <f aca="false">IF(F117="","",IF(ISNUMBER(SEARCH("-LED",UPPER(F117))),1,0))</f>
        <v/>
      </c>
      <c r="AG117" s="24" t="n">
        <f aca="false">IF(Z117="",0,IFERROR(INDEX(Resep!$C$5:$C$7,MATCH(LEFT(Z117,3),Resep!$B$5:$B$7,0)),0))</f>
        <v>0</v>
      </c>
      <c r="AH117" s="24" t="n">
        <f aca="false">IF(AA117="",0,IFERROR(INDEX(Resep!$C$9:$C$13,MATCH(LEFT(AA117,3),Resep!$B$9:$B$13,0)),0))</f>
        <v>0</v>
      </c>
      <c r="AI117" s="24" t="n">
        <f aca="false">IF(AB117="",0,IFERROR(INDEX(Resep!$C$9:$C$13,MATCH(LEFT(AB117,3),Resep!$B$9:$B$13,0)),0))</f>
        <v>0</v>
      </c>
      <c r="AJ117" s="24" t="n">
        <f aca="false">IF(AC117="",0,IFERROR(INDEX(Resep!$C$9:$C$13,MATCH(LEFT(AC117,3),Resep!$B$9:$B$13,0)),0))</f>
        <v>0</v>
      </c>
      <c r="AK117" s="24" t="n">
        <f aca="false">IF(AD117="",0,IFERROR(INDEX(Resep!$C$15:$C$18,MATCH(LEFT(AD117,3),Resep!$B$15:$B$18,0)),0))</f>
        <v>0</v>
      </c>
      <c r="AL117" s="24" t="str">
        <f aca="false">IF(X117="","",AG117+AH117+AI117+AJ117+AK117)</f>
        <v/>
      </c>
      <c r="AM117" s="22" t="str">
        <f aca="false">IF(X117="","",AL117*(Pengaturan!$B$6+Pengaturan!$B$7)+Pengaturan!$B$8+AE117*Pengaturan!$B$9+AF117*Pengaturan!$B$10)</f>
        <v/>
      </c>
      <c r="AN117" s="22" t="str">
        <f aca="false">IF(X117="","",N(G117)-AM117)</f>
        <v/>
      </c>
      <c r="AO117" s="25" t="str">
        <f aca="false">IF(OR(X117="",N(G117)=0),"",AN117/G117)</f>
        <v/>
      </c>
    </row>
    <row r="118" customFormat="false" ht="15" hidden="false" customHeight="false" outlineLevel="0" collapsed="false">
      <c r="A118" s="19"/>
      <c r="B118" s="20"/>
      <c r="C118" s="19"/>
      <c r="D118" s="19"/>
      <c r="E118" s="19"/>
      <c r="F118" s="19"/>
      <c r="G118" s="21"/>
      <c r="H118" s="19"/>
      <c r="I118" s="21"/>
      <c r="J118" s="19"/>
      <c r="K118" s="20"/>
      <c r="L118" s="20"/>
      <c r="M118" s="19"/>
      <c r="N118" s="19"/>
      <c r="O118" s="20"/>
      <c r="P118" s="20"/>
      <c r="Q118" s="19"/>
      <c r="R118" s="22" t="str">
        <f aca="false">IF(A118="","",N(G118)+N(I118))</f>
        <v/>
      </c>
      <c r="S118" s="23" t="str">
        <f aca="false">IF(OR(K118="",O118=""),"",O118-K118)</f>
        <v/>
      </c>
      <c r="T118" s="23" t="str">
        <f aca="true">IF(AND(C118="Cetak",L118&lt;&gt;"",L118&lt;TODAY()),"YA","")</f>
        <v/>
      </c>
      <c r="U118" s="23" t="str">
        <f aca="false">IF(B118="","",TEXT(B118,"yyyy-mm"))</f>
        <v/>
      </c>
      <c r="V118" s="23" t="str">
        <f aca="false">IF(K118="","",TEXT(K118,"yyyy-mm"))</f>
        <v/>
      </c>
      <c r="W118" s="23" t="n">
        <f aca="false">IF(OR(C118="Cetak",C118="Dikirim",C118="Selesai"),1,0)</f>
        <v>0</v>
      </c>
      <c r="X118" s="23" t="str">
        <f aca="false">IF(F118="","",SUBSTITUTE(SUBSTITUTE(MID(UPPER(TRIM(F118)),4,99),"-LED",""),"-TK",""))</f>
        <v/>
      </c>
      <c r="Y118" s="23" t="str">
        <f aca="false">IF(X118="","",(LEN(X118)+1)/7)</f>
        <v/>
      </c>
      <c r="Z118" s="23" t="str">
        <f aca="false">IF(X118="","",LEFT(X118,6))</f>
        <v/>
      </c>
      <c r="AA118" s="23" t="str">
        <f aca="false">IF(X118="","",IF(Y118&gt;=3,MID(X118,8,6),""))</f>
        <v/>
      </c>
      <c r="AB118" s="23" t="str">
        <f aca="false">IF(X118="","",IF(Y118&gt;=4,MID(X118,15,6),""))</f>
        <v/>
      </c>
      <c r="AC118" s="23" t="str">
        <f aca="false">IF(X118="","",IF(Y118&gt;=5,MID(X118,22,6),""))</f>
        <v/>
      </c>
      <c r="AD118" s="23" t="str">
        <f aca="false">IF(X118="","",RIGHT(X118,6))</f>
        <v/>
      </c>
      <c r="AE118" s="23" t="str">
        <f aca="false">IF(F118="","",IF(ISNUMBER(SEARCH("-TK",UPPER(F118))),0,1))</f>
        <v/>
      </c>
      <c r="AF118" s="23" t="str">
        <f aca="false">IF(F118="","",IF(ISNUMBER(SEARCH("-LED",UPPER(F118))),1,0))</f>
        <v/>
      </c>
      <c r="AG118" s="24" t="n">
        <f aca="false">IF(Z118="",0,IFERROR(INDEX(Resep!$C$5:$C$7,MATCH(LEFT(Z118,3),Resep!$B$5:$B$7,0)),0))</f>
        <v>0</v>
      </c>
      <c r="AH118" s="24" t="n">
        <f aca="false">IF(AA118="",0,IFERROR(INDEX(Resep!$C$9:$C$13,MATCH(LEFT(AA118,3),Resep!$B$9:$B$13,0)),0))</f>
        <v>0</v>
      </c>
      <c r="AI118" s="24" t="n">
        <f aca="false">IF(AB118="",0,IFERROR(INDEX(Resep!$C$9:$C$13,MATCH(LEFT(AB118,3),Resep!$B$9:$B$13,0)),0))</f>
        <v>0</v>
      </c>
      <c r="AJ118" s="24" t="n">
        <f aca="false">IF(AC118="",0,IFERROR(INDEX(Resep!$C$9:$C$13,MATCH(LEFT(AC118,3),Resep!$B$9:$B$13,0)),0))</f>
        <v>0</v>
      </c>
      <c r="AK118" s="24" t="n">
        <f aca="false">IF(AD118="",0,IFERROR(INDEX(Resep!$C$15:$C$18,MATCH(LEFT(AD118,3),Resep!$B$15:$B$18,0)),0))</f>
        <v>0</v>
      </c>
      <c r="AL118" s="24" t="str">
        <f aca="false">IF(X118="","",AG118+AH118+AI118+AJ118+AK118)</f>
        <v/>
      </c>
      <c r="AM118" s="22" t="str">
        <f aca="false">IF(X118="","",AL118*(Pengaturan!$B$6+Pengaturan!$B$7)+Pengaturan!$B$8+AE118*Pengaturan!$B$9+AF118*Pengaturan!$B$10)</f>
        <v/>
      </c>
      <c r="AN118" s="22" t="str">
        <f aca="false">IF(X118="","",N(G118)-AM118)</f>
        <v/>
      </c>
      <c r="AO118" s="25" t="str">
        <f aca="false">IF(OR(X118="",N(G118)=0),"",AN118/G118)</f>
        <v/>
      </c>
    </row>
    <row r="119" customFormat="false" ht="15" hidden="false" customHeight="false" outlineLevel="0" collapsed="false">
      <c r="A119" s="19"/>
      <c r="B119" s="20"/>
      <c r="C119" s="19"/>
      <c r="D119" s="19"/>
      <c r="E119" s="19"/>
      <c r="F119" s="19"/>
      <c r="G119" s="21"/>
      <c r="H119" s="19"/>
      <c r="I119" s="21"/>
      <c r="J119" s="19"/>
      <c r="K119" s="20"/>
      <c r="L119" s="20"/>
      <c r="M119" s="19"/>
      <c r="N119" s="19"/>
      <c r="O119" s="20"/>
      <c r="P119" s="20"/>
      <c r="Q119" s="19"/>
      <c r="R119" s="22" t="str">
        <f aca="false">IF(A119="","",N(G119)+N(I119))</f>
        <v/>
      </c>
      <c r="S119" s="23" t="str">
        <f aca="false">IF(OR(K119="",O119=""),"",O119-K119)</f>
        <v/>
      </c>
      <c r="T119" s="23" t="str">
        <f aca="true">IF(AND(C119="Cetak",L119&lt;&gt;"",L119&lt;TODAY()),"YA","")</f>
        <v/>
      </c>
      <c r="U119" s="23" t="str">
        <f aca="false">IF(B119="","",TEXT(B119,"yyyy-mm"))</f>
        <v/>
      </c>
      <c r="V119" s="23" t="str">
        <f aca="false">IF(K119="","",TEXT(K119,"yyyy-mm"))</f>
        <v/>
      </c>
      <c r="W119" s="23" t="n">
        <f aca="false">IF(OR(C119="Cetak",C119="Dikirim",C119="Selesai"),1,0)</f>
        <v>0</v>
      </c>
      <c r="X119" s="23" t="str">
        <f aca="false">IF(F119="","",SUBSTITUTE(SUBSTITUTE(MID(UPPER(TRIM(F119)),4,99),"-LED",""),"-TK",""))</f>
        <v/>
      </c>
      <c r="Y119" s="23" t="str">
        <f aca="false">IF(X119="","",(LEN(X119)+1)/7)</f>
        <v/>
      </c>
      <c r="Z119" s="23" t="str">
        <f aca="false">IF(X119="","",LEFT(X119,6))</f>
        <v/>
      </c>
      <c r="AA119" s="23" t="str">
        <f aca="false">IF(X119="","",IF(Y119&gt;=3,MID(X119,8,6),""))</f>
        <v/>
      </c>
      <c r="AB119" s="23" t="str">
        <f aca="false">IF(X119="","",IF(Y119&gt;=4,MID(X119,15,6),""))</f>
        <v/>
      </c>
      <c r="AC119" s="23" t="str">
        <f aca="false">IF(X119="","",IF(Y119&gt;=5,MID(X119,22,6),""))</f>
        <v/>
      </c>
      <c r="AD119" s="23" t="str">
        <f aca="false">IF(X119="","",RIGHT(X119,6))</f>
        <v/>
      </c>
      <c r="AE119" s="23" t="str">
        <f aca="false">IF(F119="","",IF(ISNUMBER(SEARCH("-TK",UPPER(F119))),0,1))</f>
        <v/>
      </c>
      <c r="AF119" s="23" t="str">
        <f aca="false">IF(F119="","",IF(ISNUMBER(SEARCH("-LED",UPPER(F119))),1,0))</f>
        <v/>
      </c>
      <c r="AG119" s="24" t="n">
        <f aca="false">IF(Z119="",0,IFERROR(INDEX(Resep!$C$5:$C$7,MATCH(LEFT(Z119,3),Resep!$B$5:$B$7,0)),0))</f>
        <v>0</v>
      </c>
      <c r="AH119" s="24" t="n">
        <f aca="false">IF(AA119="",0,IFERROR(INDEX(Resep!$C$9:$C$13,MATCH(LEFT(AA119,3),Resep!$B$9:$B$13,0)),0))</f>
        <v>0</v>
      </c>
      <c r="AI119" s="24" t="n">
        <f aca="false">IF(AB119="",0,IFERROR(INDEX(Resep!$C$9:$C$13,MATCH(LEFT(AB119,3),Resep!$B$9:$B$13,0)),0))</f>
        <v>0</v>
      </c>
      <c r="AJ119" s="24" t="n">
        <f aca="false">IF(AC119="",0,IFERROR(INDEX(Resep!$C$9:$C$13,MATCH(LEFT(AC119,3),Resep!$B$9:$B$13,0)),0))</f>
        <v>0</v>
      </c>
      <c r="AK119" s="24" t="n">
        <f aca="false">IF(AD119="",0,IFERROR(INDEX(Resep!$C$15:$C$18,MATCH(LEFT(AD119,3),Resep!$B$15:$B$18,0)),0))</f>
        <v>0</v>
      </c>
      <c r="AL119" s="24" t="str">
        <f aca="false">IF(X119="","",AG119+AH119+AI119+AJ119+AK119)</f>
        <v/>
      </c>
      <c r="AM119" s="22" t="str">
        <f aca="false">IF(X119="","",AL119*(Pengaturan!$B$6+Pengaturan!$B$7)+Pengaturan!$B$8+AE119*Pengaturan!$B$9+AF119*Pengaturan!$B$10)</f>
        <v/>
      </c>
      <c r="AN119" s="22" t="str">
        <f aca="false">IF(X119="","",N(G119)-AM119)</f>
        <v/>
      </c>
      <c r="AO119" s="25" t="str">
        <f aca="false">IF(OR(X119="",N(G119)=0),"",AN119/G119)</f>
        <v/>
      </c>
    </row>
    <row r="120" customFormat="false" ht="15" hidden="false" customHeight="false" outlineLevel="0" collapsed="false">
      <c r="A120" s="19"/>
      <c r="B120" s="20"/>
      <c r="C120" s="19"/>
      <c r="D120" s="19"/>
      <c r="E120" s="19"/>
      <c r="F120" s="19"/>
      <c r="G120" s="21"/>
      <c r="H120" s="19"/>
      <c r="I120" s="21"/>
      <c r="J120" s="19"/>
      <c r="K120" s="20"/>
      <c r="L120" s="20"/>
      <c r="M120" s="19"/>
      <c r="N120" s="19"/>
      <c r="O120" s="20"/>
      <c r="P120" s="20"/>
      <c r="Q120" s="19"/>
      <c r="R120" s="22" t="str">
        <f aca="false">IF(A120="","",N(G120)+N(I120))</f>
        <v/>
      </c>
      <c r="S120" s="23" t="str">
        <f aca="false">IF(OR(K120="",O120=""),"",O120-K120)</f>
        <v/>
      </c>
      <c r="T120" s="23" t="str">
        <f aca="true">IF(AND(C120="Cetak",L120&lt;&gt;"",L120&lt;TODAY()),"YA","")</f>
        <v/>
      </c>
      <c r="U120" s="23" t="str">
        <f aca="false">IF(B120="","",TEXT(B120,"yyyy-mm"))</f>
        <v/>
      </c>
      <c r="V120" s="23" t="str">
        <f aca="false">IF(K120="","",TEXT(K120,"yyyy-mm"))</f>
        <v/>
      </c>
      <c r="W120" s="23" t="n">
        <f aca="false">IF(OR(C120="Cetak",C120="Dikirim",C120="Selesai"),1,0)</f>
        <v>0</v>
      </c>
      <c r="X120" s="23" t="str">
        <f aca="false">IF(F120="","",SUBSTITUTE(SUBSTITUTE(MID(UPPER(TRIM(F120)),4,99),"-LED",""),"-TK",""))</f>
        <v/>
      </c>
      <c r="Y120" s="23" t="str">
        <f aca="false">IF(X120="","",(LEN(X120)+1)/7)</f>
        <v/>
      </c>
      <c r="Z120" s="23" t="str">
        <f aca="false">IF(X120="","",LEFT(X120,6))</f>
        <v/>
      </c>
      <c r="AA120" s="23" t="str">
        <f aca="false">IF(X120="","",IF(Y120&gt;=3,MID(X120,8,6),""))</f>
        <v/>
      </c>
      <c r="AB120" s="23" t="str">
        <f aca="false">IF(X120="","",IF(Y120&gt;=4,MID(X120,15,6),""))</f>
        <v/>
      </c>
      <c r="AC120" s="23" t="str">
        <f aca="false">IF(X120="","",IF(Y120&gt;=5,MID(X120,22,6),""))</f>
        <v/>
      </c>
      <c r="AD120" s="23" t="str">
        <f aca="false">IF(X120="","",RIGHT(X120,6))</f>
        <v/>
      </c>
      <c r="AE120" s="23" t="str">
        <f aca="false">IF(F120="","",IF(ISNUMBER(SEARCH("-TK",UPPER(F120))),0,1))</f>
        <v/>
      </c>
      <c r="AF120" s="23" t="str">
        <f aca="false">IF(F120="","",IF(ISNUMBER(SEARCH("-LED",UPPER(F120))),1,0))</f>
        <v/>
      </c>
      <c r="AG120" s="24" t="n">
        <f aca="false">IF(Z120="",0,IFERROR(INDEX(Resep!$C$5:$C$7,MATCH(LEFT(Z120,3),Resep!$B$5:$B$7,0)),0))</f>
        <v>0</v>
      </c>
      <c r="AH120" s="24" t="n">
        <f aca="false">IF(AA120="",0,IFERROR(INDEX(Resep!$C$9:$C$13,MATCH(LEFT(AA120,3),Resep!$B$9:$B$13,0)),0))</f>
        <v>0</v>
      </c>
      <c r="AI120" s="24" t="n">
        <f aca="false">IF(AB120="",0,IFERROR(INDEX(Resep!$C$9:$C$13,MATCH(LEFT(AB120,3),Resep!$B$9:$B$13,0)),0))</f>
        <v>0</v>
      </c>
      <c r="AJ120" s="24" t="n">
        <f aca="false">IF(AC120="",0,IFERROR(INDEX(Resep!$C$9:$C$13,MATCH(LEFT(AC120,3),Resep!$B$9:$B$13,0)),0))</f>
        <v>0</v>
      </c>
      <c r="AK120" s="24" t="n">
        <f aca="false">IF(AD120="",0,IFERROR(INDEX(Resep!$C$15:$C$18,MATCH(LEFT(AD120,3),Resep!$B$15:$B$18,0)),0))</f>
        <v>0</v>
      </c>
      <c r="AL120" s="24" t="str">
        <f aca="false">IF(X120="","",AG120+AH120+AI120+AJ120+AK120)</f>
        <v/>
      </c>
      <c r="AM120" s="22" t="str">
        <f aca="false">IF(X120="","",AL120*(Pengaturan!$B$6+Pengaturan!$B$7)+Pengaturan!$B$8+AE120*Pengaturan!$B$9+AF120*Pengaturan!$B$10)</f>
        <v/>
      </c>
      <c r="AN120" s="22" t="str">
        <f aca="false">IF(X120="","",N(G120)-AM120)</f>
        <v/>
      </c>
      <c r="AO120" s="25" t="str">
        <f aca="false">IF(OR(X120="",N(G120)=0),"",AN120/G120)</f>
        <v/>
      </c>
    </row>
    <row r="121" customFormat="false" ht="15" hidden="false" customHeight="false" outlineLevel="0" collapsed="false">
      <c r="A121" s="19"/>
      <c r="B121" s="20"/>
      <c r="C121" s="19"/>
      <c r="D121" s="19"/>
      <c r="E121" s="19"/>
      <c r="F121" s="19"/>
      <c r="G121" s="21"/>
      <c r="H121" s="19"/>
      <c r="I121" s="21"/>
      <c r="J121" s="19"/>
      <c r="K121" s="20"/>
      <c r="L121" s="20"/>
      <c r="M121" s="19"/>
      <c r="N121" s="19"/>
      <c r="O121" s="20"/>
      <c r="P121" s="20"/>
      <c r="Q121" s="19"/>
      <c r="R121" s="22" t="str">
        <f aca="false">IF(A121="","",N(G121)+N(I121))</f>
        <v/>
      </c>
      <c r="S121" s="23" t="str">
        <f aca="false">IF(OR(K121="",O121=""),"",O121-K121)</f>
        <v/>
      </c>
      <c r="T121" s="23" t="str">
        <f aca="true">IF(AND(C121="Cetak",L121&lt;&gt;"",L121&lt;TODAY()),"YA","")</f>
        <v/>
      </c>
      <c r="U121" s="23" t="str">
        <f aca="false">IF(B121="","",TEXT(B121,"yyyy-mm"))</f>
        <v/>
      </c>
      <c r="V121" s="23" t="str">
        <f aca="false">IF(K121="","",TEXT(K121,"yyyy-mm"))</f>
        <v/>
      </c>
      <c r="W121" s="23" t="n">
        <f aca="false">IF(OR(C121="Cetak",C121="Dikirim",C121="Selesai"),1,0)</f>
        <v>0</v>
      </c>
      <c r="X121" s="23" t="str">
        <f aca="false">IF(F121="","",SUBSTITUTE(SUBSTITUTE(MID(UPPER(TRIM(F121)),4,99),"-LED",""),"-TK",""))</f>
        <v/>
      </c>
      <c r="Y121" s="23" t="str">
        <f aca="false">IF(X121="","",(LEN(X121)+1)/7)</f>
        <v/>
      </c>
      <c r="Z121" s="23" t="str">
        <f aca="false">IF(X121="","",LEFT(X121,6))</f>
        <v/>
      </c>
      <c r="AA121" s="23" t="str">
        <f aca="false">IF(X121="","",IF(Y121&gt;=3,MID(X121,8,6),""))</f>
        <v/>
      </c>
      <c r="AB121" s="23" t="str">
        <f aca="false">IF(X121="","",IF(Y121&gt;=4,MID(X121,15,6),""))</f>
        <v/>
      </c>
      <c r="AC121" s="23" t="str">
        <f aca="false">IF(X121="","",IF(Y121&gt;=5,MID(X121,22,6),""))</f>
        <v/>
      </c>
      <c r="AD121" s="23" t="str">
        <f aca="false">IF(X121="","",RIGHT(X121,6))</f>
        <v/>
      </c>
      <c r="AE121" s="23" t="str">
        <f aca="false">IF(F121="","",IF(ISNUMBER(SEARCH("-TK",UPPER(F121))),0,1))</f>
        <v/>
      </c>
      <c r="AF121" s="23" t="str">
        <f aca="false">IF(F121="","",IF(ISNUMBER(SEARCH("-LED",UPPER(F121))),1,0))</f>
        <v/>
      </c>
      <c r="AG121" s="24" t="n">
        <f aca="false">IF(Z121="",0,IFERROR(INDEX(Resep!$C$5:$C$7,MATCH(LEFT(Z121,3),Resep!$B$5:$B$7,0)),0))</f>
        <v>0</v>
      </c>
      <c r="AH121" s="24" t="n">
        <f aca="false">IF(AA121="",0,IFERROR(INDEX(Resep!$C$9:$C$13,MATCH(LEFT(AA121,3),Resep!$B$9:$B$13,0)),0))</f>
        <v>0</v>
      </c>
      <c r="AI121" s="24" t="n">
        <f aca="false">IF(AB121="",0,IFERROR(INDEX(Resep!$C$9:$C$13,MATCH(LEFT(AB121,3),Resep!$B$9:$B$13,0)),0))</f>
        <v>0</v>
      </c>
      <c r="AJ121" s="24" t="n">
        <f aca="false">IF(AC121="",0,IFERROR(INDEX(Resep!$C$9:$C$13,MATCH(LEFT(AC121,3),Resep!$B$9:$B$13,0)),0))</f>
        <v>0</v>
      </c>
      <c r="AK121" s="24" t="n">
        <f aca="false">IF(AD121="",0,IFERROR(INDEX(Resep!$C$15:$C$18,MATCH(LEFT(AD121,3),Resep!$B$15:$B$18,0)),0))</f>
        <v>0</v>
      </c>
      <c r="AL121" s="24" t="str">
        <f aca="false">IF(X121="","",AG121+AH121+AI121+AJ121+AK121)</f>
        <v/>
      </c>
      <c r="AM121" s="22" t="str">
        <f aca="false">IF(X121="","",AL121*(Pengaturan!$B$6+Pengaturan!$B$7)+Pengaturan!$B$8+AE121*Pengaturan!$B$9+AF121*Pengaturan!$B$10)</f>
        <v/>
      </c>
      <c r="AN121" s="22" t="str">
        <f aca="false">IF(X121="","",N(G121)-AM121)</f>
        <v/>
      </c>
      <c r="AO121" s="25" t="str">
        <f aca="false">IF(OR(X121="",N(G121)=0),"",AN121/G121)</f>
        <v/>
      </c>
    </row>
    <row r="122" customFormat="false" ht="15" hidden="false" customHeight="false" outlineLevel="0" collapsed="false">
      <c r="A122" s="19"/>
      <c r="B122" s="20"/>
      <c r="C122" s="19"/>
      <c r="D122" s="19"/>
      <c r="E122" s="19"/>
      <c r="F122" s="19"/>
      <c r="G122" s="21"/>
      <c r="H122" s="19"/>
      <c r="I122" s="21"/>
      <c r="J122" s="19"/>
      <c r="K122" s="20"/>
      <c r="L122" s="20"/>
      <c r="M122" s="19"/>
      <c r="N122" s="19"/>
      <c r="O122" s="20"/>
      <c r="P122" s="20"/>
      <c r="Q122" s="19"/>
      <c r="R122" s="22" t="str">
        <f aca="false">IF(A122="","",N(G122)+N(I122))</f>
        <v/>
      </c>
      <c r="S122" s="23" t="str">
        <f aca="false">IF(OR(K122="",O122=""),"",O122-K122)</f>
        <v/>
      </c>
      <c r="T122" s="23" t="str">
        <f aca="true">IF(AND(C122="Cetak",L122&lt;&gt;"",L122&lt;TODAY()),"YA","")</f>
        <v/>
      </c>
      <c r="U122" s="23" t="str">
        <f aca="false">IF(B122="","",TEXT(B122,"yyyy-mm"))</f>
        <v/>
      </c>
      <c r="V122" s="23" t="str">
        <f aca="false">IF(K122="","",TEXT(K122,"yyyy-mm"))</f>
        <v/>
      </c>
      <c r="W122" s="23" t="n">
        <f aca="false">IF(OR(C122="Cetak",C122="Dikirim",C122="Selesai"),1,0)</f>
        <v>0</v>
      </c>
      <c r="X122" s="23" t="str">
        <f aca="false">IF(F122="","",SUBSTITUTE(SUBSTITUTE(MID(UPPER(TRIM(F122)),4,99),"-LED",""),"-TK",""))</f>
        <v/>
      </c>
      <c r="Y122" s="23" t="str">
        <f aca="false">IF(X122="","",(LEN(X122)+1)/7)</f>
        <v/>
      </c>
      <c r="Z122" s="23" t="str">
        <f aca="false">IF(X122="","",LEFT(X122,6))</f>
        <v/>
      </c>
      <c r="AA122" s="23" t="str">
        <f aca="false">IF(X122="","",IF(Y122&gt;=3,MID(X122,8,6),""))</f>
        <v/>
      </c>
      <c r="AB122" s="23" t="str">
        <f aca="false">IF(X122="","",IF(Y122&gt;=4,MID(X122,15,6),""))</f>
        <v/>
      </c>
      <c r="AC122" s="23" t="str">
        <f aca="false">IF(X122="","",IF(Y122&gt;=5,MID(X122,22,6),""))</f>
        <v/>
      </c>
      <c r="AD122" s="23" t="str">
        <f aca="false">IF(X122="","",RIGHT(X122,6))</f>
        <v/>
      </c>
      <c r="AE122" s="23" t="str">
        <f aca="false">IF(F122="","",IF(ISNUMBER(SEARCH("-TK",UPPER(F122))),0,1))</f>
        <v/>
      </c>
      <c r="AF122" s="23" t="str">
        <f aca="false">IF(F122="","",IF(ISNUMBER(SEARCH("-LED",UPPER(F122))),1,0))</f>
        <v/>
      </c>
      <c r="AG122" s="24" t="n">
        <f aca="false">IF(Z122="",0,IFERROR(INDEX(Resep!$C$5:$C$7,MATCH(LEFT(Z122,3),Resep!$B$5:$B$7,0)),0))</f>
        <v>0</v>
      </c>
      <c r="AH122" s="24" t="n">
        <f aca="false">IF(AA122="",0,IFERROR(INDEX(Resep!$C$9:$C$13,MATCH(LEFT(AA122,3),Resep!$B$9:$B$13,0)),0))</f>
        <v>0</v>
      </c>
      <c r="AI122" s="24" t="n">
        <f aca="false">IF(AB122="",0,IFERROR(INDEX(Resep!$C$9:$C$13,MATCH(LEFT(AB122,3),Resep!$B$9:$B$13,0)),0))</f>
        <v>0</v>
      </c>
      <c r="AJ122" s="24" t="n">
        <f aca="false">IF(AC122="",0,IFERROR(INDEX(Resep!$C$9:$C$13,MATCH(LEFT(AC122,3),Resep!$B$9:$B$13,0)),0))</f>
        <v>0</v>
      </c>
      <c r="AK122" s="24" t="n">
        <f aca="false">IF(AD122="",0,IFERROR(INDEX(Resep!$C$15:$C$18,MATCH(LEFT(AD122,3),Resep!$B$15:$B$18,0)),0))</f>
        <v>0</v>
      </c>
      <c r="AL122" s="24" t="str">
        <f aca="false">IF(X122="","",AG122+AH122+AI122+AJ122+AK122)</f>
        <v/>
      </c>
      <c r="AM122" s="22" t="str">
        <f aca="false">IF(X122="","",AL122*(Pengaturan!$B$6+Pengaturan!$B$7)+Pengaturan!$B$8+AE122*Pengaturan!$B$9+AF122*Pengaturan!$B$10)</f>
        <v/>
      </c>
      <c r="AN122" s="22" t="str">
        <f aca="false">IF(X122="","",N(G122)-AM122)</f>
        <v/>
      </c>
      <c r="AO122" s="25" t="str">
        <f aca="false">IF(OR(X122="",N(G122)=0),"",AN122/G122)</f>
        <v/>
      </c>
    </row>
    <row r="123" customFormat="false" ht="15" hidden="false" customHeight="false" outlineLevel="0" collapsed="false">
      <c r="A123" s="19"/>
      <c r="B123" s="20"/>
      <c r="C123" s="19"/>
      <c r="D123" s="19"/>
      <c r="E123" s="19"/>
      <c r="F123" s="19"/>
      <c r="G123" s="21"/>
      <c r="H123" s="19"/>
      <c r="I123" s="21"/>
      <c r="J123" s="19"/>
      <c r="K123" s="20"/>
      <c r="L123" s="20"/>
      <c r="M123" s="19"/>
      <c r="N123" s="19"/>
      <c r="O123" s="20"/>
      <c r="P123" s="20"/>
      <c r="Q123" s="19"/>
      <c r="R123" s="22" t="str">
        <f aca="false">IF(A123="","",N(G123)+N(I123))</f>
        <v/>
      </c>
      <c r="S123" s="23" t="str">
        <f aca="false">IF(OR(K123="",O123=""),"",O123-K123)</f>
        <v/>
      </c>
      <c r="T123" s="23" t="str">
        <f aca="true">IF(AND(C123="Cetak",L123&lt;&gt;"",L123&lt;TODAY()),"YA","")</f>
        <v/>
      </c>
      <c r="U123" s="23" t="str">
        <f aca="false">IF(B123="","",TEXT(B123,"yyyy-mm"))</f>
        <v/>
      </c>
      <c r="V123" s="23" t="str">
        <f aca="false">IF(K123="","",TEXT(K123,"yyyy-mm"))</f>
        <v/>
      </c>
      <c r="W123" s="23" t="n">
        <f aca="false">IF(OR(C123="Cetak",C123="Dikirim",C123="Selesai"),1,0)</f>
        <v>0</v>
      </c>
      <c r="X123" s="23" t="str">
        <f aca="false">IF(F123="","",SUBSTITUTE(SUBSTITUTE(MID(UPPER(TRIM(F123)),4,99),"-LED",""),"-TK",""))</f>
        <v/>
      </c>
      <c r="Y123" s="23" t="str">
        <f aca="false">IF(X123="","",(LEN(X123)+1)/7)</f>
        <v/>
      </c>
      <c r="Z123" s="23" t="str">
        <f aca="false">IF(X123="","",LEFT(X123,6))</f>
        <v/>
      </c>
      <c r="AA123" s="23" t="str">
        <f aca="false">IF(X123="","",IF(Y123&gt;=3,MID(X123,8,6),""))</f>
        <v/>
      </c>
      <c r="AB123" s="23" t="str">
        <f aca="false">IF(X123="","",IF(Y123&gt;=4,MID(X123,15,6),""))</f>
        <v/>
      </c>
      <c r="AC123" s="23" t="str">
        <f aca="false">IF(X123="","",IF(Y123&gt;=5,MID(X123,22,6),""))</f>
        <v/>
      </c>
      <c r="AD123" s="23" t="str">
        <f aca="false">IF(X123="","",RIGHT(X123,6))</f>
        <v/>
      </c>
      <c r="AE123" s="23" t="str">
        <f aca="false">IF(F123="","",IF(ISNUMBER(SEARCH("-TK",UPPER(F123))),0,1))</f>
        <v/>
      </c>
      <c r="AF123" s="23" t="str">
        <f aca="false">IF(F123="","",IF(ISNUMBER(SEARCH("-LED",UPPER(F123))),1,0))</f>
        <v/>
      </c>
      <c r="AG123" s="24" t="n">
        <f aca="false">IF(Z123="",0,IFERROR(INDEX(Resep!$C$5:$C$7,MATCH(LEFT(Z123,3),Resep!$B$5:$B$7,0)),0))</f>
        <v>0</v>
      </c>
      <c r="AH123" s="24" t="n">
        <f aca="false">IF(AA123="",0,IFERROR(INDEX(Resep!$C$9:$C$13,MATCH(LEFT(AA123,3),Resep!$B$9:$B$13,0)),0))</f>
        <v>0</v>
      </c>
      <c r="AI123" s="24" t="n">
        <f aca="false">IF(AB123="",0,IFERROR(INDEX(Resep!$C$9:$C$13,MATCH(LEFT(AB123,3),Resep!$B$9:$B$13,0)),0))</f>
        <v>0</v>
      </c>
      <c r="AJ123" s="24" t="n">
        <f aca="false">IF(AC123="",0,IFERROR(INDEX(Resep!$C$9:$C$13,MATCH(LEFT(AC123,3),Resep!$B$9:$B$13,0)),0))</f>
        <v>0</v>
      </c>
      <c r="AK123" s="24" t="n">
        <f aca="false">IF(AD123="",0,IFERROR(INDEX(Resep!$C$15:$C$18,MATCH(LEFT(AD123,3),Resep!$B$15:$B$18,0)),0))</f>
        <v>0</v>
      </c>
      <c r="AL123" s="24" t="str">
        <f aca="false">IF(X123="","",AG123+AH123+AI123+AJ123+AK123)</f>
        <v/>
      </c>
      <c r="AM123" s="22" t="str">
        <f aca="false">IF(X123="","",AL123*(Pengaturan!$B$6+Pengaturan!$B$7)+Pengaturan!$B$8+AE123*Pengaturan!$B$9+AF123*Pengaturan!$B$10)</f>
        <v/>
      </c>
      <c r="AN123" s="22" t="str">
        <f aca="false">IF(X123="","",N(G123)-AM123)</f>
        <v/>
      </c>
      <c r="AO123" s="25" t="str">
        <f aca="false">IF(OR(X123="",N(G123)=0),"",AN123/G123)</f>
        <v/>
      </c>
    </row>
    <row r="124" customFormat="false" ht="15" hidden="false" customHeight="false" outlineLevel="0" collapsed="false">
      <c r="A124" s="19"/>
      <c r="B124" s="20"/>
      <c r="C124" s="19"/>
      <c r="D124" s="19"/>
      <c r="E124" s="19"/>
      <c r="F124" s="19"/>
      <c r="G124" s="21"/>
      <c r="H124" s="19"/>
      <c r="I124" s="21"/>
      <c r="J124" s="19"/>
      <c r="K124" s="20"/>
      <c r="L124" s="20"/>
      <c r="M124" s="19"/>
      <c r="N124" s="19"/>
      <c r="O124" s="20"/>
      <c r="P124" s="20"/>
      <c r="Q124" s="19"/>
      <c r="R124" s="22" t="str">
        <f aca="false">IF(A124="","",N(G124)+N(I124))</f>
        <v/>
      </c>
      <c r="S124" s="23" t="str">
        <f aca="false">IF(OR(K124="",O124=""),"",O124-K124)</f>
        <v/>
      </c>
      <c r="T124" s="23" t="str">
        <f aca="true">IF(AND(C124="Cetak",L124&lt;&gt;"",L124&lt;TODAY()),"YA","")</f>
        <v/>
      </c>
      <c r="U124" s="23" t="str">
        <f aca="false">IF(B124="","",TEXT(B124,"yyyy-mm"))</f>
        <v/>
      </c>
      <c r="V124" s="23" t="str">
        <f aca="false">IF(K124="","",TEXT(K124,"yyyy-mm"))</f>
        <v/>
      </c>
      <c r="W124" s="23" t="n">
        <f aca="false">IF(OR(C124="Cetak",C124="Dikirim",C124="Selesai"),1,0)</f>
        <v>0</v>
      </c>
      <c r="X124" s="23" t="str">
        <f aca="false">IF(F124="","",SUBSTITUTE(SUBSTITUTE(MID(UPPER(TRIM(F124)),4,99),"-LED",""),"-TK",""))</f>
        <v/>
      </c>
      <c r="Y124" s="23" t="str">
        <f aca="false">IF(X124="","",(LEN(X124)+1)/7)</f>
        <v/>
      </c>
      <c r="Z124" s="23" t="str">
        <f aca="false">IF(X124="","",LEFT(X124,6))</f>
        <v/>
      </c>
      <c r="AA124" s="23" t="str">
        <f aca="false">IF(X124="","",IF(Y124&gt;=3,MID(X124,8,6),""))</f>
        <v/>
      </c>
      <c r="AB124" s="23" t="str">
        <f aca="false">IF(X124="","",IF(Y124&gt;=4,MID(X124,15,6),""))</f>
        <v/>
      </c>
      <c r="AC124" s="23" t="str">
        <f aca="false">IF(X124="","",IF(Y124&gt;=5,MID(X124,22,6),""))</f>
        <v/>
      </c>
      <c r="AD124" s="23" t="str">
        <f aca="false">IF(X124="","",RIGHT(X124,6))</f>
        <v/>
      </c>
      <c r="AE124" s="23" t="str">
        <f aca="false">IF(F124="","",IF(ISNUMBER(SEARCH("-TK",UPPER(F124))),0,1))</f>
        <v/>
      </c>
      <c r="AF124" s="23" t="str">
        <f aca="false">IF(F124="","",IF(ISNUMBER(SEARCH("-LED",UPPER(F124))),1,0))</f>
        <v/>
      </c>
      <c r="AG124" s="24" t="n">
        <f aca="false">IF(Z124="",0,IFERROR(INDEX(Resep!$C$5:$C$7,MATCH(LEFT(Z124,3),Resep!$B$5:$B$7,0)),0))</f>
        <v>0</v>
      </c>
      <c r="AH124" s="24" t="n">
        <f aca="false">IF(AA124="",0,IFERROR(INDEX(Resep!$C$9:$C$13,MATCH(LEFT(AA124,3),Resep!$B$9:$B$13,0)),0))</f>
        <v>0</v>
      </c>
      <c r="AI124" s="24" t="n">
        <f aca="false">IF(AB124="",0,IFERROR(INDEX(Resep!$C$9:$C$13,MATCH(LEFT(AB124,3),Resep!$B$9:$B$13,0)),0))</f>
        <v>0</v>
      </c>
      <c r="AJ124" s="24" t="n">
        <f aca="false">IF(AC124="",0,IFERROR(INDEX(Resep!$C$9:$C$13,MATCH(LEFT(AC124,3),Resep!$B$9:$B$13,0)),0))</f>
        <v>0</v>
      </c>
      <c r="AK124" s="24" t="n">
        <f aca="false">IF(AD124="",0,IFERROR(INDEX(Resep!$C$15:$C$18,MATCH(LEFT(AD124,3),Resep!$B$15:$B$18,0)),0))</f>
        <v>0</v>
      </c>
      <c r="AL124" s="24" t="str">
        <f aca="false">IF(X124="","",AG124+AH124+AI124+AJ124+AK124)</f>
        <v/>
      </c>
      <c r="AM124" s="22" t="str">
        <f aca="false">IF(X124="","",AL124*(Pengaturan!$B$6+Pengaturan!$B$7)+Pengaturan!$B$8+AE124*Pengaturan!$B$9+AF124*Pengaturan!$B$10)</f>
        <v/>
      </c>
      <c r="AN124" s="22" t="str">
        <f aca="false">IF(X124="","",N(G124)-AM124)</f>
        <v/>
      </c>
      <c r="AO124" s="25" t="str">
        <f aca="false">IF(OR(X124="",N(G124)=0),"",AN124/G124)</f>
        <v/>
      </c>
    </row>
    <row r="125" customFormat="false" ht="15" hidden="false" customHeight="false" outlineLevel="0" collapsed="false">
      <c r="A125" s="19"/>
      <c r="B125" s="20"/>
      <c r="C125" s="19"/>
      <c r="D125" s="19"/>
      <c r="E125" s="19"/>
      <c r="F125" s="19"/>
      <c r="G125" s="21"/>
      <c r="H125" s="19"/>
      <c r="I125" s="21"/>
      <c r="J125" s="19"/>
      <c r="K125" s="20"/>
      <c r="L125" s="20"/>
      <c r="M125" s="19"/>
      <c r="N125" s="19"/>
      <c r="O125" s="20"/>
      <c r="P125" s="20"/>
      <c r="Q125" s="19"/>
      <c r="R125" s="22" t="str">
        <f aca="false">IF(A125="","",N(G125)+N(I125))</f>
        <v/>
      </c>
      <c r="S125" s="23" t="str">
        <f aca="false">IF(OR(K125="",O125=""),"",O125-K125)</f>
        <v/>
      </c>
      <c r="T125" s="23" t="str">
        <f aca="true">IF(AND(C125="Cetak",L125&lt;&gt;"",L125&lt;TODAY()),"YA","")</f>
        <v/>
      </c>
      <c r="U125" s="23" t="str">
        <f aca="false">IF(B125="","",TEXT(B125,"yyyy-mm"))</f>
        <v/>
      </c>
      <c r="V125" s="23" t="str">
        <f aca="false">IF(K125="","",TEXT(K125,"yyyy-mm"))</f>
        <v/>
      </c>
      <c r="W125" s="23" t="n">
        <f aca="false">IF(OR(C125="Cetak",C125="Dikirim",C125="Selesai"),1,0)</f>
        <v>0</v>
      </c>
      <c r="X125" s="23" t="str">
        <f aca="false">IF(F125="","",SUBSTITUTE(SUBSTITUTE(MID(UPPER(TRIM(F125)),4,99),"-LED",""),"-TK",""))</f>
        <v/>
      </c>
      <c r="Y125" s="23" t="str">
        <f aca="false">IF(X125="","",(LEN(X125)+1)/7)</f>
        <v/>
      </c>
      <c r="Z125" s="23" t="str">
        <f aca="false">IF(X125="","",LEFT(X125,6))</f>
        <v/>
      </c>
      <c r="AA125" s="23" t="str">
        <f aca="false">IF(X125="","",IF(Y125&gt;=3,MID(X125,8,6),""))</f>
        <v/>
      </c>
      <c r="AB125" s="23" t="str">
        <f aca="false">IF(X125="","",IF(Y125&gt;=4,MID(X125,15,6),""))</f>
        <v/>
      </c>
      <c r="AC125" s="23" t="str">
        <f aca="false">IF(X125="","",IF(Y125&gt;=5,MID(X125,22,6),""))</f>
        <v/>
      </c>
      <c r="AD125" s="23" t="str">
        <f aca="false">IF(X125="","",RIGHT(X125,6))</f>
        <v/>
      </c>
      <c r="AE125" s="23" t="str">
        <f aca="false">IF(F125="","",IF(ISNUMBER(SEARCH("-TK",UPPER(F125))),0,1))</f>
        <v/>
      </c>
      <c r="AF125" s="23" t="str">
        <f aca="false">IF(F125="","",IF(ISNUMBER(SEARCH("-LED",UPPER(F125))),1,0))</f>
        <v/>
      </c>
      <c r="AG125" s="24" t="n">
        <f aca="false">IF(Z125="",0,IFERROR(INDEX(Resep!$C$5:$C$7,MATCH(LEFT(Z125,3),Resep!$B$5:$B$7,0)),0))</f>
        <v>0</v>
      </c>
      <c r="AH125" s="24" t="n">
        <f aca="false">IF(AA125="",0,IFERROR(INDEX(Resep!$C$9:$C$13,MATCH(LEFT(AA125,3),Resep!$B$9:$B$13,0)),0))</f>
        <v>0</v>
      </c>
      <c r="AI125" s="24" t="n">
        <f aca="false">IF(AB125="",0,IFERROR(INDEX(Resep!$C$9:$C$13,MATCH(LEFT(AB125,3),Resep!$B$9:$B$13,0)),0))</f>
        <v>0</v>
      </c>
      <c r="AJ125" s="24" t="n">
        <f aca="false">IF(AC125="",0,IFERROR(INDEX(Resep!$C$9:$C$13,MATCH(LEFT(AC125,3),Resep!$B$9:$B$13,0)),0))</f>
        <v>0</v>
      </c>
      <c r="AK125" s="24" t="n">
        <f aca="false">IF(AD125="",0,IFERROR(INDEX(Resep!$C$15:$C$18,MATCH(LEFT(AD125,3),Resep!$B$15:$B$18,0)),0))</f>
        <v>0</v>
      </c>
      <c r="AL125" s="24" t="str">
        <f aca="false">IF(X125="","",AG125+AH125+AI125+AJ125+AK125)</f>
        <v/>
      </c>
      <c r="AM125" s="22" t="str">
        <f aca="false">IF(X125="","",AL125*(Pengaturan!$B$6+Pengaturan!$B$7)+Pengaturan!$B$8+AE125*Pengaturan!$B$9+AF125*Pengaturan!$B$10)</f>
        <v/>
      </c>
      <c r="AN125" s="22" t="str">
        <f aca="false">IF(X125="","",N(G125)-AM125)</f>
        <v/>
      </c>
      <c r="AO125" s="25" t="str">
        <f aca="false">IF(OR(X125="",N(G125)=0),"",AN125/G125)</f>
        <v/>
      </c>
    </row>
    <row r="126" customFormat="false" ht="15" hidden="false" customHeight="false" outlineLevel="0" collapsed="false">
      <c r="A126" s="19"/>
      <c r="B126" s="20"/>
      <c r="C126" s="19"/>
      <c r="D126" s="19"/>
      <c r="E126" s="19"/>
      <c r="F126" s="19"/>
      <c r="G126" s="21"/>
      <c r="H126" s="19"/>
      <c r="I126" s="21"/>
      <c r="J126" s="19"/>
      <c r="K126" s="20"/>
      <c r="L126" s="20"/>
      <c r="M126" s="19"/>
      <c r="N126" s="19"/>
      <c r="O126" s="20"/>
      <c r="P126" s="20"/>
      <c r="Q126" s="19"/>
      <c r="R126" s="22" t="str">
        <f aca="false">IF(A126="","",N(G126)+N(I126))</f>
        <v/>
      </c>
      <c r="S126" s="23" t="str">
        <f aca="false">IF(OR(K126="",O126=""),"",O126-K126)</f>
        <v/>
      </c>
      <c r="T126" s="23" t="str">
        <f aca="true">IF(AND(C126="Cetak",L126&lt;&gt;"",L126&lt;TODAY()),"YA","")</f>
        <v/>
      </c>
      <c r="U126" s="23" t="str">
        <f aca="false">IF(B126="","",TEXT(B126,"yyyy-mm"))</f>
        <v/>
      </c>
      <c r="V126" s="23" t="str">
        <f aca="false">IF(K126="","",TEXT(K126,"yyyy-mm"))</f>
        <v/>
      </c>
      <c r="W126" s="23" t="n">
        <f aca="false">IF(OR(C126="Cetak",C126="Dikirim",C126="Selesai"),1,0)</f>
        <v>0</v>
      </c>
      <c r="X126" s="23" t="str">
        <f aca="false">IF(F126="","",SUBSTITUTE(SUBSTITUTE(MID(UPPER(TRIM(F126)),4,99),"-LED",""),"-TK",""))</f>
        <v/>
      </c>
      <c r="Y126" s="23" t="str">
        <f aca="false">IF(X126="","",(LEN(X126)+1)/7)</f>
        <v/>
      </c>
      <c r="Z126" s="23" t="str">
        <f aca="false">IF(X126="","",LEFT(X126,6))</f>
        <v/>
      </c>
      <c r="AA126" s="23" t="str">
        <f aca="false">IF(X126="","",IF(Y126&gt;=3,MID(X126,8,6),""))</f>
        <v/>
      </c>
      <c r="AB126" s="23" t="str">
        <f aca="false">IF(X126="","",IF(Y126&gt;=4,MID(X126,15,6),""))</f>
        <v/>
      </c>
      <c r="AC126" s="23" t="str">
        <f aca="false">IF(X126="","",IF(Y126&gt;=5,MID(X126,22,6),""))</f>
        <v/>
      </c>
      <c r="AD126" s="23" t="str">
        <f aca="false">IF(X126="","",RIGHT(X126,6))</f>
        <v/>
      </c>
      <c r="AE126" s="23" t="str">
        <f aca="false">IF(F126="","",IF(ISNUMBER(SEARCH("-TK",UPPER(F126))),0,1))</f>
        <v/>
      </c>
      <c r="AF126" s="23" t="str">
        <f aca="false">IF(F126="","",IF(ISNUMBER(SEARCH("-LED",UPPER(F126))),1,0))</f>
        <v/>
      </c>
      <c r="AG126" s="24" t="n">
        <f aca="false">IF(Z126="",0,IFERROR(INDEX(Resep!$C$5:$C$7,MATCH(LEFT(Z126,3),Resep!$B$5:$B$7,0)),0))</f>
        <v>0</v>
      </c>
      <c r="AH126" s="24" t="n">
        <f aca="false">IF(AA126="",0,IFERROR(INDEX(Resep!$C$9:$C$13,MATCH(LEFT(AA126,3),Resep!$B$9:$B$13,0)),0))</f>
        <v>0</v>
      </c>
      <c r="AI126" s="24" t="n">
        <f aca="false">IF(AB126="",0,IFERROR(INDEX(Resep!$C$9:$C$13,MATCH(LEFT(AB126,3),Resep!$B$9:$B$13,0)),0))</f>
        <v>0</v>
      </c>
      <c r="AJ126" s="24" t="n">
        <f aca="false">IF(AC126="",0,IFERROR(INDEX(Resep!$C$9:$C$13,MATCH(LEFT(AC126,3),Resep!$B$9:$B$13,0)),0))</f>
        <v>0</v>
      </c>
      <c r="AK126" s="24" t="n">
        <f aca="false">IF(AD126="",0,IFERROR(INDEX(Resep!$C$15:$C$18,MATCH(LEFT(AD126,3),Resep!$B$15:$B$18,0)),0))</f>
        <v>0</v>
      </c>
      <c r="AL126" s="24" t="str">
        <f aca="false">IF(X126="","",AG126+AH126+AI126+AJ126+AK126)</f>
        <v/>
      </c>
      <c r="AM126" s="22" t="str">
        <f aca="false">IF(X126="","",AL126*(Pengaturan!$B$6+Pengaturan!$B$7)+Pengaturan!$B$8+AE126*Pengaturan!$B$9+AF126*Pengaturan!$B$10)</f>
        <v/>
      </c>
      <c r="AN126" s="22" t="str">
        <f aca="false">IF(X126="","",N(G126)-AM126)</f>
        <v/>
      </c>
      <c r="AO126" s="25" t="str">
        <f aca="false">IF(OR(X126="",N(G126)=0),"",AN126/G126)</f>
        <v/>
      </c>
    </row>
    <row r="127" customFormat="false" ht="15" hidden="false" customHeight="false" outlineLevel="0" collapsed="false">
      <c r="A127" s="19"/>
      <c r="B127" s="20"/>
      <c r="C127" s="19"/>
      <c r="D127" s="19"/>
      <c r="E127" s="19"/>
      <c r="F127" s="19"/>
      <c r="G127" s="21"/>
      <c r="H127" s="19"/>
      <c r="I127" s="21"/>
      <c r="J127" s="19"/>
      <c r="K127" s="20"/>
      <c r="L127" s="20"/>
      <c r="M127" s="19"/>
      <c r="N127" s="19"/>
      <c r="O127" s="20"/>
      <c r="P127" s="20"/>
      <c r="Q127" s="19"/>
      <c r="R127" s="22" t="str">
        <f aca="false">IF(A127="","",N(G127)+N(I127))</f>
        <v/>
      </c>
      <c r="S127" s="23" t="str">
        <f aca="false">IF(OR(K127="",O127=""),"",O127-K127)</f>
        <v/>
      </c>
      <c r="T127" s="23" t="str">
        <f aca="true">IF(AND(C127="Cetak",L127&lt;&gt;"",L127&lt;TODAY()),"YA","")</f>
        <v/>
      </c>
      <c r="U127" s="23" t="str">
        <f aca="false">IF(B127="","",TEXT(B127,"yyyy-mm"))</f>
        <v/>
      </c>
      <c r="V127" s="23" t="str">
        <f aca="false">IF(K127="","",TEXT(K127,"yyyy-mm"))</f>
        <v/>
      </c>
      <c r="W127" s="23" t="n">
        <f aca="false">IF(OR(C127="Cetak",C127="Dikirim",C127="Selesai"),1,0)</f>
        <v>0</v>
      </c>
      <c r="X127" s="23" t="str">
        <f aca="false">IF(F127="","",SUBSTITUTE(SUBSTITUTE(MID(UPPER(TRIM(F127)),4,99),"-LED",""),"-TK",""))</f>
        <v/>
      </c>
      <c r="Y127" s="23" t="str">
        <f aca="false">IF(X127="","",(LEN(X127)+1)/7)</f>
        <v/>
      </c>
      <c r="Z127" s="23" t="str">
        <f aca="false">IF(X127="","",LEFT(X127,6))</f>
        <v/>
      </c>
      <c r="AA127" s="23" t="str">
        <f aca="false">IF(X127="","",IF(Y127&gt;=3,MID(X127,8,6),""))</f>
        <v/>
      </c>
      <c r="AB127" s="23" t="str">
        <f aca="false">IF(X127="","",IF(Y127&gt;=4,MID(X127,15,6),""))</f>
        <v/>
      </c>
      <c r="AC127" s="23" t="str">
        <f aca="false">IF(X127="","",IF(Y127&gt;=5,MID(X127,22,6),""))</f>
        <v/>
      </c>
      <c r="AD127" s="23" t="str">
        <f aca="false">IF(X127="","",RIGHT(X127,6))</f>
        <v/>
      </c>
      <c r="AE127" s="23" t="str">
        <f aca="false">IF(F127="","",IF(ISNUMBER(SEARCH("-TK",UPPER(F127))),0,1))</f>
        <v/>
      </c>
      <c r="AF127" s="23" t="str">
        <f aca="false">IF(F127="","",IF(ISNUMBER(SEARCH("-LED",UPPER(F127))),1,0))</f>
        <v/>
      </c>
      <c r="AG127" s="24" t="n">
        <f aca="false">IF(Z127="",0,IFERROR(INDEX(Resep!$C$5:$C$7,MATCH(LEFT(Z127,3),Resep!$B$5:$B$7,0)),0))</f>
        <v>0</v>
      </c>
      <c r="AH127" s="24" t="n">
        <f aca="false">IF(AA127="",0,IFERROR(INDEX(Resep!$C$9:$C$13,MATCH(LEFT(AA127,3),Resep!$B$9:$B$13,0)),0))</f>
        <v>0</v>
      </c>
      <c r="AI127" s="24" t="n">
        <f aca="false">IF(AB127="",0,IFERROR(INDEX(Resep!$C$9:$C$13,MATCH(LEFT(AB127,3),Resep!$B$9:$B$13,0)),0))</f>
        <v>0</v>
      </c>
      <c r="AJ127" s="24" t="n">
        <f aca="false">IF(AC127="",0,IFERROR(INDEX(Resep!$C$9:$C$13,MATCH(LEFT(AC127,3),Resep!$B$9:$B$13,0)),0))</f>
        <v>0</v>
      </c>
      <c r="AK127" s="24" t="n">
        <f aca="false">IF(AD127="",0,IFERROR(INDEX(Resep!$C$15:$C$18,MATCH(LEFT(AD127,3),Resep!$B$15:$B$18,0)),0))</f>
        <v>0</v>
      </c>
      <c r="AL127" s="24" t="str">
        <f aca="false">IF(X127="","",AG127+AH127+AI127+AJ127+AK127)</f>
        <v/>
      </c>
      <c r="AM127" s="22" t="str">
        <f aca="false">IF(X127="","",AL127*(Pengaturan!$B$6+Pengaturan!$B$7)+Pengaturan!$B$8+AE127*Pengaturan!$B$9+AF127*Pengaturan!$B$10)</f>
        <v/>
      </c>
      <c r="AN127" s="22" t="str">
        <f aca="false">IF(X127="","",N(G127)-AM127)</f>
        <v/>
      </c>
      <c r="AO127" s="25" t="str">
        <f aca="false">IF(OR(X127="",N(G127)=0),"",AN127/G127)</f>
        <v/>
      </c>
    </row>
    <row r="128" customFormat="false" ht="15" hidden="false" customHeight="false" outlineLevel="0" collapsed="false">
      <c r="A128" s="19"/>
      <c r="B128" s="20"/>
      <c r="C128" s="19"/>
      <c r="D128" s="19"/>
      <c r="E128" s="19"/>
      <c r="F128" s="19"/>
      <c r="G128" s="21"/>
      <c r="H128" s="19"/>
      <c r="I128" s="21"/>
      <c r="J128" s="19"/>
      <c r="K128" s="20"/>
      <c r="L128" s="20"/>
      <c r="M128" s="19"/>
      <c r="N128" s="19"/>
      <c r="O128" s="20"/>
      <c r="P128" s="20"/>
      <c r="Q128" s="19"/>
      <c r="R128" s="22" t="str">
        <f aca="false">IF(A128="","",N(G128)+N(I128))</f>
        <v/>
      </c>
      <c r="S128" s="23" t="str">
        <f aca="false">IF(OR(K128="",O128=""),"",O128-K128)</f>
        <v/>
      </c>
      <c r="T128" s="23" t="str">
        <f aca="true">IF(AND(C128="Cetak",L128&lt;&gt;"",L128&lt;TODAY()),"YA","")</f>
        <v/>
      </c>
      <c r="U128" s="23" t="str">
        <f aca="false">IF(B128="","",TEXT(B128,"yyyy-mm"))</f>
        <v/>
      </c>
      <c r="V128" s="23" t="str">
        <f aca="false">IF(K128="","",TEXT(K128,"yyyy-mm"))</f>
        <v/>
      </c>
      <c r="W128" s="23" t="n">
        <f aca="false">IF(OR(C128="Cetak",C128="Dikirim",C128="Selesai"),1,0)</f>
        <v>0</v>
      </c>
      <c r="X128" s="23" t="str">
        <f aca="false">IF(F128="","",SUBSTITUTE(SUBSTITUTE(MID(UPPER(TRIM(F128)),4,99),"-LED",""),"-TK",""))</f>
        <v/>
      </c>
      <c r="Y128" s="23" t="str">
        <f aca="false">IF(X128="","",(LEN(X128)+1)/7)</f>
        <v/>
      </c>
      <c r="Z128" s="23" t="str">
        <f aca="false">IF(X128="","",LEFT(X128,6))</f>
        <v/>
      </c>
      <c r="AA128" s="23" t="str">
        <f aca="false">IF(X128="","",IF(Y128&gt;=3,MID(X128,8,6),""))</f>
        <v/>
      </c>
      <c r="AB128" s="23" t="str">
        <f aca="false">IF(X128="","",IF(Y128&gt;=4,MID(X128,15,6),""))</f>
        <v/>
      </c>
      <c r="AC128" s="23" t="str">
        <f aca="false">IF(X128="","",IF(Y128&gt;=5,MID(X128,22,6),""))</f>
        <v/>
      </c>
      <c r="AD128" s="23" t="str">
        <f aca="false">IF(X128="","",RIGHT(X128,6))</f>
        <v/>
      </c>
      <c r="AE128" s="23" t="str">
        <f aca="false">IF(F128="","",IF(ISNUMBER(SEARCH("-TK",UPPER(F128))),0,1))</f>
        <v/>
      </c>
      <c r="AF128" s="23" t="str">
        <f aca="false">IF(F128="","",IF(ISNUMBER(SEARCH("-LED",UPPER(F128))),1,0))</f>
        <v/>
      </c>
      <c r="AG128" s="24" t="n">
        <f aca="false">IF(Z128="",0,IFERROR(INDEX(Resep!$C$5:$C$7,MATCH(LEFT(Z128,3),Resep!$B$5:$B$7,0)),0))</f>
        <v>0</v>
      </c>
      <c r="AH128" s="24" t="n">
        <f aca="false">IF(AA128="",0,IFERROR(INDEX(Resep!$C$9:$C$13,MATCH(LEFT(AA128,3),Resep!$B$9:$B$13,0)),0))</f>
        <v>0</v>
      </c>
      <c r="AI128" s="24" t="n">
        <f aca="false">IF(AB128="",0,IFERROR(INDEX(Resep!$C$9:$C$13,MATCH(LEFT(AB128,3),Resep!$B$9:$B$13,0)),0))</f>
        <v>0</v>
      </c>
      <c r="AJ128" s="24" t="n">
        <f aca="false">IF(AC128="",0,IFERROR(INDEX(Resep!$C$9:$C$13,MATCH(LEFT(AC128,3),Resep!$B$9:$B$13,0)),0))</f>
        <v>0</v>
      </c>
      <c r="AK128" s="24" t="n">
        <f aca="false">IF(AD128="",0,IFERROR(INDEX(Resep!$C$15:$C$18,MATCH(LEFT(AD128,3),Resep!$B$15:$B$18,0)),0))</f>
        <v>0</v>
      </c>
      <c r="AL128" s="24" t="str">
        <f aca="false">IF(X128="","",AG128+AH128+AI128+AJ128+AK128)</f>
        <v/>
      </c>
      <c r="AM128" s="22" t="str">
        <f aca="false">IF(X128="","",AL128*(Pengaturan!$B$6+Pengaturan!$B$7)+Pengaturan!$B$8+AE128*Pengaturan!$B$9+AF128*Pengaturan!$B$10)</f>
        <v/>
      </c>
      <c r="AN128" s="22" t="str">
        <f aca="false">IF(X128="","",N(G128)-AM128)</f>
        <v/>
      </c>
      <c r="AO128" s="25" t="str">
        <f aca="false">IF(OR(X128="",N(G128)=0),"",AN128/G128)</f>
        <v/>
      </c>
    </row>
    <row r="129" customFormat="false" ht="15" hidden="false" customHeight="false" outlineLevel="0" collapsed="false">
      <c r="A129" s="19"/>
      <c r="B129" s="20"/>
      <c r="C129" s="19"/>
      <c r="D129" s="19"/>
      <c r="E129" s="19"/>
      <c r="F129" s="19"/>
      <c r="G129" s="21"/>
      <c r="H129" s="19"/>
      <c r="I129" s="21"/>
      <c r="J129" s="19"/>
      <c r="K129" s="20"/>
      <c r="L129" s="20"/>
      <c r="M129" s="19"/>
      <c r="N129" s="19"/>
      <c r="O129" s="20"/>
      <c r="P129" s="20"/>
      <c r="Q129" s="19"/>
      <c r="R129" s="22" t="str">
        <f aca="false">IF(A129="","",N(G129)+N(I129))</f>
        <v/>
      </c>
      <c r="S129" s="23" t="str">
        <f aca="false">IF(OR(K129="",O129=""),"",O129-K129)</f>
        <v/>
      </c>
      <c r="T129" s="23" t="str">
        <f aca="true">IF(AND(C129="Cetak",L129&lt;&gt;"",L129&lt;TODAY()),"YA","")</f>
        <v/>
      </c>
      <c r="U129" s="23" t="str">
        <f aca="false">IF(B129="","",TEXT(B129,"yyyy-mm"))</f>
        <v/>
      </c>
      <c r="V129" s="23" t="str">
        <f aca="false">IF(K129="","",TEXT(K129,"yyyy-mm"))</f>
        <v/>
      </c>
      <c r="W129" s="23" t="n">
        <f aca="false">IF(OR(C129="Cetak",C129="Dikirim",C129="Selesai"),1,0)</f>
        <v>0</v>
      </c>
      <c r="X129" s="23" t="str">
        <f aca="false">IF(F129="","",SUBSTITUTE(SUBSTITUTE(MID(UPPER(TRIM(F129)),4,99),"-LED",""),"-TK",""))</f>
        <v/>
      </c>
      <c r="Y129" s="23" t="str">
        <f aca="false">IF(X129="","",(LEN(X129)+1)/7)</f>
        <v/>
      </c>
      <c r="Z129" s="23" t="str">
        <f aca="false">IF(X129="","",LEFT(X129,6))</f>
        <v/>
      </c>
      <c r="AA129" s="23" t="str">
        <f aca="false">IF(X129="","",IF(Y129&gt;=3,MID(X129,8,6),""))</f>
        <v/>
      </c>
      <c r="AB129" s="23" t="str">
        <f aca="false">IF(X129="","",IF(Y129&gt;=4,MID(X129,15,6),""))</f>
        <v/>
      </c>
      <c r="AC129" s="23" t="str">
        <f aca="false">IF(X129="","",IF(Y129&gt;=5,MID(X129,22,6),""))</f>
        <v/>
      </c>
      <c r="AD129" s="23" t="str">
        <f aca="false">IF(X129="","",RIGHT(X129,6))</f>
        <v/>
      </c>
      <c r="AE129" s="23" t="str">
        <f aca="false">IF(F129="","",IF(ISNUMBER(SEARCH("-TK",UPPER(F129))),0,1))</f>
        <v/>
      </c>
      <c r="AF129" s="23" t="str">
        <f aca="false">IF(F129="","",IF(ISNUMBER(SEARCH("-LED",UPPER(F129))),1,0))</f>
        <v/>
      </c>
      <c r="AG129" s="24" t="n">
        <f aca="false">IF(Z129="",0,IFERROR(INDEX(Resep!$C$5:$C$7,MATCH(LEFT(Z129,3),Resep!$B$5:$B$7,0)),0))</f>
        <v>0</v>
      </c>
      <c r="AH129" s="24" t="n">
        <f aca="false">IF(AA129="",0,IFERROR(INDEX(Resep!$C$9:$C$13,MATCH(LEFT(AA129,3),Resep!$B$9:$B$13,0)),0))</f>
        <v>0</v>
      </c>
      <c r="AI129" s="24" t="n">
        <f aca="false">IF(AB129="",0,IFERROR(INDEX(Resep!$C$9:$C$13,MATCH(LEFT(AB129,3),Resep!$B$9:$B$13,0)),0))</f>
        <v>0</v>
      </c>
      <c r="AJ129" s="24" t="n">
        <f aca="false">IF(AC129="",0,IFERROR(INDEX(Resep!$C$9:$C$13,MATCH(LEFT(AC129,3),Resep!$B$9:$B$13,0)),0))</f>
        <v>0</v>
      </c>
      <c r="AK129" s="24" t="n">
        <f aca="false">IF(AD129="",0,IFERROR(INDEX(Resep!$C$15:$C$18,MATCH(LEFT(AD129,3),Resep!$B$15:$B$18,0)),0))</f>
        <v>0</v>
      </c>
      <c r="AL129" s="24" t="str">
        <f aca="false">IF(X129="","",AG129+AH129+AI129+AJ129+AK129)</f>
        <v/>
      </c>
      <c r="AM129" s="22" t="str">
        <f aca="false">IF(X129="","",AL129*(Pengaturan!$B$6+Pengaturan!$B$7)+Pengaturan!$B$8+AE129*Pengaturan!$B$9+AF129*Pengaturan!$B$10)</f>
        <v/>
      </c>
      <c r="AN129" s="22" t="str">
        <f aca="false">IF(X129="","",N(G129)-AM129)</f>
        <v/>
      </c>
      <c r="AO129" s="25" t="str">
        <f aca="false">IF(OR(X129="",N(G129)=0),"",AN129/G129)</f>
        <v/>
      </c>
    </row>
    <row r="130" customFormat="false" ht="15" hidden="false" customHeight="false" outlineLevel="0" collapsed="false">
      <c r="A130" s="19"/>
      <c r="B130" s="20"/>
      <c r="C130" s="19"/>
      <c r="D130" s="19"/>
      <c r="E130" s="19"/>
      <c r="F130" s="19"/>
      <c r="G130" s="21"/>
      <c r="H130" s="19"/>
      <c r="I130" s="21"/>
      <c r="J130" s="19"/>
      <c r="K130" s="20"/>
      <c r="L130" s="20"/>
      <c r="M130" s="19"/>
      <c r="N130" s="19"/>
      <c r="O130" s="20"/>
      <c r="P130" s="20"/>
      <c r="Q130" s="19"/>
      <c r="R130" s="22" t="str">
        <f aca="false">IF(A130="","",N(G130)+N(I130))</f>
        <v/>
      </c>
      <c r="S130" s="23" t="str">
        <f aca="false">IF(OR(K130="",O130=""),"",O130-K130)</f>
        <v/>
      </c>
      <c r="T130" s="23" t="str">
        <f aca="true">IF(AND(C130="Cetak",L130&lt;&gt;"",L130&lt;TODAY()),"YA","")</f>
        <v/>
      </c>
      <c r="U130" s="23" t="str">
        <f aca="false">IF(B130="","",TEXT(B130,"yyyy-mm"))</f>
        <v/>
      </c>
      <c r="V130" s="23" t="str">
        <f aca="false">IF(K130="","",TEXT(K130,"yyyy-mm"))</f>
        <v/>
      </c>
      <c r="W130" s="23" t="n">
        <f aca="false">IF(OR(C130="Cetak",C130="Dikirim",C130="Selesai"),1,0)</f>
        <v>0</v>
      </c>
      <c r="X130" s="23" t="str">
        <f aca="false">IF(F130="","",SUBSTITUTE(SUBSTITUTE(MID(UPPER(TRIM(F130)),4,99),"-LED",""),"-TK",""))</f>
        <v/>
      </c>
      <c r="Y130" s="23" t="str">
        <f aca="false">IF(X130="","",(LEN(X130)+1)/7)</f>
        <v/>
      </c>
      <c r="Z130" s="23" t="str">
        <f aca="false">IF(X130="","",LEFT(X130,6))</f>
        <v/>
      </c>
      <c r="AA130" s="23" t="str">
        <f aca="false">IF(X130="","",IF(Y130&gt;=3,MID(X130,8,6),""))</f>
        <v/>
      </c>
      <c r="AB130" s="23" t="str">
        <f aca="false">IF(X130="","",IF(Y130&gt;=4,MID(X130,15,6),""))</f>
        <v/>
      </c>
      <c r="AC130" s="23" t="str">
        <f aca="false">IF(X130="","",IF(Y130&gt;=5,MID(X130,22,6),""))</f>
        <v/>
      </c>
      <c r="AD130" s="23" t="str">
        <f aca="false">IF(X130="","",RIGHT(X130,6))</f>
        <v/>
      </c>
      <c r="AE130" s="23" t="str">
        <f aca="false">IF(F130="","",IF(ISNUMBER(SEARCH("-TK",UPPER(F130))),0,1))</f>
        <v/>
      </c>
      <c r="AF130" s="23" t="str">
        <f aca="false">IF(F130="","",IF(ISNUMBER(SEARCH("-LED",UPPER(F130))),1,0))</f>
        <v/>
      </c>
      <c r="AG130" s="24" t="n">
        <f aca="false">IF(Z130="",0,IFERROR(INDEX(Resep!$C$5:$C$7,MATCH(LEFT(Z130,3),Resep!$B$5:$B$7,0)),0))</f>
        <v>0</v>
      </c>
      <c r="AH130" s="24" t="n">
        <f aca="false">IF(AA130="",0,IFERROR(INDEX(Resep!$C$9:$C$13,MATCH(LEFT(AA130,3),Resep!$B$9:$B$13,0)),0))</f>
        <v>0</v>
      </c>
      <c r="AI130" s="24" t="n">
        <f aca="false">IF(AB130="",0,IFERROR(INDEX(Resep!$C$9:$C$13,MATCH(LEFT(AB130,3),Resep!$B$9:$B$13,0)),0))</f>
        <v>0</v>
      </c>
      <c r="AJ130" s="24" t="n">
        <f aca="false">IF(AC130="",0,IFERROR(INDEX(Resep!$C$9:$C$13,MATCH(LEFT(AC130,3),Resep!$B$9:$B$13,0)),0))</f>
        <v>0</v>
      </c>
      <c r="AK130" s="24" t="n">
        <f aca="false">IF(AD130="",0,IFERROR(INDEX(Resep!$C$15:$C$18,MATCH(LEFT(AD130,3),Resep!$B$15:$B$18,0)),0))</f>
        <v>0</v>
      </c>
      <c r="AL130" s="24" t="str">
        <f aca="false">IF(X130="","",AG130+AH130+AI130+AJ130+AK130)</f>
        <v/>
      </c>
      <c r="AM130" s="22" t="str">
        <f aca="false">IF(X130="","",AL130*(Pengaturan!$B$6+Pengaturan!$B$7)+Pengaturan!$B$8+AE130*Pengaturan!$B$9+AF130*Pengaturan!$B$10)</f>
        <v/>
      </c>
      <c r="AN130" s="22" t="str">
        <f aca="false">IF(X130="","",N(G130)-AM130)</f>
        <v/>
      </c>
      <c r="AO130" s="25" t="str">
        <f aca="false">IF(OR(X130="",N(G130)=0),"",AN130/G130)</f>
        <v/>
      </c>
    </row>
    <row r="131" customFormat="false" ht="15" hidden="false" customHeight="false" outlineLevel="0" collapsed="false">
      <c r="A131" s="19"/>
      <c r="B131" s="20"/>
      <c r="C131" s="19"/>
      <c r="D131" s="19"/>
      <c r="E131" s="19"/>
      <c r="F131" s="19"/>
      <c r="G131" s="21"/>
      <c r="H131" s="19"/>
      <c r="I131" s="21"/>
      <c r="J131" s="19"/>
      <c r="K131" s="20"/>
      <c r="L131" s="20"/>
      <c r="M131" s="19"/>
      <c r="N131" s="19"/>
      <c r="O131" s="20"/>
      <c r="P131" s="20"/>
      <c r="Q131" s="19"/>
      <c r="R131" s="22" t="str">
        <f aca="false">IF(A131="","",N(G131)+N(I131))</f>
        <v/>
      </c>
      <c r="S131" s="23" t="str">
        <f aca="false">IF(OR(K131="",O131=""),"",O131-K131)</f>
        <v/>
      </c>
      <c r="T131" s="23" t="str">
        <f aca="true">IF(AND(C131="Cetak",L131&lt;&gt;"",L131&lt;TODAY()),"YA","")</f>
        <v/>
      </c>
      <c r="U131" s="23" t="str">
        <f aca="false">IF(B131="","",TEXT(B131,"yyyy-mm"))</f>
        <v/>
      </c>
      <c r="V131" s="23" t="str">
        <f aca="false">IF(K131="","",TEXT(K131,"yyyy-mm"))</f>
        <v/>
      </c>
      <c r="W131" s="23" t="n">
        <f aca="false">IF(OR(C131="Cetak",C131="Dikirim",C131="Selesai"),1,0)</f>
        <v>0</v>
      </c>
      <c r="X131" s="23" t="str">
        <f aca="false">IF(F131="","",SUBSTITUTE(SUBSTITUTE(MID(UPPER(TRIM(F131)),4,99),"-LED",""),"-TK",""))</f>
        <v/>
      </c>
      <c r="Y131" s="23" t="str">
        <f aca="false">IF(X131="","",(LEN(X131)+1)/7)</f>
        <v/>
      </c>
      <c r="Z131" s="23" t="str">
        <f aca="false">IF(X131="","",LEFT(X131,6))</f>
        <v/>
      </c>
      <c r="AA131" s="23" t="str">
        <f aca="false">IF(X131="","",IF(Y131&gt;=3,MID(X131,8,6),""))</f>
        <v/>
      </c>
      <c r="AB131" s="23" t="str">
        <f aca="false">IF(X131="","",IF(Y131&gt;=4,MID(X131,15,6),""))</f>
        <v/>
      </c>
      <c r="AC131" s="23" t="str">
        <f aca="false">IF(X131="","",IF(Y131&gt;=5,MID(X131,22,6),""))</f>
        <v/>
      </c>
      <c r="AD131" s="23" t="str">
        <f aca="false">IF(X131="","",RIGHT(X131,6))</f>
        <v/>
      </c>
      <c r="AE131" s="23" t="str">
        <f aca="false">IF(F131="","",IF(ISNUMBER(SEARCH("-TK",UPPER(F131))),0,1))</f>
        <v/>
      </c>
      <c r="AF131" s="23" t="str">
        <f aca="false">IF(F131="","",IF(ISNUMBER(SEARCH("-LED",UPPER(F131))),1,0))</f>
        <v/>
      </c>
      <c r="AG131" s="24" t="n">
        <f aca="false">IF(Z131="",0,IFERROR(INDEX(Resep!$C$5:$C$7,MATCH(LEFT(Z131,3),Resep!$B$5:$B$7,0)),0))</f>
        <v>0</v>
      </c>
      <c r="AH131" s="24" t="n">
        <f aca="false">IF(AA131="",0,IFERROR(INDEX(Resep!$C$9:$C$13,MATCH(LEFT(AA131,3),Resep!$B$9:$B$13,0)),0))</f>
        <v>0</v>
      </c>
      <c r="AI131" s="24" t="n">
        <f aca="false">IF(AB131="",0,IFERROR(INDEX(Resep!$C$9:$C$13,MATCH(LEFT(AB131,3),Resep!$B$9:$B$13,0)),0))</f>
        <v>0</v>
      </c>
      <c r="AJ131" s="24" t="n">
        <f aca="false">IF(AC131="",0,IFERROR(INDEX(Resep!$C$9:$C$13,MATCH(LEFT(AC131,3),Resep!$B$9:$B$13,0)),0))</f>
        <v>0</v>
      </c>
      <c r="AK131" s="24" t="n">
        <f aca="false">IF(AD131="",0,IFERROR(INDEX(Resep!$C$15:$C$18,MATCH(LEFT(AD131,3),Resep!$B$15:$B$18,0)),0))</f>
        <v>0</v>
      </c>
      <c r="AL131" s="24" t="str">
        <f aca="false">IF(X131="","",AG131+AH131+AI131+AJ131+AK131)</f>
        <v/>
      </c>
      <c r="AM131" s="22" t="str">
        <f aca="false">IF(X131="","",AL131*(Pengaturan!$B$6+Pengaturan!$B$7)+Pengaturan!$B$8+AE131*Pengaturan!$B$9+AF131*Pengaturan!$B$10)</f>
        <v/>
      </c>
      <c r="AN131" s="22" t="str">
        <f aca="false">IF(X131="","",N(G131)-AM131)</f>
        <v/>
      </c>
      <c r="AO131" s="25" t="str">
        <f aca="false">IF(OR(X131="",N(G131)=0),"",AN131/G131)</f>
        <v/>
      </c>
    </row>
    <row r="132" customFormat="false" ht="15" hidden="false" customHeight="false" outlineLevel="0" collapsed="false">
      <c r="A132" s="19"/>
      <c r="B132" s="20"/>
      <c r="C132" s="19"/>
      <c r="D132" s="19"/>
      <c r="E132" s="19"/>
      <c r="F132" s="19"/>
      <c r="G132" s="21"/>
      <c r="H132" s="19"/>
      <c r="I132" s="21"/>
      <c r="J132" s="19"/>
      <c r="K132" s="20"/>
      <c r="L132" s="20"/>
      <c r="M132" s="19"/>
      <c r="N132" s="19"/>
      <c r="O132" s="20"/>
      <c r="P132" s="20"/>
      <c r="Q132" s="19"/>
      <c r="R132" s="22" t="str">
        <f aca="false">IF(A132="","",N(G132)+N(I132))</f>
        <v/>
      </c>
      <c r="S132" s="23" t="str">
        <f aca="false">IF(OR(K132="",O132=""),"",O132-K132)</f>
        <v/>
      </c>
      <c r="T132" s="23" t="str">
        <f aca="true">IF(AND(C132="Cetak",L132&lt;&gt;"",L132&lt;TODAY()),"YA","")</f>
        <v/>
      </c>
      <c r="U132" s="23" t="str">
        <f aca="false">IF(B132="","",TEXT(B132,"yyyy-mm"))</f>
        <v/>
      </c>
      <c r="V132" s="23" t="str">
        <f aca="false">IF(K132="","",TEXT(K132,"yyyy-mm"))</f>
        <v/>
      </c>
      <c r="W132" s="23" t="n">
        <f aca="false">IF(OR(C132="Cetak",C132="Dikirim",C132="Selesai"),1,0)</f>
        <v>0</v>
      </c>
      <c r="X132" s="23" t="str">
        <f aca="false">IF(F132="","",SUBSTITUTE(SUBSTITUTE(MID(UPPER(TRIM(F132)),4,99),"-LED",""),"-TK",""))</f>
        <v/>
      </c>
      <c r="Y132" s="23" t="str">
        <f aca="false">IF(X132="","",(LEN(X132)+1)/7)</f>
        <v/>
      </c>
      <c r="Z132" s="23" t="str">
        <f aca="false">IF(X132="","",LEFT(X132,6))</f>
        <v/>
      </c>
      <c r="AA132" s="23" t="str">
        <f aca="false">IF(X132="","",IF(Y132&gt;=3,MID(X132,8,6),""))</f>
        <v/>
      </c>
      <c r="AB132" s="23" t="str">
        <f aca="false">IF(X132="","",IF(Y132&gt;=4,MID(X132,15,6),""))</f>
        <v/>
      </c>
      <c r="AC132" s="23" t="str">
        <f aca="false">IF(X132="","",IF(Y132&gt;=5,MID(X132,22,6),""))</f>
        <v/>
      </c>
      <c r="AD132" s="23" t="str">
        <f aca="false">IF(X132="","",RIGHT(X132,6))</f>
        <v/>
      </c>
      <c r="AE132" s="23" t="str">
        <f aca="false">IF(F132="","",IF(ISNUMBER(SEARCH("-TK",UPPER(F132))),0,1))</f>
        <v/>
      </c>
      <c r="AF132" s="23" t="str">
        <f aca="false">IF(F132="","",IF(ISNUMBER(SEARCH("-LED",UPPER(F132))),1,0))</f>
        <v/>
      </c>
      <c r="AG132" s="24" t="n">
        <f aca="false">IF(Z132="",0,IFERROR(INDEX(Resep!$C$5:$C$7,MATCH(LEFT(Z132,3),Resep!$B$5:$B$7,0)),0))</f>
        <v>0</v>
      </c>
      <c r="AH132" s="24" t="n">
        <f aca="false">IF(AA132="",0,IFERROR(INDEX(Resep!$C$9:$C$13,MATCH(LEFT(AA132,3),Resep!$B$9:$B$13,0)),0))</f>
        <v>0</v>
      </c>
      <c r="AI132" s="24" t="n">
        <f aca="false">IF(AB132="",0,IFERROR(INDEX(Resep!$C$9:$C$13,MATCH(LEFT(AB132,3),Resep!$B$9:$B$13,0)),0))</f>
        <v>0</v>
      </c>
      <c r="AJ132" s="24" t="n">
        <f aca="false">IF(AC132="",0,IFERROR(INDEX(Resep!$C$9:$C$13,MATCH(LEFT(AC132,3),Resep!$B$9:$B$13,0)),0))</f>
        <v>0</v>
      </c>
      <c r="AK132" s="24" t="n">
        <f aca="false">IF(AD132="",0,IFERROR(INDEX(Resep!$C$15:$C$18,MATCH(LEFT(AD132,3),Resep!$B$15:$B$18,0)),0))</f>
        <v>0</v>
      </c>
      <c r="AL132" s="24" t="str">
        <f aca="false">IF(X132="","",AG132+AH132+AI132+AJ132+AK132)</f>
        <v/>
      </c>
      <c r="AM132" s="22" t="str">
        <f aca="false">IF(X132="","",AL132*(Pengaturan!$B$6+Pengaturan!$B$7)+Pengaturan!$B$8+AE132*Pengaturan!$B$9+AF132*Pengaturan!$B$10)</f>
        <v/>
      </c>
      <c r="AN132" s="22" t="str">
        <f aca="false">IF(X132="","",N(G132)-AM132)</f>
        <v/>
      </c>
      <c r="AO132" s="25" t="str">
        <f aca="false">IF(OR(X132="",N(G132)=0),"",AN132/G132)</f>
        <v/>
      </c>
    </row>
    <row r="133" customFormat="false" ht="15" hidden="false" customHeight="false" outlineLevel="0" collapsed="false">
      <c r="A133" s="19"/>
      <c r="B133" s="20"/>
      <c r="C133" s="19"/>
      <c r="D133" s="19"/>
      <c r="E133" s="19"/>
      <c r="F133" s="19"/>
      <c r="G133" s="21"/>
      <c r="H133" s="19"/>
      <c r="I133" s="21"/>
      <c r="J133" s="19"/>
      <c r="K133" s="20"/>
      <c r="L133" s="20"/>
      <c r="M133" s="19"/>
      <c r="N133" s="19"/>
      <c r="O133" s="20"/>
      <c r="P133" s="20"/>
      <c r="Q133" s="19"/>
      <c r="R133" s="22" t="str">
        <f aca="false">IF(A133="","",N(G133)+N(I133))</f>
        <v/>
      </c>
      <c r="S133" s="23" t="str">
        <f aca="false">IF(OR(K133="",O133=""),"",O133-K133)</f>
        <v/>
      </c>
      <c r="T133" s="23" t="str">
        <f aca="true">IF(AND(C133="Cetak",L133&lt;&gt;"",L133&lt;TODAY()),"YA","")</f>
        <v/>
      </c>
      <c r="U133" s="23" t="str">
        <f aca="false">IF(B133="","",TEXT(B133,"yyyy-mm"))</f>
        <v/>
      </c>
      <c r="V133" s="23" t="str">
        <f aca="false">IF(K133="","",TEXT(K133,"yyyy-mm"))</f>
        <v/>
      </c>
      <c r="W133" s="23" t="n">
        <f aca="false">IF(OR(C133="Cetak",C133="Dikirim",C133="Selesai"),1,0)</f>
        <v>0</v>
      </c>
      <c r="X133" s="23" t="str">
        <f aca="false">IF(F133="","",SUBSTITUTE(SUBSTITUTE(MID(UPPER(TRIM(F133)),4,99),"-LED",""),"-TK",""))</f>
        <v/>
      </c>
      <c r="Y133" s="23" t="str">
        <f aca="false">IF(X133="","",(LEN(X133)+1)/7)</f>
        <v/>
      </c>
      <c r="Z133" s="23" t="str">
        <f aca="false">IF(X133="","",LEFT(X133,6))</f>
        <v/>
      </c>
      <c r="AA133" s="23" t="str">
        <f aca="false">IF(X133="","",IF(Y133&gt;=3,MID(X133,8,6),""))</f>
        <v/>
      </c>
      <c r="AB133" s="23" t="str">
        <f aca="false">IF(X133="","",IF(Y133&gt;=4,MID(X133,15,6),""))</f>
        <v/>
      </c>
      <c r="AC133" s="23" t="str">
        <f aca="false">IF(X133="","",IF(Y133&gt;=5,MID(X133,22,6),""))</f>
        <v/>
      </c>
      <c r="AD133" s="23" t="str">
        <f aca="false">IF(X133="","",RIGHT(X133,6))</f>
        <v/>
      </c>
      <c r="AE133" s="23" t="str">
        <f aca="false">IF(F133="","",IF(ISNUMBER(SEARCH("-TK",UPPER(F133))),0,1))</f>
        <v/>
      </c>
      <c r="AF133" s="23" t="str">
        <f aca="false">IF(F133="","",IF(ISNUMBER(SEARCH("-LED",UPPER(F133))),1,0))</f>
        <v/>
      </c>
      <c r="AG133" s="24" t="n">
        <f aca="false">IF(Z133="",0,IFERROR(INDEX(Resep!$C$5:$C$7,MATCH(LEFT(Z133,3),Resep!$B$5:$B$7,0)),0))</f>
        <v>0</v>
      </c>
      <c r="AH133" s="24" t="n">
        <f aca="false">IF(AA133="",0,IFERROR(INDEX(Resep!$C$9:$C$13,MATCH(LEFT(AA133,3),Resep!$B$9:$B$13,0)),0))</f>
        <v>0</v>
      </c>
      <c r="AI133" s="24" t="n">
        <f aca="false">IF(AB133="",0,IFERROR(INDEX(Resep!$C$9:$C$13,MATCH(LEFT(AB133,3),Resep!$B$9:$B$13,0)),0))</f>
        <v>0</v>
      </c>
      <c r="AJ133" s="24" t="n">
        <f aca="false">IF(AC133="",0,IFERROR(INDEX(Resep!$C$9:$C$13,MATCH(LEFT(AC133,3),Resep!$B$9:$B$13,0)),0))</f>
        <v>0</v>
      </c>
      <c r="AK133" s="24" t="n">
        <f aca="false">IF(AD133="",0,IFERROR(INDEX(Resep!$C$15:$C$18,MATCH(LEFT(AD133,3),Resep!$B$15:$B$18,0)),0))</f>
        <v>0</v>
      </c>
      <c r="AL133" s="24" t="str">
        <f aca="false">IF(X133="","",AG133+AH133+AI133+AJ133+AK133)</f>
        <v/>
      </c>
      <c r="AM133" s="22" t="str">
        <f aca="false">IF(X133="","",AL133*(Pengaturan!$B$6+Pengaturan!$B$7)+Pengaturan!$B$8+AE133*Pengaturan!$B$9+AF133*Pengaturan!$B$10)</f>
        <v/>
      </c>
      <c r="AN133" s="22" t="str">
        <f aca="false">IF(X133="","",N(G133)-AM133)</f>
        <v/>
      </c>
      <c r="AO133" s="25" t="str">
        <f aca="false">IF(OR(X133="",N(G133)=0),"",AN133/G133)</f>
        <v/>
      </c>
    </row>
    <row r="134" customFormat="false" ht="15" hidden="false" customHeight="false" outlineLevel="0" collapsed="false">
      <c r="A134" s="19"/>
      <c r="B134" s="20"/>
      <c r="C134" s="19"/>
      <c r="D134" s="19"/>
      <c r="E134" s="19"/>
      <c r="F134" s="19"/>
      <c r="G134" s="21"/>
      <c r="H134" s="19"/>
      <c r="I134" s="21"/>
      <c r="J134" s="19"/>
      <c r="K134" s="20"/>
      <c r="L134" s="20"/>
      <c r="M134" s="19"/>
      <c r="N134" s="19"/>
      <c r="O134" s="20"/>
      <c r="P134" s="20"/>
      <c r="Q134" s="19"/>
      <c r="R134" s="22" t="str">
        <f aca="false">IF(A134="","",N(G134)+N(I134))</f>
        <v/>
      </c>
      <c r="S134" s="23" t="str">
        <f aca="false">IF(OR(K134="",O134=""),"",O134-K134)</f>
        <v/>
      </c>
      <c r="T134" s="23" t="str">
        <f aca="true">IF(AND(C134="Cetak",L134&lt;&gt;"",L134&lt;TODAY()),"YA","")</f>
        <v/>
      </c>
      <c r="U134" s="23" t="str">
        <f aca="false">IF(B134="","",TEXT(B134,"yyyy-mm"))</f>
        <v/>
      </c>
      <c r="V134" s="23" t="str">
        <f aca="false">IF(K134="","",TEXT(K134,"yyyy-mm"))</f>
        <v/>
      </c>
      <c r="W134" s="23" t="n">
        <f aca="false">IF(OR(C134="Cetak",C134="Dikirim",C134="Selesai"),1,0)</f>
        <v>0</v>
      </c>
      <c r="X134" s="23" t="str">
        <f aca="false">IF(F134="","",SUBSTITUTE(SUBSTITUTE(MID(UPPER(TRIM(F134)),4,99),"-LED",""),"-TK",""))</f>
        <v/>
      </c>
      <c r="Y134" s="23" t="str">
        <f aca="false">IF(X134="","",(LEN(X134)+1)/7)</f>
        <v/>
      </c>
      <c r="Z134" s="23" t="str">
        <f aca="false">IF(X134="","",LEFT(X134,6))</f>
        <v/>
      </c>
      <c r="AA134" s="23" t="str">
        <f aca="false">IF(X134="","",IF(Y134&gt;=3,MID(X134,8,6),""))</f>
        <v/>
      </c>
      <c r="AB134" s="23" t="str">
        <f aca="false">IF(X134="","",IF(Y134&gt;=4,MID(X134,15,6),""))</f>
        <v/>
      </c>
      <c r="AC134" s="23" t="str">
        <f aca="false">IF(X134="","",IF(Y134&gt;=5,MID(X134,22,6),""))</f>
        <v/>
      </c>
      <c r="AD134" s="23" t="str">
        <f aca="false">IF(X134="","",RIGHT(X134,6))</f>
        <v/>
      </c>
      <c r="AE134" s="23" t="str">
        <f aca="false">IF(F134="","",IF(ISNUMBER(SEARCH("-TK",UPPER(F134))),0,1))</f>
        <v/>
      </c>
      <c r="AF134" s="23" t="str">
        <f aca="false">IF(F134="","",IF(ISNUMBER(SEARCH("-LED",UPPER(F134))),1,0))</f>
        <v/>
      </c>
      <c r="AG134" s="24" t="n">
        <f aca="false">IF(Z134="",0,IFERROR(INDEX(Resep!$C$5:$C$7,MATCH(LEFT(Z134,3),Resep!$B$5:$B$7,0)),0))</f>
        <v>0</v>
      </c>
      <c r="AH134" s="24" t="n">
        <f aca="false">IF(AA134="",0,IFERROR(INDEX(Resep!$C$9:$C$13,MATCH(LEFT(AA134,3),Resep!$B$9:$B$13,0)),0))</f>
        <v>0</v>
      </c>
      <c r="AI134" s="24" t="n">
        <f aca="false">IF(AB134="",0,IFERROR(INDEX(Resep!$C$9:$C$13,MATCH(LEFT(AB134,3),Resep!$B$9:$B$13,0)),0))</f>
        <v>0</v>
      </c>
      <c r="AJ134" s="24" t="n">
        <f aca="false">IF(AC134="",0,IFERROR(INDEX(Resep!$C$9:$C$13,MATCH(LEFT(AC134,3),Resep!$B$9:$B$13,0)),0))</f>
        <v>0</v>
      </c>
      <c r="AK134" s="24" t="n">
        <f aca="false">IF(AD134="",0,IFERROR(INDEX(Resep!$C$15:$C$18,MATCH(LEFT(AD134,3),Resep!$B$15:$B$18,0)),0))</f>
        <v>0</v>
      </c>
      <c r="AL134" s="24" t="str">
        <f aca="false">IF(X134="","",AG134+AH134+AI134+AJ134+AK134)</f>
        <v/>
      </c>
      <c r="AM134" s="22" t="str">
        <f aca="false">IF(X134="","",AL134*(Pengaturan!$B$6+Pengaturan!$B$7)+Pengaturan!$B$8+AE134*Pengaturan!$B$9+AF134*Pengaturan!$B$10)</f>
        <v/>
      </c>
      <c r="AN134" s="22" t="str">
        <f aca="false">IF(X134="","",N(G134)-AM134)</f>
        <v/>
      </c>
      <c r="AO134" s="25" t="str">
        <f aca="false">IF(OR(X134="",N(G134)=0),"",AN134/G134)</f>
        <v/>
      </c>
    </row>
    <row r="135" customFormat="false" ht="15" hidden="false" customHeight="false" outlineLevel="0" collapsed="false">
      <c r="A135" s="19"/>
      <c r="B135" s="20"/>
      <c r="C135" s="19"/>
      <c r="D135" s="19"/>
      <c r="E135" s="19"/>
      <c r="F135" s="19"/>
      <c r="G135" s="21"/>
      <c r="H135" s="19"/>
      <c r="I135" s="21"/>
      <c r="J135" s="19"/>
      <c r="K135" s="20"/>
      <c r="L135" s="20"/>
      <c r="M135" s="19"/>
      <c r="N135" s="19"/>
      <c r="O135" s="20"/>
      <c r="P135" s="20"/>
      <c r="Q135" s="19"/>
      <c r="R135" s="22" t="str">
        <f aca="false">IF(A135="","",N(G135)+N(I135))</f>
        <v/>
      </c>
      <c r="S135" s="23" t="str">
        <f aca="false">IF(OR(K135="",O135=""),"",O135-K135)</f>
        <v/>
      </c>
      <c r="T135" s="23" t="str">
        <f aca="true">IF(AND(C135="Cetak",L135&lt;&gt;"",L135&lt;TODAY()),"YA","")</f>
        <v/>
      </c>
      <c r="U135" s="23" t="str">
        <f aca="false">IF(B135="","",TEXT(B135,"yyyy-mm"))</f>
        <v/>
      </c>
      <c r="V135" s="23" t="str">
        <f aca="false">IF(K135="","",TEXT(K135,"yyyy-mm"))</f>
        <v/>
      </c>
      <c r="W135" s="23" t="n">
        <f aca="false">IF(OR(C135="Cetak",C135="Dikirim",C135="Selesai"),1,0)</f>
        <v>0</v>
      </c>
      <c r="X135" s="23" t="str">
        <f aca="false">IF(F135="","",SUBSTITUTE(SUBSTITUTE(MID(UPPER(TRIM(F135)),4,99),"-LED",""),"-TK",""))</f>
        <v/>
      </c>
      <c r="Y135" s="23" t="str">
        <f aca="false">IF(X135="","",(LEN(X135)+1)/7)</f>
        <v/>
      </c>
      <c r="Z135" s="23" t="str">
        <f aca="false">IF(X135="","",LEFT(X135,6))</f>
        <v/>
      </c>
      <c r="AA135" s="23" t="str">
        <f aca="false">IF(X135="","",IF(Y135&gt;=3,MID(X135,8,6),""))</f>
        <v/>
      </c>
      <c r="AB135" s="23" t="str">
        <f aca="false">IF(X135="","",IF(Y135&gt;=4,MID(X135,15,6),""))</f>
        <v/>
      </c>
      <c r="AC135" s="23" t="str">
        <f aca="false">IF(X135="","",IF(Y135&gt;=5,MID(X135,22,6),""))</f>
        <v/>
      </c>
      <c r="AD135" s="23" t="str">
        <f aca="false">IF(X135="","",RIGHT(X135,6))</f>
        <v/>
      </c>
      <c r="AE135" s="23" t="str">
        <f aca="false">IF(F135="","",IF(ISNUMBER(SEARCH("-TK",UPPER(F135))),0,1))</f>
        <v/>
      </c>
      <c r="AF135" s="23" t="str">
        <f aca="false">IF(F135="","",IF(ISNUMBER(SEARCH("-LED",UPPER(F135))),1,0))</f>
        <v/>
      </c>
      <c r="AG135" s="24" t="n">
        <f aca="false">IF(Z135="",0,IFERROR(INDEX(Resep!$C$5:$C$7,MATCH(LEFT(Z135,3),Resep!$B$5:$B$7,0)),0))</f>
        <v>0</v>
      </c>
      <c r="AH135" s="24" t="n">
        <f aca="false">IF(AA135="",0,IFERROR(INDEX(Resep!$C$9:$C$13,MATCH(LEFT(AA135,3),Resep!$B$9:$B$13,0)),0))</f>
        <v>0</v>
      </c>
      <c r="AI135" s="24" t="n">
        <f aca="false">IF(AB135="",0,IFERROR(INDEX(Resep!$C$9:$C$13,MATCH(LEFT(AB135,3),Resep!$B$9:$B$13,0)),0))</f>
        <v>0</v>
      </c>
      <c r="AJ135" s="24" t="n">
        <f aca="false">IF(AC135="",0,IFERROR(INDEX(Resep!$C$9:$C$13,MATCH(LEFT(AC135,3),Resep!$B$9:$B$13,0)),0))</f>
        <v>0</v>
      </c>
      <c r="AK135" s="24" t="n">
        <f aca="false">IF(AD135="",0,IFERROR(INDEX(Resep!$C$15:$C$18,MATCH(LEFT(AD135,3),Resep!$B$15:$B$18,0)),0))</f>
        <v>0</v>
      </c>
      <c r="AL135" s="24" t="str">
        <f aca="false">IF(X135="","",AG135+AH135+AI135+AJ135+AK135)</f>
        <v/>
      </c>
      <c r="AM135" s="22" t="str">
        <f aca="false">IF(X135="","",AL135*(Pengaturan!$B$6+Pengaturan!$B$7)+Pengaturan!$B$8+AE135*Pengaturan!$B$9+AF135*Pengaturan!$B$10)</f>
        <v/>
      </c>
      <c r="AN135" s="22" t="str">
        <f aca="false">IF(X135="","",N(G135)-AM135)</f>
        <v/>
      </c>
      <c r="AO135" s="25" t="str">
        <f aca="false">IF(OR(X135="",N(G135)=0),"",AN135/G135)</f>
        <v/>
      </c>
    </row>
    <row r="136" customFormat="false" ht="15" hidden="false" customHeight="false" outlineLevel="0" collapsed="false">
      <c r="A136" s="19"/>
      <c r="B136" s="20"/>
      <c r="C136" s="19"/>
      <c r="D136" s="19"/>
      <c r="E136" s="19"/>
      <c r="F136" s="19"/>
      <c r="G136" s="21"/>
      <c r="H136" s="19"/>
      <c r="I136" s="21"/>
      <c r="J136" s="19"/>
      <c r="K136" s="20"/>
      <c r="L136" s="20"/>
      <c r="M136" s="19"/>
      <c r="N136" s="19"/>
      <c r="O136" s="20"/>
      <c r="P136" s="20"/>
      <c r="Q136" s="19"/>
      <c r="R136" s="22" t="str">
        <f aca="false">IF(A136="","",N(G136)+N(I136))</f>
        <v/>
      </c>
      <c r="S136" s="23" t="str">
        <f aca="false">IF(OR(K136="",O136=""),"",O136-K136)</f>
        <v/>
      </c>
      <c r="T136" s="23" t="str">
        <f aca="true">IF(AND(C136="Cetak",L136&lt;&gt;"",L136&lt;TODAY()),"YA","")</f>
        <v/>
      </c>
      <c r="U136" s="23" t="str">
        <f aca="false">IF(B136="","",TEXT(B136,"yyyy-mm"))</f>
        <v/>
      </c>
      <c r="V136" s="23" t="str">
        <f aca="false">IF(K136="","",TEXT(K136,"yyyy-mm"))</f>
        <v/>
      </c>
      <c r="W136" s="23" t="n">
        <f aca="false">IF(OR(C136="Cetak",C136="Dikirim",C136="Selesai"),1,0)</f>
        <v>0</v>
      </c>
      <c r="X136" s="23" t="str">
        <f aca="false">IF(F136="","",SUBSTITUTE(SUBSTITUTE(MID(UPPER(TRIM(F136)),4,99),"-LED",""),"-TK",""))</f>
        <v/>
      </c>
      <c r="Y136" s="23" t="str">
        <f aca="false">IF(X136="","",(LEN(X136)+1)/7)</f>
        <v/>
      </c>
      <c r="Z136" s="23" t="str">
        <f aca="false">IF(X136="","",LEFT(X136,6))</f>
        <v/>
      </c>
      <c r="AA136" s="23" t="str">
        <f aca="false">IF(X136="","",IF(Y136&gt;=3,MID(X136,8,6),""))</f>
        <v/>
      </c>
      <c r="AB136" s="23" t="str">
        <f aca="false">IF(X136="","",IF(Y136&gt;=4,MID(X136,15,6),""))</f>
        <v/>
      </c>
      <c r="AC136" s="23" t="str">
        <f aca="false">IF(X136="","",IF(Y136&gt;=5,MID(X136,22,6),""))</f>
        <v/>
      </c>
      <c r="AD136" s="23" t="str">
        <f aca="false">IF(X136="","",RIGHT(X136,6))</f>
        <v/>
      </c>
      <c r="AE136" s="23" t="str">
        <f aca="false">IF(F136="","",IF(ISNUMBER(SEARCH("-TK",UPPER(F136))),0,1))</f>
        <v/>
      </c>
      <c r="AF136" s="23" t="str">
        <f aca="false">IF(F136="","",IF(ISNUMBER(SEARCH("-LED",UPPER(F136))),1,0))</f>
        <v/>
      </c>
      <c r="AG136" s="24" t="n">
        <f aca="false">IF(Z136="",0,IFERROR(INDEX(Resep!$C$5:$C$7,MATCH(LEFT(Z136,3),Resep!$B$5:$B$7,0)),0))</f>
        <v>0</v>
      </c>
      <c r="AH136" s="24" t="n">
        <f aca="false">IF(AA136="",0,IFERROR(INDEX(Resep!$C$9:$C$13,MATCH(LEFT(AA136,3),Resep!$B$9:$B$13,0)),0))</f>
        <v>0</v>
      </c>
      <c r="AI136" s="24" t="n">
        <f aca="false">IF(AB136="",0,IFERROR(INDEX(Resep!$C$9:$C$13,MATCH(LEFT(AB136,3),Resep!$B$9:$B$13,0)),0))</f>
        <v>0</v>
      </c>
      <c r="AJ136" s="24" t="n">
        <f aca="false">IF(AC136="",0,IFERROR(INDEX(Resep!$C$9:$C$13,MATCH(LEFT(AC136,3),Resep!$B$9:$B$13,0)),0))</f>
        <v>0</v>
      </c>
      <c r="AK136" s="24" t="n">
        <f aca="false">IF(AD136="",0,IFERROR(INDEX(Resep!$C$15:$C$18,MATCH(LEFT(AD136,3),Resep!$B$15:$B$18,0)),0))</f>
        <v>0</v>
      </c>
      <c r="AL136" s="24" t="str">
        <f aca="false">IF(X136="","",AG136+AH136+AI136+AJ136+AK136)</f>
        <v/>
      </c>
      <c r="AM136" s="22" t="str">
        <f aca="false">IF(X136="","",AL136*(Pengaturan!$B$6+Pengaturan!$B$7)+Pengaturan!$B$8+AE136*Pengaturan!$B$9+AF136*Pengaturan!$B$10)</f>
        <v/>
      </c>
      <c r="AN136" s="22" t="str">
        <f aca="false">IF(X136="","",N(G136)-AM136)</f>
        <v/>
      </c>
      <c r="AO136" s="25" t="str">
        <f aca="false">IF(OR(X136="",N(G136)=0),"",AN136/G136)</f>
        <v/>
      </c>
    </row>
    <row r="137" customFormat="false" ht="15" hidden="false" customHeight="false" outlineLevel="0" collapsed="false">
      <c r="A137" s="19"/>
      <c r="B137" s="20"/>
      <c r="C137" s="19"/>
      <c r="D137" s="19"/>
      <c r="E137" s="19"/>
      <c r="F137" s="19"/>
      <c r="G137" s="21"/>
      <c r="H137" s="19"/>
      <c r="I137" s="21"/>
      <c r="J137" s="19"/>
      <c r="K137" s="20"/>
      <c r="L137" s="20"/>
      <c r="M137" s="19"/>
      <c r="N137" s="19"/>
      <c r="O137" s="20"/>
      <c r="P137" s="20"/>
      <c r="Q137" s="19"/>
      <c r="R137" s="22" t="str">
        <f aca="false">IF(A137="","",N(G137)+N(I137))</f>
        <v/>
      </c>
      <c r="S137" s="23" t="str">
        <f aca="false">IF(OR(K137="",O137=""),"",O137-K137)</f>
        <v/>
      </c>
      <c r="T137" s="23" t="str">
        <f aca="true">IF(AND(C137="Cetak",L137&lt;&gt;"",L137&lt;TODAY()),"YA","")</f>
        <v/>
      </c>
      <c r="U137" s="23" t="str">
        <f aca="false">IF(B137="","",TEXT(B137,"yyyy-mm"))</f>
        <v/>
      </c>
      <c r="V137" s="23" t="str">
        <f aca="false">IF(K137="","",TEXT(K137,"yyyy-mm"))</f>
        <v/>
      </c>
      <c r="W137" s="23" t="n">
        <f aca="false">IF(OR(C137="Cetak",C137="Dikirim",C137="Selesai"),1,0)</f>
        <v>0</v>
      </c>
      <c r="X137" s="23" t="str">
        <f aca="false">IF(F137="","",SUBSTITUTE(SUBSTITUTE(MID(UPPER(TRIM(F137)),4,99),"-LED",""),"-TK",""))</f>
        <v/>
      </c>
      <c r="Y137" s="23" t="str">
        <f aca="false">IF(X137="","",(LEN(X137)+1)/7)</f>
        <v/>
      </c>
      <c r="Z137" s="23" t="str">
        <f aca="false">IF(X137="","",LEFT(X137,6))</f>
        <v/>
      </c>
      <c r="AA137" s="23" t="str">
        <f aca="false">IF(X137="","",IF(Y137&gt;=3,MID(X137,8,6),""))</f>
        <v/>
      </c>
      <c r="AB137" s="23" t="str">
        <f aca="false">IF(X137="","",IF(Y137&gt;=4,MID(X137,15,6),""))</f>
        <v/>
      </c>
      <c r="AC137" s="23" t="str">
        <f aca="false">IF(X137="","",IF(Y137&gt;=5,MID(X137,22,6),""))</f>
        <v/>
      </c>
      <c r="AD137" s="23" t="str">
        <f aca="false">IF(X137="","",RIGHT(X137,6))</f>
        <v/>
      </c>
      <c r="AE137" s="23" t="str">
        <f aca="false">IF(F137="","",IF(ISNUMBER(SEARCH("-TK",UPPER(F137))),0,1))</f>
        <v/>
      </c>
      <c r="AF137" s="23" t="str">
        <f aca="false">IF(F137="","",IF(ISNUMBER(SEARCH("-LED",UPPER(F137))),1,0))</f>
        <v/>
      </c>
      <c r="AG137" s="24" t="n">
        <f aca="false">IF(Z137="",0,IFERROR(INDEX(Resep!$C$5:$C$7,MATCH(LEFT(Z137,3),Resep!$B$5:$B$7,0)),0))</f>
        <v>0</v>
      </c>
      <c r="AH137" s="24" t="n">
        <f aca="false">IF(AA137="",0,IFERROR(INDEX(Resep!$C$9:$C$13,MATCH(LEFT(AA137,3),Resep!$B$9:$B$13,0)),0))</f>
        <v>0</v>
      </c>
      <c r="AI137" s="24" t="n">
        <f aca="false">IF(AB137="",0,IFERROR(INDEX(Resep!$C$9:$C$13,MATCH(LEFT(AB137,3),Resep!$B$9:$B$13,0)),0))</f>
        <v>0</v>
      </c>
      <c r="AJ137" s="24" t="n">
        <f aca="false">IF(AC137="",0,IFERROR(INDEX(Resep!$C$9:$C$13,MATCH(LEFT(AC137,3),Resep!$B$9:$B$13,0)),0))</f>
        <v>0</v>
      </c>
      <c r="AK137" s="24" t="n">
        <f aca="false">IF(AD137="",0,IFERROR(INDEX(Resep!$C$15:$C$18,MATCH(LEFT(AD137,3),Resep!$B$15:$B$18,0)),0))</f>
        <v>0</v>
      </c>
      <c r="AL137" s="24" t="str">
        <f aca="false">IF(X137="","",AG137+AH137+AI137+AJ137+AK137)</f>
        <v/>
      </c>
      <c r="AM137" s="22" t="str">
        <f aca="false">IF(X137="","",AL137*(Pengaturan!$B$6+Pengaturan!$B$7)+Pengaturan!$B$8+AE137*Pengaturan!$B$9+AF137*Pengaturan!$B$10)</f>
        <v/>
      </c>
      <c r="AN137" s="22" t="str">
        <f aca="false">IF(X137="","",N(G137)-AM137)</f>
        <v/>
      </c>
      <c r="AO137" s="25" t="str">
        <f aca="false">IF(OR(X137="",N(G137)=0),"",AN137/G137)</f>
        <v/>
      </c>
    </row>
    <row r="138" customFormat="false" ht="15" hidden="false" customHeight="false" outlineLevel="0" collapsed="false">
      <c r="A138" s="19"/>
      <c r="B138" s="20"/>
      <c r="C138" s="19"/>
      <c r="D138" s="19"/>
      <c r="E138" s="19"/>
      <c r="F138" s="19"/>
      <c r="G138" s="21"/>
      <c r="H138" s="19"/>
      <c r="I138" s="21"/>
      <c r="J138" s="19"/>
      <c r="K138" s="20"/>
      <c r="L138" s="20"/>
      <c r="M138" s="19"/>
      <c r="N138" s="19"/>
      <c r="O138" s="20"/>
      <c r="P138" s="20"/>
      <c r="Q138" s="19"/>
      <c r="R138" s="22" t="str">
        <f aca="false">IF(A138="","",N(G138)+N(I138))</f>
        <v/>
      </c>
      <c r="S138" s="23" t="str">
        <f aca="false">IF(OR(K138="",O138=""),"",O138-K138)</f>
        <v/>
      </c>
      <c r="T138" s="23" t="str">
        <f aca="true">IF(AND(C138="Cetak",L138&lt;&gt;"",L138&lt;TODAY()),"YA","")</f>
        <v/>
      </c>
      <c r="U138" s="23" t="str">
        <f aca="false">IF(B138="","",TEXT(B138,"yyyy-mm"))</f>
        <v/>
      </c>
      <c r="V138" s="23" t="str">
        <f aca="false">IF(K138="","",TEXT(K138,"yyyy-mm"))</f>
        <v/>
      </c>
      <c r="W138" s="23" t="n">
        <f aca="false">IF(OR(C138="Cetak",C138="Dikirim",C138="Selesai"),1,0)</f>
        <v>0</v>
      </c>
      <c r="X138" s="23" t="str">
        <f aca="false">IF(F138="","",SUBSTITUTE(SUBSTITUTE(MID(UPPER(TRIM(F138)),4,99),"-LED",""),"-TK",""))</f>
        <v/>
      </c>
      <c r="Y138" s="23" t="str">
        <f aca="false">IF(X138="","",(LEN(X138)+1)/7)</f>
        <v/>
      </c>
      <c r="Z138" s="23" t="str">
        <f aca="false">IF(X138="","",LEFT(X138,6))</f>
        <v/>
      </c>
      <c r="AA138" s="23" t="str">
        <f aca="false">IF(X138="","",IF(Y138&gt;=3,MID(X138,8,6),""))</f>
        <v/>
      </c>
      <c r="AB138" s="23" t="str">
        <f aca="false">IF(X138="","",IF(Y138&gt;=4,MID(X138,15,6),""))</f>
        <v/>
      </c>
      <c r="AC138" s="23" t="str">
        <f aca="false">IF(X138="","",IF(Y138&gt;=5,MID(X138,22,6),""))</f>
        <v/>
      </c>
      <c r="AD138" s="23" t="str">
        <f aca="false">IF(X138="","",RIGHT(X138,6))</f>
        <v/>
      </c>
      <c r="AE138" s="23" t="str">
        <f aca="false">IF(F138="","",IF(ISNUMBER(SEARCH("-TK",UPPER(F138))),0,1))</f>
        <v/>
      </c>
      <c r="AF138" s="23" t="str">
        <f aca="false">IF(F138="","",IF(ISNUMBER(SEARCH("-LED",UPPER(F138))),1,0))</f>
        <v/>
      </c>
      <c r="AG138" s="24" t="n">
        <f aca="false">IF(Z138="",0,IFERROR(INDEX(Resep!$C$5:$C$7,MATCH(LEFT(Z138,3),Resep!$B$5:$B$7,0)),0))</f>
        <v>0</v>
      </c>
      <c r="AH138" s="24" t="n">
        <f aca="false">IF(AA138="",0,IFERROR(INDEX(Resep!$C$9:$C$13,MATCH(LEFT(AA138,3),Resep!$B$9:$B$13,0)),0))</f>
        <v>0</v>
      </c>
      <c r="AI138" s="24" t="n">
        <f aca="false">IF(AB138="",0,IFERROR(INDEX(Resep!$C$9:$C$13,MATCH(LEFT(AB138,3),Resep!$B$9:$B$13,0)),0))</f>
        <v>0</v>
      </c>
      <c r="AJ138" s="24" t="n">
        <f aca="false">IF(AC138="",0,IFERROR(INDEX(Resep!$C$9:$C$13,MATCH(LEFT(AC138,3),Resep!$B$9:$B$13,0)),0))</f>
        <v>0</v>
      </c>
      <c r="AK138" s="24" t="n">
        <f aca="false">IF(AD138="",0,IFERROR(INDEX(Resep!$C$15:$C$18,MATCH(LEFT(AD138,3),Resep!$B$15:$B$18,0)),0))</f>
        <v>0</v>
      </c>
      <c r="AL138" s="24" t="str">
        <f aca="false">IF(X138="","",AG138+AH138+AI138+AJ138+AK138)</f>
        <v/>
      </c>
      <c r="AM138" s="22" t="str">
        <f aca="false">IF(X138="","",AL138*(Pengaturan!$B$6+Pengaturan!$B$7)+Pengaturan!$B$8+AE138*Pengaturan!$B$9+AF138*Pengaturan!$B$10)</f>
        <v/>
      </c>
      <c r="AN138" s="22" t="str">
        <f aca="false">IF(X138="","",N(G138)-AM138)</f>
        <v/>
      </c>
      <c r="AO138" s="25" t="str">
        <f aca="false">IF(OR(X138="",N(G138)=0),"",AN138/G138)</f>
        <v/>
      </c>
    </row>
    <row r="139" customFormat="false" ht="15" hidden="false" customHeight="false" outlineLevel="0" collapsed="false">
      <c r="A139" s="19"/>
      <c r="B139" s="20"/>
      <c r="C139" s="19"/>
      <c r="D139" s="19"/>
      <c r="E139" s="19"/>
      <c r="F139" s="19"/>
      <c r="G139" s="21"/>
      <c r="H139" s="19"/>
      <c r="I139" s="21"/>
      <c r="J139" s="19"/>
      <c r="K139" s="20"/>
      <c r="L139" s="20"/>
      <c r="M139" s="19"/>
      <c r="N139" s="19"/>
      <c r="O139" s="20"/>
      <c r="P139" s="20"/>
      <c r="Q139" s="19"/>
      <c r="R139" s="22" t="str">
        <f aca="false">IF(A139="","",N(G139)+N(I139))</f>
        <v/>
      </c>
      <c r="S139" s="23" t="str">
        <f aca="false">IF(OR(K139="",O139=""),"",O139-K139)</f>
        <v/>
      </c>
      <c r="T139" s="23" t="str">
        <f aca="true">IF(AND(C139="Cetak",L139&lt;&gt;"",L139&lt;TODAY()),"YA","")</f>
        <v/>
      </c>
      <c r="U139" s="23" t="str">
        <f aca="false">IF(B139="","",TEXT(B139,"yyyy-mm"))</f>
        <v/>
      </c>
      <c r="V139" s="23" t="str">
        <f aca="false">IF(K139="","",TEXT(K139,"yyyy-mm"))</f>
        <v/>
      </c>
      <c r="W139" s="23" t="n">
        <f aca="false">IF(OR(C139="Cetak",C139="Dikirim",C139="Selesai"),1,0)</f>
        <v>0</v>
      </c>
      <c r="X139" s="23" t="str">
        <f aca="false">IF(F139="","",SUBSTITUTE(SUBSTITUTE(MID(UPPER(TRIM(F139)),4,99),"-LED",""),"-TK",""))</f>
        <v/>
      </c>
      <c r="Y139" s="23" t="str">
        <f aca="false">IF(X139="","",(LEN(X139)+1)/7)</f>
        <v/>
      </c>
      <c r="Z139" s="23" t="str">
        <f aca="false">IF(X139="","",LEFT(X139,6))</f>
        <v/>
      </c>
      <c r="AA139" s="23" t="str">
        <f aca="false">IF(X139="","",IF(Y139&gt;=3,MID(X139,8,6),""))</f>
        <v/>
      </c>
      <c r="AB139" s="23" t="str">
        <f aca="false">IF(X139="","",IF(Y139&gt;=4,MID(X139,15,6),""))</f>
        <v/>
      </c>
      <c r="AC139" s="23" t="str">
        <f aca="false">IF(X139="","",IF(Y139&gt;=5,MID(X139,22,6),""))</f>
        <v/>
      </c>
      <c r="AD139" s="23" t="str">
        <f aca="false">IF(X139="","",RIGHT(X139,6))</f>
        <v/>
      </c>
      <c r="AE139" s="23" t="str">
        <f aca="false">IF(F139="","",IF(ISNUMBER(SEARCH("-TK",UPPER(F139))),0,1))</f>
        <v/>
      </c>
      <c r="AF139" s="23" t="str">
        <f aca="false">IF(F139="","",IF(ISNUMBER(SEARCH("-LED",UPPER(F139))),1,0))</f>
        <v/>
      </c>
      <c r="AG139" s="24" t="n">
        <f aca="false">IF(Z139="",0,IFERROR(INDEX(Resep!$C$5:$C$7,MATCH(LEFT(Z139,3),Resep!$B$5:$B$7,0)),0))</f>
        <v>0</v>
      </c>
      <c r="AH139" s="24" t="n">
        <f aca="false">IF(AA139="",0,IFERROR(INDEX(Resep!$C$9:$C$13,MATCH(LEFT(AA139,3),Resep!$B$9:$B$13,0)),0))</f>
        <v>0</v>
      </c>
      <c r="AI139" s="24" t="n">
        <f aca="false">IF(AB139="",0,IFERROR(INDEX(Resep!$C$9:$C$13,MATCH(LEFT(AB139,3),Resep!$B$9:$B$13,0)),0))</f>
        <v>0</v>
      </c>
      <c r="AJ139" s="24" t="n">
        <f aca="false">IF(AC139="",0,IFERROR(INDEX(Resep!$C$9:$C$13,MATCH(LEFT(AC139,3),Resep!$B$9:$B$13,0)),0))</f>
        <v>0</v>
      </c>
      <c r="AK139" s="24" t="n">
        <f aca="false">IF(AD139="",0,IFERROR(INDEX(Resep!$C$15:$C$18,MATCH(LEFT(AD139,3),Resep!$B$15:$B$18,0)),0))</f>
        <v>0</v>
      </c>
      <c r="AL139" s="24" t="str">
        <f aca="false">IF(X139="","",AG139+AH139+AI139+AJ139+AK139)</f>
        <v/>
      </c>
      <c r="AM139" s="22" t="str">
        <f aca="false">IF(X139="","",AL139*(Pengaturan!$B$6+Pengaturan!$B$7)+Pengaturan!$B$8+AE139*Pengaturan!$B$9+AF139*Pengaturan!$B$10)</f>
        <v/>
      </c>
      <c r="AN139" s="22" t="str">
        <f aca="false">IF(X139="","",N(G139)-AM139)</f>
        <v/>
      </c>
      <c r="AO139" s="25" t="str">
        <f aca="false">IF(OR(X139="",N(G139)=0),"",AN139/G139)</f>
        <v/>
      </c>
    </row>
    <row r="140" customFormat="false" ht="15" hidden="false" customHeight="false" outlineLevel="0" collapsed="false">
      <c r="A140" s="19"/>
      <c r="B140" s="20"/>
      <c r="C140" s="19"/>
      <c r="D140" s="19"/>
      <c r="E140" s="19"/>
      <c r="F140" s="19"/>
      <c r="G140" s="21"/>
      <c r="H140" s="19"/>
      <c r="I140" s="21"/>
      <c r="J140" s="19"/>
      <c r="K140" s="20"/>
      <c r="L140" s="20"/>
      <c r="M140" s="19"/>
      <c r="N140" s="19"/>
      <c r="O140" s="20"/>
      <c r="P140" s="20"/>
      <c r="Q140" s="19"/>
      <c r="R140" s="22" t="str">
        <f aca="false">IF(A140="","",N(G140)+N(I140))</f>
        <v/>
      </c>
      <c r="S140" s="23" t="str">
        <f aca="false">IF(OR(K140="",O140=""),"",O140-K140)</f>
        <v/>
      </c>
      <c r="T140" s="23" t="str">
        <f aca="true">IF(AND(C140="Cetak",L140&lt;&gt;"",L140&lt;TODAY()),"YA","")</f>
        <v/>
      </c>
      <c r="U140" s="23" t="str">
        <f aca="false">IF(B140="","",TEXT(B140,"yyyy-mm"))</f>
        <v/>
      </c>
      <c r="V140" s="23" t="str">
        <f aca="false">IF(K140="","",TEXT(K140,"yyyy-mm"))</f>
        <v/>
      </c>
      <c r="W140" s="23" t="n">
        <f aca="false">IF(OR(C140="Cetak",C140="Dikirim",C140="Selesai"),1,0)</f>
        <v>0</v>
      </c>
      <c r="X140" s="23" t="str">
        <f aca="false">IF(F140="","",SUBSTITUTE(SUBSTITUTE(MID(UPPER(TRIM(F140)),4,99),"-LED",""),"-TK",""))</f>
        <v/>
      </c>
      <c r="Y140" s="23" t="str">
        <f aca="false">IF(X140="","",(LEN(X140)+1)/7)</f>
        <v/>
      </c>
      <c r="Z140" s="23" t="str">
        <f aca="false">IF(X140="","",LEFT(X140,6))</f>
        <v/>
      </c>
      <c r="AA140" s="23" t="str">
        <f aca="false">IF(X140="","",IF(Y140&gt;=3,MID(X140,8,6),""))</f>
        <v/>
      </c>
      <c r="AB140" s="23" t="str">
        <f aca="false">IF(X140="","",IF(Y140&gt;=4,MID(X140,15,6),""))</f>
        <v/>
      </c>
      <c r="AC140" s="23" t="str">
        <f aca="false">IF(X140="","",IF(Y140&gt;=5,MID(X140,22,6),""))</f>
        <v/>
      </c>
      <c r="AD140" s="23" t="str">
        <f aca="false">IF(X140="","",RIGHT(X140,6))</f>
        <v/>
      </c>
      <c r="AE140" s="23" t="str">
        <f aca="false">IF(F140="","",IF(ISNUMBER(SEARCH("-TK",UPPER(F140))),0,1))</f>
        <v/>
      </c>
      <c r="AF140" s="23" t="str">
        <f aca="false">IF(F140="","",IF(ISNUMBER(SEARCH("-LED",UPPER(F140))),1,0))</f>
        <v/>
      </c>
      <c r="AG140" s="24" t="n">
        <f aca="false">IF(Z140="",0,IFERROR(INDEX(Resep!$C$5:$C$7,MATCH(LEFT(Z140,3),Resep!$B$5:$B$7,0)),0))</f>
        <v>0</v>
      </c>
      <c r="AH140" s="24" t="n">
        <f aca="false">IF(AA140="",0,IFERROR(INDEX(Resep!$C$9:$C$13,MATCH(LEFT(AA140,3),Resep!$B$9:$B$13,0)),0))</f>
        <v>0</v>
      </c>
      <c r="AI140" s="24" t="n">
        <f aca="false">IF(AB140="",0,IFERROR(INDEX(Resep!$C$9:$C$13,MATCH(LEFT(AB140,3),Resep!$B$9:$B$13,0)),0))</f>
        <v>0</v>
      </c>
      <c r="AJ140" s="24" t="n">
        <f aca="false">IF(AC140="",0,IFERROR(INDEX(Resep!$C$9:$C$13,MATCH(LEFT(AC140,3),Resep!$B$9:$B$13,0)),0))</f>
        <v>0</v>
      </c>
      <c r="AK140" s="24" t="n">
        <f aca="false">IF(AD140="",0,IFERROR(INDEX(Resep!$C$15:$C$18,MATCH(LEFT(AD140,3),Resep!$B$15:$B$18,0)),0))</f>
        <v>0</v>
      </c>
      <c r="AL140" s="24" t="str">
        <f aca="false">IF(X140="","",AG140+AH140+AI140+AJ140+AK140)</f>
        <v/>
      </c>
      <c r="AM140" s="22" t="str">
        <f aca="false">IF(X140="","",AL140*(Pengaturan!$B$6+Pengaturan!$B$7)+Pengaturan!$B$8+AE140*Pengaturan!$B$9+AF140*Pengaturan!$B$10)</f>
        <v/>
      </c>
      <c r="AN140" s="22" t="str">
        <f aca="false">IF(X140="","",N(G140)-AM140)</f>
        <v/>
      </c>
      <c r="AO140" s="25" t="str">
        <f aca="false">IF(OR(X140="",N(G140)=0),"",AN140/G140)</f>
        <v/>
      </c>
    </row>
    <row r="141" customFormat="false" ht="15" hidden="false" customHeight="false" outlineLevel="0" collapsed="false">
      <c r="A141" s="19"/>
      <c r="B141" s="20"/>
      <c r="C141" s="19"/>
      <c r="D141" s="19"/>
      <c r="E141" s="19"/>
      <c r="F141" s="19"/>
      <c r="G141" s="21"/>
      <c r="H141" s="19"/>
      <c r="I141" s="21"/>
      <c r="J141" s="19"/>
      <c r="K141" s="20"/>
      <c r="L141" s="20"/>
      <c r="M141" s="19"/>
      <c r="N141" s="19"/>
      <c r="O141" s="20"/>
      <c r="P141" s="20"/>
      <c r="Q141" s="19"/>
      <c r="R141" s="22" t="str">
        <f aca="false">IF(A141="","",N(G141)+N(I141))</f>
        <v/>
      </c>
      <c r="S141" s="23" t="str">
        <f aca="false">IF(OR(K141="",O141=""),"",O141-K141)</f>
        <v/>
      </c>
      <c r="T141" s="23" t="str">
        <f aca="true">IF(AND(C141="Cetak",L141&lt;&gt;"",L141&lt;TODAY()),"YA","")</f>
        <v/>
      </c>
      <c r="U141" s="23" t="str">
        <f aca="false">IF(B141="","",TEXT(B141,"yyyy-mm"))</f>
        <v/>
      </c>
      <c r="V141" s="23" t="str">
        <f aca="false">IF(K141="","",TEXT(K141,"yyyy-mm"))</f>
        <v/>
      </c>
      <c r="W141" s="23" t="n">
        <f aca="false">IF(OR(C141="Cetak",C141="Dikirim",C141="Selesai"),1,0)</f>
        <v>0</v>
      </c>
      <c r="X141" s="23" t="str">
        <f aca="false">IF(F141="","",SUBSTITUTE(SUBSTITUTE(MID(UPPER(TRIM(F141)),4,99),"-LED",""),"-TK",""))</f>
        <v/>
      </c>
      <c r="Y141" s="23" t="str">
        <f aca="false">IF(X141="","",(LEN(X141)+1)/7)</f>
        <v/>
      </c>
      <c r="Z141" s="23" t="str">
        <f aca="false">IF(X141="","",LEFT(X141,6))</f>
        <v/>
      </c>
      <c r="AA141" s="23" t="str">
        <f aca="false">IF(X141="","",IF(Y141&gt;=3,MID(X141,8,6),""))</f>
        <v/>
      </c>
      <c r="AB141" s="23" t="str">
        <f aca="false">IF(X141="","",IF(Y141&gt;=4,MID(X141,15,6),""))</f>
        <v/>
      </c>
      <c r="AC141" s="23" t="str">
        <f aca="false">IF(X141="","",IF(Y141&gt;=5,MID(X141,22,6),""))</f>
        <v/>
      </c>
      <c r="AD141" s="23" t="str">
        <f aca="false">IF(X141="","",RIGHT(X141,6))</f>
        <v/>
      </c>
      <c r="AE141" s="23" t="str">
        <f aca="false">IF(F141="","",IF(ISNUMBER(SEARCH("-TK",UPPER(F141))),0,1))</f>
        <v/>
      </c>
      <c r="AF141" s="23" t="str">
        <f aca="false">IF(F141="","",IF(ISNUMBER(SEARCH("-LED",UPPER(F141))),1,0))</f>
        <v/>
      </c>
      <c r="AG141" s="24" t="n">
        <f aca="false">IF(Z141="",0,IFERROR(INDEX(Resep!$C$5:$C$7,MATCH(LEFT(Z141,3),Resep!$B$5:$B$7,0)),0))</f>
        <v>0</v>
      </c>
      <c r="AH141" s="24" t="n">
        <f aca="false">IF(AA141="",0,IFERROR(INDEX(Resep!$C$9:$C$13,MATCH(LEFT(AA141,3),Resep!$B$9:$B$13,0)),0))</f>
        <v>0</v>
      </c>
      <c r="AI141" s="24" t="n">
        <f aca="false">IF(AB141="",0,IFERROR(INDEX(Resep!$C$9:$C$13,MATCH(LEFT(AB141,3),Resep!$B$9:$B$13,0)),0))</f>
        <v>0</v>
      </c>
      <c r="AJ141" s="24" t="n">
        <f aca="false">IF(AC141="",0,IFERROR(INDEX(Resep!$C$9:$C$13,MATCH(LEFT(AC141,3),Resep!$B$9:$B$13,0)),0))</f>
        <v>0</v>
      </c>
      <c r="AK141" s="24" t="n">
        <f aca="false">IF(AD141="",0,IFERROR(INDEX(Resep!$C$15:$C$18,MATCH(LEFT(AD141,3),Resep!$B$15:$B$18,0)),0))</f>
        <v>0</v>
      </c>
      <c r="AL141" s="24" t="str">
        <f aca="false">IF(X141="","",AG141+AH141+AI141+AJ141+AK141)</f>
        <v/>
      </c>
      <c r="AM141" s="22" t="str">
        <f aca="false">IF(X141="","",AL141*(Pengaturan!$B$6+Pengaturan!$B$7)+Pengaturan!$B$8+AE141*Pengaturan!$B$9+AF141*Pengaturan!$B$10)</f>
        <v/>
      </c>
      <c r="AN141" s="22" t="str">
        <f aca="false">IF(X141="","",N(G141)-AM141)</f>
        <v/>
      </c>
      <c r="AO141" s="25" t="str">
        <f aca="false">IF(OR(X141="",N(G141)=0),"",AN141/G141)</f>
        <v/>
      </c>
    </row>
    <row r="142" customFormat="false" ht="15" hidden="false" customHeight="false" outlineLevel="0" collapsed="false">
      <c r="A142" s="19"/>
      <c r="B142" s="20"/>
      <c r="C142" s="19"/>
      <c r="D142" s="19"/>
      <c r="E142" s="19"/>
      <c r="F142" s="19"/>
      <c r="G142" s="21"/>
      <c r="H142" s="19"/>
      <c r="I142" s="21"/>
      <c r="J142" s="19"/>
      <c r="K142" s="20"/>
      <c r="L142" s="20"/>
      <c r="M142" s="19"/>
      <c r="N142" s="19"/>
      <c r="O142" s="20"/>
      <c r="P142" s="20"/>
      <c r="Q142" s="19"/>
      <c r="R142" s="22" t="str">
        <f aca="false">IF(A142="","",N(G142)+N(I142))</f>
        <v/>
      </c>
      <c r="S142" s="23" t="str">
        <f aca="false">IF(OR(K142="",O142=""),"",O142-K142)</f>
        <v/>
      </c>
      <c r="T142" s="23" t="str">
        <f aca="true">IF(AND(C142="Cetak",L142&lt;&gt;"",L142&lt;TODAY()),"YA","")</f>
        <v/>
      </c>
      <c r="U142" s="23" t="str">
        <f aca="false">IF(B142="","",TEXT(B142,"yyyy-mm"))</f>
        <v/>
      </c>
      <c r="V142" s="23" t="str">
        <f aca="false">IF(K142="","",TEXT(K142,"yyyy-mm"))</f>
        <v/>
      </c>
      <c r="W142" s="23" t="n">
        <f aca="false">IF(OR(C142="Cetak",C142="Dikirim",C142="Selesai"),1,0)</f>
        <v>0</v>
      </c>
      <c r="X142" s="23" t="str">
        <f aca="false">IF(F142="","",SUBSTITUTE(SUBSTITUTE(MID(UPPER(TRIM(F142)),4,99),"-LED",""),"-TK",""))</f>
        <v/>
      </c>
      <c r="Y142" s="23" t="str">
        <f aca="false">IF(X142="","",(LEN(X142)+1)/7)</f>
        <v/>
      </c>
      <c r="Z142" s="23" t="str">
        <f aca="false">IF(X142="","",LEFT(X142,6))</f>
        <v/>
      </c>
      <c r="AA142" s="23" t="str">
        <f aca="false">IF(X142="","",IF(Y142&gt;=3,MID(X142,8,6),""))</f>
        <v/>
      </c>
      <c r="AB142" s="23" t="str">
        <f aca="false">IF(X142="","",IF(Y142&gt;=4,MID(X142,15,6),""))</f>
        <v/>
      </c>
      <c r="AC142" s="23" t="str">
        <f aca="false">IF(X142="","",IF(Y142&gt;=5,MID(X142,22,6),""))</f>
        <v/>
      </c>
      <c r="AD142" s="23" t="str">
        <f aca="false">IF(X142="","",RIGHT(X142,6))</f>
        <v/>
      </c>
      <c r="AE142" s="23" t="str">
        <f aca="false">IF(F142="","",IF(ISNUMBER(SEARCH("-TK",UPPER(F142))),0,1))</f>
        <v/>
      </c>
      <c r="AF142" s="23" t="str">
        <f aca="false">IF(F142="","",IF(ISNUMBER(SEARCH("-LED",UPPER(F142))),1,0))</f>
        <v/>
      </c>
      <c r="AG142" s="24" t="n">
        <f aca="false">IF(Z142="",0,IFERROR(INDEX(Resep!$C$5:$C$7,MATCH(LEFT(Z142,3),Resep!$B$5:$B$7,0)),0))</f>
        <v>0</v>
      </c>
      <c r="AH142" s="24" t="n">
        <f aca="false">IF(AA142="",0,IFERROR(INDEX(Resep!$C$9:$C$13,MATCH(LEFT(AA142,3),Resep!$B$9:$B$13,0)),0))</f>
        <v>0</v>
      </c>
      <c r="AI142" s="24" t="n">
        <f aca="false">IF(AB142="",0,IFERROR(INDEX(Resep!$C$9:$C$13,MATCH(LEFT(AB142,3),Resep!$B$9:$B$13,0)),0))</f>
        <v>0</v>
      </c>
      <c r="AJ142" s="24" t="n">
        <f aca="false">IF(AC142="",0,IFERROR(INDEX(Resep!$C$9:$C$13,MATCH(LEFT(AC142,3),Resep!$B$9:$B$13,0)),0))</f>
        <v>0</v>
      </c>
      <c r="AK142" s="24" t="n">
        <f aca="false">IF(AD142="",0,IFERROR(INDEX(Resep!$C$15:$C$18,MATCH(LEFT(AD142,3),Resep!$B$15:$B$18,0)),0))</f>
        <v>0</v>
      </c>
      <c r="AL142" s="24" t="str">
        <f aca="false">IF(X142="","",AG142+AH142+AI142+AJ142+AK142)</f>
        <v/>
      </c>
      <c r="AM142" s="22" t="str">
        <f aca="false">IF(X142="","",AL142*(Pengaturan!$B$6+Pengaturan!$B$7)+Pengaturan!$B$8+AE142*Pengaturan!$B$9+AF142*Pengaturan!$B$10)</f>
        <v/>
      </c>
      <c r="AN142" s="22" t="str">
        <f aca="false">IF(X142="","",N(G142)-AM142)</f>
        <v/>
      </c>
      <c r="AO142" s="25" t="str">
        <f aca="false">IF(OR(X142="",N(G142)=0),"",AN142/G142)</f>
        <v/>
      </c>
    </row>
    <row r="143" customFormat="false" ht="15" hidden="false" customHeight="false" outlineLevel="0" collapsed="false">
      <c r="A143" s="19"/>
      <c r="B143" s="20"/>
      <c r="C143" s="19"/>
      <c r="D143" s="19"/>
      <c r="E143" s="19"/>
      <c r="F143" s="19"/>
      <c r="G143" s="21"/>
      <c r="H143" s="19"/>
      <c r="I143" s="21"/>
      <c r="J143" s="19"/>
      <c r="K143" s="20"/>
      <c r="L143" s="20"/>
      <c r="M143" s="19"/>
      <c r="N143" s="19"/>
      <c r="O143" s="20"/>
      <c r="P143" s="20"/>
      <c r="Q143" s="19"/>
      <c r="R143" s="22" t="str">
        <f aca="false">IF(A143="","",N(G143)+N(I143))</f>
        <v/>
      </c>
      <c r="S143" s="23" t="str">
        <f aca="false">IF(OR(K143="",O143=""),"",O143-K143)</f>
        <v/>
      </c>
      <c r="T143" s="23" t="str">
        <f aca="true">IF(AND(C143="Cetak",L143&lt;&gt;"",L143&lt;TODAY()),"YA","")</f>
        <v/>
      </c>
      <c r="U143" s="23" t="str">
        <f aca="false">IF(B143="","",TEXT(B143,"yyyy-mm"))</f>
        <v/>
      </c>
      <c r="V143" s="23" t="str">
        <f aca="false">IF(K143="","",TEXT(K143,"yyyy-mm"))</f>
        <v/>
      </c>
      <c r="W143" s="23" t="n">
        <f aca="false">IF(OR(C143="Cetak",C143="Dikirim",C143="Selesai"),1,0)</f>
        <v>0</v>
      </c>
      <c r="X143" s="23" t="str">
        <f aca="false">IF(F143="","",SUBSTITUTE(SUBSTITUTE(MID(UPPER(TRIM(F143)),4,99),"-LED",""),"-TK",""))</f>
        <v/>
      </c>
      <c r="Y143" s="23" t="str">
        <f aca="false">IF(X143="","",(LEN(X143)+1)/7)</f>
        <v/>
      </c>
      <c r="Z143" s="23" t="str">
        <f aca="false">IF(X143="","",LEFT(X143,6))</f>
        <v/>
      </c>
      <c r="AA143" s="23" t="str">
        <f aca="false">IF(X143="","",IF(Y143&gt;=3,MID(X143,8,6),""))</f>
        <v/>
      </c>
      <c r="AB143" s="23" t="str">
        <f aca="false">IF(X143="","",IF(Y143&gt;=4,MID(X143,15,6),""))</f>
        <v/>
      </c>
      <c r="AC143" s="23" t="str">
        <f aca="false">IF(X143="","",IF(Y143&gt;=5,MID(X143,22,6),""))</f>
        <v/>
      </c>
      <c r="AD143" s="23" t="str">
        <f aca="false">IF(X143="","",RIGHT(X143,6))</f>
        <v/>
      </c>
      <c r="AE143" s="23" t="str">
        <f aca="false">IF(F143="","",IF(ISNUMBER(SEARCH("-TK",UPPER(F143))),0,1))</f>
        <v/>
      </c>
      <c r="AF143" s="23" t="str">
        <f aca="false">IF(F143="","",IF(ISNUMBER(SEARCH("-LED",UPPER(F143))),1,0))</f>
        <v/>
      </c>
      <c r="AG143" s="24" t="n">
        <f aca="false">IF(Z143="",0,IFERROR(INDEX(Resep!$C$5:$C$7,MATCH(LEFT(Z143,3),Resep!$B$5:$B$7,0)),0))</f>
        <v>0</v>
      </c>
      <c r="AH143" s="24" t="n">
        <f aca="false">IF(AA143="",0,IFERROR(INDEX(Resep!$C$9:$C$13,MATCH(LEFT(AA143,3),Resep!$B$9:$B$13,0)),0))</f>
        <v>0</v>
      </c>
      <c r="AI143" s="24" t="n">
        <f aca="false">IF(AB143="",0,IFERROR(INDEX(Resep!$C$9:$C$13,MATCH(LEFT(AB143,3),Resep!$B$9:$B$13,0)),0))</f>
        <v>0</v>
      </c>
      <c r="AJ143" s="24" t="n">
        <f aca="false">IF(AC143="",0,IFERROR(INDEX(Resep!$C$9:$C$13,MATCH(LEFT(AC143,3),Resep!$B$9:$B$13,0)),0))</f>
        <v>0</v>
      </c>
      <c r="AK143" s="24" t="n">
        <f aca="false">IF(AD143="",0,IFERROR(INDEX(Resep!$C$15:$C$18,MATCH(LEFT(AD143,3),Resep!$B$15:$B$18,0)),0))</f>
        <v>0</v>
      </c>
      <c r="AL143" s="24" t="str">
        <f aca="false">IF(X143="","",AG143+AH143+AI143+AJ143+AK143)</f>
        <v/>
      </c>
      <c r="AM143" s="22" t="str">
        <f aca="false">IF(X143="","",AL143*(Pengaturan!$B$6+Pengaturan!$B$7)+Pengaturan!$B$8+AE143*Pengaturan!$B$9+AF143*Pengaturan!$B$10)</f>
        <v/>
      </c>
      <c r="AN143" s="22" t="str">
        <f aca="false">IF(X143="","",N(G143)-AM143)</f>
        <v/>
      </c>
      <c r="AO143" s="25" t="str">
        <f aca="false">IF(OR(X143="",N(G143)=0),"",AN143/G143)</f>
        <v/>
      </c>
    </row>
    <row r="144" customFormat="false" ht="15" hidden="false" customHeight="false" outlineLevel="0" collapsed="false">
      <c r="A144" s="19"/>
      <c r="B144" s="20"/>
      <c r="C144" s="19"/>
      <c r="D144" s="19"/>
      <c r="E144" s="19"/>
      <c r="F144" s="19"/>
      <c r="G144" s="21"/>
      <c r="H144" s="19"/>
      <c r="I144" s="21"/>
      <c r="J144" s="19"/>
      <c r="K144" s="20"/>
      <c r="L144" s="20"/>
      <c r="M144" s="19"/>
      <c r="N144" s="19"/>
      <c r="O144" s="20"/>
      <c r="P144" s="20"/>
      <c r="Q144" s="19"/>
      <c r="R144" s="22" t="str">
        <f aca="false">IF(A144="","",N(G144)+N(I144))</f>
        <v/>
      </c>
      <c r="S144" s="23" t="str">
        <f aca="false">IF(OR(K144="",O144=""),"",O144-K144)</f>
        <v/>
      </c>
      <c r="T144" s="23" t="str">
        <f aca="true">IF(AND(C144="Cetak",L144&lt;&gt;"",L144&lt;TODAY()),"YA","")</f>
        <v/>
      </c>
      <c r="U144" s="23" t="str">
        <f aca="false">IF(B144="","",TEXT(B144,"yyyy-mm"))</f>
        <v/>
      </c>
      <c r="V144" s="23" t="str">
        <f aca="false">IF(K144="","",TEXT(K144,"yyyy-mm"))</f>
        <v/>
      </c>
      <c r="W144" s="23" t="n">
        <f aca="false">IF(OR(C144="Cetak",C144="Dikirim",C144="Selesai"),1,0)</f>
        <v>0</v>
      </c>
      <c r="X144" s="23" t="str">
        <f aca="false">IF(F144="","",SUBSTITUTE(SUBSTITUTE(MID(UPPER(TRIM(F144)),4,99),"-LED",""),"-TK",""))</f>
        <v/>
      </c>
      <c r="Y144" s="23" t="str">
        <f aca="false">IF(X144="","",(LEN(X144)+1)/7)</f>
        <v/>
      </c>
      <c r="Z144" s="23" t="str">
        <f aca="false">IF(X144="","",LEFT(X144,6))</f>
        <v/>
      </c>
      <c r="AA144" s="23" t="str">
        <f aca="false">IF(X144="","",IF(Y144&gt;=3,MID(X144,8,6),""))</f>
        <v/>
      </c>
      <c r="AB144" s="23" t="str">
        <f aca="false">IF(X144="","",IF(Y144&gt;=4,MID(X144,15,6),""))</f>
        <v/>
      </c>
      <c r="AC144" s="23" t="str">
        <f aca="false">IF(X144="","",IF(Y144&gt;=5,MID(X144,22,6),""))</f>
        <v/>
      </c>
      <c r="AD144" s="23" t="str">
        <f aca="false">IF(X144="","",RIGHT(X144,6))</f>
        <v/>
      </c>
      <c r="AE144" s="23" t="str">
        <f aca="false">IF(F144="","",IF(ISNUMBER(SEARCH("-TK",UPPER(F144))),0,1))</f>
        <v/>
      </c>
      <c r="AF144" s="23" t="str">
        <f aca="false">IF(F144="","",IF(ISNUMBER(SEARCH("-LED",UPPER(F144))),1,0))</f>
        <v/>
      </c>
      <c r="AG144" s="24" t="n">
        <f aca="false">IF(Z144="",0,IFERROR(INDEX(Resep!$C$5:$C$7,MATCH(LEFT(Z144,3),Resep!$B$5:$B$7,0)),0))</f>
        <v>0</v>
      </c>
      <c r="AH144" s="24" t="n">
        <f aca="false">IF(AA144="",0,IFERROR(INDEX(Resep!$C$9:$C$13,MATCH(LEFT(AA144,3),Resep!$B$9:$B$13,0)),0))</f>
        <v>0</v>
      </c>
      <c r="AI144" s="24" t="n">
        <f aca="false">IF(AB144="",0,IFERROR(INDEX(Resep!$C$9:$C$13,MATCH(LEFT(AB144,3),Resep!$B$9:$B$13,0)),0))</f>
        <v>0</v>
      </c>
      <c r="AJ144" s="24" t="n">
        <f aca="false">IF(AC144="",0,IFERROR(INDEX(Resep!$C$9:$C$13,MATCH(LEFT(AC144,3),Resep!$B$9:$B$13,0)),0))</f>
        <v>0</v>
      </c>
      <c r="AK144" s="24" t="n">
        <f aca="false">IF(AD144="",0,IFERROR(INDEX(Resep!$C$15:$C$18,MATCH(LEFT(AD144,3),Resep!$B$15:$B$18,0)),0))</f>
        <v>0</v>
      </c>
      <c r="AL144" s="24" t="str">
        <f aca="false">IF(X144="","",AG144+AH144+AI144+AJ144+AK144)</f>
        <v/>
      </c>
      <c r="AM144" s="22" t="str">
        <f aca="false">IF(X144="","",AL144*(Pengaturan!$B$6+Pengaturan!$B$7)+Pengaturan!$B$8+AE144*Pengaturan!$B$9+AF144*Pengaturan!$B$10)</f>
        <v/>
      </c>
      <c r="AN144" s="22" t="str">
        <f aca="false">IF(X144="","",N(G144)-AM144)</f>
        <v/>
      </c>
      <c r="AO144" s="25" t="str">
        <f aca="false">IF(OR(X144="",N(G144)=0),"",AN144/G144)</f>
        <v/>
      </c>
    </row>
    <row r="145" customFormat="false" ht="15" hidden="false" customHeight="false" outlineLevel="0" collapsed="false">
      <c r="A145" s="19"/>
      <c r="B145" s="20"/>
      <c r="C145" s="19"/>
      <c r="D145" s="19"/>
      <c r="E145" s="19"/>
      <c r="F145" s="19"/>
      <c r="G145" s="21"/>
      <c r="H145" s="19"/>
      <c r="I145" s="21"/>
      <c r="J145" s="19"/>
      <c r="K145" s="20"/>
      <c r="L145" s="20"/>
      <c r="M145" s="19"/>
      <c r="N145" s="19"/>
      <c r="O145" s="20"/>
      <c r="P145" s="20"/>
      <c r="Q145" s="19"/>
      <c r="R145" s="22" t="str">
        <f aca="false">IF(A145="","",N(G145)+N(I145))</f>
        <v/>
      </c>
      <c r="S145" s="23" t="str">
        <f aca="false">IF(OR(K145="",O145=""),"",O145-K145)</f>
        <v/>
      </c>
      <c r="T145" s="23" t="str">
        <f aca="true">IF(AND(C145="Cetak",L145&lt;&gt;"",L145&lt;TODAY()),"YA","")</f>
        <v/>
      </c>
      <c r="U145" s="23" t="str">
        <f aca="false">IF(B145="","",TEXT(B145,"yyyy-mm"))</f>
        <v/>
      </c>
      <c r="V145" s="23" t="str">
        <f aca="false">IF(K145="","",TEXT(K145,"yyyy-mm"))</f>
        <v/>
      </c>
      <c r="W145" s="23" t="n">
        <f aca="false">IF(OR(C145="Cetak",C145="Dikirim",C145="Selesai"),1,0)</f>
        <v>0</v>
      </c>
      <c r="X145" s="23" t="str">
        <f aca="false">IF(F145="","",SUBSTITUTE(SUBSTITUTE(MID(UPPER(TRIM(F145)),4,99),"-LED",""),"-TK",""))</f>
        <v/>
      </c>
      <c r="Y145" s="23" t="str">
        <f aca="false">IF(X145="","",(LEN(X145)+1)/7)</f>
        <v/>
      </c>
      <c r="Z145" s="23" t="str">
        <f aca="false">IF(X145="","",LEFT(X145,6))</f>
        <v/>
      </c>
      <c r="AA145" s="23" t="str">
        <f aca="false">IF(X145="","",IF(Y145&gt;=3,MID(X145,8,6),""))</f>
        <v/>
      </c>
      <c r="AB145" s="23" t="str">
        <f aca="false">IF(X145="","",IF(Y145&gt;=4,MID(X145,15,6),""))</f>
        <v/>
      </c>
      <c r="AC145" s="23" t="str">
        <f aca="false">IF(X145="","",IF(Y145&gt;=5,MID(X145,22,6),""))</f>
        <v/>
      </c>
      <c r="AD145" s="23" t="str">
        <f aca="false">IF(X145="","",RIGHT(X145,6))</f>
        <v/>
      </c>
      <c r="AE145" s="23" t="str">
        <f aca="false">IF(F145="","",IF(ISNUMBER(SEARCH("-TK",UPPER(F145))),0,1))</f>
        <v/>
      </c>
      <c r="AF145" s="23" t="str">
        <f aca="false">IF(F145="","",IF(ISNUMBER(SEARCH("-LED",UPPER(F145))),1,0))</f>
        <v/>
      </c>
      <c r="AG145" s="24" t="n">
        <f aca="false">IF(Z145="",0,IFERROR(INDEX(Resep!$C$5:$C$7,MATCH(LEFT(Z145,3),Resep!$B$5:$B$7,0)),0))</f>
        <v>0</v>
      </c>
      <c r="AH145" s="24" t="n">
        <f aca="false">IF(AA145="",0,IFERROR(INDEX(Resep!$C$9:$C$13,MATCH(LEFT(AA145,3),Resep!$B$9:$B$13,0)),0))</f>
        <v>0</v>
      </c>
      <c r="AI145" s="24" t="n">
        <f aca="false">IF(AB145="",0,IFERROR(INDEX(Resep!$C$9:$C$13,MATCH(LEFT(AB145,3),Resep!$B$9:$B$13,0)),0))</f>
        <v>0</v>
      </c>
      <c r="AJ145" s="24" t="n">
        <f aca="false">IF(AC145="",0,IFERROR(INDEX(Resep!$C$9:$C$13,MATCH(LEFT(AC145,3),Resep!$B$9:$B$13,0)),0))</f>
        <v>0</v>
      </c>
      <c r="AK145" s="24" t="n">
        <f aca="false">IF(AD145="",0,IFERROR(INDEX(Resep!$C$15:$C$18,MATCH(LEFT(AD145,3),Resep!$B$15:$B$18,0)),0))</f>
        <v>0</v>
      </c>
      <c r="AL145" s="24" t="str">
        <f aca="false">IF(X145="","",AG145+AH145+AI145+AJ145+AK145)</f>
        <v/>
      </c>
      <c r="AM145" s="22" t="str">
        <f aca="false">IF(X145="","",AL145*(Pengaturan!$B$6+Pengaturan!$B$7)+Pengaturan!$B$8+AE145*Pengaturan!$B$9+AF145*Pengaturan!$B$10)</f>
        <v/>
      </c>
      <c r="AN145" s="22" t="str">
        <f aca="false">IF(X145="","",N(G145)-AM145)</f>
        <v/>
      </c>
      <c r="AO145" s="25" t="str">
        <f aca="false">IF(OR(X145="",N(G145)=0),"",AN145/G145)</f>
        <v/>
      </c>
    </row>
    <row r="146" customFormat="false" ht="15" hidden="false" customHeight="false" outlineLevel="0" collapsed="false">
      <c r="A146" s="19"/>
      <c r="B146" s="20"/>
      <c r="C146" s="19"/>
      <c r="D146" s="19"/>
      <c r="E146" s="19"/>
      <c r="F146" s="19"/>
      <c r="G146" s="21"/>
      <c r="H146" s="19"/>
      <c r="I146" s="21"/>
      <c r="J146" s="19"/>
      <c r="K146" s="20"/>
      <c r="L146" s="20"/>
      <c r="M146" s="19"/>
      <c r="N146" s="19"/>
      <c r="O146" s="20"/>
      <c r="P146" s="20"/>
      <c r="Q146" s="19"/>
      <c r="R146" s="22" t="str">
        <f aca="false">IF(A146="","",N(G146)+N(I146))</f>
        <v/>
      </c>
      <c r="S146" s="23" t="str">
        <f aca="false">IF(OR(K146="",O146=""),"",O146-K146)</f>
        <v/>
      </c>
      <c r="T146" s="23" t="str">
        <f aca="true">IF(AND(C146="Cetak",L146&lt;&gt;"",L146&lt;TODAY()),"YA","")</f>
        <v/>
      </c>
      <c r="U146" s="23" t="str">
        <f aca="false">IF(B146="","",TEXT(B146,"yyyy-mm"))</f>
        <v/>
      </c>
      <c r="V146" s="23" t="str">
        <f aca="false">IF(K146="","",TEXT(K146,"yyyy-mm"))</f>
        <v/>
      </c>
      <c r="W146" s="23" t="n">
        <f aca="false">IF(OR(C146="Cetak",C146="Dikirim",C146="Selesai"),1,0)</f>
        <v>0</v>
      </c>
      <c r="X146" s="23" t="str">
        <f aca="false">IF(F146="","",SUBSTITUTE(SUBSTITUTE(MID(UPPER(TRIM(F146)),4,99),"-LED",""),"-TK",""))</f>
        <v/>
      </c>
      <c r="Y146" s="23" t="str">
        <f aca="false">IF(X146="","",(LEN(X146)+1)/7)</f>
        <v/>
      </c>
      <c r="Z146" s="23" t="str">
        <f aca="false">IF(X146="","",LEFT(X146,6))</f>
        <v/>
      </c>
      <c r="AA146" s="23" t="str">
        <f aca="false">IF(X146="","",IF(Y146&gt;=3,MID(X146,8,6),""))</f>
        <v/>
      </c>
      <c r="AB146" s="23" t="str">
        <f aca="false">IF(X146="","",IF(Y146&gt;=4,MID(X146,15,6),""))</f>
        <v/>
      </c>
      <c r="AC146" s="23" t="str">
        <f aca="false">IF(X146="","",IF(Y146&gt;=5,MID(X146,22,6),""))</f>
        <v/>
      </c>
      <c r="AD146" s="23" t="str">
        <f aca="false">IF(X146="","",RIGHT(X146,6))</f>
        <v/>
      </c>
      <c r="AE146" s="23" t="str">
        <f aca="false">IF(F146="","",IF(ISNUMBER(SEARCH("-TK",UPPER(F146))),0,1))</f>
        <v/>
      </c>
      <c r="AF146" s="23" t="str">
        <f aca="false">IF(F146="","",IF(ISNUMBER(SEARCH("-LED",UPPER(F146))),1,0))</f>
        <v/>
      </c>
      <c r="AG146" s="24" t="n">
        <f aca="false">IF(Z146="",0,IFERROR(INDEX(Resep!$C$5:$C$7,MATCH(LEFT(Z146,3),Resep!$B$5:$B$7,0)),0))</f>
        <v>0</v>
      </c>
      <c r="AH146" s="24" t="n">
        <f aca="false">IF(AA146="",0,IFERROR(INDEX(Resep!$C$9:$C$13,MATCH(LEFT(AA146,3),Resep!$B$9:$B$13,0)),0))</f>
        <v>0</v>
      </c>
      <c r="AI146" s="24" t="n">
        <f aca="false">IF(AB146="",0,IFERROR(INDEX(Resep!$C$9:$C$13,MATCH(LEFT(AB146,3),Resep!$B$9:$B$13,0)),0))</f>
        <v>0</v>
      </c>
      <c r="AJ146" s="24" t="n">
        <f aca="false">IF(AC146="",0,IFERROR(INDEX(Resep!$C$9:$C$13,MATCH(LEFT(AC146,3),Resep!$B$9:$B$13,0)),0))</f>
        <v>0</v>
      </c>
      <c r="AK146" s="24" t="n">
        <f aca="false">IF(AD146="",0,IFERROR(INDEX(Resep!$C$15:$C$18,MATCH(LEFT(AD146,3),Resep!$B$15:$B$18,0)),0))</f>
        <v>0</v>
      </c>
      <c r="AL146" s="24" t="str">
        <f aca="false">IF(X146="","",AG146+AH146+AI146+AJ146+AK146)</f>
        <v/>
      </c>
      <c r="AM146" s="22" t="str">
        <f aca="false">IF(X146="","",AL146*(Pengaturan!$B$6+Pengaturan!$B$7)+Pengaturan!$B$8+AE146*Pengaturan!$B$9+AF146*Pengaturan!$B$10)</f>
        <v/>
      </c>
      <c r="AN146" s="22" t="str">
        <f aca="false">IF(X146="","",N(G146)-AM146)</f>
        <v/>
      </c>
      <c r="AO146" s="25" t="str">
        <f aca="false">IF(OR(X146="",N(G146)=0),"",AN146/G146)</f>
        <v/>
      </c>
    </row>
    <row r="147" customFormat="false" ht="15" hidden="false" customHeight="false" outlineLevel="0" collapsed="false">
      <c r="A147" s="19"/>
      <c r="B147" s="20"/>
      <c r="C147" s="19"/>
      <c r="D147" s="19"/>
      <c r="E147" s="19"/>
      <c r="F147" s="19"/>
      <c r="G147" s="21"/>
      <c r="H147" s="19"/>
      <c r="I147" s="21"/>
      <c r="J147" s="19"/>
      <c r="K147" s="20"/>
      <c r="L147" s="20"/>
      <c r="M147" s="19"/>
      <c r="N147" s="19"/>
      <c r="O147" s="20"/>
      <c r="P147" s="20"/>
      <c r="Q147" s="19"/>
      <c r="R147" s="22" t="str">
        <f aca="false">IF(A147="","",N(G147)+N(I147))</f>
        <v/>
      </c>
      <c r="S147" s="23" t="str">
        <f aca="false">IF(OR(K147="",O147=""),"",O147-K147)</f>
        <v/>
      </c>
      <c r="T147" s="23" t="str">
        <f aca="true">IF(AND(C147="Cetak",L147&lt;&gt;"",L147&lt;TODAY()),"YA","")</f>
        <v/>
      </c>
      <c r="U147" s="23" t="str">
        <f aca="false">IF(B147="","",TEXT(B147,"yyyy-mm"))</f>
        <v/>
      </c>
      <c r="V147" s="23" t="str">
        <f aca="false">IF(K147="","",TEXT(K147,"yyyy-mm"))</f>
        <v/>
      </c>
      <c r="W147" s="23" t="n">
        <f aca="false">IF(OR(C147="Cetak",C147="Dikirim",C147="Selesai"),1,0)</f>
        <v>0</v>
      </c>
      <c r="X147" s="23" t="str">
        <f aca="false">IF(F147="","",SUBSTITUTE(SUBSTITUTE(MID(UPPER(TRIM(F147)),4,99),"-LED",""),"-TK",""))</f>
        <v/>
      </c>
      <c r="Y147" s="23" t="str">
        <f aca="false">IF(X147="","",(LEN(X147)+1)/7)</f>
        <v/>
      </c>
      <c r="Z147" s="23" t="str">
        <f aca="false">IF(X147="","",LEFT(X147,6))</f>
        <v/>
      </c>
      <c r="AA147" s="23" t="str">
        <f aca="false">IF(X147="","",IF(Y147&gt;=3,MID(X147,8,6),""))</f>
        <v/>
      </c>
      <c r="AB147" s="23" t="str">
        <f aca="false">IF(X147="","",IF(Y147&gt;=4,MID(X147,15,6),""))</f>
        <v/>
      </c>
      <c r="AC147" s="23" t="str">
        <f aca="false">IF(X147="","",IF(Y147&gt;=5,MID(X147,22,6),""))</f>
        <v/>
      </c>
      <c r="AD147" s="23" t="str">
        <f aca="false">IF(X147="","",RIGHT(X147,6))</f>
        <v/>
      </c>
      <c r="AE147" s="23" t="str">
        <f aca="false">IF(F147="","",IF(ISNUMBER(SEARCH("-TK",UPPER(F147))),0,1))</f>
        <v/>
      </c>
      <c r="AF147" s="23" t="str">
        <f aca="false">IF(F147="","",IF(ISNUMBER(SEARCH("-LED",UPPER(F147))),1,0))</f>
        <v/>
      </c>
      <c r="AG147" s="24" t="n">
        <f aca="false">IF(Z147="",0,IFERROR(INDEX(Resep!$C$5:$C$7,MATCH(LEFT(Z147,3),Resep!$B$5:$B$7,0)),0))</f>
        <v>0</v>
      </c>
      <c r="AH147" s="24" t="n">
        <f aca="false">IF(AA147="",0,IFERROR(INDEX(Resep!$C$9:$C$13,MATCH(LEFT(AA147,3),Resep!$B$9:$B$13,0)),0))</f>
        <v>0</v>
      </c>
      <c r="AI147" s="24" t="n">
        <f aca="false">IF(AB147="",0,IFERROR(INDEX(Resep!$C$9:$C$13,MATCH(LEFT(AB147,3),Resep!$B$9:$B$13,0)),0))</f>
        <v>0</v>
      </c>
      <c r="AJ147" s="24" t="n">
        <f aca="false">IF(AC147="",0,IFERROR(INDEX(Resep!$C$9:$C$13,MATCH(LEFT(AC147,3),Resep!$B$9:$B$13,0)),0))</f>
        <v>0</v>
      </c>
      <c r="AK147" s="24" t="n">
        <f aca="false">IF(AD147="",0,IFERROR(INDEX(Resep!$C$15:$C$18,MATCH(LEFT(AD147,3),Resep!$B$15:$B$18,0)),0))</f>
        <v>0</v>
      </c>
      <c r="AL147" s="24" t="str">
        <f aca="false">IF(X147="","",AG147+AH147+AI147+AJ147+AK147)</f>
        <v/>
      </c>
      <c r="AM147" s="22" t="str">
        <f aca="false">IF(X147="","",AL147*(Pengaturan!$B$6+Pengaturan!$B$7)+Pengaturan!$B$8+AE147*Pengaturan!$B$9+AF147*Pengaturan!$B$10)</f>
        <v/>
      </c>
      <c r="AN147" s="22" t="str">
        <f aca="false">IF(X147="","",N(G147)-AM147)</f>
        <v/>
      </c>
      <c r="AO147" s="25" t="str">
        <f aca="false">IF(OR(X147="",N(G147)=0),"",AN147/G147)</f>
        <v/>
      </c>
    </row>
    <row r="148" customFormat="false" ht="15" hidden="false" customHeight="false" outlineLevel="0" collapsed="false">
      <c r="A148" s="19"/>
      <c r="B148" s="20"/>
      <c r="C148" s="19"/>
      <c r="D148" s="19"/>
      <c r="E148" s="19"/>
      <c r="F148" s="19"/>
      <c r="G148" s="21"/>
      <c r="H148" s="19"/>
      <c r="I148" s="21"/>
      <c r="J148" s="19"/>
      <c r="K148" s="20"/>
      <c r="L148" s="20"/>
      <c r="M148" s="19"/>
      <c r="N148" s="19"/>
      <c r="O148" s="20"/>
      <c r="P148" s="20"/>
      <c r="Q148" s="19"/>
      <c r="R148" s="22" t="str">
        <f aca="false">IF(A148="","",N(G148)+N(I148))</f>
        <v/>
      </c>
      <c r="S148" s="23" t="str">
        <f aca="false">IF(OR(K148="",O148=""),"",O148-K148)</f>
        <v/>
      </c>
      <c r="T148" s="23" t="str">
        <f aca="true">IF(AND(C148="Cetak",L148&lt;&gt;"",L148&lt;TODAY()),"YA","")</f>
        <v/>
      </c>
      <c r="U148" s="23" t="str">
        <f aca="false">IF(B148="","",TEXT(B148,"yyyy-mm"))</f>
        <v/>
      </c>
      <c r="V148" s="23" t="str">
        <f aca="false">IF(K148="","",TEXT(K148,"yyyy-mm"))</f>
        <v/>
      </c>
      <c r="W148" s="23" t="n">
        <f aca="false">IF(OR(C148="Cetak",C148="Dikirim",C148="Selesai"),1,0)</f>
        <v>0</v>
      </c>
      <c r="X148" s="23" t="str">
        <f aca="false">IF(F148="","",SUBSTITUTE(SUBSTITUTE(MID(UPPER(TRIM(F148)),4,99),"-LED",""),"-TK",""))</f>
        <v/>
      </c>
      <c r="Y148" s="23" t="str">
        <f aca="false">IF(X148="","",(LEN(X148)+1)/7)</f>
        <v/>
      </c>
      <c r="Z148" s="23" t="str">
        <f aca="false">IF(X148="","",LEFT(X148,6))</f>
        <v/>
      </c>
      <c r="AA148" s="23" t="str">
        <f aca="false">IF(X148="","",IF(Y148&gt;=3,MID(X148,8,6),""))</f>
        <v/>
      </c>
      <c r="AB148" s="23" t="str">
        <f aca="false">IF(X148="","",IF(Y148&gt;=4,MID(X148,15,6),""))</f>
        <v/>
      </c>
      <c r="AC148" s="23" t="str">
        <f aca="false">IF(X148="","",IF(Y148&gt;=5,MID(X148,22,6),""))</f>
        <v/>
      </c>
      <c r="AD148" s="23" t="str">
        <f aca="false">IF(X148="","",RIGHT(X148,6))</f>
        <v/>
      </c>
      <c r="AE148" s="23" t="str">
        <f aca="false">IF(F148="","",IF(ISNUMBER(SEARCH("-TK",UPPER(F148))),0,1))</f>
        <v/>
      </c>
      <c r="AF148" s="23" t="str">
        <f aca="false">IF(F148="","",IF(ISNUMBER(SEARCH("-LED",UPPER(F148))),1,0))</f>
        <v/>
      </c>
      <c r="AG148" s="24" t="n">
        <f aca="false">IF(Z148="",0,IFERROR(INDEX(Resep!$C$5:$C$7,MATCH(LEFT(Z148,3),Resep!$B$5:$B$7,0)),0))</f>
        <v>0</v>
      </c>
      <c r="AH148" s="24" t="n">
        <f aca="false">IF(AA148="",0,IFERROR(INDEX(Resep!$C$9:$C$13,MATCH(LEFT(AA148,3),Resep!$B$9:$B$13,0)),0))</f>
        <v>0</v>
      </c>
      <c r="AI148" s="24" t="n">
        <f aca="false">IF(AB148="",0,IFERROR(INDEX(Resep!$C$9:$C$13,MATCH(LEFT(AB148,3),Resep!$B$9:$B$13,0)),0))</f>
        <v>0</v>
      </c>
      <c r="AJ148" s="24" t="n">
        <f aca="false">IF(AC148="",0,IFERROR(INDEX(Resep!$C$9:$C$13,MATCH(LEFT(AC148,3),Resep!$B$9:$B$13,0)),0))</f>
        <v>0</v>
      </c>
      <c r="AK148" s="24" t="n">
        <f aca="false">IF(AD148="",0,IFERROR(INDEX(Resep!$C$15:$C$18,MATCH(LEFT(AD148,3),Resep!$B$15:$B$18,0)),0))</f>
        <v>0</v>
      </c>
      <c r="AL148" s="24" t="str">
        <f aca="false">IF(X148="","",AG148+AH148+AI148+AJ148+AK148)</f>
        <v/>
      </c>
      <c r="AM148" s="22" t="str">
        <f aca="false">IF(X148="","",AL148*(Pengaturan!$B$6+Pengaturan!$B$7)+Pengaturan!$B$8+AE148*Pengaturan!$B$9+AF148*Pengaturan!$B$10)</f>
        <v/>
      </c>
      <c r="AN148" s="22" t="str">
        <f aca="false">IF(X148="","",N(G148)-AM148)</f>
        <v/>
      </c>
      <c r="AO148" s="25" t="str">
        <f aca="false">IF(OR(X148="",N(G148)=0),"",AN148/G148)</f>
        <v/>
      </c>
    </row>
    <row r="149" customFormat="false" ht="15" hidden="false" customHeight="false" outlineLevel="0" collapsed="false">
      <c r="A149" s="19"/>
      <c r="B149" s="20"/>
      <c r="C149" s="19"/>
      <c r="D149" s="19"/>
      <c r="E149" s="19"/>
      <c r="F149" s="19"/>
      <c r="G149" s="21"/>
      <c r="H149" s="19"/>
      <c r="I149" s="21"/>
      <c r="J149" s="19"/>
      <c r="K149" s="20"/>
      <c r="L149" s="20"/>
      <c r="M149" s="19"/>
      <c r="N149" s="19"/>
      <c r="O149" s="20"/>
      <c r="P149" s="20"/>
      <c r="Q149" s="19"/>
      <c r="R149" s="22" t="str">
        <f aca="false">IF(A149="","",N(G149)+N(I149))</f>
        <v/>
      </c>
      <c r="S149" s="23" t="str">
        <f aca="false">IF(OR(K149="",O149=""),"",O149-K149)</f>
        <v/>
      </c>
      <c r="T149" s="23" t="str">
        <f aca="true">IF(AND(C149="Cetak",L149&lt;&gt;"",L149&lt;TODAY()),"YA","")</f>
        <v/>
      </c>
      <c r="U149" s="23" t="str">
        <f aca="false">IF(B149="","",TEXT(B149,"yyyy-mm"))</f>
        <v/>
      </c>
      <c r="V149" s="23" t="str">
        <f aca="false">IF(K149="","",TEXT(K149,"yyyy-mm"))</f>
        <v/>
      </c>
      <c r="W149" s="23" t="n">
        <f aca="false">IF(OR(C149="Cetak",C149="Dikirim",C149="Selesai"),1,0)</f>
        <v>0</v>
      </c>
      <c r="X149" s="23" t="str">
        <f aca="false">IF(F149="","",SUBSTITUTE(SUBSTITUTE(MID(UPPER(TRIM(F149)),4,99),"-LED",""),"-TK",""))</f>
        <v/>
      </c>
      <c r="Y149" s="23" t="str">
        <f aca="false">IF(X149="","",(LEN(X149)+1)/7)</f>
        <v/>
      </c>
      <c r="Z149" s="23" t="str">
        <f aca="false">IF(X149="","",LEFT(X149,6))</f>
        <v/>
      </c>
      <c r="AA149" s="23" t="str">
        <f aca="false">IF(X149="","",IF(Y149&gt;=3,MID(X149,8,6),""))</f>
        <v/>
      </c>
      <c r="AB149" s="23" t="str">
        <f aca="false">IF(X149="","",IF(Y149&gt;=4,MID(X149,15,6),""))</f>
        <v/>
      </c>
      <c r="AC149" s="23" t="str">
        <f aca="false">IF(X149="","",IF(Y149&gt;=5,MID(X149,22,6),""))</f>
        <v/>
      </c>
      <c r="AD149" s="23" t="str">
        <f aca="false">IF(X149="","",RIGHT(X149,6))</f>
        <v/>
      </c>
      <c r="AE149" s="23" t="str">
        <f aca="false">IF(F149="","",IF(ISNUMBER(SEARCH("-TK",UPPER(F149))),0,1))</f>
        <v/>
      </c>
      <c r="AF149" s="23" t="str">
        <f aca="false">IF(F149="","",IF(ISNUMBER(SEARCH("-LED",UPPER(F149))),1,0))</f>
        <v/>
      </c>
      <c r="AG149" s="24" t="n">
        <f aca="false">IF(Z149="",0,IFERROR(INDEX(Resep!$C$5:$C$7,MATCH(LEFT(Z149,3),Resep!$B$5:$B$7,0)),0))</f>
        <v>0</v>
      </c>
      <c r="AH149" s="24" t="n">
        <f aca="false">IF(AA149="",0,IFERROR(INDEX(Resep!$C$9:$C$13,MATCH(LEFT(AA149,3),Resep!$B$9:$B$13,0)),0))</f>
        <v>0</v>
      </c>
      <c r="AI149" s="24" t="n">
        <f aca="false">IF(AB149="",0,IFERROR(INDEX(Resep!$C$9:$C$13,MATCH(LEFT(AB149,3),Resep!$B$9:$B$13,0)),0))</f>
        <v>0</v>
      </c>
      <c r="AJ149" s="24" t="n">
        <f aca="false">IF(AC149="",0,IFERROR(INDEX(Resep!$C$9:$C$13,MATCH(LEFT(AC149,3),Resep!$B$9:$B$13,0)),0))</f>
        <v>0</v>
      </c>
      <c r="AK149" s="24" t="n">
        <f aca="false">IF(AD149="",0,IFERROR(INDEX(Resep!$C$15:$C$18,MATCH(LEFT(AD149,3),Resep!$B$15:$B$18,0)),0))</f>
        <v>0</v>
      </c>
      <c r="AL149" s="24" t="str">
        <f aca="false">IF(X149="","",AG149+AH149+AI149+AJ149+AK149)</f>
        <v/>
      </c>
      <c r="AM149" s="22" t="str">
        <f aca="false">IF(X149="","",AL149*(Pengaturan!$B$6+Pengaturan!$B$7)+Pengaturan!$B$8+AE149*Pengaturan!$B$9+AF149*Pengaturan!$B$10)</f>
        <v/>
      </c>
      <c r="AN149" s="22" t="str">
        <f aca="false">IF(X149="","",N(G149)-AM149)</f>
        <v/>
      </c>
      <c r="AO149" s="25" t="str">
        <f aca="false">IF(OR(X149="",N(G149)=0),"",AN149/G149)</f>
        <v/>
      </c>
    </row>
    <row r="150" customFormat="false" ht="15" hidden="false" customHeight="false" outlineLevel="0" collapsed="false">
      <c r="A150" s="19"/>
      <c r="B150" s="20"/>
      <c r="C150" s="19"/>
      <c r="D150" s="19"/>
      <c r="E150" s="19"/>
      <c r="F150" s="19"/>
      <c r="G150" s="21"/>
      <c r="H150" s="19"/>
      <c r="I150" s="21"/>
      <c r="J150" s="19"/>
      <c r="K150" s="20"/>
      <c r="L150" s="20"/>
      <c r="M150" s="19"/>
      <c r="N150" s="19"/>
      <c r="O150" s="20"/>
      <c r="P150" s="20"/>
      <c r="Q150" s="19"/>
      <c r="R150" s="22" t="str">
        <f aca="false">IF(A150="","",N(G150)+N(I150))</f>
        <v/>
      </c>
      <c r="S150" s="23" t="str">
        <f aca="false">IF(OR(K150="",O150=""),"",O150-K150)</f>
        <v/>
      </c>
      <c r="T150" s="23" t="str">
        <f aca="true">IF(AND(C150="Cetak",L150&lt;&gt;"",L150&lt;TODAY()),"YA","")</f>
        <v/>
      </c>
      <c r="U150" s="23" t="str">
        <f aca="false">IF(B150="","",TEXT(B150,"yyyy-mm"))</f>
        <v/>
      </c>
      <c r="V150" s="23" t="str">
        <f aca="false">IF(K150="","",TEXT(K150,"yyyy-mm"))</f>
        <v/>
      </c>
      <c r="W150" s="23" t="n">
        <f aca="false">IF(OR(C150="Cetak",C150="Dikirim",C150="Selesai"),1,0)</f>
        <v>0</v>
      </c>
      <c r="X150" s="23" t="str">
        <f aca="false">IF(F150="","",SUBSTITUTE(SUBSTITUTE(MID(UPPER(TRIM(F150)),4,99),"-LED",""),"-TK",""))</f>
        <v/>
      </c>
      <c r="Y150" s="23" t="str">
        <f aca="false">IF(X150="","",(LEN(X150)+1)/7)</f>
        <v/>
      </c>
      <c r="Z150" s="23" t="str">
        <f aca="false">IF(X150="","",LEFT(X150,6))</f>
        <v/>
      </c>
      <c r="AA150" s="23" t="str">
        <f aca="false">IF(X150="","",IF(Y150&gt;=3,MID(X150,8,6),""))</f>
        <v/>
      </c>
      <c r="AB150" s="23" t="str">
        <f aca="false">IF(X150="","",IF(Y150&gt;=4,MID(X150,15,6),""))</f>
        <v/>
      </c>
      <c r="AC150" s="23" t="str">
        <f aca="false">IF(X150="","",IF(Y150&gt;=5,MID(X150,22,6),""))</f>
        <v/>
      </c>
      <c r="AD150" s="23" t="str">
        <f aca="false">IF(X150="","",RIGHT(X150,6))</f>
        <v/>
      </c>
      <c r="AE150" s="23" t="str">
        <f aca="false">IF(F150="","",IF(ISNUMBER(SEARCH("-TK",UPPER(F150))),0,1))</f>
        <v/>
      </c>
      <c r="AF150" s="23" t="str">
        <f aca="false">IF(F150="","",IF(ISNUMBER(SEARCH("-LED",UPPER(F150))),1,0))</f>
        <v/>
      </c>
      <c r="AG150" s="24" t="n">
        <f aca="false">IF(Z150="",0,IFERROR(INDEX(Resep!$C$5:$C$7,MATCH(LEFT(Z150,3),Resep!$B$5:$B$7,0)),0))</f>
        <v>0</v>
      </c>
      <c r="AH150" s="24" t="n">
        <f aca="false">IF(AA150="",0,IFERROR(INDEX(Resep!$C$9:$C$13,MATCH(LEFT(AA150,3),Resep!$B$9:$B$13,0)),0))</f>
        <v>0</v>
      </c>
      <c r="AI150" s="24" t="n">
        <f aca="false">IF(AB150="",0,IFERROR(INDEX(Resep!$C$9:$C$13,MATCH(LEFT(AB150,3),Resep!$B$9:$B$13,0)),0))</f>
        <v>0</v>
      </c>
      <c r="AJ150" s="24" t="n">
        <f aca="false">IF(AC150="",0,IFERROR(INDEX(Resep!$C$9:$C$13,MATCH(LEFT(AC150,3),Resep!$B$9:$B$13,0)),0))</f>
        <v>0</v>
      </c>
      <c r="AK150" s="24" t="n">
        <f aca="false">IF(AD150="",0,IFERROR(INDEX(Resep!$C$15:$C$18,MATCH(LEFT(AD150,3),Resep!$B$15:$B$18,0)),0))</f>
        <v>0</v>
      </c>
      <c r="AL150" s="24" t="str">
        <f aca="false">IF(X150="","",AG150+AH150+AI150+AJ150+AK150)</f>
        <v/>
      </c>
      <c r="AM150" s="22" t="str">
        <f aca="false">IF(X150="","",AL150*(Pengaturan!$B$6+Pengaturan!$B$7)+Pengaturan!$B$8+AE150*Pengaturan!$B$9+AF150*Pengaturan!$B$10)</f>
        <v/>
      </c>
      <c r="AN150" s="22" t="str">
        <f aca="false">IF(X150="","",N(G150)-AM150)</f>
        <v/>
      </c>
      <c r="AO150" s="25" t="str">
        <f aca="false">IF(OR(X150="",N(G150)=0),"",AN150/G150)</f>
        <v/>
      </c>
    </row>
    <row r="151" customFormat="false" ht="15" hidden="false" customHeight="false" outlineLevel="0" collapsed="false">
      <c r="A151" s="19"/>
      <c r="B151" s="20"/>
      <c r="C151" s="19"/>
      <c r="D151" s="19"/>
      <c r="E151" s="19"/>
      <c r="F151" s="19"/>
      <c r="G151" s="21"/>
      <c r="H151" s="19"/>
      <c r="I151" s="21"/>
      <c r="J151" s="19"/>
      <c r="K151" s="20"/>
      <c r="L151" s="20"/>
      <c r="M151" s="19"/>
      <c r="N151" s="19"/>
      <c r="O151" s="20"/>
      <c r="P151" s="20"/>
      <c r="Q151" s="19"/>
      <c r="R151" s="22" t="str">
        <f aca="false">IF(A151="","",N(G151)+N(I151))</f>
        <v/>
      </c>
      <c r="S151" s="23" t="str">
        <f aca="false">IF(OR(K151="",O151=""),"",O151-K151)</f>
        <v/>
      </c>
      <c r="T151" s="23" t="str">
        <f aca="true">IF(AND(C151="Cetak",L151&lt;&gt;"",L151&lt;TODAY()),"YA","")</f>
        <v/>
      </c>
      <c r="U151" s="23" t="str">
        <f aca="false">IF(B151="","",TEXT(B151,"yyyy-mm"))</f>
        <v/>
      </c>
      <c r="V151" s="23" t="str">
        <f aca="false">IF(K151="","",TEXT(K151,"yyyy-mm"))</f>
        <v/>
      </c>
      <c r="W151" s="23" t="n">
        <f aca="false">IF(OR(C151="Cetak",C151="Dikirim",C151="Selesai"),1,0)</f>
        <v>0</v>
      </c>
      <c r="X151" s="23" t="str">
        <f aca="false">IF(F151="","",SUBSTITUTE(SUBSTITUTE(MID(UPPER(TRIM(F151)),4,99),"-LED",""),"-TK",""))</f>
        <v/>
      </c>
      <c r="Y151" s="23" t="str">
        <f aca="false">IF(X151="","",(LEN(X151)+1)/7)</f>
        <v/>
      </c>
      <c r="Z151" s="23" t="str">
        <f aca="false">IF(X151="","",LEFT(X151,6))</f>
        <v/>
      </c>
      <c r="AA151" s="23" t="str">
        <f aca="false">IF(X151="","",IF(Y151&gt;=3,MID(X151,8,6),""))</f>
        <v/>
      </c>
      <c r="AB151" s="23" t="str">
        <f aca="false">IF(X151="","",IF(Y151&gt;=4,MID(X151,15,6),""))</f>
        <v/>
      </c>
      <c r="AC151" s="23" t="str">
        <f aca="false">IF(X151="","",IF(Y151&gt;=5,MID(X151,22,6),""))</f>
        <v/>
      </c>
      <c r="AD151" s="23" t="str">
        <f aca="false">IF(X151="","",RIGHT(X151,6))</f>
        <v/>
      </c>
      <c r="AE151" s="23" t="str">
        <f aca="false">IF(F151="","",IF(ISNUMBER(SEARCH("-TK",UPPER(F151))),0,1))</f>
        <v/>
      </c>
      <c r="AF151" s="23" t="str">
        <f aca="false">IF(F151="","",IF(ISNUMBER(SEARCH("-LED",UPPER(F151))),1,0))</f>
        <v/>
      </c>
      <c r="AG151" s="24" t="n">
        <f aca="false">IF(Z151="",0,IFERROR(INDEX(Resep!$C$5:$C$7,MATCH(LEFT(Z151,3),Resep!$B$5:$B$7,0)),0))</f>
        <v>0</v>
      </c>
      <c r="AH151" s="24" t="n">
        <f aca="false">IF(AA151="",0,IFERROR(INDEX(Resep!$C$9:$C$13,MATCH(LEFT(AA151,3),Resep!$B$9:$B$13,0)),0))</f>
        <v>0</v>
      </c>
      <c r="AI151" s="24" t="n">
        <f aca="false">IF(AB151="",0,IFERROR(INDEX(Resep!$C$9:$C$13,MATCH(LEFT(AB151,3),Resep!$B$9:$B$13,0)),0))</f>
        <v>0</v>
      </c>
      <c r="AJ151" s="24" t="n">
        <f aca="false">IF(AC151="",0,IFERROR(INDEX(Resep!$C$9:$C$13,MATCH(LEFT(AC151,3),Resep!$B$9:$B$13,0)),0))</f>
        <v>0</v>
      </c>
      <c r="AK151" s="24" t="n">
        <f aca="false">IF(AD151="",0,IFERROR(INDEX(Resep!$C$15:$C$18,MATCH(LEFT(AD151,3),Resep!$B$15:$B$18,0)),0))</f>
        <v>0</v>
      </c>
      <c r="AL151" s="24" t="str">
        <f aca="false">IF(X151="","",AG151+AH151+AI151+AJ151+AK151)</f>
        <v/>
      </c>
      <c r="AM151" s="22" t="str">
        <f aca="false">IF(X151="","",AL151*(Pengaturan!$B$6+Pengaturan!$B$7)+Pengaturan!$B$8+AE151*Pengaturan!$B$9+AF151*Pengaturan!$B$10)</f>
        <v/>
      </c>
      <c r="AN151" s="22" t="str">
        <f aca="false">IF(X151="","",N(G151)-AM151)</f>
        <v/>
      </c>
      <c r="AO151" s="25" t="str">
        <f aca="false">IF(OR(X151="",N(G151)=0),"",AN151/G151)</f>
        <v/>
      </c>
    </row>
    <row r="152" customFormat="false" ht="15" hidden="false" customHeight="false" outlineLevel="0" collapsed="false">
      <c r="A152" s="19"/>
      <c r="B152" s="20"/>
      <c r="C152" s="19"/>
      <c r="D152" s="19"/>
      <c r="E152" s="19"/>
      <c r="F152" s="19"/>
      <c r="G152" s="21"/>
      <c r="H152" s="19"/>
      <c r="I152" s="21"/>
      <c r="J152" s="19"/>
      <c r="K152" s="20"/>
      <c r="L152" s="20"/>
      <c r="M152" s="19"/>
      <c r="N152" s="19"/>
      <c r="O152" s="20"/>
      <c r="P152" s="20"/>
      <c r="Q152" s="19"/>
      <c r="R152" s="22" t="str">
        <f aca="false">IF(A152="","",N(G152)+N(I152))</f>
        <v/>
      </c>
      <c r="S152" s="23" t="str">
        <f aca="false">IF(OR(K152="",O152=""),"",O152-K152)</f>
        <v/>
      </c>
      <c r="T152" s="23" t="str">
        <f aca="true">IF(AND(C152="Cetak",L152&lt;&gt;"",L152&lt;TODAY()),"YA","")</f>
        <v/>
      </c>
      <c r="U152" s="23" t="str">
        <f aca="false">IF(B152="","",TEXT(B152,"yyyy-mm"))</f>
        <v/>
      </c>
      <c r="V152" s="23" t="str">
        <f aca="false">IF(K152="","",TEXT(K152,"yyyy-mm"))</f>
        <v/>
      </c>
      <c r="W152" s="23" t="n">
        <f aca="false">IF(OR(C152="Cetak",C152="Dikirim",C152="Selesai"),1,0)</f>
        <v>0</v>
      </c>
      <c r="X152" s="23" t="str">
        <f aca="false">IF(F152="","",SUBSTITUTE(SUBSTITUTE(MID(UPPER(TRIM(F152)),4,99),"-LED",""),"-TK",""))</f>
        <v/>
      </c>
      <c r="Y152" s="23" t="str">
        <f aca="false">IF(X152="","",(LEN(X152)+1)/7)</f>
        <v/>
      </c>
      <c r="Z152" s="23" t="str">
        <f aca="false">IF(X152="","",LEFT(X152,6))</f>
        <v/>
      </c>
      <c r="AA152" s="23" t="str">
        <f aca="false">IF(X152="","",IF(Y152&gt;=3,MID(X152,8,6),""))</f>
        <v/>
      </c>
      <c r="AB152" s="23" t="str">
        <f aca="false">IF(X152="","",IF(Y152&gt;=4,MID(X152,15,6),""))</f>
        <v/>
      </c>
      <c r="AC152" s="23" t="str">
        <f aca="false">IF(X152="","",IF(Y152&gt;=5,MID(X152,22,6),""))</f>
        <v/>
      </c>
      <c r="AD152" s="23" t="str">
        <f aca="false">IF(X152="","",RIGHT(X152,6))</f>
        <v/>
      </c>
      <c r="AE152" s="23" t="str">
        <f aca="false">IF(F152="","",IF(ISNUMBER(SEARCH("-TK",UPPER(F152))),0,1))</f>
        <v/>
      </c>
      <c r="AF152" s="23" t="str">
        <f aca="false">IF(F152="","",IF(ISNUMBER(SEARCH("-LED",UPPER(F152))),1,0))</f>
        <v/>
      </c>
      <c r="AG152" s="24" t="n">
        <f aca="false">IF(Z152="",0,IFERROR(INDEX(Resep!$C$5:$C$7,MATCH(LEFT(Z152,3),Resep!$B$5:$B$7,0)),0))</f>
        <v>0</v>
      </c>
      <c r="AH152" s="24" t="n">
        <f aca="false">IF(AA152="",0,IFERROR(INDEX(Resep!$C$9:$C$13,MATCH(LEFT(AA152,3),Resep!$B$9:$B$13,0)),0))</f>
        <v>0</v>
      </c>
      <c r="AI152" s="24" t="n">
        <f aca="false">IF(AB152="",0,IFERROR(INDEX(Resep!$C$9:$C$13,MATCH(LEFT(AB152,3),Resep!$B$9:$B$13,0)),0))</f>
        <v>0</v>
      </c>
      <c r="AJ152" s="24" t="n">
        <f aca="false">IF(AC152="",0,IFERROR(INDEX(Resep!$C$9:$C$13,MATCH(LEFT(AC152,3),Resep!$B$9:$B$13,0)),0))</f>
        <v>0</v>
      </c>
      <c r="AK152" s="24" t="n">
        <f aca="false">IF(AD152="",0,IFERROR(INDEX(Resep!$C$15:$C$18,MATCH(LEFT(AD152,3),Resep!$B$15:$B$18,0)),0))</f>
        <v>0</v>
      </c>
      <c r="AL152" s="24" t="str">
        <f aca="false">IF(X152="","",AG152+AH152+AI152+AJ152+AK152)</f>
        <v/>
      </c>
      <c r="AM152" s="22" t="str">
        <f aca="false">IF(X152="","",AL152*(Pengaturan!$B$6+Pengaturan!$B$7)+Pengaturan!$B$8+AE152*Pengaturan!$B$9+AF152*Pengaturan!$B$10)</f>
        <v/>
      </c>
      <c r="AN152" s="22" t="str">
        <f aca="false">IF(X152="","",N(G152)-AM152)</f>
        <v/>
      </c>
      <c r="AO152" s="25" t="str">
        <f aca="false">IF(OR(X152="",N(G152)=0),"",AN152/G152)</f>
        <v/>
      </c>
    </row>
    <row r="153" customFormat="false" ht="15" hidden="false" customHeight="false" outlineLevel="0" collapsed="false">
      <c r="A153" s="19"/>
      <c r="B153" s="20"/>
      <c r="C153" s="19"/>
      <c r="D153" s="19"/>
      <c r="E153" s="19"/>
      <c r="F153" s="19"/>
      <c r="G153" s="21"/>
      <c r="H153" s="19"/>
      <c r="I153" s="21"/>
      <c r="J153" s="19"/>
      <c r="K153" s="20"/>
      <c r="L153" s="20"/>
      <c r="M153" s="19"/>
      <c r="N153" s="19"/>
      <c r="O153" s="20"/>
      <c r="P153" s="20"/>
      <c r="Q153" s="19"/>
      <c r="R153" s="22" t="str">
        <f aca="false">IF(A153="","",N(G153)+N(I153))</f>
        <v/>
      </c>
      <c r="S153" s="23" t="str">
        <f aca="false">IF(OR(K153="",O153=""),"",O153-K153)</f>
        <v/>
      </c>
      <c r="T153" s="23" t="str">
        <f aca="true">IF(AND(C153="Cetak",L153&lt;&gt;"",L153&lt;TODAY()),"YA","")</f>
        <v/>
      </c>
      <c r="U153" s="23" t="str">
        <f aca="false">IF(B153="","",TEXT(B153,"yyyy-mm"))</f>
        <v/>
      </c>
      <c r="V153" s="23" t="str">
        <f aca="false">IF(K153="","",TEXT(K153,"yyyy-mm"))</f>
        <v/>
      </c>
      <c r="W153" s="23" t="n">
        <f aca="false">IF(OR(C153="Cetak",C153="Dikirim",C153="Selesai"),1,0)</f>
        <v>0</v>
      </c>
      <c r="X153" s="23" t="str">
        <f aca="false">IF(F153="","",SUBSTITUTE(SUBSTITUTE(MID(UPPER(TRIM(F153)),4,99),"-LED",""),"-TK",""))</f>
        <v/>
      </c>
      <c r="Y153" s="23" t="str">
        <f aca="false">IF(X153="","",(LEN(X153)+1)/7)</f>
        <v/>
      </c>
      <c r="Z153" s="23" t="str">
        <f aca="false">IF(X153="","",LEFT(X153,6))</f>
        <v/>
      </c>
      <c r="AA153" s="23" t="str">
        <f aca="false">IF(X153="","",IF(Y153&gt;=3,MID(X153,8,6),""))</f>
        <v/>
      </c>
      <c r="AB153" s="23" t="str">
        <f aca="false">IF(X153="","",IF(Y153&gt;=4,MID(X153,15,6),""))</f>
        <v/>
      </c>
      <c r="AC153" s="23" t="str">
        <f aca="false">IF(X153="","",IF(Y153&gt;=5,MID(X153,22,6),""))</f>
        <v/>
      </c>
      <c r="AD153" s="23" t="str">
        <f aca="false">IF(X153="","",RIGHT(X153,6))</f>
        <v/>
      </c>
      <c r="AE153" s="23" t="str">
        <f aca="false">IF(F153="","",IF(ISNUMBER(SEARCH("-TK",UPPER(F153))),0,1))</f>
        <v/>
      </c>
      <c r="AF153" s="23" t="str">
        <f aca="false">IF(F153="","",IF(ISNUMBER(SEARCH("-LED",UPPER(F153))),1,0))</f>
        <v/>
      </c>
      <c r="AG153" s="24" t="n">
        <f aca="false">IF(Z153="",0,IFERROR(INDEX(Resep!$C$5:$C$7,MATCH(LEFT(Z153,3),Resep!$B$5:$B$7,0)),0))</f>
        <v>0</v>
      </c>
      <c r="AH153" s="24" t="n">
        <f aca="false">IF(AA153="",0,IFERROR(INDEX(Resep!$C$9:$C$13,MATCH(LEFT(AA153,3),Resep!$B$9:$B$13,0)),0))</f>
        <v>0</v>
      </c>
      <c r="AI153" s="24" t="n">
        <f aca="false">IF(AB153="",0,IFERROR(INDEX(Resep!$C$9:$C$13,MATCH(LEFT(AB153,3),Resep!$B$9:$B$13,0)),0))</f>
        <v>0</v>
      </c>
      <c r="AJ153" s="24" t="n">
        <f aca="false">IF(AC153="",0,IFERROR(INDEX(Resep!$C$9:$C$13,MATCH(LEFT(AC153,3),Resep!$B$9:$B$13,0)),0))</f>
        <v>0</v>
      </c>
      <c r="AK153" s="24" t="n">
        <f aca="false">IF(AD153="",0,IFERROR(INDEX(Resep!$C$15:$C$18,MATCH(LEFT(AD153,3),Resep!$B$15:$B$18,0)),0))</f>
        <v>0</v>
      </c>
      <c r="AL153" s="24" t="str">
        <f aca="false">IF(X153="","",AG153+AH153+AI153+AJ153+AK153)</f>
        <v/>
      </c>
      <c r="AM153" s="22" t="str">
        <f aca="false">IF(X153="","",AL153*(Pengaturan!$B$6+Pengaturan!$B$7)+Pengaturan!$B$8+AE153*Pengaturan!$B$9+AF153*Pengaturan!$B$10)</f>
        <v/>
      </c>
      <c r="AN153" s="22" t="str">
        <f aca="false">IF(X153="","",N(G153)-AM153)</f>
        <v/>
      </c>
      <c r="AO153" s="25" t="str">
        <f aca="false">IF(OR(X153="",N(G153)=0),"",AN153/G153)</f>
        <v/>
      </c>
    </row>
    <row r="154" customFormat="false" ht="15" hidden="false" customHeight="false" outlineLevel="0" collapsed="false">
      <c r="A154" s="19"/>
      <c r="B154" s="20"/>
      <c r="C154" s="19"/>
      <c r="D154" s="19"/>
      <c r="E154" s="19"/>
      <c r="F154" s="19"/>
      <c r="G154" s="21"/>
      <c r="H154" s="19"/>
      <c r="I154" s="21"/>
      <c r="J154" s="19"/>
      <c r="K154" s="20"/>
      <c r="L154" s="20"/>
      <c r="M154" s="19"/>
      <c r="N154" s="19"/>
      <c r="O154" s="20"/>
      <c r="P154" s="20"/>
      <c r="Q154" s="19"/>
      <c r="R154" s="22" t="str">
        <f aca="false">IF(A154="","",N(G154)+N(I154))</f>
        <v/>
      </c>
      <c r="S154" s="23" t="str">
        <f aca="false">IF(OR(K154="",O154=""),"",O154-K154)</f>
        <v/>
      </c>
      <c r="T154" s="23" t="str">
        <f aca="true">IF(AND(C154="Cetak",L154&lt;&gt;"",L154&lt;TODAY()),"YA","")</f>
        <v/>
      </c>
      <c r="U154" s="23" t="str">
        <f aca="false">IF(B154="","",TEXT(B154,"yyyy-mm"))</f>
        <v/>
      </c>
      <c r="V154" s="23" t="str">
        <f aca="false">IF(K154="","",TEXT(K154,"yyyy-mm"))</f>
        <v/>
      </c>
      <c r="W154" s="23" t="n">
        <f aca="false">IF(OR(C154="Cetak",C154="Dikirim",C154="Selesai"),1,0)</f>
        <v>0</v>
      </c>
      <c r="X154" s="23" t="str">
        <f aca="false">IF(F154="","",SUBSTITUTE(SUBSTITUTE(MID(UPPER(TRIM(F154)),4,99),"-LED",""),"-TK",""))</f>
        <v/>
      </c>
      <c r="Y154" s="23" t="str">
        <f aca="false">IF(X154="","",(LEN(X154)+1)/7)</f>
        <v/>
      </c>
      <c r="Z154" s="23" t="str">
        <f aca="false">IF(X154="","",LEFT(X154,6))</f>
        <v/>
      </c>
      <c r="AA154" s="23" t="str">
        <f aca="false">IF(X154="","",IF(Y154&gt;=3,MID(X154,8,6),""))</f>
        <v/>
      </c>
      <c r="AB154" s="23" t="str">
        <f aca="false">IF(X154="","",IF(Y154&gt;=4,MID(X154,15,6),""))</f>
        <v/>
      </c>
      <c r="AC154" s="23" t="str">
        <f aca="false">IF(X154="","",IF(Y154&gt;=5,MID(X154,22,6),""))</f>
        <v/>
      </c>
      <c r="AD154" s="23" t="str">
        <f aca="false">IF(X154="","",RIGHT(X154,6))</f>
        <v/>
      </c>
      <c r="AE154" s="23" t="str">
        <f aca="false">IF(F154="","",IF(ISNUMBER(SEARCH("-TK",UPPER(F154))),0,1))</f>
        <v/>
      </c>
      <c r="AF154" s="23" t="str">
        <f aca="false">IF(F154="","",IF(ISNUMBER(SEARCH("-LED",UPPER(F154))),1,0))</f>
        <v/>
      </c>
      <c r="AG154" s="24" t="n">
        <f aca="false">IF(Z154="",0,IFERROR(INDEX(Resep!$C$5:$C$7,MATCH(LEFT(Z154,3),Resep!$B$5:$B$7,0)),0))</f>
        <v>0</v>
      </c>
      <c r="AH154" s="24" t="n">
        <f aca="false">IF(AA154="",0,IFERROR(INDEX(Resep!$C$9:$C$13,MATCH(LEFT(AA154,3),Resep!$B$9:$B$13,0)),0))</f>
        <v>0</v>
      </c>
      <c r="AI154" s="24" t="n">
        <f aca="false">IF(AB154="",0,IFERROR(INDEX(Resep!$C$9:$C$13,MATCH(LEFT(AB154,3),Resep!$B$9:$B$13,0)),0))</f>
        <v>0</v>
      </c>
      <c r="AJ154" s="24" t="n">
        <f aca="false">IF(AC154="",0,IFERROR(INDEX(Resep!$C$9:$C$13,MATCH(LEFT(AC154,3),Resep!$B$9:$B$13,0)),0))</f>
        <v>0</v>
      </c>
      <c r="AK154" s="24" t="n">
        <f aca="false">IF(AD154="",0,IFERROR(INDEX(Resep!$C$15:$C$18,MATCH(LEFT(AD154,3),Resep!$B$15:$B$18,0)),0))</f>
        <v>0</v>
      </c>
      <c r="AL154" s="24" t="str">
        <f aca="false">IF(X154="","",AG154+AH154+AI154+AJ154+AK154)</f>
        <v/>
      </c>
      <c r="AM154" s="22" t="str">
        <f aca="false">IF(X154="","",AL154*(Pengaturan!$B$6+Pengaturan!$B$7)+Pengaturan!$B$8+AE154*Pengaturan!$B$9+AF154*Pengaturan!$B$10)</f>
        <v/>
      </c>
      <c r="AN154" s="22" t="str">
        <f aca="false">IF(X154="","",N(G154)-AM154)</f>
        <v/>
      </c>
      <c r="AO154" s="25" t="str">
        <f aca="false">IF(OR(X154="",N(G154)=0),"",AN154/G154)</f>
        <v/>
      </c>
    </row>
    <row r="155" customFormat="false" ht="15" hidden="false" customHeight="false" outlineLevel="0" collapsed="false">
      <c r="A155" s="19"/>
      <c r="B155" s="20"/>
      <c r="C155" s="19"/>
      <c r="D155" s="19"/>
      <c r="E155" s="19"/>
      <c r="F155" s="19"/>
      <c r="G155" s="21"/>
      <c r="H155" s="19"/>
      <c r="I155" s="21"/>
      <c r="J155" s="19"/>
      <c r="K155" s="20"/>
      <c r="L155" s="20"/>
      <c r="M155" s="19"/>
      <c r="N155" s="19"/>
      <c r="O155" s="20"/>
      <c r="P155" s="20"/>
      <c r="Q155" s="19"/>
      <c r="R155" s="22" t="str">
        <f aca="false">IF(A155="","",N(G155)+N(I155))</f>
        <v/>
      </c>
      <c r="S155" s="23" t="str">
        <f aca="false">IF(OR(K155="",O155=""),"",O155-K155)</f>
        <v/>
      </c>
      <c r="T155" s="23" t="str">
        <f aca="true">IF(AND(C155="Cetak",L155&lt;&gt;"",L155&lt;TODAY()),"YA","")</f>
        <v/>
      </c>
      <c r="U155" s="23" t="str">
        <f aca="false">IF(B155="","",TEXT(B155,"yyyy-mm"))</f>
        <v/>
      </c>
      <c r="V155" s="23" t="str">
        <f aca="false">IF(K155="","",TEXT(K155,"yyyy-mm"))</f>
        <v/>
      </c>
      <c r="W155" s="23" t="n">
        <f aca="false">IF(OR(C155="Cetak",C155="Dikirim",C155="Selesai"),1,0)</f>
        <v>0</v>
      </c>
      <c r="X155" s="23" t="str">
        <f aca="false">IF(F155="","",SUBSTITUTE(SUBSTITUTE(MID(UPPER(TRIM(F155)),4,99),"-LED",""),"-TK",""))</f>
        <v/>
      </c>
      <c r="Y155" s="23" t="str">
        <f aca="false">IF(X155="","",(LEN(X155)+1)/7)</f>
        <v/>
      </c>
      <c r="Z155" s="23" t="str">
        <f aca="false">IF(X155="","",LEFT(X155,6))</f>
        <v/>
      </c>
      <c r="AA155" s="23" t="str">
        <f aca="false">IF(X155="","",IF(Y155&gt;=3,MID(X155,8,6),""))</f>
        <v/>
      </c>
      <c r="AB155" s="23" t="str">
        <f aca="false">IF(X155="","",IF(Y155&gt;=4,MID(X155,15,6),""))</f>
        <v/>
      </c>
      <c r="AC155" s="23" t="str">
        <f aca="false">IF(X155="","",IF(Y155&gt;=5,MID(X155,22,6),""))</f>
        <v/>
      </c>
      <c r="AD155" s="23" t="str">
        <f aca="false">IF(X155="","",RIGHT(X155,6))</f>
        <v/>
      </c>
      <c r="AE155" s="23" t="str">
        <f aca="false">IF(F155="","",IF(ISNUMBER(SEARCH("-TK",UPPER(F155))),0,1))</f>
        <v/>
      </c>
      <c r="AF155" s="23" t="str">
        <f aca="false">IF(F155="","",IF(ISNUMBER(SEARCH("-LED",UPPER(F155))),1,0))</f>
        <v/>
      </c>
      <c r="AG155" s="24" t="n">
        <f aca="false">IF(Z155="",0,IFERROR(INDEX(Resep!$C$5:$C$7,MATCH(LEFT(Z155,3),Resep!$B$5:$B$7,0)),0))</f>
        <v>0</v>
      </c>
      <c r="AH155" s="24" t="n">
        <f aca="false">IF(AA155="",0,IFERROR(INDEX(Resep!$C$9:$C$13,MATCH(LEFT(AA155,3),Resep!$B$9:$B$13,0)),0))</f>
        <v>0</v>
      </c>
      <c r="AI155" s="24" t="n">
        <f aca="false">IF(AB155="",0,IFERROR(INDEX(Resep!$C$9:$C$13,MATCH(LEFT(AB155,3),Resep!$B$9:$B$13,0)),0))</f>
        <v>0</v>
      </c>
      <c r="AJ155" s="24" t="n">
        <f aca="false">IF(AC155="",0,IFERROR(INDEX(Resep!$C$9:$C$13,MATCH(LEFT(AC155,3),Resep!$B$9:$B$13,0)),0))</f>
        <v>0</v>
      </c>
      <c r="AK155" s="24" t="n">
        <f aca="false">IF(AD155="",0,IFERROR(INDEX(Resep!$C$15:$C$18,MATCH(LEFT(AD155,3),Resep!$B$15:$B$18,0)),0))</f>
        <v>0</v>
      </c>
      <c r="AL155" s="24" t="str">
        <f aca="false">IF(X155="","",AG155+AH155+AI155+AJ155+AK155)</f>
        <v/>
      </c>
      <c r="AM155" s="22" t="str">
        <f aca="false">IF(X155="","",AL155*(Pengaturan!$B$6+Pengaturan!$B$7)+Pengaturan!$B$8+AE155*Pengaturan!$B$9+AF155*Pengaturan!$B$10)</f>
        <v/>
      </c>
      <c r="AN155" s="22" t="str">
        <f aca="false">IF(X155="","",N(G155)-AM155)</f>
        <v/>
      </c>
      <c r="AO155" s="25" t="str">
        <f aca="false">IF(OR(X155="",N(G155)=0),"",AN155/G155)</f>
        <v/>
      </c>
    </row>
    <row r="156" customFormat="false" ht="15" hidden="false" customHeight="false" outlineLevel="0" collapsed="false">
      <c r="A156" s="19"/>
      <c r="B156" s="20"/>
      <c r="C156" s="19"/>
      <c r="D156" s="19"/>
      <c r="E156" s="19"/>
      <c r="F156" s="19"/>
      <c r="G156" s="21"/>
      <c r="H156" s="19"/>
      <c r="I156" s="21"/>
      <c r="J156" s="19"/>
      <c r="K156" s="20"/>
      <c r="L156" s="20"/>
      <c r="M156" s="19"/>
      <c r="N156" s="19"/>
      <c r="O156" s="20"/>
      <c r="P156" s="20"/>
      <c r="Q156" s="19"/>
      <c r="R156" s="22" t="str">
        <f aca="false">IF(A156="","",N(G156)+N(I156))</f>
        <v/>
      </c>
      <c r="S156" s="23" t="str">
        <f aca="false">IF(OR(K156="",O156=""),"",O156-K156)</f>
        <v/>
      </c>
      <c r="T156" s="23" t="str">
        <f aca="true">IF(AND(C156="Cetak",L156&lt;&gt;"",L156&lt;TODAY()),"YA","")</f>
        <v/>
      </c>
      <c r="U156" s="23" t="str">
        <f aca="false">IF(B156="","",TEXT(B156,"yyyy-mm"))</f>
        <v/>
      </c>
      <c r="V156" s="23" t="str">
        <f aca="false">IF(K156="","",TEXT(K156,"yyyy-mm"))</f>
        <v/>
      </c>
      <c r="W156" s="23" t="n">
        <f aca="false">IF(OR(C156="Cetak",C156="Dikirim",C156="Selesai"),1,0)</f>
        <v>0</v>
      </c>
      <c r="X156" s="23" t="str">
        <f aca="false">IF(F156="","",SUBSTITUTE(SUBSTITUTE(MID(UPPER(TRIM(F156)),4,99),"-LED",""),"-TK",""))</f>
        <v/>
      </c>
      <c r="Y156" s="23" t="str">
        <f aca="false">IF(X156="","",(LEN(X156)+1)/7)</f>
        <v/>
      </c>
      <c r="Z156" s="23" t="str">
        <f aca="false">IF(X156="","",LEFT(X156,6))</f>
        <v/>
      </c>
      <c r="AA156" s="23" t="str">
        <f aca="false">IF(X156="","",IF(Y156&gt;=3,MID(X156,8,6),""))</f>
        <v/>
      </c>
      <c r="AB156" s="23" t="str">
        <f aca="false">IF(X156="","",IF(Y156&gt;=4,MID(X156,15,6),""))</f>
        <v/>
      </c>
      <c r="AC156" s="23" t="str">
        <f aca="false">IF(X156="","",IF(Y156&gt;=5,MID(X156,22,6),""))</f>
        <v/>
      </c>
      <c r="AD156" s="23" t="str">
        <f aca="false">IF(X156="","",RIGHT(X156,6))</f>
        <v/>
      </c>
      <c r="AE156" s="23" t="str">
        <f aca="false">IF(F156="","",IF(ISNUMBER(SEARCH("-TK",UPPER(F156))),0,1))</f>
        <v/>
      </c>
      <c r="AF156" s="23" t="str">
        <f aca="false">IF(F156="","",IF(ISNUMBER(SEARCH("-LED",UPPER(F156))),1,0))</f>
        <v/>
      </c>
      <c r="AG156" s="24" t="n">
        <f aca="false">IF(Z156="",0,IFERROR(INDEX(Resep!$C$5:$C$7,MATCH(LEFT(Z156,3),Resep!$B$5:$B$7,0)),0))</f>
        <v>0</v>
      </c>
      <c r="AH156" s="24" t="n">
        <f aca="false">IF(AA156="",0,IFERROR(INDEX(Resep!$C$9:$C$13,MATCH(LEFT(AA156,3),Resep!$B$9:$B$13,0)),0))</f>
        <v>0</v>
      </c>
      <c r="AI156" s="24" t="n">
        <f aca="false">IF(AB156="",0,IFERROR(INDEX(Resep!$C$9:$C$13,MATCH(LEFT(AB156,3),Resep!$B$9:$B$13,0)),0))</f>
        <v>0</v>
      </c>
      <c r="AJ156" s="24" t="n">
        <f aca="false">IF(AC156="",0,IFERROR(INDEX(Resep!$C$9:$C$13,MATCH(LEFT(AC156,3),Resep!$B$9:$B$13,0)),0))</f>
        <v>0</v>
      </c>
      <c r="AK156" s="24" t="n">
        <f aca="false">IF(AD156="",0,IFERROR(INDEX(Resep!$C$15:$C$18,MATCH(LEFT(AD156,3),Resep!$B$15:$B$18,0)),0))</f>
        <v>0</v>
      </c>
      <c r="AL156" s="24" t="str">
        <f aca="false">IF(X156="","",AG156+AH156+AI156+AJ156+AK156)</f>
        <v/>
      </c>
      <c r="AM156" s="22" t="str">
        <f aca="false">IF(X156="","",AL156*(Pengaturan!$B$6+Pengaturan!$B$7)+Pengaturan!$B$8+AE156*Pengaturan!$B$9+AF156*Pengaturan!$B$10)</f>
        <v/>
      </c>
      <c r="AN156" s="22" t="str">
        <f aca="false">IF(X156="","",N(G156)-AM156)</f>
        <v/>
      </c>
      <c r="AO156" s="25" t="str">
        <f aca="false">IF(OR(X156="",N(G156)=0),"",AN156/G156)</f>
        <v/>
      </c>
    </row>
    <row r="157" customFormat="false" ht="15" hidden="false" customHeight="false" outlineLevel="0" collapsed="false">
      <c r="A157" s="19"/>
      <c r="B157" s="20"/>
      <c r="C157" s="19"/>
      <c r="D157" s="19"/>
      <c r="E157" s="19"/>
      <c r="F157" s="19"/>
      <c r="G157" s="21"/>
      <c r="H157" s="19"/>
      <c r="I157" s="21"/>
      <c r="J157" s="19"/>
      <c r="K157" s="20"/>
      <c r="L157" s="20"/>
      <c r="M157" s="19"/>
      <c r="N157" s="19"/>
      <c r="O157" s="20"/>
      <c r="P157" s="20"/>
      <c r="Q157" s="19"/>
      <c r="R157" s="22" t="str">
        <f aca="false">IF(A157="","",N(G157)+N(I157))</f>
        <v/>
      </c>
      <c r="S157" s="23" t="str">
        <f aca="false">IF(OR(K157="",O157=""),"",O157-K157)</f>
        <v/>
      </c>
      <c r="T157" s="23" t="str">
        <f aca="true">IF(AND(C157="Cetak",L157&lt;&gt;"",L157&lt;TODAY()),"YA","")</f>
        <v/>
      </c>
      <c r="U157" s="23" t="str">
        <f aca="false">IF(B157="","",TEXT(B157,"yyyy-mm"))</f>
        <v/>
      </c>
      <c r="V157" s="23" t="str">
        <f aca="false">IF(K157="","",TEXT(K157,"yyyy-mm"))</f>
        <v/>
      </c>
      <c r="W157" s="23" t="n">
        <f aca="false">IF(OR(C157="Cetak",C157="Dikirim",C157="Selesai"),1,0)</f>
        <v>0</v>
      </c>
      <c r="X157" s="23" t="str">
        <f aca="false">IF(F157="","",SUBSTITUTE(SUBSTITUTE(MID(UPPER(TRIM(F157)),4,99),"-LED",""),"-TK",""))</f>
        <v/>
      </c>
      <c r="Y157" s="23" t="str">
        <f aca="false">IF(X157="","",(LEN(X157)+1)/7)</f>
        <v/>
      </c>
      <c r="Z157" s="23" t="str">
        <f aca="false">IF(X157="","",LEFT(X157,6))</f>
        <v/>
      </c>
      <c r="AA157" s="23" t="str">
        <f aca="false">IF(X157="","",IF(Y157&gt;=3,MID(X157,8,6),""))</f>
        <v/>
      </c>
      <c r="AB157" s="23" t="str">
        <f aca="false">IF(X157="","",IF(Y157&gt;=4,MID(X157,15,6),""))</f>
        <v/>
      </c>
      <c r="AC157" s="23" t="str">
        <f aca="false">IF(X157="","",IF(Y157&gt;=5,MID(X157,22,6),""))</f>
        <v/>
      </c>
      <c r="AD157" s="23" t="str">
        <f aca="false">IF(X157="","",RIGHT(X157,6))</f>
        <v/>
      </c>
      <c r="AE157" s="23" t="str">
        <f aca="false">IF(F157="","",IF(ISNUMBER(SEARCH("-TK",UPPER(F157))),0,1))</f>
        <v/>
      </c>
      <c r="AF157" s="23" t="str">
        <f aca="false">IF(F157="","",IF(ISNUMBER(SEARCH("-LED",UPPER(F157))),1,0))</f>
        <v/>
      </c>
      <c r="AG157" s="24" t="n">
        <f aca="false">IF(Z157="",0,IFERROR(INDEX(Resep!$C$5:$C$7,MATCH(LEFT(Z157,3),Resep!$B$5:$B$7,0)),0))</f>
        <v>0</v>
      </c>
      <c r="AH157" s="24" t="n">
        <f aca="false">IF(AA157="",0,IFERROR(INDEX(Resep!$C$9:$C$13,MATCH(LEFT(AA157,3),Resep!$B$9:$B$13,0)),0))</f>
        <v>0</v>
      </c>
      <c r="AI157" s="24" t="n">
        <f aca="false">IF(AB157="",0,IFERROR(INDEX(Resep!$C$9:$C$13,MATCH(LEFT(AB157,3),Resep!$B$9:$B$13,0)),0))</f>
        <v>0</v>
      </c>
      <c r="AJ157" s="24" t="n">
        <f aca="false">IF(AC157="",0,IFERROR(INDEX(Resep!$C$9:$C$13,MATCH(LEFT(AC157,3),Resep!$B$9:$B$13,0)),0))</f>
        <v>0</v>
      </c>
      <c r="AK157" s="24" t="n">
        <f aca="false">IF(AD157="",0,IFERROR(INDEX(Resep!$C$15:$C$18,MATCH(LEFT(AD157,3),Resep!$B$15:$B$18,0)),0))</f>
        <v>0</v>
      </c>
      <c r="AL157" s="24" t="str">
        <f aca="false">IF(X157="","",AG157+AH157+AI157+AJ157+AK157)</f>
        <v/>
      </c>
      <c r="AM157" s="22" t="str">
        <f aca="false">IF(X157="","",AL157*(Pengaturan!$B$6+Pengaturan!$B$7)+Pengaturan!$B$8+AE157*Pengaturan!$B$9+AF157*Pengaturan!$B$10)</f>
        <v/>
      </c>
      <c r="AN157" s="22" t="str">
        <f aca="false">IF(X157="","",N(G157)-AM157)</f>
        <v/>
      </c>
      <c r="AO157" s="25" t="str">
        <f aca="false">IF(OR(X157="",N(G157)=0),"",AN157/G157)</f>
        <v/>
      </c>
    </row>
    <row r="158" customFormat="false" ht="15" hidden="false" customHeight="false" outlineLevel="0" collapsed="false">
      <c r="A158" s="19"/>
      <c r="B158" s="20"/>
      <c r="C158" s="19"/>
      <c r="D158" s="19"/>
      <c r="E158" s="19"/>
      <c r="F158" s="19"/>
      <c r="G158" s="21"/>
      <c r="H158" s="19"/>
      <c r="I158" s="21"/>
      <c r="J158" s="19"/>
      <c r="K158" s="20"/>
      <c r="L158" s="20"/>
      <c r="M158" s="19"/>
      <c r="N158" s="19"/>
      <c r="O158" s="20"/>
      <c r="P158" s="20"/>
      <c r="Q158" s="19"/>
      <c r="R158" s="22" t="str">
        <f aca="false">IF(A158="","",N(G158)+N(I158))</f>
        <v/>
      </c>
      <c r="S158" s="23" t="str">
        <f aca="false">IF(OR(K158="",O158=""),"",O158-K158)</f>
        <v/>
      </c>
      <c r="T158" s="23" t="str">
        <f aca="true">IF(AND(C158="Cetak",L158&lt;&gt;"",L158&lt;TODAY()),"YA","")</f>
        <v/>
      </c>
      <c r="U158" s="23" t="str">
        <f aca="false">IF(B158="","",TEXT(B158,"yyyy-mm"))</f>
        <v/>
      </c>
      <c r="V158" s="23" t="str">
        <f aca="false">IF(K158="","",TEXT(K158,"yyyy-mm"))</f>
        <v/>
      </c>
      <c r="W158" s="23" t="n">
        <f aca="false">IF(OR(C158="Cetak",C158="Dikirim",C158="Selesai"),1,0)</f>
        <v>0</v>
      </c>
      <c r="X158" s="23" t="str">
        <f aca="false">IF(F158="","",SUBSTITUTE(SUBSTITUTE(MID(UPPER(TRIM(F158)),4,99),"-LED",""),"-TK",""))</f>
        <v/>
      </c>
      <c r="Y158" s="23" t="str">
        <f aca="false">IF(X158="","",(LEN(X158)+1)/7)</f>
        <v/>
      </c>
      <c r="Z158" s="23" t="str">
        <f aca="false">IF(X158="","",LEFT(X158,6))</f>
        <v/>
      </c>
      <c r="AA158" s="23" t="str">
        <f aca="false">IF(X158="","",IF(Y158&gt;=3,MID(X158,8,6),""))</f>
        <v/>
      </c>
      <c r="AB158" s="23" t="str">
        <f aca="false">IF(X158="","",IF(Y158&gt;=4,MID(X158,15,6),""))</f>
        <v/>
      </c>
      <c r="AC158" s="23" t="str">
        <f aca="false">IF(X158="","",IF(Y158&gt;=5,MID(X158,22,6),""))</f>
        <v/>
      </c>
      <c r="AD158" s="23" t="str">
        <f aca="false">IF(X158="","",RIGHT(X158,6))</f>
        <v/>
      </c>
      <c r="AE158" s="23" t="str">
        <f aca="false">IF(F158="","",IF(ISNUMBER(SEARCH("-TK",UPPER(F158))),0,1))</f>
        <v/>
      </c>
      <c r="AF158" s="23" t="str">
        <f aca="false">IF(F158="","",IF(ISNUMBER(SEARCH("-LED",UPPER(F158))),1,0))</f>
        <v/>
      </c>
      <c r="AG158" s="24" t="n">
        <f aca="false">IF(Z158="",0,IFERROR(INDEX(Resep!$C$5:$C$7,MATCH(LEFT(Z158,3),Resep!$B$5:$B$7,0)),0))</f>
        <v>0</v>
      </c>
      <c r="AH158" s="24" t="n">
        <f aca="false">IF(AA158="",0,IFERROR(INDEX(Resep!$C$9:$C$13,MATCH(LEFT(AA158,3),Resep!$B$9:$B$13,0)),0))</f>
        <v>0</v>
      </c>
      <c r="AI158" s="24" t="n">
        <f aca="false">IF(AB158="",0,IFERROR(INDEX(Resep!$C$9:$C$13,MATCH(LEFT(AB158,3),Resep!$B$9:$B$13,0)),0))</f>
        <v>0</v>
      </c>
      <c r="AJ158" s="24" t="n">
        <f aca="false">IF(AC158="",0,IFERROR(INDEX(Resep!$C$9:$C$13,MATCH(LEFT(AC158,3),Resep!$B$9:$B$13,0)),0))</f>
        <v>0</v>
      </c>
      <c r="AK158" s="24" t="n">
        <f aca="false">IF(AD158="",0,IFERROR(INDEX(Resep!$C$15:$C$18,MATCH(LEFT(AD158,3),Resep!$B$15:$B$18,0)),0))</f>
        <v>0</v>
      </c>
      <c r="AL158" s="24" t="str">
        <f aca="false">IF(X158="","",AG158+AH158+AI158+AJ158+AK158)</f>
        <v/>
      </c>
      <c r="AM158" s="22" t="str">
        <f aca="false">IF(X158="","",AL158*(Pengaturan!$B$6+Pengaturan!$B$7)+Pengaturan!$B$8+AE158*Pengaturan!$B$9+AF158*Pengaturan!$B$10)</f>
        <v/>
      </c>
      <c r="AN158" s="22" t="str">
        <f aca="false">IF(X158="","",N(G158)-AM158)</f>
        <v/>
      </c>
      <c r="AO158" s="25" t="str">
        <f aca="false">IF(OR(X158="",N(G158)=0),"",AN158/G158)</f>
        <v/>
      </c>
    </row>
    <row r="159" customFormat="false" ht="15" hidden="false" customHeight="false" outlineLevel="0" collapsed="false">
      <c r="A159" s="19"/>
      <c r="B159" s="20"/>
      <c r="C159" s="19"/>
      <c r="D159" s="19"/>
      <c r="E159" s="19"/>
      <c r="F159" s="19"/>
      <c r="G159" s="21"/>
      <c r="H159" s="19"/>
      <c r="I159" s="21"/>
      <c r="J159" s="19"/>
      <c r="K159" s="20"/>
      <c r="L159" s="20"/>
      <c r="M159" s="19"/>
      <c r="N159" s="19"/>
      <c r="O159" s="20"/>
      <c r="P159" s="20"/>
      <c r="Q159" s="19"/>
      <c r="R159" s="22" t="str">
        <f aca="false">IF(A159="","",N(G159)+N(I159))</f>
        <v/>
      </c>
      <c r="S159" s="23" t="str">
        <f aca="false">IF(OR(K159="",O159=""),"",O159-K159)</f>
        <v/>
      </c>
      <c r="T159" s="23" t="str">
        <f aca="true">IF(AND(C159="Cetak",L159&lt;&gt;"",L159&lt;TODAY()),"YA","")</f>
        <v/>
      </c>
      <c r="U159" s="23" t="str">
        <f aca="false">IF(B159="","",TEXT(B159,"yyyy-mm"))</f>
        <v/>
      </c>
      <c r="V159" s="23" t="str">
        <f aca="false">IF(K159="","",TEXT(K159,"yyyy-mm"))</f>
        <v/>
      </c>
      <c r="W159" s="23" t="n">
        <f aca="false">IF(OR(C159="Cetak",C159="Dikirim",C159="Selesai"),1,0)</f>
        <v>0</v>
      </c>
      <c r="X159" s="23" t="str">
        <f aca="false">IF(F159="","",SUBSTITUTE(SUBSTITUTE(MID(UPPER(TRIM(F159)),4,99),"-LED",""),"-TK",""))</f>
        <v/>
      </c>
      <c r="Y159" s="23" t="str">
        <f aca="false">IF(X159="","",(LEN(X159)+1)/7)</f>
        <v/>
      </c>
      <c r="Z159" s="23" t="str">
        <f aca="false">IF(X159="","",LEFT(X159,6))</f>
        <v/>
      </c>
      <c r="AA159" s="23" t="str">
        <f aca="false">IF(X159="","",IF(Y159&gt;=3,MID(X159,8,6),""))</f>
        <v/>
      </c>
      <c r="AB159" s="23" t="str">
        <f aca="false">IF(X159="","",IF(Y159&gt;=4,MID(X159,15,6),""))</f>
        <v/>
      </c>
      <c r="AC159" s="23" t="str">
        <f aca="false">IF(X159="","",IF(Y159&gt;=5,MID(X159,22,6),""))</f>
        <v/>
      </c>
      <c r="AD159" s="23" t="str">
        <f aca="false">IF(X159="","",RIGHT(X159,6))</f>
        <v/>
      </c>
      <c r="AE159" s="23" t="str">
        <f aca="false">IF(F159="","",IF(ISNUMBER(SEARCH("-TK",UPPER(F159))),0,1))</f>
        <v/>
      </c>
      <c r="AF159" s="23" t="str">
        <f aca="false">IF(F159="","",IF(ISNUMBER(SEARCH("-LED",UPPER(F159))),1,0))</f>
        <v/>
      </c>
      <c r="AG159" s="24" t="n">
        <f aca="false">IF(Z159="",0,IFERROR(INDEX(Resep!$C$5:$C$7,MATCH(LEFT(Z159,3),Resep!$B$5:$B$7,0)),0))</f>
        <v>0</v>
      </c>
      <c r="AH159" s="24" t="n">
        <f aca="false">IF(AA159="",0,IFERROR(INDEX(Resep!$C$9:$C$13,MATCH(LEFT(AA159,3),Resep!$B$9:$B$13,0)),0))</f>
        <v>0</v>
      </c>
      <c r="AI159" s="24" t="n">
        <f aca="false">IF(AB159="",0,IFERROR(INDEX(Resep!$C$9:$C$13,MATCH(LEFT(AB159,3),Resep!$B$9:$B$13,0)),0))</f>
        <v>0</v>
      </c>
      <c r="AJ159" s="24" t="n">
        <f aca="false">IF(AC159="",0,IFERROR(INDEX(Resep!$C$9:$C$13,MATCH(LEFT(AC159,3),Resep!$B$9:$B$13,0)),0))</f>
        <v>0</v>
      </c>
      <c r="AK159" s="24" t="n">
        <f aca="false">IF(AD159="",0,IFERROR(INDEX(Resep!$C$15:$C$18,MATCH(LEFT(AD159,3),Resep!$B$15:$B$18,0)),0))</f>
        <v>0</v>
      </c>
      <c r="AL159" s="24" t="str">
        <f aca="false">IF(X159="","",AG159+AH159+AI159+AJ159+AK159)</f>
        <v/>
      </c>
      <c r="AM159" s="22" t="str">
        <f aca="false">IF(X159="","",AL159*(Pengaturan!$B$6+Pengaturan!$B$7)+Pengaturan!$B$8+AE159*Pengaturan!$B$9+AF159*Pengaturan!$B$10)</f>
        <v/>
      </c>
      <c r="AN159" s="22" t="str">
        <f aca="false">IF(X159="","",N(G159)-AM159)</f>
        <v/>
      </c>
      <c r="AO159" s="25" t="str">
        <f aca="false">IF(OR(X159="",N(G159)=0),"",AN159/G159)</f>
        <v/>
      </c>
    </row>
    <row r="160" customFormat="false" ht="15" hidden="false" customHeight="false" outlineLevel="0" collapsed="false">
      <c r="A160" s="19"/>
      <c r="B160" s="20"/>
      <c r="C160" s="19"/>
      <c r="D160" s="19"/>
      <c r="E160" s="19"/>
      <c r="F160" s="19"/>
      <c r="G160" s="21"/>
      <c r="H160" s="19"/>
      <c r="I160" s="21"/>
      <c r="J160" s="19"/>
      <c r="K160" s="20"/>
      <c r="L160" s="20"/>
      <c r="M160" s="19"/>
      <c r="N160" s="19"/>
      <c r="O160" s="20"/>
      <c r="P160" s="20"/>
      <c r="Q160" s="19"/>
      <c r="R160" s="22" t="str">
        <f aca="false">IF(A160="","",N(G160)+N(I160))</f>
        <v/>
      </c>
      <c r="S160" s="23" t="str">
        <f aca="false">IF(OR(K160="",O160=""),"",O160-K160)</f>
        <v/>
      </c>
      <c r="T160" s="23" t="str">
        <f aca="true">IF(AND(C160="Cetak",L160&lt;&gt;"",L160&lt;TODAY()),"YA","")</f>
        <v/>
      </c>
      <c r="U160" s="23" t="str">
        <f aca="false">IF(B160="","",TEXT(B160,"yyyy-mm"))</f>
        <v/>
      </c>
      <c r="V160" s="23" t="str">
        <f aca="false">IF(K160="","",TEXT(K160,"yyyy-mm"))</f>
        <v/>
      </c>
      <c r="W160" s="23" t="n">
        <f aca="false">IF(OR(C160="Cetak",C160="Dikirim",C160="Selesai"),1,0)</f>
        <v>0</v>
      </c>
      <c r="X160" s="23" t="str">
        <f aca="false">IF(F160="","",SUBSTITUTE(SUBSTITUTE(MID(UPPER(TRIM(F160)),4,99),"-LED",""),"-TK",""))</f>
        <v/>
      </c>
      <c r="Y160" s="23" t="str">
        <f aca="false">IF(X160="","",(LEN(X160)+1)/7)</f>
        <v/>
      </c>
      <c r="Z160" s="23" t="str">
        <f aca="false">IF(X160="","",LEFT(X160,6))</f>
        <v/>
      </c>
      <c r="AA160" s="23" t="str">
        <f aca="false">IF(X160="","",IF(Y160&gt;=3,MID(X160,8,6),""))</f>
        <v/>
      </c>
      <c r="AB160" s="23" t="str">
        <f aca="false">IF(X160="","",IF(Y160&gt;=4,MID(X160,15,6),""))</f>
        <v/>
      </c>
      <c r="AC160" s="23" t="str">
        <f aca="false">IF(X160="","",IF(Y160&gt;=5,MID(X160,22,6),""))</f>
        <v/>
      </c>
      <c r="AD160" s="23" t="str">
        <f aca="false">IF(X160="","",RIGHT(X160,6))</f>
        <v/>
      </c>
      <c r="AE160" s="23" t="str">
        <f aca="false">IF(F160="","",IF(ISNUMBER(SEARCH("-TK",UPPER(F160))),0,1))</f>
        <v/>
      </c>
      <c r="AF160" s="23" t="str">
        <f aca="false">IF(F160="","",IF(ISNUMBER(SEARCH("-LED",UPPER(F160))),1,0))</f>
        <v/>
      </c>
      <c r="AG160" s="24" t="n">
        <f aca="false">IF(Z160="",0,IFERROR(INDEX(Resep!$C$5:$C$7,MATCH(LEFT(Z160,3),Resep!$B$5:$B$7,0)),0))</f>
        <v>0</v>
      </c>
      <c r="AH160" s="24" t="n">
        <f aca="false">IF(AA160="",0,IFERROR(INDEX(Resep!$C$9:$C$13,MATCH(LEFT(AA160,3),Resep!$B$9:$B$13,0)),0))</f>
        <v>0</v>
      </c>
      <c r="AI160" s="24" t="n">
        <f aca="false">IF(AB160="",0,IFERROR(INDEX(Resep!$C$9:$C$13,MATCH(LEFT(AB160,3),Resep!$B$9:$B$13,0)),0))</f>
        <v>0</v>
      </c>
      <c r="AJ160" s="24" t="n">
        <f aca="false">IF(AC160="",0,IFERROR(INDEX(Resep!$C$9:$C$13,MATCH(LEFT(AC160,3),Resep!$B$9:$B$13,0)),0))</f>
        <v>0</v>
      </c>
      <c r="AK160" s="24" t="n">
        <f aca="false">IF(AD160="",0,IFERROR(INDEX(Resep!$C$15:$C$18,MATCH(LEFT(AD160,3),Resep!$B$15:$B$18,0)),0))</f>
        <v>0</v>
      </c>
      <c r="AL160" s="24" t="str">
        <f aca="false">IF(X160="","",AG160+AH160+AI160+AJ160+AK160)</f>
        <v/>
      </c>
      <c r="AM160" s="22" t="str">
        <f aca="false">IF(X160="","",AL160*(Pengaturan!$B$6+Pengaturan!$B$7)+Pengaturan!$B$8+AE160*Pengaturan!$B$9+AF160*Pengaturan!$B$10)</f>
        <v/>
      </c>
      <c r="AN160" s="22" t="str">
        <f aca="false">IF(X160="","",N(G160)-AM160)</f>
        <v/>
      </c>
      <c r="AO160" s="25" t="str">
        <f aca="false">IF(OR(X160="",N(G160)=0),"",AN160/G160)</f>
        <v/>
      </c>
    </row>
    <row r="161" customFormat="false" ht="15" hidden="false" customHeight="false" outlineLevel="0" collapsed="false">
      <c r="A161" s="19"/>
      <c r="B161" s="20"/>
      <c r="C161" s="19"/>
      <c r="D161" s="19"/>
      <c r="E161" s="19"/>
      <c r="F161" s="19"/>
      <c r="G161" s="21"/>
      <c r="H161" s="19"/>
      <c r="I161" s="21"/>
      <c r="J161" s="19"/>
      <c r="K161" s="20"/>
      <c r="L161" s="20"/>
      <c r="M161" s="19"/>
      <c r="N161" s="19"/>
      <c r="O161" s="20"/>
      <c r="P161" s="20"/>
      <c r="Q161" s="19"/>
      <c r="R161" s="22" t="str">
        <f aca="false">IF(A161="","",N(G161)+N(I161))</f>
        <v/>
      </c>
      <c r="S161" s="23" t="str">
        <f aca="false">IF(OR(K161="",O161=""),"",O161-K161)</f>
        <v/>
      </c>
      <c r="T161" s="23" t="str">
        <f aca="true">IF(AND(C161="Cetak",L161&lt;&gt;"",L161&lt;TODAY()),"YA","")</f>
        <v/>
      </c>
      <c r="U161" s="23" t="str">
        <f aca="false">IF(B161="","",TEXT(B161,"yyyy-mm"))</f>
        <v/>
      </c>
      <c r="V161" s="23" t="str">
        <f aca="false">IF(K161="","",TEXT(K161,"yyyy-mm"))</f>
        <v/>
      </c>
      <c r="W161" s="23" t="n">
        <f aca="false">IF(OR(C161="Cetak",C161="Dikirim",C161="Selesai"),1,0)</f>
        <v>0</v>
      </c>
      <c r="X161" s="23" t="str">
        <f aca="false">IF(F161="","",SUBSTITUTE(SUBSTITUTE(MID(UPPER(TRIM(F161)),4,99),"-LED",""),"-TK",""))</f>
        <v/>
      </c>
      <c r="Y161" s="23" t="str">
        <f aca="false">IF(X161="","",(LEN(X161)+1)/7)</f>
        <v/>
      </c>
      <c r="Z161" s="23" t="str">
        <f aca="false">IF(X161="","",LEFT(X161,6))</f>
        <v/>
      </c>
      <c r="AA161" s="23" t="str">
        <f aca="false">IF(X161="","",IF(Y161&gt;=3,MID(X161,8,6),""))</f>
        <v/>
      </c>
      <c r="AB161" s="23" t="str">
        <f aca="false">IF(X161="","",IF(Y161&gt;=4,MID(X161,15,6),""))</f>
        <v/>
      </c>
      <c r="AC161" s="23" t="str">
        <f aca="false">IF(X161="","",IF(Y161&gt;=5,MID(X161,22,6),""))</f>
        <v/>
      </c>
      <c r="AD161" s="23" t="str">
        <f aca="false">IF(X161="","",RIGHT(X161,6))</f>
        <v/>
      </c>
      <c r="AE161" s="23" t="str">
        <f aca="false">IF(F161="","",IF(ISNUMBER(SEARCH("-TK",UPPER(F161))),0,1))</f>
        <v/>
      </c>
      <c r="AF161" s="23" t="str">
        <f aca="false">IF(F161="","",IF(ISNUMBER(SEARCH("-LED",UPPER(F161))),1,0))</f>
        <v/>
      </c>
      <c r="AG161" s="24" t="n">
        <f aca="false">IF(Z161="",0,IFERROR(INDEX(Resep!$C$5:$C$7,MATCH(LEFT(Z161,3),Resep!$B$5:$B$7,0)),0))</f>
        <v>0</v>
      </c>
      <c r="AH161" s="24" t="n">
        <f aca="false">IF(AA161="",0,IFERROR(INDEX(Resep!$C$9:$C$13,MATCH(LEFT(AA161,3),Resep!$B$9:$B$13,0)),0))</f>
        <v>0</v>
      </c>
      <c r="AI161" s="24" t="n">
        <f aca="false">IF(AB161="",0,IFERROR(INDEX(Resep!$C$9:$C$13,MATCH(LEFT(AB161,3),Resep!$B$9:$B$13,0)),0))</f>
        <v>0</v>
      </c>
      <c r="AJ161" s="24" t="n">
        <f aca="false">IF(AC161="",0,IFERROR(INDEX(Resep!$C$9:$C$13,MATCH(LEFT(AC161,3),Resep!$B$9:$B$13,0)),0))</f>
        <v>0</v>
      </c>
      <c r="AK161" s="24" t="n">
        <f aca="false">IF(AD161="",0,IFERROR(INDEX(Resep!$C$15:$C$18,MATCH(LEFT(AD161,3),Resep!$B$15:$B$18,0)),0))</f>
        <v>0</v>
      </c>
      <c r="AL161" s="24" t="str">
        <f aca="false">IF(X161="","",AG161+AH161+AI161+AJ161+AK161)</f>
        <v/>
      </c>
      <c r="AM161" s="22" t="str">
        <f aca="false">IF(X161="","",AL161*(Pengaturan!$B$6+Pengaturan!$B$7)+Pengaturan!$B$8+AE161*Pengaturan!$B$9+AF161*Pengaturan!$B$10)</f>
        <v/>
      </c>
      <c r="AN161" s="22" t="str">
        <f aca="false">IF(X161="","",N(G161)-AM161)</f>
        <v/>
      </c>
      <c r="AO161" s="25" t="str">
        <f aca="false">IF(OR(X161="",N(G161)=0),"",AN161/G161)</f>
        <v/>
      </c>
    </row>
    <row r="162" customFormat="false" ht="15" hidden="false" customHeight="false" outlineLevel="0" collapsed="false">
      <c r="A162" s="19"/>
      <c r="B162" s="20"/>
      <c r="C162" s="19"/>
      <c r="D162" s="19"/>
      <c r="E162" s="19"/>
      <c r="F162" s="19"/>
      <c r="G162" s="21"/>
      <c r="H162" s="19"/>
      <c r="I162" s="21"/>
      <c r="J162" s="19"/>
      <c r="K162" s="20"/>
      <c r="L162" s="20"/>
      <c r="M162" s="19"/>
      <c r="N162" s="19"/>
      <c r="O162" s="20"/>
      <c r="P162" s="20"/>
      <c r="Q162" s="19"/>
      <c r="R162" s="22" t="str">
        <f aca="false">IF(A162="","",N(G162)+N(I162))</f>
        <v/>
      </c>
      <c r="S162" s="23" t="str">
        <f aca="false">IF(OR(K162="",O162=""),"",O162-K162)</f>
        <v/>
      </c>
      <c r="T162" s="23" t="str">
        <f aca="true">IF(AND(C162="Cetak",L162&lt;&gt;"",L162&lt;TODAY()),"YA","")</f>
        <v/>
      </c>
      <c r="U162" s="23" t="str">
        <f aca="false">IF(B162="","",TEXT(B162,"yyyy-mm"))</f>
        <v/>
      </c>
      <c r="V162" s="23" t="str">
        <f aca="false">IF(K162="","",TEXT(K162,"yyyy-mm"))</f>
        <v/>
      </c>
      <c r="W162" s="23" t="n">
        <f aca="false">IF(OR(C162="Cetak",C162="Dikirim",C162="Selesai"),1,0)</f>
        <v>0</v>
      </c>
      <c r="X162" s="23" t="str">
        <f aca="false">IF(F162="","",SUBSTITUTE(SUBSTITUTE(MID(UPPER(TRIM(F162)),4,99),"-LED",""),"-TK",""))</f>
        <v/>
      </c>
      <c r="Y162" s="23" t="str">
        <f aca="false">IF(X162="","",(LEN(X162)+1)/7)</f>
        <v/>
      </c>
      <c r="Z162" s="23" t="str">
        <f aca="false">IF(X162="","",LEFT(X162,6))</f>
        <v/>
      </c>
      <c r="AA162" s="23" t="str">
        <f aca="false">IF(X162="","",IF(Y162&gt;=3,MID(X162,8,6),""))</f>
        <v/>
      </c>
      <c r="AB162" s="23" t="str">
        <f aca="false">IF(X162="","",IF(Y162&gt;=4,MID(X162,15,6),""))</f>
        <v/>
      </c>
      <c r="AC162" s="23" t="str">
        <f aca="false">IF(X162="","",IF(Y162&gt;=5,MID(X162,22,6),""))</f>
        <v/>
      </c>
      <c r="AD162" s="23" t="str">
        <f aca="false">IF(X162="","",RIGHT(X162,6))</f>
        <v/>
      </c>
      <c r="AE162" s="23" t="str">
        <f aca="false">IF(F162="","",IF(ISNUMBER(SEARCH("-TK",UPPER(F162))),0,1))</f>
        <v/>
      </c>
      <c r="AF162" s="23" t="str">
        <f aca="false">IF(F162="","",IF(ISNUMBER(SEARCH("-LED",UPPER(F162))),1,0))</f>
        <v/>
      </c>
      <c r="AG162" s="24" t="n">
        <f aca="false">IF(Z162="",0,IFERROR(INDEX(Resep!$C$5:$C$7,MATCH(LEFT(Z162,3),Resep!$B$5:$B$7,0)),0))</f>
        <v>0</v>
      </c>
      <c r="AH162" s="24" t="n">
        <f aca="false">IF(AA162="",0,IFERROR(INDEX(Resep!$C$9:$C$13,MATCH(LEFT(AA162,3),Resep!$B$9:$B$13,0)),0))</f>
        <v>0</v>
      </c>
      <c r="AI162" s="24" t="n">
        <f aca="false">IF(AB162="",0,IFERROR(INDEX(Resep!$C$9:$C$13,MATCH(LEFT(AB162,3),Resep!$B$9:$B$13,0)),0))</f>
        <v>0</v>
      </c>
      <c r="AJ162" s="24" t="n">
        <f aca="false">IF(AC162="",0,IFERROR(INDEX(Resep!$C$9:$C$13,MATCH(LEFT(AC162,3),Resep!$B$9:$B$13,0)),0))</f>
        <v>0</v>
      </c>
      <c r="AK162" s="24" t="n">
        <f aca="false">IF(AD162="",0,IFERROR(INDEX(Resep!$C$15:$C$18,MATCH(LEFT(AD162,3),Resep!$B$15:$B$18,0)),0))</f>
        <v>0</v>
      </c>
      <c r="AL162" s="24" t="str">
        <f aca="false">IF(X162="","",AG162+AH162+AI162+AJ162+AK162)</f>
        <v/>
      </c>
      <c r="AM162" s="22" t="str">
        <f aca="false">IF(X162="","",AL162*(Pengaturan!$B$6+Pengaturan!$B$7)+Pengaturan!$B$8+AE162*Pengaturan!$B$9+AF162*Pengaturan!$B$10)</f>
        <v/>
      </c>
      <c r="AN162" s="22" t="str">
        <f aca="false">IF(X162="","",N(G162)-AM162)</f>
        <v/>
      </c>
      <c r="AO162" s="25" t="str">
        <f aca="false">IF(OR(X162="",N(G162)=0),"",AN162/G162)</f>
        <v/>
      </c>
    </row>
    <row r="163" customFormat="false" ht="15" hidden="false" customHeight="false" outlineLevel="0" collapsed="false">
      <c r="A163" s="19"/>
      <c r="B163" s="20"/>
      <c r="C163" s="19"/>
      <c r="D163" s="19"/>
      <c r="E163" s="19"/>
      <c r="F163" s="19"/>
      <c r="G163" s="21"/>
      <c r="H163" s="19"/>
      <c r="I163" s="21"/>
      <c r="J163" s="19"/>
      <c r="K163" s="20"/>
      <c r="L163" s="20"/>
      <c r="M163" s="19"/>
      <c r="N163" s="19"/>
      <c r="O163" s="20"/>
      <c r="P163" s="20"/>
      <c r="Q163" s="19"/>
      <c r="R163" s="22" t="str">
        <f aca="false">IF(A163="","",N(G163)+N(I163))</f>
        <v/>
      </c>
      <c r="S163" s="23" t="str">
        <f aca="false">IF(OR(K163="",O163=""),"",O163-K163)</f>
        <v/>
      </c>
      <c r="T163" s="23" t="str">
        <f aca="true">IF(AND(C163="Cetak",L163&lt;&gt;"",L163&lt;TODAY()),"YA","")</f>
        <v/>
      </c>
      <c r="U163" s="23" t="str">
        <f aca="false">IF(B163="","",TEXT(B163,"yyyy-mm"))</f>
        <v/>
      </c>
      <c r="V163" s="23" t="str">
        <f aca="false">IF(K163="","",TEXT(K163,"yyyy-mm"))</f>
        <v/>
      </c>
      <c r="W163" s="23" t="n">
        <f aca="false">IF(OR(C163="Cetak",C163="Dikirim",C163="Selesai"),1,0)</f>
        <v>0</v>
      </c>
      <c r="X163" s="23" t="str">
        <f aca="false">IF(F163="","",SUBSTITUTE(SUBSTITUTE(MID(UPPER(TRIM(F163)),4,99),"-LED",""),"-TK",""))</f>
        <v/>
      </c>
      <c r="Y163" s="23" t="str">
        <f aca="false">IF(X163="","",(LEN(X163)+1)/7)</f>
        <v/>
      </c>
      <c r="Z163" s="23" t="str">
        <f aca="false">IF(X163="","",LEFT(X163,6))</f>
        <v/>
      </c>
      <c r="AA163" s="23" t="str">
        <f aca="false">IF(X163="","",IF(Y163&gt;=3,MID(X163,8,6),""))</f>
        <v/>
      </c>
      <c r="AB163" s="23" t="str">
        <f aca="false">IF(X163="","",IF(Y163&gt;=4,MID(X163,15,6),""))</f>
        <v/>
      </c>
      <c r="AC163" s="23" t="str">
        <f aca="false">IF(X163="","",IF(Y163&gt;=5,MID(X163,22,6),""))</f>
        <v/>
      </c>
      <c r="AD163" s="23" t="str">
        <f aca="false">IF(X163="","",RIGHT(X163,6))</f>
        <v/>
      </c>
      <c r="AE163" s="23" t="str">
        <f aca="false">IF(F163="","",IF(ISNUMBER(SEARCH("-TK",UPPER(F163))),0,1))</f>
        <v/>
      </c>
      <c r="AF163" s="23" t="str">
        <f aca="false">IF(F163="","",IF(ISNUMBER(SEARCH("-LED",UPPER(F163))),1,0))</f>
        <v/>
      </c>
      <c r="AG163" s="24" t="n">
        <f aca="false">IF(Z163="",0,IFERROR(INDEX(Resep!$C$5:$C$7,MATCH(LEFT(Z163,3),Resep!$B$5:$B$7,0)),0))</f>
        <v>0</v>
      </c>
      <c r="AH163" s="24" t="n">
        <f aca="false">IF(AA163="",0,IFERROR(INDEX(Resep!$C$9:$C$13,MATCH(LEFT(AA163,3),Resep!$B$9:$B$13,0)),0))</f>
        <v>0</v>
      </c>
      <c r="AI163" s="24" t="n">
        <f aca="false">IF(AB163="",0,IFERROR(INDEX(Resep!$C$9:$C$13,MATCH(LEFT(AB163,3),Resep!$B$9:$B$13,0)),0))</f>
        <v>0</v>
      </c>
      <c r="AJ163" s="24" t="n">
        <f aca="false">IF(AC163="",0,IFERROR(INDEX(Resep!$C$9:$C$13,MATCH(LEFT(AC163,3),Resep!$B$9:$B$13,0)),0))</f>
        <v>0</v>
      </c>
      <c r="AK163" s="24" t="n">
        <f aca="false">IF(AD163="",0,IFERROR(INDEX(Resep!$C$15:$C$18,MATCH(LEFT(AD163,3),Resep!$B$15:$B$18,0)),0))</f>
        <v>0</v>
      </c>
      <c r="AL163" s="24" t="str">
        <f aca="false">IF(X163="","",AG163+AH163+AI163+AJ163+AK163)</f>
        <v/>
      </c>
      <c r="AM163" s="22" t="str">
        <f aca="false">IF(X163="","",AL163*(Pengaturan!$B$6+Pengaturan!$B$7)+Pengaturan!$B$8+AE163*Pengaturan!$B$9+AF163*Pengaturan!$B$10)</f>
        <v/>
      </c>
      <c r="AN163" s="22" t="str">
        <f aca="false">IF(X163="","",N(G163)-AM163)</f>
        <v/>
      </c>
      <c r="AO163" s="25" t="str">
        <f aca="false">IF(OR(X163="",N(G163)=0),"",AN163/G163)</f>
        <v/>
      </c>
    </row>
    <row r="164" customFormat="false" ht="15" hidden="false" customHeight="false" outlineLevel="0" collapsed="false">
      <c r="A164" s="19"/>
      <c r="B164" s="20"/>
      <c r="C164" s="19"/>
      <c r="D164" s="19"/>
      <c r="E164" s="19"/>
      <c r="F164" s="19"/>
      <c r="G164" s="21"/>
      <c r="H164" s="19"/>
      <c r="I164" s="21"/>
      <c r="J164" s="19"/>
      <c r="K164" s="20"/>
      <c r="L164" s="20"/>
      <c r="M164" s="19"/>
      <c r="N164" s="19"/>
      <c r="O164" s="20"/>
      <c r="P164" s="20"/>
      <c r="Q164" s="19"/>
      <c r="R164" s="22" t="str">
        <f aca="false">IF(A164="","",N(G164)+N(I164))</f>
        <v/>
      </c>
      <c r="S164" s="23" t="str">
        <f aca="false">IF(OR(K164="",O164=""),"",O164-K164)</f>
        <v/>
      </c>
      <c r="T164" s="23" t="str">
        <f aca="true">IF(AND(C164="Cetak",L164&lt;&gt;"",L164&lt;TODAY()),"YA","")</f>
        <v/>
      </c>
      <c r="U164" s="23" t="str">
        <f aca="false">IF(B164="","",TEXT(B164,"yyyy-mm"))</f>
        <v/>
      </c>
      <c r="V164" s="23" t="str">
        <f aca="false">IF(K164="","",TEXT(K164,"yyyy-mm"))</f>
        <v/>
      </c>
      <c r="W164" s="23" t="n">
        <f aca="false">IF(OR(C164="Cetak",C164="Dikirim",C164="Selesai"),1,0)</f>
        <v>0</v>
      </c>
      <c r="X164" s="23" t="str">
        <f aca="false">IF(F164="","",SUBSTITUTE(SUBSTITUTE(MID(UPPER(TRIM(F164)),4,99),"-LED",""),"-TK",""))</f>
        <v/>
      </c>
      <c r="Y164" s="23" t="str">
        <f aca="false">IF(X164="","",(LEN(X164)+1)/7)</f>
        <v/>
      </c>
      <c r="Z164" s="23" t="str">
        <f aca="false">IF(X164="","",LEFT(X164,6))</f>
        <v/>
      </c>
      <c r="AA164" s="23" t="str">
        <f aca="false">IF(X164="","",IF(Y164&gt;=3,MID(X164,8,6),""))</f>
        <v/>
      </c>
      <c r="AB164" s="23" t="str">
        <f aca="false">IF(X164="","",IF(Y164&gt;=4,MID(X164,15,6),""))</f>
        <v/>
      </c>
      <c r="AC164" s="23" t="str">
        <f aca="false">IF(X164="","",IF(Y164&gt;=5,MID(X164,22,6),""))</f>
        <v/>
      </c>
      <c r="AD164" s="23" t="str">
        <f aca="false">IF(X164="","",RIGHT(X164,6))</f>
        <v/>
      </c>
      <c r="AE164" s="23" t="str">
        <f aca="false">IF(F164="","",IF(ISNUMBER(SEARCH("-TK",UPPER(F164))),0,1))</f>
        <v/>
      </c>
      <c r="AF164" s="23" t="str">
        <f aca="false">IF(F164="","",IF(ISNUMBER(SEARCH("-LED",UPPER(F164))),1,0))</f>
        <v/>
      </c>
      <c r="AG164" s="24" t="n">
        <f aca="false">IF(Z164="",0,IFERROR(INDEX(Resep!$C$5:$C$7,MATCH(LEFT(Z164,3),Resep!$B$5:$B$7,0)),0))</f>
        <v>0</v>
      </c>
      <c r="AH164" s="24" t="n">
        <f aca="false">IF(AA164="",0,IFERROR(INDEX(Resep!$C$9:$C$13,MATCH(LEFT(AA164,3),Resep!$B$9:$B$13,0)),0))</f>
        <v>0</v>
      </c>
      <c r="AI164" s="24" t="n">
        <f aca="false">IF(AB164="",0,IFERROR(INDEX(Resep!$C$9:$C$13,MATCH(LEFT(AB164,3),Resep!$B$9:$B$13,0)),0))</f>
        <v>0</v>
      </c>
      <c r="AJ164" s="24" t="n">
        <f aca="false">IF(AC164="",0,IFERROR(INDEX(Resep!$C$9:$C$13,MATCH(LEFT(AC164,3),Resep!$B$9:$B$13,0)),0))</f>
        <v>0</v>
      </c>
      <c r="AK164" s="24" t="n">
        <f aca="false">IF(AD164="",0,IFERROR(INDEX(Resep!$C$15:$C$18,MATCH(LEFT(AD164,3),Resep!$B$15:$B$18,0)),0))</f>
        <v>0</v>
      </c>
      <c r="AL164" s="24" t="str">
        <f aca="false">IF(X164="","",AG164+AH164+AI164+AJ164+AK164)</f>
        <v/>
      </c>
      <c r="AM164" s="22" t="str">
        <f aca="false">IF(X164="","",AL164*(Pengaturan!$B$6+Pengaturan!$B$7)+Pengaturan!$B$8+AE164*Pengaturan!$B$9+AF164*Pengaturan!$B$10)</f>
        <v/>
      </c>
      <c r="AN164" s="22" t="str">
        <f aca="false">IF(X164="","",N(G164)-AM164)</f>
        <v/>
      </c>
      <c r="AO164" s="25" t="str">
        <f aca="false">IF(OR(X164="",N(G164)=0),"",AN164/G164)</f>
        <v/>
      </c>
    </row>
    <row r="165" customFormat="false" ht="15" hidden="false" customHeight="false" outlineLevel="0" collapsed="false">
      <c r="A165" s="19"/>
      <c r="B165" s="20"/>
      <c r="C165" s="19"/>
      <c r="D165" s="19"/>
      <c r="E165" s="19"/>
      <c r="F165" s="19"/>
      <c r="G165" s="21"/>
      <c r="H165" s="19"/>
      <c r="I165" s="21"/>
      <c r="J165" s="19"/>
      <c r="K165" s="20"/>
      <c r="L165" s="20"/>
      <c r="M165" s="19"/>
      <c r="N165" s="19"/>
      <c r="O165" s="20"/>
      <c r="P165" s="20"/>
      <c r="Q165" s="19"/>
      <c r="R165" s="22" t="str">
        <f aca="false">IF(A165="","",N(G165)+N(I165))</f>
        <v/>
      </c>
      <c r="S165" s="23" t="str">
        <f aca="false">IF(OR(K165="",O165=""),"",O165-K165)</f>
        <v/>
      </c>
      <c r="T165" s="23" t="str">
        <f aca="true">IF(AND(C165="Cetak",L165&lt;&gt;"",L165&lt;TODAY()),"YA","")</f>
        <v/>
      </c>
      <c r="U165" s="23" t="str">
        <f aca="false">IF(B165="","",TEXT(B165,"yyyy-mm"))</f>
        <v/>
      </c>
      <c r="V165" s="23" t="str">
        <f aca="false">IF(K165="","",TEXT(K165,"yyyy-mm"))</f>
        <v/>
      </c>
      <c r="W165" s="23" t="n">
        <f aca="false">IF(OR(C165="Cetak",C165="Dikirim",C165="Selesai"),1,0)</f>
        <v>0</v>
      </c>
      <c r="X165" s="23" t="str">
        <f aca="false">IF(F165="","",SUBSTITUTE(SUBSTITUTE(MID(UPPER(TRIM(F165)),4,99),"-LED",""),"-TK",""))</f>
        <v/>
      </c>
      <c r="Y165" s="23" t="str">
        <f aca="false">IF(X165="","",(LEN(X165)+1)/7)</f>
        <v/>
      </c>
      <c r="Z165" s="23" t="str">
        <f aca="false">IF(X165="","",LEFT(X165,6))</f>
        <v/>
      </c>
      <c r="AA165" s="23" t="str">
        <f aca="false">IF(X165="","",IF(Y165&gt;=3,MID(X165,8,6),""))</f>
        <v/>
      </c>
      <c r="AB165" s="23" t="str">
        <f aca="false">IF(X165="","",IF(Y165&gt;=4,MID(X165,15,6),""))</f>
        <v/>
      </c>
      <c r="AC165" s="23" t="str">
        <f aca="false">IF(X165="","",IF(Y165&gt;=5,MID(X165,22,6),""))</f>
        <v/>
      </c>
      <c r="AD165" s="23" t="str">
        <f aca="false">IF(X165="","",RIGHT(X165,6))</f>
        <v/>
      </c>
      <c r="AE165" s="23" t="str">
        <f aca="false">IF(F165="","",IF(ISNUMBER(SEARCH("-TK",UPPER(F165))),0,1))</f>
        <v/>
      </c>
      <c r="AF165" s="23" t="str">
        <f aca="false">IF(F165="","",IF(ISNUMBER(SEARCH("-LED",UPPER(F165))),1,0))</f>
        <v/>
      </c>
      <c r="AG165" s="24" t="n">
        <f aca="false">IF(Z165="",0,IFERROR(INDEX(Resep!$C$5:$C$7,MATCH(LEFT(Z165,3),Resep!$B$5:$B$7,0)),0))</f>
        <v>0</v>
      </c>
      <c r="AH165" s="24" t="n">
        <f aca="false">IF(AA165="",0,IFERROR(INDEX(Resep!$C$9:$C$13,MATCH(LEFT(AA165,3),Resep!$B$9:$B$13,0)),0))</f>
        <v>0</v>
      </c>
      <c r="AI165" s="24" t="n">
        <f aca="false">IF(AB165="",0,IFERROR(INDEX(Resep!$C$9:$C$13,MATCH(LEFT(AB165,3),Resep!$B$9:$B$13,0)),0))</f>
        <v>0</v>
      </c>
      <c r="AJ165" s="24" t="n">
        <f aca="false">IF(AC165="",0,IFERROR(INDEX(Resep!$C$9:$C$13,MATCH(LEFT(AC165,3),Resep!$B$9:$B$13,0)),0))</f>
        <v>0</v>
      </c>
      <c r="AK165" s="24" t="n">
        <f aca="false">IF(AD165="",0,IFERROR(INDEX(Resep!$C$15:$C$18,MATCH(LEFT(AD165,3),Resep!$B$15:$B$18,0)),0))</f>
        <v>0</v>
      </c>
      <c r="AL165" s="24" t="str">
        <f aca="false">IF(X165="","",AG165+AH165+AI165+AJ165+AK165)</f>
        <v/>
      </c>
      <c r="AM165" s="22" t="str">
        <f aca="false">IF(X165="","",AL165*(Pengaturan!$B$6+Pengaturan!$B$7)+Pengaturan!$B$8+AE165*Pengaturan!$B$9+AF165*Pengaturan!$B$10)</f>
        <v/>
      </c>
      <c r="AN165" s="22" t="str">
        <f aca="false">IF(X165="","",N(G165)-AM165)</f>
        <v/>
      </c>
      <c r="AO165" s="25" t="str">
        <f aca="false">IF(OR(X165="",N(G165)=0),"",AN165/G165)</f>
        <v/>
      </c>
    </row>
    <row r="166" customFormat="false" ht="15" hidden="false" customHeight="false" outlineLevel="0" collapsed="false">
      <c r="A166" s="19"/>
      <c r="B166" s="20"/>
      <c r="C166" s="19"/>
      <c r="D166" s="19"/>
      <c r="E166" s="19"/>
      <c r="F166" s="19"/>
      <c r="G166" s="21"/>
      <c r="H166" s="19"/>
      <c r="I166" s="21"/>
      <c r="J166" s="19"/>
      <c r="K166" s="20"/>
      <c r="L166" s="20"/>
      <c r="M166" s="19"/>
      <c r="N166" s="19"/>
      <c r="O166" s="20"/>
      <c r="P166" s="20"/>
      <c r="Q166" s="19"/>
      <c r="R166" s="22" t="str">
        <f aca="false">IF(A166="","",N(G166)+N(I166))</f>
        <v/>
      </c>
      <c r="S166" s="23" t="str">
        <f aca="false">IF(OR(K166="",O166=""),"",O166-K166)</f>
        <v/>
      </c>
      <c r="T166" s="23" t="str">
        <f aca="true">IF(AND(C166="Cetak",L166&lt;&gt;"",L166&lt;TODAY()),"YA","")</f>
        <v/>
      </c>
      <c r="U166" s="23" t="str">
        <f aca="false">IF(B166="","",TEXT(B166,"yyyy-mm"))</f>
        <v/>
      </c>
      <c r="V166" s="23" t="str">
        <f aca="false">IF(K166="","",TEXT(K166,"yyyy-mm"))</f>
        <v/>
      </c>
      <c r="W166" s="23" t="n">
        <f aca="false">IF(OR(C166="Cetak",C166="Dikirim",C166="Selesai"),1,0)</f>
        <v>0</v>
      </c>
      <c r="X166" s="23" t="str">
        <f aca="false">IF(F166="","",SUBSTITUTE(SUBSTITUTE(MID(UPPER(TRIM(F166)),4,99),"-LED",""),"-TK",""))</f>
        <v/>
      </c>
      <c r="Y166" s="23" t="str">
        <f aca="false">IF(X166="","",(LEN(X166)+1)/7)</f>
        <v/>
      </c>
      <c r="Z166" s="23" t="str">
        <f aca="false">IF(X166="","",LEFT(X166,6))</f>
        <v/>
      </c>
      <c r="AA166" s="23" t="str">
        <f aca="false">IF(X166="","",IF(Y166&gt;=3,MID(X166,8,6),""))</f>
        <v/>
      </c>
      <c r="AB166" s="23" t="str">
        <f aca="false">IF(X166="","",IF(Y166&gt;=4,MID(X166,15,6),""))</f>
        <v/>
      </c>
      <c r="AC166" s="23" t="str">
        <f aca="false">IF(X166="","",IF(Y166&gt;=5,MID(X166,22,6),""))</f>
        <v/>
      </c>
      <c r="AD166" s="23" t="str">
        <f aca="false">IF(X166="","",RIGHT(X166,6))</f>
        <v/>
      </c>
      <c r="AE166" s="23" t="str">
        <f aca="false">IF(F166="","",IF(ISNUMBER(SEARCH("-TK",UPPER(F166))),0,1))</f>
        <v/>
      </c>
      <c r="AF166" s="23" t="str">
        <f aca="false">IF(F166="","",IF(ISNUMBER(SEARCH("-LED",UPPER(F166))),1,0))</f>
        <v/>
      </c>
      <c r="AG166" s="24" t="n">
        <f aca="false">IF(Z166="",0,IFERROR(INDEX(Resep!$C$5:$C$7,MATCH(LEFT(Z166,3),Resep!$B$5:$B$7,0)),0))</f>
        <v>0</v>
      </c>
      <c r="AH166" s="24" t="n">
        <f aca="false">IF(AA166="",0,IFERROR(INDEX(Resep!$C$9:$C$13,MATCH(LEFT(AA166,3),Resep!$B$9:$B$13,0)),0))</f>
        <v>0</v>
      </c>
      <c r="AI166" s="24" t="n">
        <f aca="false">IF(AB166="",0,IFERROR(INDEX(Resep!$C$9:$C$13,MATCH(LEFT(AB166,3),Resep!$B$9:$B$13,0)),0))</f>
        <v>0</v>
      </c>
      <c r="AJ166" s="24" t="n">
        <f aca="false">IF(AC166="",0,IFERROR(INDEX(Resep!$C$9:$C$13,MATCH(LEFT(AC166,3),Resep!$B$9:$B$13,0)),0))</f>
        <v>0</v>
      </c>
      <c r="AK166" s="24" t="n">
        <f aca="false">IF(AD166="",0,IFERROR(INDEX(Resep!$C$15:$C$18,MATCH(LEFT(AD166,3),Resep!$B$15:$B$18,0)),0))</f>
        <v>0</v>
      </c>
      <c r="AL166" s="24" t="str">
        <f aca="false">IF(X166="","",AG166+AH166+AI166+AJ166+AK166)</f>
        <v/>
      </c>
      <c r="AM166" s="22" t="str">
        <f aca="false">IF(X166="","",AL166*(Pengaturan!$B$6+Pengaturan!$B$7)+Pengaturan!$B$8+AE166*Pengaturan!$B$9+AF166*Pengaturan!$B$10)</f>
        <v/>
      </c>
      <c r="AN166" s="22" t="str">
        <f aca="false">IF(X166="","",N(G166)-AM166)</f>
        <v/>
      </c>
      <c r="AO166" s="25" t="str">
        <f aca="false">IF(OR(X166="",N(G166)=0),"",AN166/G166)</f>
        <v/>
      </c>
    </row>
    <row r="167" customFormat="false" ht="15" hidden="false" customHeight="false" outlineLevel="0" collapsed="false">
      <c r="A167" s="19"/>
      <c r="B167" s="20"/>
      <c r="C167" s="19"/>
      <c r="D167" s="19"/>
      <c r="E167" s="19"/>
      <c r="F167" s="19"/>
      <c r="G167" s="21"/>
      <c r="H167" s="19"/>
      <c r="I167" s="21"/>
      <c r="J167" s="19"/>
      <c r="K167" s="20"/>
      <c r="L167" s="20"/>
      <c r="M167" s="19"/>
      <c r="N167" s="19"/>
      <c r="O167" s="20"/>
      <c r="P167" s="20"/>
      <c r="Q167" s="19"/>
      <c r="R167" s="22" t="str">
        <f aca="false">IF(A167="","",N(G167)+N(I167))</f>
        <v/>
      </c>
      <c r="S167" s="23" t="str">
        <f aca="false">IF(OR(K167="",O167=""),"",O167-K167)</f>
        <v/>
      </c>
      <c r="T167" s="23" t="str">
        <f aca="true">IF(AND(C167="Cetak",L167&lt;&gt;"",L167&lt;TODAY()),"YA","")</f>
        <v/>
      </c>
      <c r="U167" s="23" t="str">
        <f aca="false">IF(B167="","",TEXT(B167,"yyyy-mm"))</f>
        <v/>
      </c>
      <c r="V167" s="23" t="str">
        <f aca="false">IF(K167="","",TEXT(K167,"yyyy-mm"))</f>
        <v/>
      </c>
      <c r="W167" s="23" t="n">
        <f aca="false">IF(OR(C167="Cetak",C167="Dikirim",C167="Selesai"),1,0)</f>
        <v>0</v>
      </c>
      <c r="X167" s="23" t="str">
        <f aca="false">IF(F167="","",SUBSTITUTE(SUBSTITUTE(MID(UPPER(TRIM(F167)),4,99),"-LED",""),"-TK",""))</f>
        <v/>
      </c>
      <c r="Y167" s="23" t="str">
        <f aca="false">IF(X167="","",(LEN(X167)+1)/7)</f>
        <v/>
      </c>
      <c r="Z167" s="23" t="str">
        <f aca="false">IF(X167="","",LEFT(X167,6))</f>
        <v/>
      </c>
      <c r="AA167" s="23" t="str">
        <f aca="false">IF(X167="","",IF(Y167&gt;=3,MID(X167,8,6),""))</f>
        <v/>
      </c>
      <c r="AB167" s="23" t="str">
        <f aca="false">IF(X167="","",IF(Y167&gt;=4,MID(X167,15,6),""))</f>
        <v/>
      </c>
      <c r="AC167" s="23" t="str">
        <f aca="false">IF(X167="","",IF(Y167&gt;=5,MID(X167,22,6),""))</f>
        <v/>
      </c>
      <c r="AD167" s="23" t="str">
        <f aca="false">IF(X167="","",RIGHT(X167,6))</f>
        <v/>
      </c>
      <c r="AE167" s="23" t="str">
        <f aca="false">IF(F167="","",IF(ISNUMBER(SEARCH("-TK",UPPER(F167))),0,1))</f>
        <v/>
      </c>
      <c r="AF167" s="23" t="str">
        <f aca="false">IF(F167="","",IF(ISNUMBER(SEARCH("-LED",UPPER(F167))),1,0))</f>
        <v/>
      </c>
      <c r="AG167" s="24" t="n">
        <f aca="false">IF(Z167="",0,IFERROR(INDEX(Resep!$C$5:$C$7,MATCH(LEFT(Z167,3),Resep!$B$5:$B$7,0)),0))</f>
        <v>0</v>
      </c>
      <c r="AH167" s="24" t="n">
        <f aca="false">IF(AA167="",0,IFERROR(INDEX(Resep!$C$9:$C$13,MATCH(LEFT(AA167,3),Resep!$B$9:$B$13,0)),0))</f>
        <v>0</v>
      </c>
      <c r="AI167" s="24" t="n">
        <f aca="false">IF(AB167="",0,IFERROR(INDEX(Resep!$C$9:$C$13,MATCH(LEFT(AB167,3),Resep!$B$9:$B$13,0)),0))</f>
        <v>0</v>
      </c>
      <c r="AJ167" s="24" t="n">
        <f aca="false">IF(AC167="",0,IFERROR(INDEX(Resep!$C$9:$C$13,MATCH(LEFT(AC167,3),Resep!$B$9:$B$13,0)),0))</f>
        <v>0</v>
      </c>
      <c r="AK167" s="24" t="n">
        <f aca="false">IF(AD167="",0,IFERROR(INDEX(Resep!$C$15:$C$18,MATCH(LEFT(AD167,3),Resep!$B$15:$B$18,0)),0))</f>
        <v>0</v>
      </c>
      <c r="AL167" s="24" t="str">
        <f aca="false">IF(X167="","",AG167+AH167+AI167+AJ167+AK167)</f>
        <v/>
      </c>
      <c r="AM167" s="22" t="str">
        <f aca="false">IF(X167="","",AL167*(Pengaturan!$B$6+Pengaturan!$B$7)+Pengaturan!$B$8+AE167*Pengaturan!$B$9+AF167*Pengaturan!$B$10)</f>
        <v/>
      </c>
      <c r="AN167" s="22" t="str">
        <f aca="false">IF(X167="","",N(G167)-AM167)</f>
        <v/>
      </c>
      <c r="AO167" s="25" t="str">
        <f aca="false">IF(OR(X167="",N(G167)=0),"",AN167/G167)</f>
        <v/>
      </c>
    </row>
    <row r="168" customFormat="false" ht="15" hidden="false" customHeight="false" outlineLevel="0" collapsed="false">
      <c r="A168" s="19"/>
      <c r="B168" s="20"/>
      <c r="C168" s="19"/>
      <c r="D168" s="19"/>
      <c r="E168" s="19"/>
      <c r="F168" s="19"/>
      <c r="G168" s="21"/>
      <c r="H168" s="19"/>
      <c r="I168" s="21"/>
      <c r="J168" s="19"/>
      <c r="K168" s="20"/>
      <c r="L168" s="20"/>
      <c r="M168" s="19"/>
      <c r="N168" s="19"/>
      <c r="O168" s="20"/>
      <c r="P168" s="20"/>
      <c r="Q168" s="19"/>
      <c r="R168" s="22" t="str">
        <f aca="false">IF(A168="","",N(G168)+N(I168))</f>
        <v/>
      </c>
      <c r="S168" s="23" t="str">
        <f aca="false">IF(OR(K168="",O168=""),"",O168-K168)</f>
        <v/>
      </c>
      <c r="T168" s="23" t="str">
        <f aca="true">IF(AND(C168="Cetak",L168&lt;&gt;"",L168&lt;TODAY()),"YA","")</f>
        <v/>
      </c>
      <c r="U168" s="23" t="str">
        <f aca="false">IF(B168="","",TEXT(B168,"yyyy-mm"))</f>
        <v/>
      </c>
      <c r="V168" s="23" t="str">
        <f aca="false">IF(K168="","",TEXT(K168,"yyyy-mm"))</f>
        <v/>
      </c>
      <c r="W168" s="23" t="n">
        <f aca="false">IF(OR(C168="Cetak",C168="Dikirim",C168="Selesai"),1,0)</f>
        <v>0</v>
      </c>
      <c r="X168" s="23" t="str">
        <f aca="false">IF(F168="","",SUBSTITUTE(SUBSTITUTE(MID(UPPER(TRIM(F168)),4,99),"-LED",""),"-TK",""))</f>
        <v/>
      </c>
      <c r="Y168" s="23" t="str">
        <f aca="false">IF(X168="","",(LEN(X168)+1)/7)</f>
        <v/>
      </c>
      <c r="Z168" s="23" t="str">
        <f aca="false">IF(X168="","",LEFT(X168,6))</f>
        <v/>
      </c>
      <c r="AA168" s="23" t="str">
        <f aca="false">IF(X168="","",IF(Y168&gt;=3,MID(X168,8,6),""))</f>
        <v/>
      </c>
      <c r="AB168" s="23" t="str">
        <f aca="false">IF(X168="","",IF(Y168&gt;=4,MID(X168,15,6),""))</f>
        <v/>
      </c>
      <c r="AC168" s="23" t="str">
        <f aca="false">IF(X168="","",IF(Y168&gt;=5,MID(X168,22,6),""))</f>
        <v/>
      </c>
      <c r="AD168" s="23" t="str">
        <f aca="false">IF(X168="","",RIGHT(X168,6))</f>
        <v/>
      </c>
      <c r="AE168" s="23" t="str">
        <f aca="false">IF(F168="","",IF(ISNUMBER(SEARCH("-TK",UPPER(F168))),0,1))</f>
        <v/>
      </c>
      <c r="AF168" s="23" t="str">
        <f aca="false">IF(F168="","",IF(ISNUMBER(SEARCH("-LED",UPPER(F168))),1,0))</f>
        <v/>
      </c>
      <c r="AG168" s="24" t="n">
        <f aca="false">IF(Z168="",0,IFERROR(INDEX(Resep!$C$5:$C$7,MATCH(LEFT(Z168,3),Resep!$B$5:$B$7,0)),0))</f>
        <v>0</v>
      </c>
      <c r="AH168" s="24" t="n">
        <f aca="false">IF(AA168="",0,IFERROR(INDEX(Resep!$C$9:$C$13,MATCH(LEFT(AA168,3),Resep!$B$9:$B$13,0)),0))</f>
        <v>0</v>
      </c>
      <c r="AI168" s="24" t="n">
        <f aca="false">IF(AB168="",0,IFERROR(INDEX(Resep!$C$9:$C$13,MATCH(LEFT(AB168,3),Resep!$B$9:$B$13,0)),0))</f>
        <v>0</v>
      </c>
      <c r="AJ168" s="24" t="n">
        <f aca="false">IF(AC168="",0,IFERROR(INDEX(Resep!$C$9:$C$13,MATCH(LEFT(AC168,3),Resep!$B$9:$B$13,0)),0))</f>
        <v>0</v>
      </c>
      <c r="AK168" s="24" t="n">
        <f aca="false">IF(AD168="",0,IFERROR(INDEX(Resep!$C$15:$C$18,MATCH(LEFT(AD168,3),Resep!$B$15:$B$18,0)),0))</f>
        <v>0</v>
      </c>
      <c r="AL168" s="24" t="str">
        <f aca="false">IF(X168="","",AG168+AH168+AI168+AJ168+AK168)</f>
        <v/>
      </c>
      <c r="AM168" s="22" t="str">
        <f aca="false">IF(X168="","",AL168*(Pengaturan!$B$6+Pengaturan!$B$7)+Pengaturan!$B$8+AE168*Pengaturan!$B$9+AF168*Pengaturan!$B$10)</f>
        <v/>
      </c>
      <c r="AN168" s="22" t="str">
        <f aca="false">IF(X168="","",N(G168)-AM168)</f>
        <v/>
      </c>
      <c r="AO168" s="25" t="str">
        <f aca="false">IF(OR(X168="",N(G168)=0),"",AN168/G168)</f>
        <v/>
      </c>
    </row>
    <row r="169" customFormat="false" ht="15" hidden="false" customHeight="false" outlineLevel="0" collapsed="false">
      <c r="A169" s="19"/>
      <c r="B169" s="20"/>
      <c r="C169" s="19"/>
      <c r="D169" s="19"/>
      <c r="E169" s="19"/>
      <c r="F169" s="19"/>
      <c r="G169" s="21"/>
      <c r="H169" s="19"/>
      <c r="I169" s="21"/>
      <c r="J169" s="19"/>
      <c r="K169" s="20"/>
      <c r="L169" s="20"/>
      <c r="M169" s="19"/>
      <c r="N169" s="19"/>
      <c r="O169" s="20"/>
      <c r="P169" s="20"/>
      <c r="Q169" s="19"/>
      <c r="R169" s="22" t="str">
        <f aca="false">IF(A169="","",N(G169)+N(I169))</f>
        <v/>
      </c>
      <c r="S169" s="23" t="str">
        <f aca="false">IF(OR(K169="",O169=""),"",O169-K169)</f>
        <v/>
      </c>
      <c r="T169" s="23" t="str">
        <f aca="true">IF(AND(C169="Cetak",L169&lt;&gt;"",L169&lt;TODAY()),"YA","")</f>
        <v/>
      </c>
      <c r="U169" s="23" t="str">
        <f aca="false">IF(B169="","",TEXT(B169,"yyyy-mm"))</f>
        <v/>
      </c>
      <c r="V169" s="23" t="str">
        <f aca="false">IF(K169="","",TEXT(K169,"yyyy-mm"))</f>
        <v/>
      </c>
      <c r="W169" s="23" t="n">
        <f aca="false">IF(OR(C169="Cetak",C169="Dikirim",C169="Selesai"),1,0)</f>
        <v>0</v>
      </c>
      <c r="X169" s="23" t="str">
        <f aca="false">IF(F169="","",SUBSTITUTE(SUBSTITUTE(MID(UPPER(TRIM(F169)),4,99),"-LED",""),"-TK",""))</f>
        <v/>
      </c>
      <c r="Y169" s="23" t="str">
        <f aca="false">IF(X169="","",(LEN(X169)+1)/7)</f>
        <v/>
      </c>
      <c r="Z169" s="23" t="str">
        <f aca="false">IF(X169="","",LEFT(X169,6))</f>
        <v/>
      </c>
      <c r="AA169" s="23" t="str">
        <f aca="false">IF(X169="","",IF(Y169&gt;=3,MID(X169,8,6),""))</f>
        <v/>
      </c>
      <c r="AB169" s="23" t="str">
        <f aca="false">IF(X169="","",IF(Y169&gt;=4,MID(X169,15,6),""))</f>
        <v/>
      </c>
      <c r="AC169" s="23" t="str">
        <f aca="false">IF(X169="","",IF(Y169&gt;=5,MID(X169,22,6),""))</f>
        <v/>
      </c>
      <c r="AD169" s="23" t="str">
        <f aca="false">IF(X169="","",RIGHT(X169,6))</f>
        <v/>
      </c>
      <c r="AE169" s="23" t="str">
        <f aca="false">IF(F169="","",IF(ISNUMBER(SEARCH("-TK",UPPER(F169))),0,1))</f>
        <v/>
      </c>
      <c r="AF169" s="23" t="str">
        <f aca="false">IF(F169="","",IF(ISNUMBER(SEARCH("-LED",UPPER(F169))),1,0))</f>
        <v/>
      </c>
      <c r="AG169" s="24" t="n">
        <f aca="false">IF(Z169="",0,IFERROR(INDEX(Resep!$C$5:$C$7,MATCH(LEFT(Z169,3),Resep!$B$5:$B$7,0)),0))</f>
        <v>0</v>
      </c>
      <c r="AH169" s="24" t="n">
        <f aca="false">IF(AA169="",0,IFERROR(INDEX(Resep!$C$9:$C$13,MATCH(LEFT(AA169,3),Resep!$B$9:$B$13,0)),0))</f>
        <v>0</v>
      </c>
      <c r="AI169" s="24" t="n">
        <f aca="false">IF(AB169="",0,IFERROR(INDEX(Resep!$C$9:$C$13,MATCH(LEFT(AB169,3),Resep!$B$9:$B$13,0)),0))</f>
        <v>0</v>
      </c>
      <c r="AJ169" s="24" t="n">
        <f aca="false">IF(AC169="",0,IFERROR(INDEX(Resep!$C$9:$C$13,MATCH(LEFT(AC169,3),Resep!$B$9:$B$13,0)),0))</f>
        <v>0</v>
      </c>
      <c r="AK169" s="24" t="n">
        <f aca="false">IF(AD169="",0,IFERROR(INDEX(Resep!$C$15:$C$18,MATCH(LEFT(AD169,3),Resep!$B$15:$B$18,0)),0))</f>
        <v>0</v>
      </c>
      <c r="AL169" s="24" t="str">
        <f aca="false">IF(X169="","",AG169+AH169+AI169+AJ169+AK169)</f>
        <v/>
      </c>
      <c r="AM169" s="22" t="str">
        <f aca="false">IF(X169="","",AL169*(Pengaturan!$B$6+Pengaturan!$B$7)+Pengaturan!$B$8+AE169*Pengaturan!$B$9+AF169*Pengaturan!$B$10)</f>
        <v/>
      </c>
      <c r="AN169" s="22" t="str">
        <f aca="false">IF(X169="","",N(G169)-AM169)</f>
        <v/>
      </c>
      <c r="AO169" s="25" t="str">
        <f aca="false">IF(OR(X169="",N(G169)=0),"",AN169/G169)</f>
        <v/>
      </c>
    </row>
    <row r="170" customFormat="false" ht="15" hidden="false" customHeight="false" outlineLevel="0" collapsed="false">
      <c r="A170" s="19"/>
      <c r="B170" s="20"/>
      <c r="C170" s="19"/>
      <c r="D170" s="19"/>
      <c r="E170" s="19"/>
      <c r="F170" s="19"/>
      <c r="G170" s="21"/>
      <c r="H170" s="19"/>
      <c r="I170" s="21"/>
      <c r="J170" s="19"/>
      <c r="K170" s="20"/>
      <c r="L170" s="20"/>
      <c r="M170" s="19"/>
      <c r="N170" s="19"/>
      <c r="O170" s="20"/>
      <c r="P170" s="20"/>
      <c r="Q170" s="19"/>
      <c r="R170" s="22" t="str">
        <f aca="false">IF(A170="","",N(G170)+N(I170))</f>
        <v/>
      </c>
      <c r="S170" s="23" t="str">
        <f aca="false">IF(OR(K170="",O170=""),"",O170-K170)</f>
        <v/>
      </c>
      <c r="T170" s="23" t="str">
        <f aca="true">IF(AND(C170="Cetak",L170&lt;&gt;"",L170&lt;TODAY()),"YA","")</f>
        <v/>
      </c>
      <c r="U170" s="23" t="str">
        <f aca="false">IF(B170="","",TEXT(B170,"yyyy-mm"))</f>
        <v/>
      </c>
      <c r="V170" s="23" t="str">
        <f aca="false">IF(K170="","",TEXT(K170,"yyyy-mm"))</f>
        <v/>
      </c>
      <c r="W170" s="23" t="n">
        <f aca="false">IF(OR(C170="Cetak",C170="Dikirim",C170="Selesai"),1,0)</f>
        <v>0</v>
      </c>
      <c r="X170" s="23" t="str">
        <f aca="false">IF(F170="","",SUBSTITUTE(SUBSTITUTE(MID(UPPER(TRIM(F170)),4,99),"-LED",""),"-TK",""))</f>
        <v/>
      </c>
      <c r="Y170" s="23" t="str">
        <f aca="false">IF(X170="","",(LEN(X170)+1)/7)</f>
        <v/>
      </c>
      <c r="Z170" s="23" t="str">
        <f aca="false">IF(X170="","",LEFT(X170,6))</f>
        <v/>
      </c>
      <c r="AA170" s="23" t="str">
        <f aca="false">IF(X170="","",IF(Y170&gt;=3,MID(X170,8,6),""))</f>
        <v/>
      </c>
      <c r="AB170" s="23" t="str">
        <f aca="false">IF(X170="","",IF(Y170&gt;=4,MID(X170,15,6),""))</f>
        <v/>
      </c>
      <c r="AC170" s="23" t="str">
        <f aca="false">IF(X170="","",IF(Y170&gt;=5,MID(X170,22,6),""))</f>
        <v/>
      </c>
      <c r="AD170" s="23" t="str">
        <f aca="false">IF(X170="","",RIGHT(X170,6))</f>
        <v/>
      </c>
      <c r="AE170" s="23" t="str">
        <f aca="false">IF(F170="","",IF(ISNUMBER(SEARCH("-TK",UPPER(F170))),0,1))</f>
        <v/>
      </c>
      <c r="AF170" s="23" t="str">
        <f aca="false">IF(F170="","",IF(ISNUMBER(SEARCH("-LED",UPPER(F170))),1,0))</f>
        <v/>
      </c>
      <c r="AG170" s="24" t="n">
        <f aca="false">IF(Z170="",0,IFERROR(INDEX(Resep!$C$5:$C$7,MATCH(LEFT(Z170,3),Resep!$B$5:$B$7,0)),0))</f>
        <v>0</v>
      </c>
      <c r="AH170" s="24" t="n">
        <f aca="false">IF(AA170="",0,IFERROR(INDEX(Resep!$C$9:$C$13,MATCH(LEFT(AA170,3),Resep!$B$9:$B$13,0)),0))</f>
        <v>0</v>
      </c>
      <c r="AI170" s="24" t="n">
        <f aca="false">IF(AB170="",0,IFERROR(INDEX(Resep!$C$9:$C$13,MATCH(LEFT(AB170,3),Resep!$B$9:$B$13,0)),0))</f>
        <v>0</v>
      </c>
      <c r="AJ170" s="24" t="n">
        <f aca="false">IF(AC170="",0,IFERROR(INDEX(Resep!$C$9:$C$13,MATCH(LEFT(AC170,3),Resep!$B$9:$B$13,0)),0))</f>
        <v>0</v>
      </c>
      <c r="AK170" s="24" t="n">
        <f aca="false">IF(AD170="",0,IFERROR(INDEX(Resep!$C$15:$C$18,MATCH(LEFT(AD170,3),Resep!$B$15:$B$18,0)),0))</f>
        <v>0</v>
      </c>
      <c r="AL170" s="24" t="str">
        <f aca="false">IF(X170="","",AG170+AH170+AI170+AJ170+AK170)</f>
        <v/>
      </c>
      <c r="AM170" s="22" t="str">
        <f aca="false">IF(X170="","",AL170*(Pengaturan!$B$6+Pengaturan!$B$7)+Pengaturan!$B$8+AE170*Pengaturan!$B$9+AF170*Pengaturan!$B$10)</f>
        <v/>
      </c>
      <c r="AN170" s="22" t="str">
        <f aca="false">IF(X170="","",N(G170)-AM170)</f>
        <v/>
      </c>
      <c r="AO170" s="25" t="str">
        <f aca="false">IF(OR(X170="",N(G170)=0),"",AN170/G170)</f>
        <v/>
      </c>
    </row>
    <row r="171" customFormat="false" ht="15" hidden="false" customHeight="false" outlineLevel="0" collapsed="false">
      <c r="A171" s="19"/>
      <c r="B171" s="20"/>
      <c r="C171" s="19"/>
      <c r="D171" s="19"/>
      <c r="E171" s="19"/>
      <c r="F171" s="19"/>
      <c r="G171" s="21"/>
      <c r="H171" s="19"/>
      <c r="I171" s="21"/>
      <c r="J171" s="19"/>
      <c r="K171" s="20"/>
      <c r="L171" s="20"/>
      <c r="M171" s="19"/>
      <c r="N171" s="19"/>
      <c r="O171" s="20"/>
      <c r="P171" s="20"/>
      <c r="Q171" s="19"/>
      <c r="R171" s="22" t="str">
        <f aca="false">IF(A171="","",N(G171)+N(I171))</f>
        <v/>
      </c>
      <c r="S171" s="23" t="str">
        <f aca="false">IF(OR(K171="",O171=""),"",O171-K171)</f>
        <v/>
      </c>
      <c r="T171" s="23" t="str">
        <f aca="true">IF(AND(C171="Cetak",L171&lt;&gt;"",L171&lt;TODAY()),"YA","")</f>
        <v/>
      </c>
      <c r="U171" s="23" t="str">
        <f aca="false">IF(B171="","",TEXT(B171,"yyyy-mm"))</f>
        <v/>
      </c>
      <c r="V171" s="23" t="str">
        <f aca="false">IF(K171="","",TEXT(K171,"yyyy-mm"))</f>
        <v/>
      </c>
      <c r="W171" s="23" t="n">
        <f aca="false">IF(OR(C171="Cetak",C171="Dikirim",C171="Selesai"),1,0)</f>
        <v>0</v>
      </c>
      <c r="X171" s="23" t="str">
        <f aca="false">IF(F171="","",SUBSTITUTE(SUBSTITUTE(MID(UPPER(TRIM(F171)),4,99),"-LED",""),"-TK",""))</f>
        <v/>
      </c>
      <c r="Y171" s="23" t="str">
        <f aca="false">IF(X171="","",(LEN(X171)+1)/7)</f>
        <v/>
      </c>
      <c r="Z171" s="23" t="str">
        <f aca="false">IF(X171="","",LEFT(X171,6))</f>
        <v/>
      </c>
      <c r="AA171" s="23" t="str">
        <f aca="false">IF(X171="","",IF(Y171&gt;=3,MID(X171,8,6),""))</f>
        <v/>
      </c>
      <c r="AB171" s="23" t="str">
        <f aca="false">IF(X171="","",IF(Y171&gt;=4,MID(X171,15,6),""))</f>
        <v/>
      </c>
      <c r="AC171" s="23" t="str">
        <f aca="false">IF(X171="","",IF(Y171&gt;=5,MID(X171,22,6),""))</f>
        <v/>
      </c>
      <c r="AD171" s="23" t="str">
        <f aca="false">IF(X171="","",RIGHT(X171,6))</f>
        <v/>
      </c>
      <c r="AE171" s="23" t="str">
        <f aca="false">IF(F171="","",IF(ISNUMBER(SEARCH("-TK",UPPER(F171))),0,1))</f>
        <v/>
      </c>
      <c r="AF171" s="23" t="str">
        <f aca="false">IF(F171="","",IF(ISNUMBER(SEARCH("-LED",UPPER(F171))),1,0))</f>
        <v/>
      </c>
      <c r="AG171" s="24" t="n">
        <f aca="false">IF(Z171="",0,IFERROR(INDEX(Resep!$C$5:$C$7,MATCH(LEFT(Z171,3),Resep!$B$5:$B$7,0)),0))</f>
        <v>0</v>
      </c>
      <c r="AH171" s="24" t="n">
        <f aca="false">IF(AA171="",0,IFERROR(INDEX(Resep!$C$9:$C$13,MATCH(LEFT(AA171,3),Resep!$B$9:$B$13,0)),0))</f>
        <v>0</v>
      </c>
      <c r="AI171" s="24" t="n">
        <f aca="false">IF(AB171="",0,IFERROR(INDEX(Resep!$C$9:$C$13,MATCH(LEFT(AB171,3),Resep!$B$9:$B$13,0)),0))</f>
        <v>0</v>
      </c>
      <c r="AJ171" s="24" t="n">
        <f aca="false">IF(AC171="",0,IFERROR(INDEX(Resep!$C$9:$C$13,MATCH(LEFT(AC171,3),Resep!$B$9:$B$13,0)),0))</f>
        <v>0</v>
      </c>
      <c r="AK171" s="24" t="n">
        <f aca="false">IF(AD171="",0,IFERROR(INDEX(Resep!$C$15:$C$18,MATCH(LEFT(AD171,3),Resep!$B$15:$B$18,0)),0))</f>
        <v>0</v>
      </c>
      <c r="AL171" s="24" t="str">
        <f aca="false">IF(X171="","",AG171+AH171+AI171+AJ171+AK171)</f>
        <v/>
      </c>
      <c r="AM171" s="22" t="str">
        <f aca="false">IF(X171="","",AL171*(Pengaturan!$B$6+Pengaturan!$B$7)+Pengaturan!$B$8+AE171*Pengaturan!$B$9+AF171*Pengaturan!$B$10)</f>
        <v/>
      </c>
      <c r="AN171" s="22" t="str">
        <f aca="false">IF(X171="","",N(G171)-AM171)</f>
        <v/>
      </c>
      <c r="AO171" s="25" t="str">
        <f aca="false">IF(OR(X171="",N(G171)=0),"",AN171/G171)</f>
        <v/>
      </c>
    </row>
    <row r="172" customFormat="false" ht="15" hidden="false" customHeight="false" outlineLevel="0" collapsed="false">
      <c r="A172" s="19"/>
      <c r="B172" s="20"/>
      <c r="C172" s="19"/>
      <c r="D172" s="19"/>
      <c r="E172" s="19"/>
      <c r="F172" s="19"/>
      <c r="G172" s="21"/>
      <c r="H172" s="19"/>
      <c r="I172" s="21"/>
      <c r="J172" s="19"/>
      <c r="K172" s="20"/>
      <c r="L172" s="20"/>
      <c r="M172" s="19"/>
      <c r="N172" s="19"/>
      <c r="O172" s="20"/>
      <c r="P172" s="20"/>
      <c r="Q172" s="19"/>
      <c r="R172" s="22" t="str">
        <f aca="false">IF(A172="","",N(G172)+N(I172))</f>
        <v/>
      </c>
      <c r="S172" s="23" t="str">
        <f aca="false">IF(OR(K172="",O172=""),"",O172-K172)</f>
        <v/>
      </c>
      <c r="T172" s="23" t="str">
        <f aca="true">IF(AND(C172="Cetak",L172&lt;&gt;"",L172&lt;TODAY()),"YA","")</f>
        <v/>
      </c>
      <c r="U172" s="23" t="str">
        <f aca="false">IF(B172="","",TEXT(B172,"yyyy-mm"))</f>
        <v/>
      </c>
      <c r="V172" s="23" t="str">
        <f aca="false">IF(K172="","",TEXT(K172,"yyyy-mm"))</f>
        <v/>
      </c>
      <c r="W172" s="23" t="n">
        <f aca="false">IF(OR(C172="Cetak",C172="Dikirim",C172="Selesai"),1,0)</f>
        <v>0</v>
      </c>
      <c r="X172" s="23" t="str">
        <f aca="false">IF(F172="","",SUBSTITUTE(SUBSTITUTE(MID(UPPER(TRIM(F172)),4,99),"-LED",""),"-TK",""))</f>
        <v/>
      </c>
      <c r="Y172" s="23" t="str">
        <f aca="false">IF(X172="","",(LEN(X172)+1)/7)</f>
        <v/>
      </c>
      <c r="Z172" s="23" t="str">
        <f aca="false">IF(X172="","",LEFT(X172,6))</f>
        <v/>
      </c>
      <c r="AA172" s="23" t="str">
        <f aca="false">IF(X172="","",IF(Y172&gt;=3,MID(X172,8,6),""))</f>
        <v/>
      </c>
      <c r="AB172" s="23" t="str">
        <f aca="false">IF(X172="","",IF(Y172&gt;=4,MID(X172,15,6),""))</f>
        <v/>
      </c>
      <c r="AC172" s="23" t="str">
        <f aca="false">IF(X172="","",IF(Y172&gt;=5,MID(X172,22,6),""))</f>
        <v/>
      </c>
      <c r="AD172" s="23" t="str">
        <f aca="false">IF(X172="","",RIGHT(X172,6))</f>
        <v/>
      </c>
      <c r="AE172" s="23" t="str">
        <f aca="false">IF(F172="","",IF(ISNUMBER(SEARCH("-TK",UPPER(F172))),0,1))</f>
        <v/>
      </c>
      <c r="AF172" s="23" t="str">
        <f aca="false">IF(F172="","",IF(ISNUMBER(SEARCH("-LED",UPPER(F172))),1,0))</f>
        <v/>
      </c>
      <c r="AG172" s="24" t="n">
        <f aca="false">IF(Z172="",0,IFERROR(INDEX(Resep!$C$5:$C$7,MATCH(LEFT(Z172,3),Resep!$B$5:$B$7,0)),0))</f>
        <v>0</v>
      </c>
      <c r="AH172" s="24" t="n">
        <f aca="false">IF(AA172="",0,IFERROR(INDEX(Resep!$C$9:$C$13,MATCH(LEFT(AA172,3),Resep!$B$9:$B$13,0)),0))</f>
        <v>0</v>
      </c>
      <c r="AI172" s="24" t="n">
        <f aca="false">IF(AB172="",0,IFERROR(INDEX(Resep!$C$9:$C$13,MATCH(LEFT(AB172,3),Resep!$B$9:$B$13,0)),0))</f>
        <v>0</v>
      </c>
      <c r="AJ172" s="24" t="n">
        <f aca="false">IF(AC172="",0,IFERROR(INDEX(Resep!$C$9:$C$13,MATCH(LEFT(AC172,3),Resep!$B$9:$B$13,0)),0))</f>
        <v>0</v>
      </c>
      <c r="AK172" s="24" t="n">
        <f aca="false">IF(AD172="",0,IFERROR(INDEX(Resep!$C$15:$C$18,MATCH(LEFT(AD172,3),Resep!$B$15:$B$18,0)),0))</f>
        <v>0</v>
      </c>
      <c r="AL172" s="24" t="str">
        <f aca="false">IF(X172="","",AG172+AH172+AI172+AJ172+AK172)</f>
        <v/>
      </c>
      <c r="AM172" s="22" t="str">
        <f aca="false">IF(X172="","",AL172*(Pengaturan!$B$6+Pengaturan!$B$7)+Pengaturan!$B$8+AE172*Pengaturan!$B$9+AF172*Pengaturan!$B$10)</f>
        <v/>
      </c>
      <c r="AN172" s="22" t="str">
        <f aca="false">IF(X172="","",N(G172)-AM172)</f>
        <v/>
      </c>
      <c r="AO172" s="25" t="str">
        <f aca="false">IF(OR(X172="",N(G172)=0),"",AN172/G172)</f>
        <v/>
      </c>
    </row>
    <row r="173" customFormat="false" ht="15" hidden="false" customHeight="false" outlineLevel="0" collapsed="false">
      <c r="A173" s="19"/>
      <c r="B173" s="20"/>
      <c r="C173" s="19"/>
      <c r="D173" s="19"/>
      <c r="E173" s="19"/>
      <c r="F173" s="19"/>
      <c r="G173" s="21"/>
      <c r="H173" s="19"/>
      <c r="I173" s="21"/>
      <c r="J173" s="19"/>
      <c r="K173" s="20"/>
      <c r="L173" s="20"/>
      <c r="M173" s="19"/>
      <c r="N173" s="19"/>
      <c r="O173" s="20"/>
      <c r="P173" s="20"/>
      <c r="Q173" s="19"/>
      <c r="R173" s="22" t="str">
        <f aca="false">IF(A173="","",N(G173)+N(I173))</f>
        <v/>
      </c>
      <c r="S173" s="23" t="str">
        <f aca="false">IF(OR(K173="",O173=""),"",O173-K173)</f>
        <v/>
      </c>
      <c r="T173" s="23" t="str">
        <f aca="true">IF(AND(C173="Cetak",L173&lt;&gt;"",L173&lt;TODAY()),"YA","")</f>
        <v/>
      </c>
      <c r="U173" s="23" t="str">
        <f aca="false">IF(B173="","",TEXT(B173,"yyyy-mm"))</f>
        <v/>
      </c>
      <c r="V173" s="23" t="str">
        <f aca="false">IF(K173="","",TEXT(K173,"yyyy-mm"))</f>
        <v/>
      </c>
      <c r="W173" s="23" t="n">
        <f aca="false">IF(OR(C173="Cetak",C173="Dikirim",C173="Selesai"),1,0)</f>
        <v>0</v>
      </c>
      <c r="X173" s="23" t="str">
        <f aca="false">IF(F173="","",SUBSTITUTE(SUBSTITUTE(MID(UPPER(TRIM(F173)),4,99),"-LED",""),"-TK",""))</f>
        <v/>
      </c>
      <c r="Y173" s="23" t="str">
        <f aca="false">IF(X173="","",(LEN(X173)+1)/7)</f>
        <v/>
      </c>
      <c r="Z173" s="23" t="str">
        <f aca="false">IF(X173="","",LEFT(X173,6))</f>
        <v/>
      </c>
      <c r="AA173" s="23" t="str">
        <f aca="false">IF(X173="","",IF(Y173&gt;=3,MID(X173,8,6),""))</f>
        <v/>
      </c>
      <c r="AB173" s="23" t="str">
        <f aca="false">IF(X173="","",IF(Y173&gt;=4,MID(X173,15,6),""))</f>
        <v/>
      </c>
      <c r="AC173" s="23" t="str">
        <f aca="false">IF(X173="","",IF(Y173&gt;=5,MID(X173,22,6),""))</f>
        <v/>
      </c>
      <c r="AD173" s="23" t="str">
        <f aca="false">IF(X173="","",RIGHT(X173,6))</f>
        <v/>
      </c>
      <c r="AE173" s="23" t="str">
        <f aca="false">IF(F173="","",IF(ISNUMBER(SEARCH("-TK",UPPER(F173))),0,1))</f>
        <v/>
      </c>
      <c r="AF173" s="23" t="str">
        <f aca="false">IF(F173="","",IF(ISNUMBER(SEARCH("-LED",UPPER(F173))),1,0))</f>
        <v/>
      </c>
      <c r="AG173" s="24" t="n">
        <f aca="false">IF(Z173="",0,IFERROR(INDEX(Resep!$C$5:$C$7,MATCH(LEFT(Z173,3),Resep!$B$5:$B$7,0)),0))</f>
        <v>0</v>
      </c>
      <c r="AH173" s="24" t="n">
        <f aca="false">IF(AA173="",0,IFERROR(INDEX(Resep!$C$9:$C$13,MATCH(LEFT(AA173,3),Resep!$B$9:$B$13,0)),0))</f>
        <v>0</v>
      </c>
      <c r="AI173" s="24" t="n">
        <f aca="false">IF(AB173="",0,IFERROR(INDEX(Resep!$C$9:$C$13,MATCH(LEFT(AB173,3),Resep!$B$9:$B$13,0)),0))</f>
        <v>0</v>
      </c>
      <c r="AJ173" s="24" t="n">
        <f aca="false">IF(AC173="",0,IFERROR(INDEX(Resep!$C$9:$C$13,MATCH(LEFT(AC173,3),Resep!$B$9:$B$13,0)),0))</f>
        <v>0</v>
      </c>
      <c r="AK173" s="24" t="n">
        <f aca="false">IF(AD173="",0,IFERROR(INDEX(Resep!$C$15:$C$18,MATCH(LEFT(AD173,3),Resep!$B$15:$B$18,0)),0))</f>
        <v>0</v>
      </c>
      <c r="AL173" s="24" t="str">
        <f aca="false">IF(X173="","",AG173+AH173+AI173+AJ173+AK173)</f>
        <v/>
      </c>
      <c r="AM173" s="22" t="str">
        <f aca="false">IF(X173="","",AL173*(Pengaturan!$B$6+Pengaturan!$B$7)+Pengaturan!$B$8+AE173*Pengaturan!$B$9+AF173*Pengaturan!$B$10)</f>
        <v/>
      </c>
      <c r="AN173" s="22" t="str">
        <f aca="false">IF(X173="","",N(G173)-AM173)</f>
        <v/>
      </c>
      <c r="AO173" s="25" t="str">
        <f aca="false">IF(OR(X173="",N(G173)=0),"",AN173/G173)</f>
        <v/>
      </c>
    </row>
    <row r="174" customFormat="false" ht="15" hidden="false" customHeight="false" outlineLevel="0" collapsed="false">
      <c r="A174" s="19"/>
      <c r="B174" s="20"/>
      <c r="C174" s="19"/>
      <c r="D174" s="19"/>
      <c r="E174" s="19"/>
      <c r="F174" s="19"/>
      <c r="G174" s="21"/>
      <c r="H174" s="19"/>
      <c r="I174" s="21"/>
      <c r="J174" s="19"/>
      <c r="K174" s="20"/>
      <c r="L174" s="20"/>
      <c r="M174" s="19"/>
      <c r="N174" s="19"/>
      <c r="O174" s="20"/>
      <c r="P174" s="20"/>
      <c r="Q174" s="19"/>
      <c r="R174" s="22" t="str">
        <f aca="false">IF(A174="","",N(G174)+N(I174))</f>
        <v/>
      </c>
      <c r="S174" s="23" t="str">
        <f aca="false">IF(OR(K174="",O174=""),"",O174-K174)</f>
        <v/>
      </c>
      <c r="T174" s="23" t="str">
        <f aca="true">IF(AND(C174="Cetak",L174&lt;&gt;"",L174&lt;TODAY()),"YA","")</f>
        <v/>
      </c>
      <c r="U174" s="23" t="str">
        <f aca="false">IF(B174="","",TEXT(B174,"yyyy-mm"))</f>
        <v/>
      </c>
      <c r="V174" s="23" t="str">
        <f aca="false">IF(K174="","",TEXT(K174,"yyyy-mm"))</f>
        <v/>
      </c>
      <c r="W174" s="23" t="n">
        <f aca="false">IF(OR(C174="Cetak",C174="Dikirim",C174="Selesai"),1,0)</f>
        <v>0</v>
      </c>
      <c r="X174" s="23" t="str">
        <f aca="false">IF(F174="","",SUBSTITUTE(SUBSTITUTE(MID(UPPER(TRIM(F174)),4,99),"-LED",""),"-TK",""))</f>
        <v/>
      </c>
      <c r="Y174" s="23" t="str">
        <f aca="false">IF(X174="","",(LEN(X174)+1)/7)</f>
        <v/>
      </c>
      <c r="Z174" s="23" t="str">
        <f aca="false">IF(X174="","",LEFT(X174,6))</f>
        <v/>
      </c>
      <c r="AA174" s="23" t="str">
        <f aca="false">IF(X174="","",IF(Y174&gt;=3,MID(X174,8,6),""))</f>
        <v/>
      </c>
      <c r="AB174" s="23" t="str">
        <f aca="false">IF(X174="","",IF(Y174&gt;=4,MID(X174,15,6),""))</f>
        <v/>
      </c>
      <c r="AC174" s="23" t="str">
        <f aca="false">IF(X174="","",IF(Y174&gt;=5,MID(X174,22,6),""))</f>
        <v/>
      </c>
      <c r="AD174" s="23" t="str">
        <f aca="false">IF(X174="","",RIGHT(X174,6))</f>
        <v/>
      </c>
      <c r="AE174" s="23" t="str">
        <f aca="false">IF(F174="","",IF(ISNUMBER(SEARCH("-TK",UPPER(F174))),0,1))</f>
        <v/>
      </c>
      <c r="AF174" s="23" t="str">
        <f aca="false">IF(F174="","",IF(ISNUMBER(SEARCH("-LED",UPPER(F174))),1,0))</f>
        <v/>
      </c>
      <c r="AG174" s="24" t="n">
        <f aca="false">IF(Z174="",0,IFERROR(INDEX(Resep!$C$5:$C$7,MATCH(LEFT(Z174,3),Resep!$B$5:$B$7,0)),0))</f>
        <v>0</v>
      </c>
      <c r="AH174" s="24" t="n">
        <f aca="false">IF(AA174="",0,IFERROR(INDEX(Resep!$C$9:$C$13,MATCH(LEFT(AA174,3),Resep!$B$9:$B$13,0)),0))</f>
        <v>0</v>
      </c>
      <c r="AI174" s="24" t="n">
        <f aca="false">IF(AB174="",0,IFERROR(INDEX(Resep!$C$9:$C$13,MATCH(LEFT(AB174,3),Resep!$B$9:$B$13,0)),0))</f>
        <v>0</v>
      </c>
      <c r="AJ174" s="24" t="n">
        <f aca="false">IF(AC174="",0,IFERROR(INDEX(Resep!$C$9:$C$13,MATCH(LEFT(AC174,3),Resep!$B$9:$B$13,0)),0))</f>
        <v>0</v>
      </c>
      <c r="AK174" s="24" t="n">
        <f aca="false">IF(AD174="",0,IFERROR(INDEX(Resep!$C$15:$C$18,MATCH(LEFT(AD174,3),Resep!$B$15:$B$18,0)),0))</f>
        <v>0</v>
      </c>
      <c r="AL174" s="24" t="str">
        <f aca="false">IF(X174="","",AG174+AH174+AI174+AJ174+AK174)</f>
        <v/>
      </c>
      <c r="AM174" s="22" t="str">
        <f aca="false">IF(X174="","",AL174*(Pengaturan!$B$6+Pengaturan!$B$7)+Pengaturan!$B$8+AE174*Pengaturan!$B$9+AF174*Pengaturan!$B$10)</f>
        <v/>
      </c>
      <c r="AN174" s="22" t="str">
        <f aca="false">IF(X174="","",N(G174)-AM174)</f>
        <v/>
      </c>
      <c r="AO174" s="25" t="str">
        <f aca="false">IF(OR(X174="",N(G174)=0),"",AN174/G174)</f>
        <v/>
      </c>
    </row>
    <row r="175" customFormat="false" ht="15" hidden="false" customHeight="false" outlineLevel="0" collapsed="false">
      <c r="A175" s="19"/>
      <c r="B175" s="20"/>
      <c r="C175" s="19"/>
      <c r="D175" s="19"/>
      <c r="E175" s="19"/>
      <c r="F175" s="19"/>
      <c r="G175" s="21"/>
      <c r="H175" s="19"/>
      <c r="I175" s="21"/>
      <c r="J175" s="19"/>
      <c r="K175" s="20"/>
      <c r="L175" s="20"/>
      <c r="M175" s="19"/>
      <c r="N175" s="19"/>
      <c r="O175" s="20"/>
      <c r="P175" s="20"/>
      <c r="Q175" s="19"/>
      <c r="R175" s="22" t="str">
        <f aca="false">IF(A175="","",N(G175)+N(I175))</f>
        <v/>
      </c>
      <c r="S175" s="23" t="str">
        <f aca="false">IF(OR(K175="",O175=""),"",O175-K175)</f>
        <v/>
      </c>
      <c r="T175" s="23" t="str">
        <f aca="true">IF(AND(C175="Cetak",L175&lt;&gt;"",L175&lt;TODAY()),"YA","")</f>
        <v/>
      </c>
      <c r="U175" s="23" t="str">
        <f aca="false">IF(B175="","",TEXT(B175,"yyyy-mm"))</f>
        <v/>
      </c>
      <c r="V175" s="23" t="str">
        <f aca="false">IF(K175="","",TEXT(K175,"yyyy-mm"))</f>
        <v/>
      </c>
      <c r="W175" s="23" t="n">
        <f aca="false">IF(OR(C175="Cetak",C175="Dikirim",C175="Selesai"),1,0)</f>
        <v>0</v>
      </c>
      <c r="X175" s="23" t="str">
        <f aca="false">IF(F175="","",SUBSTITUTE(SUBSTITUTE(MID(UPPER(TRIM(F175)),4,99),"-LED",""),"-TK",""))</f>
        <v/>
      </c>
      <c r="Y175" s="23" t="str">
        <f aca="false">IF(X175="","",(LEN(X175)+1)/7)</f>
        <v/>
      </c>
      <c r="Z175" s="23" t="str">
        <f aca="false">IF(X175="","",LEFT(X175,6))</f>
        <v/>
      </c>
      <c r="AA175" s="23" t="str">
        <f aca="false">IF(X175="","",IF(Y175&gt;=3,MID(X175,8,6),""))</f>
        <v/>
      </c>
      <c r="AB175" s="23" t="str">
        <f aca="false">IF(X175="","",IF(Y175&gt;=4,MID(X175,15,6),""))</f>
        <v/>
      </c>
      <c r="AC175" s="23" t="str">
        <f aca="false">IF(X175="","",IF(Y175&gt;=5,MID(X175,22,6),""))</f>
        <v/>
      </c>
      <c r="AD175" s="23" t="str">
        <f aca="false">IF(X175="","",RIGHT(X175,6))</f>
        <v/>
      </c>
      <c r="AE175" s="23" t="str">
        <f aca="false">IF(F175="","",IF(ISNUMBER(SEARCH("-TK",UPPER(F175))),0,1))</f>
        <v/>
      </c>
      <c r="AF175" s="23" t="str">
        <f aca="false">IF(F175="","",IF(ISNUMBER(SEARCH("-LED",UPPER(F175))),1,0))</f>
        <v/>
      </c>
      <c r="AG175" s="24" t="n">
        <f aca="false">IF(Z175="",0,IFERROR(INDEX(Resep!$C$5:$C$7,MATCH(LEFT(Z175,3),Resep!$B$5:$B$7,0)),0))</f>
        <v>0</v>
      </c>
      <c r="AH175" s="24" t="n">
        <f aca="false">IF(AA175="",0,IFERROR(INDEX(Resep!$C$9:$C$13,MATCH(LEFT(AA175,3),Resep!$B$9:$B$13,0)),0))</f>
        <v>0</v>
      </c>
      <c r="AI175" s="24" t="n">
        <f aca="false">IF(AB175="",0,IFERROR(INDEX(Resep!$C$9:$C$13,MATCH(LEFT(AB175,3),Resep!$B$9:$B$13,0)),0))</f>
        <v>0</v>
      </c>
      <c r="AJ175" s="24" t="n">
        <f aca="false">IF(AC175="",0,IFERROR(INDEX(Resep!$C$9:$C$13,MATCH(LEFT(AC175,3),Resep!$B$9:$B$13,0)),0))</f>
        <v>0</v>
      </c>
      <c r="AK175" s="24" t="n">
        <f aca="false">IF(AD175="",0,IFERROR(INDEX(Resep!$C$15:$C$18,MATCH(LEFT(AD175,3),Resep!$B$15:$B$18,0)),0))</f>
        <v>0</v>
      </c>
      <c r="AL175" s="24" t="str">
        <f aca="false">IF(X175="","",AG175+AH175+AI175+AJ175+AK175)</f>
        <v/>
      </c>
      <c r="AM175" s="22" t="str">
        <f aca="false">IF(X175="","",AL175*(Pengaturan!$B$6+Pengaturan!$B$7)+Pengaturan!$B$8+AE175*Pengaturan!$B$9+AF175*Pengaturan!$B$10)</f>
        <v/>
      </c>
      <c r="AN175" s="22" t="str">
        <f aca="false">IF(X175="","",N(G175)-AM175)</f>
        <v/>
      </c>
      <c r="AO175" s="25" t="str">
        <f aca="false">IF(OR(X175="",N(G175)=0),"",AN175/G175)</f>
        <v/>
      </c>
    </row>
    <row r="176" customFormat="false" ht="15" hidden="false" customHeight="false" outlineLevel="0" collapsed="false">
      <c r="A176" s="19"/>
      <c r="B176" s="20"/>
      <c r="C176" s="19"/>
      <c r="D176" s="19"/>
      <c r="E176" s="19"/>
      <c r="F176" s="19"/>
      <c r="G176" s="21"/>
      <c r="H176" s="19"/>
      <c r="I176" s="21"/>
      <c r="J176" s="19"/>
      <c r="K176" s="20"/>
      <c r="L176" s="20"/>
      <c r="M176" s="19"/>
      <c r="N176" s="19"/>
      <c r="O176" s="20"/>
      <c r="P176" s="20"/>
      <c r="Q176" s="19"/>
      <c r="R176" s="22" t="str">
        <f aca="false">IF(A176="","",N(G176)+N(I176))</f>
        <v/>
      </c>
      <c r="S176" s="23" t="str">
        <f aca="false">IF(OR(K176="",O176=""),"",O176-K176)</f>
        <v/>
      </c>
      <c r="T176" s="23" t="str">
        <f aca="true">IF(AND(C176="Cetak",L176&lt;&gt;"",L176&lt;TODAY()),"YA","")</f>
        <v/>
      </c>
      <c r="U176" s="23" t="str">
        <f aca="false">IF(B176="","",TEXT(B176,"yyyy-mm"))</f>
        <v/>
      </c>
      <c r="V176" s="23" t="str">
        <f aca="false">IF(K176="","",TEXT(K176,"yyyy-mm"))</f>
        <v/>
      </c>
      <c r="W176" s="23" t="n">
        <f aca="false">IF(OR(C176="Cetak",C176="Dikirim",C176="Selesai"),1,0)</f>
        <v>0</v>
      </c>
      <c r="X176" s="23" t="str">
        <f aca="false">IF(F176="","",SUBSTITUTE(SUBSTITUTE(MID(UPPER(TRIM(F176)),4,99),"-LED",""),"-TK",""))</f>
        <v/>
      </c>
      <c r="Y176" s="23" t="str">
        <f aca="false">IF(X176="","",(LEN(X176)+1)/7)</f>
        <v/>
      </c>
      <c r="Z176" s="23" t="str">
        <f aca="false">IF(X176="","",LEFT(X176,6))</f>
        <v/>
      </c>
      <c r="AA176" s="23" t="str">
        <f aca="false">IF(X176="","",IF(Y176&gt;=3,MID(X176,8,6),""))</f>
        <v/>
      </c>
      <c r="AB176" s="23" t="str">
        <f aca="false">IF(X176="","",IF(Y176&gt;=4,MID(X176,15,6),""))</f>
        <v/>
      </c>
      <c r="AC176" s="23" t="str">
        <f aca="false">IF(X176="","",IF(Y176&gt;=5,MID(X176,22,6),""))</f>
        <v/>
      </c>
      <c r="AD176" s="23" t="str">
        <f aca="false">IF(X176="","",RIGHT(X176,6))</f>
        <v/>
      </c>
      <c r="AE176" s="23" t="str">
        <f aca="false">IF(F176="","",IF(ISNUMBER(SEARCH("-TK",UPPER(F176))),0,1))</f>
        <v/>
      </c>
      <c r="AF176" s="23" t="str">
        <f aca="false">IF(F176="","",IF(ISNUMBER(SEARCH("-LED",UPPER(F176))),1,0))</f>
        <v/>
      </c>
      <c r="AG176" s="24" t="n">
        <f aca="false">IF(Z176="",0,IFERROR(INDEX(Resep!$C$5:$C$7,MATCH(LEFT(Z176,3),Resep!$B$5:$B$7,0)),0))</f>
        <v>0</v>
      </c>
      <c r="AH176" s="24" t="n">
        <f aca="false">IF(AA176="",0,IFERROR(INDEX(Resep!$C$9:$C$13,MATCH(LEFT(AA176,3),Resep!$B$9:$B$13,0)),0))</f>
        <v>0</v>
      </c>
      <c r="AI176" s="24" t="n">
        <f aca="false">IF(AB176="",0,IFERROR(INDEX(Resep!$C$9:$C$13,MATCH(LEFT(AB176,3),Resep!$B$9:$B$13,0)),0))</f>
        <v>0</v>
      </c>
      <c r="AJ176" s="24" t="n">
        <f aca="false">IF(AC176="",0,IFERROR(INDEX(Resep!$C$9:$C$13,MATCH(LEFT(AC176,3),Resep!$B$9:$B$13,0)),0))</f>
        <v>0</v>
      </c>
      <c r="AK176" s="24" t="n">
        <f aca="false">IF(AD176="",0,IFERROR(INDEX(Resep!$C$15:$C$18,MATCH(LEFT(AD176,3),Resep!$B$15:$B$18,0)),0))</f>
        <v>0</v>
      </c>
      <c r="AL176" s="24" t="str">
        <f aca="false">IF(X176="","",AG176+AH176+AI176+AJ176+AK176)</f>
        <v/>
      </c>
      <c r="AM176" s="22" t="str">
        <f aca="false">IF(X176="","",AL176*(Pengaturan!$B$6+Pengaturan!$B$7)+Pengaturan!$B$8+AE176*Pengaturan!$B$9+AF176*Pengaturan!$B$10)</f>
        <v/>
      </c>
      <c r="AN176" s="22" t="str">
        <f aca="false">IF(X176="","",N(G176)-AM176)</f>
        <v/>
      </c>
      <c r="AO176" s="25" t="str">
        <f aca="false">IF(OR(X176="",N(G176)=0),"",AN176/G176)</f>
        <v/>
      </c>
    </row>
    <row r="177" customFormat="false" ht="15" hidden="false" customHeight="false" outlineLevel="0" collapsed="false">
      <c r="A177" s="19"/>
      <c r="B177" s="20"/>
      <c r="C177" s="19"/>
      <c r="D177" s="19"/>
      <c r="E177" s="19"/>
      <c r="F177" s="19"/>
      <c r="G177" s="21"/>
      <c r="H177" s="19"/>
      <c r="I177" s="21"/>
      <c r="J177" s="19"/>
      <c r="K177" s="20"/>
      <c r="L177" s="20"/>
      <c r="M177" s="19"/>
      <c r="N177" s="19"/>
      <c r="O177" s="20"/>
      <c r="P177" s="20"/>
      <c r="Q177" s="19"/>
      <c r="R177" s="22" t="str">
        <f aca="false">IF(A177="","",N(G177)+N(I177))</f>
        <v/>
      </c>
      <c r="S177" s="23" t="str">
        <f aca="false">IF(OR(K177="",O177=""),"",O177-K177)</f>
        <v/>
      </c>
      <c r="T177" s="23" t="str">
        <f aca="true">IF(AND(C177="Cetak",L177&lt;&gt;"",L177&lt;TODAY()),"YA","")</f>
        <v/>
      </c>
      <c r="U177" s="23" t="str">
        <f aca="false">IF(B177="","",TEXT(B177,"yyyy-mm"))</f>
        <v/>
      </c>
      <c r="V177" s="23" t="str">
        <f aca="false">IF(K177="","",TEXT(K177,"yyyy-mm"))</f>
        <v/>
      </c>
      <c r="W177" s="23" t="n">
        <f aca="false">IF(OR(C177="Cetak",C177="Dikirim",C177="Selesai"),1,0)</f>
        <v>0</v>
      </c>
      <c r="X177" s="23" t="str">
        <f aca="false">IF(F177="","",SUBSTITUTE(SUBSTITUTE(MID(UPPER(TRIM(F177)),4,99),"-LED",""),"-TK",""))</f>
        <v/>
      </c>
      <c r="Y177" s="23" t="str">
        <f aca="false">IF(X177="","",(LEN(X177)+1)/7)</f>
        <v/>
      </c>
      <c r="Z177" s="23" t="str">
        <f aca="false">IF(X177="","",LEFT(X177,6))</f>
        <v/>
      </c>
      <c r="AA177" s="23" t="str">
        <f aca="false">IF(X177="","",IF(Y177&gt;=3,MID(X177,8,6),""))</f>
        <v/>
      </c>
      <c r="AB177" s="23" t="str">
        <f aca="false">IF(X177="","",IF(Y177&gt;=4,MID(X177,15,6),""))</f>
        <v/>
      </c>
      <c r="AC177" s="23" t="str">
        <f aca="false">IF(X177="","",IF(Y177&gt;=5,MID(X177,22,6),""))</f>
        <v/>
      </c>
      <c r="AD177" s="23" t="str">
        <f aca="false">IF(X177="","",RIGHT(X177,6))</f>
        <v/>
      </c>
      <c r="AE177" s="23" t="str">
        <f aca="false">IF(F177="","",IF(ISNUMBER(SEARCH("-TK",UPPER(F177))),0,1))</f>
        <v/>
      </c>
      <c r="AF177" s="23" t="str">
        <f aca="false">IF(F177="","",IF(ISNUMBER(SEARCH("-LED",UPPER(F177))),1,0))</f>
        <v/>
      </c>
      <c r="AG177" s="24" t="n">
        <f aca="false">IF(Z177="",0,IFERROR(INDEX(Resep!$C$5:$C$7,MATCH(LEFT(Z177,3),Resep!$B$5:$B$7,0)),0))</f>
        <v>0</v>
      </c>
      <c r="AH177" s="24" t="n">
        <f aca="false">IF(AA177="",0,IFERROR(INDEX(Resep!$C$9:$C$13,MATCH(LEFT(AA177,3),Resep!$B$9:$B$13,0)),0))</f>
        <v>0</v>
      </c>
      <c r="AI177" s="24" t="n">
        <f aca="false">IF(AB177="",0,IFERROR(INDEX(Resep!$C$9:$C$13,MATCH(LEFT(AB177,3),Resep!$B$9:$B$13,0)),0))</f>
        <v>0</v>
      </c>
      <c r="AJ177" s="24" t="n">
        <f aca="false">IF(AC177="",0,IFERROR(INDEX(Resep!$C$9:$C$13,MATCH(LEFT(AC177,3),Resep!$B$9:$B$13,0)),0))</f>
        <v>0</v>
      </c>
      <c r="AK177" s="24" t="n">
        <f aca="false">IF(AD177="",0,IFERROR(INDEX(Resep!$C$15:$C$18,MATCH(LEFT(AD177,3),Resep!$B$15:$B$18,0)),0))</f>
        <v>0</v>
      </c>
      <c r="AL177" s="24" t="str">
        <f aca="false">IF(X177="","",AG177+AH177+AI177+AJ177+AK177)</f>
        <v/>
      </c>
      <c r="AM177" s="22" t="str">
        <f aca="false">IF(X177="","",AL177*(Pengaturan!$B$6+Pengaturan!$B$7)+Pengaturan!$B$8+AE177*Pengaturan!$B$9+AF177*Pengaturan!$B$10)</f>
        <v/>
      </c>
      <c r="AN177" s="22" t="str">
        <f aca="false">IF(X177="","",N(G177)-AM177)</f>
        <v/>
      </c>
      <c r="AO177" s="25" t="str">
        <f aca="false">IF(OR(X177="",N(G177)=0),"",AN177/G177)</f>
        <v/>
      </c>
    </row>
    <row r="178" customFormat="false" ht="15" hidden="false" customHeight="false" outlineLevel="0" collapsed="false">
      <c r="A178" s="19"/>
      <c r="B178" s="20"/>
      <c r="C178" s="19"/>
      <c r="D178" s="19"/>
      <c r="E178" s="19"/>
      <c r="F178" s="19"/>
      <c r="G178" s="21"/>
      <c r="H178" s="19"/>
      <c r="I178" s="21"/>
      <c r="J178" s="19"/>
      <c r="K178" s="20"/>
      <c r="L178" s="20"/>
      <c r="M178" s="19"/>
      <c r="N178" s="19"/>
      <c r="O178" s="20"/>
      <c r="P178" s="20"/>
      <c r="Q178" s="19"/>
      <c r="R178" s="22" t="str">
        <f aca="false">IF(A178="","",N(G178)+N(I178))</f>
        <v/>
      </c>
      <c r="S178" s="23" t="str">
        <f aca="false">IF(OR(K178="",O178=""),"",O178-K178)</f>
        <v/>
      </c>
      <c r="T178" s="23" t="str">
        <f aca="true">IF(AND(C178="Cetak",L178&lt;&gt;"",L178&lt;TODAY()),"YA","")</f>
        <v/>
      </c>
      <c r="U178" s="23" t="str">
        <f aca="false">IF(B178="","",TEXT(B178,"yyyy-mm"))</f>
        <v/>
      </c>
      <c r="V178" s="23" t="str">
        <f aca="false">IF(K178="","",TEXT(K178,"yyyy-mm"))</f>
        <v/>
      </c>
      <c r="W178" s="23" t="n">
        <f aca="false">IF(OR(C178="Cetak",C178="Dikirim",C178="Selesai"),1,0)</f>
        <v>0</v>
      </c>
      <c r="X178" s="23" t="str">
        <f aca="false">IF(F178="","",SUBSTITUTE(SUBSTITUTE(MID(UPPER(TRIM(F178)),4,99),"-LED",""),"-TK",""))</f>
        <v/>
      </c>
      <c r="Y178" s="23" t="str">
        <f aca="false">IF(X178="","",(LEN(X178)+1)/7)</f>
        <v/>
      </c>
      <c r="Z178" s="23" t="str">
        <f aca="false">IF(X178="","",LEFT(X178,6))</f>
        <v/>
      </c>
      <c r="AA178" s="23" t="str">
        <f aca="false">IF(X178="","",IF(Y178&gt;=3,MID(X178,8,6),""))</f>
        <v/>
      </c>
      <c r="AB178" s="23" t="str">
        <f aca="false">IF(X178="","",IF(Y178&gt;=4,MID(X178,15,6),""))</f>
        <v/>
      </c>
      <c r="AC178" s="23" t="str">
        <f aca="false">IF(X178="","",IF(Y178&gt;=5,MID(X178,22,6),""))</f>
        <v/>
      </c>
      <c r="AD178" s="23" t="str">
        <f aca="false">IF(X178="","",RIGHT(X178,6))</f>
        <v/>
      </c>
      <c r="AE178" s="23" t="str">
        <f aca="false">IF(F178="","",IF(ISNUMBER(SEARCH("-TK",UPPER(F178))),0,1))</f>
        <v/>
      </c>
      <c r="AF178" s="23" t="str">
        <f aca="false">IF(F178="","",IF(ISNUMBER(SEARCH("-LED",UPPER(F178))),1,0))</f>
        <v/>
      </c>
      <c r="AG178" s="24" t="n">
        <f aca="false">IF(Z178="",0,IFERROR(INDEX(Resep!$C$5:$C$7,MATCH(LEFT(Z178,3),Resep!$B$5:$B$7,0)),0))</f>
        <v>0</v>
      </c>
      <c r="AH178" s="24" t="n">
        <f aca="false">IF(AA178="",0,IFERROR(INDEX(Resep!$C$9:$C$13,MATCH(LEFT(AA178,3),Resep!$B$9:$B$13,0)),0))</f>
        <v>0</v>
      </c>
      <c r="AI178" s="24" t="n">
        <f aca="false">IF(AB178="",0,IFERROR(INDEX(Resep!$C$9:$C$13,MATCH(LEFT(AB178,3),Resep!$B$9:$B$13,0)),0))</f>
        <v>0</v>
      </c>
      <c r="AJ178" s="24" t="n">
        <f aca="false">IF(AC178="",0,IFERROR(INDEX(Resep!$C$9:$C$13,MATCH(LEFT(AC178,3),Resep!$B$9:$B$13,0)),0))</f>
        <v>0</v>
      </c>
      <c r="AK178" s="24" t="n">
        <f aca="false">IF(AD178="",0,IFERROR(INDEX(Resep!$C$15:$C$18,MATCH(LEFT(AD178,3),Resep!$B$15:$B$18,0)),0))</f>
        <v>0</v>
      </c>
      <c r="AL178" s="24" t="str">
        <f aca="false">IF(X178="","",AG178+AH178+AI178+AJ178+AK178)</f>
        <v/>
      </c>
      <c r="AM178" s="22" t="str">
        <f aca="false">IF(X178="","",AL178*(Pengaturan!$B$6+Pengaturan!$B$7)+Pengaturan!$B$8+AE178*Pengaturan!$B$9+AF178*Pengaturan!$B$10)</f>
        <v/>
      </c>
      <c r="AN178" s="22" t="str">
        <f aca="false">IF(X178="","",N(G178)-AM178)</f>
        <v/>
      </c>
      <c r="AO178" s="25" t="str">
        <f aca="false">IF(OR(X178="",N(G178)=0),"",AN178/G178)</f>
        <v/>
      </c>
    </row>
    <row r="179" customFormat="false" ht="15" hidden="false" customHeight="false" outlineLevel="0" collapsed="false">
      <c r="A179" s="19"/>
      <c r="B179" s="20"/>
      <c r="C179" s="19"/>
      <c r="D179" s="19"/>
      <c r="E179" s="19"/>
      <c r="F179" s="19"/>
      <c r="G179" s="21"/>
      <c r="H179" s="19"/>
      <c r="I179" s="21"/>
      <c r="J179" s="19"/>
      <c r="K179" s="20"/>
      <c r="L179" s="20"/>
      <c r="M179" s="19"/>
      <c r="N179" s="19"/>
      <c r="O179" s="20"/>
      <c r="P179" s="20"/>
      <c r="Q179" s="19"/>
      <c r="R179" s="22" t="str">
        <f aca="false">IF(A179="","",N(G179)+N(I179))</f>
        <v/>
      </c>
      <c r="S179" s="23" t="str">
        <f aca="false">IF(OR(K179="",O179=""),"",O179-K179)</f>
        <v/>
      </c>
      <c r="T179" s="23" t="str">
        <f aca="true">IF(AND(C179="Cetak",L179&lt;&gt;"",L179&lt;TODAY()),"YA","")</f>
        <v/>
      </c>
      <c r="U179" s="23" t="str">
        <f aca="false">IF(B179="","",TEXT(B179,"yyyy-mm"))</f>
        <v/>
      </c>
      <c r="V179" s="23" t="str">
        <f aca="false">IF(K179="","",TEXT(K179,"yyyy-mm"))</f>
        <v/>
      </c>
      <c r="W179" s="23" t="n">
        <f aca="false">IF(OR(C179="Cetak",C179="Dikirim",C179="Selesai"),1,0)</f>
        <v>0</v>
      </c>
      <c r="X179" s="23" t="str">
        <f aca="false">IF(F179="","",SUBSTITUTE(SUBSTITUTE(MID(UPPER(TRIM(F179)),4,99),"-LED",""),"-TK",""))</f>
        <v/>
      </c>
      <c r="Y179" s="23" t="str">
        <f aca="false">IF(X179="","",(LEN(X179)+1)/7)</f>
        <v/>
      </c>
      <c r="Z179" s="23" t="str">
        <f aca="false">IF(X179="","",LEFT(X179,6))</f>
        <v/>
      </c>
      <c r="AA179" s="23" t="str">
        <f aca="false">IF(X179="","",IF(Y179&gt;=3,MID(X179,8,6),""))</f>
        <v/>
      </c>
      <c r="AB179" s="23" t="str">
        <f aca="false">IF(X179="","",IF(Y179&gt;=4,MID(X179,15,6),""))</f>
        <v/>
      </c>
      <c r="AC179" s="23" t="str">
        <f aca="false">IF(X179="","",IF(Y179&gt;=5,MID(X179,22,6),""))</f>
        <v/>
      </c>
      <c r="AD179" s="23" t="str">
        <f aca="false">IF(X179="","",RIGHT(X179,6))</f>
        <v/>
      </c>
      <c r="AE179" s="23" t="str">
        <f aca="false">IF(F179="","",IF(ISNUMBER(SEARCH("-TK",UPPER(F179))),0,1))</f>
        <v/>
      </c>
      <c r="AF179" s="23" t="str">
        <f aca="false">IF(F179="","",IF(ISNUMBER(SEARCH("-LED",UPPER(F179))),1,0))</f>
        <v/>
      </c>
      <c r="AG179" s="24" t="n">
        <f aca="false">IF(Z179="",0,IFERROR(INDEX(Resep!$C$5:$C$7,MATCH(LEFT(Z179,3),Resep!$B$5:$B$7,0)),0))</f>
        <v>0</v>
      </c>
      <c r="AH179" s="24" t="n">
        <f aca="false">IF(AA179="",0,IFERROR(INDEX(Resep!$C$9:$C$13,MATCH(LEFT(AA179,3),Resep!$B$9:$B$13,0)),0))</f>
        <v>0</v>
      </c>
      <c r="AI179" s="24" t="n">
        <f aca="false">IF(AB179="",0,IFERROR(INDEX(Resep!$C$9:$C$13,MATCH(LEFT(AB179,3),Resep!$B$9:$B$13,0)),0))</f>
        <v>0</v>
      </c>
      <c r="AJ179" s="24" t="n">
        <f aca="false">IF(AC179="",0,IFERROR(INDEX(Resep!$C$9:$C$13,MATCH(LEFT(AC179,3),Resep!$B$9:$B$13,0)),0))</f>
        <v>0</v>
      </c>
      <c r="AK179" s="24" t="n">
        <f aca="false">IF(AD179="",0,IFERROR(INDEX(Resep!$C$15:$C$18,MATCH(LEFT(AD179,3),Resep!$B$15:$B$18,0)),0))</f>
        <v>0</v>
      </c>
      <c r="AL179" s="24" t="str">
        <f aca="false">IF(X179="","",AG179+AH179+AI179+AJ179+AK179)</f>
        <v/>
      </c>
      <c r="AM179" s="22" t="str">
        <f aca="false">IF(X179="","",AL179*(Pengaturan!$B$6+Pengaturan!$B$7)+Pengaturan!$B$8+AE179*Pengaturan!$B$9+AF179*Pengaturan!$B$10)</f>
        <v/>
      </c>
      <c r="AN179" s="22" t="str">
        <f aca="false">IF(X179="","",N(G179)-AM179)</f>
        <v/>
      </c>
      <c r="AO179" s="25" t="str">
        <f aca="false">IF(OR(X179="",N(G179)=0),"",AN179/G179)</f>
        <v/>
      </c>
    </row>
    <row r="180" customFormat="false" ht="15" hidden="false" customHeight="false" outlineLevel="0" collapsed="false">
      <c r="A180" s="19"/>
      <c r="B180" s="20"/>
      <c r="C180" s="19"/>
      <c r="D180" s="19"/>
      <c r="E180" s="19"/>
      <c r="F180" s="19"/>
      <c r="G180" s="21"/>
      <c r="H180" s="19"/>
      <c r="I180" s="21"/>
      <c r="J180" s="19"/>
      <c r="K180" s="20"/>
      <c r="L180" s="20"/>
      <c r="M180" s="19"/>
      <c r="N180" s="19"/>
      <c r="O180" s="20"/>
      <c r="P180" s="20"/>
      <c r="Q180" s="19"/>
      <c r="R180" s="22" t="str">
        <f aca="false">IF(A180="","",N(G180)+N(I180))</f>
        <v/>
      </c>
      <c r="S180" s="23" t="str">
        <f aca="false">IF(OR(K180="",O180=""),"",O180-K180)</f>
        <v/>
      </c>
      <c r="T180" s="23" t="str">
        <f aca="true">IF(AND(C180="Cetak",L180&lt;&gt;"",L180&lt;TODAY()),"YA","")</f>
        <v/>
      </c>
      <c r="U180" s="23" t="str">
        <f aca="false">IF(B180="","",TEXT(B180,"yyyy-mm"))</f>
        <v/>
      </c>
      <c r="V180" s="23" t="str">
        <f aca="false">IF(K180="","",TEXT(K180,"yyyy-mm"))</f>
        <v/>
      </c>
      <c r="W180" s="23" t="n">
        <f aca="false">IF(OR(C180="Cetak",C180="Dikirim",C180="Selesai"),1,0)</f>
        <v>0</v>
      </c>
      <c r="X180" s="23" t="str">
        <f aca="false">IF(F180="","",SUBSTITUTE(SUBSTITUTE(MID(UPPER(TRIM(F180)),4,99),"-LED",""),"-TK",""))</f>
        <v/>
      </c>
      <c r="Y180" s="23" t="str">
        <f aca="false">IF(X180="","",(LEN(X180)+1)/7)</f>
        <v/>
      </c>
      <c r="Z180" s="23" t="str">
        <f aca="false">IF(X180="","",LEFT(X180,6))</f>
        <v/>
      </c>
      <c r="AA180" s="23" t="str">
        <f aca="false">IF(X180="","",IF(Y180&gt;=3,MID(X180,8,6),""))</f>
        <v/>
      </c>
      <c r="AB180" s="23" t="str">
        <f aca="false">IF(X180="","",IF(Y180&gt;=4,MID(X180,15,6),""))</f>
        <v/>
      </c>
      <c r="AC180" s="23" t="str">
        <f aca="false">IF(X180="","",IF(Y180&gt;=5,MID(X180,22,6),""))</f>
        <v/>
      </c>
      <c r="AD180" s="23" t="str">
        <f aca="false">IF(X180="","",RIGHT(X180,6))</f>
        <v/>
      </c>
      <c r="AE180" s="23" t="str">
        <f aca="false">IF(F180="","",IF(ISNUMBER(SEARCH("-TK",UPPER(F180))),0,1))</f>
        <v/>
      </c>
      <c r="AF180" s="23" t="str">
        <f aca="false">IF(F180="","",IF(ISNUMBER(SEARCH("-LED",UPPER(F180))),1,0))</f>
        <v/>
      </c>
      <c r="AG180" s="24" t="n">
        <f aca="false">IF(Z180="",0,IFERROR(INDEX(Resep!$C$5:$C$7,MATCH(LEFT(Z180,3),Resep!$B$5:$B$7,0)),0))</f>
        <v>0</v>
      </c>
      <c r="AH180" s="24" t="n">
        <f aca="false">IF(AA180="",0,IFERROR(INDEX(Resep!$C$9:$C$13,MATCH(LEFT(AA180,3),Resep!$B$9:$B$13,0)),0))</f>
        <v>0</v>
      </c>
      <c r="AI180" s="24" t="n">
        <f aca="false">IF(AB180="",0,IFERROR(INDEX(Resep!$C$9:$C$13,MATCH(LEFT(AB180,3),Resep!$B$9:$B$13,0)),0))</f>
        <v>0</v>
      </c>
      <c r="AJ180" s="24" t="n">
        <f aca="false">IF(AC180="",0,IFERROR(INDEX(Resep!$C$9:$C$13,MATCH(LEFT(AC180,3),Resep!$B$9:$B$13,0)),0))</f>
        <v>0</v>
      </c>
      <c r="AK180" s="24" t="n">
        <f aca="false">IF(AD180="",0,IFERROR(INDEX(Resep!$C$15:$C$18,MATCH(LEFT(AD180,3),Resep!$B$15:$B$18,0)),0))</f>
        <v>0</v>
      </c>
      <c r="AL180" s="24" t="str">
        <f aca="false">IF(X180="","",AG180+AH180+AI180+AJ180+AK180)</f>
        <v/>
      </c>
      <c r="AM180" s="22" t="str">
        <f aca="false">IF(X180="","",AL180*(Pengaturan!$B$6+Pengaturan!$B$7)+Pengaturan!$B$8+AE180*Pengaturan!$B$9+AF180*Pengaturan!$B$10)</f>
        <v/>
      </c>
      <c r="AN180" s="22" t="str">
        <f aca="false">IF(X180="","",N(G180)-AM180)</f>
        <v/>
      </c>
      <c r="AO180" s="25" t="str">
        <f aca="false">IF(OR(X180="",N(G180)=0),"",AN180/G180)</f>
        <v/>
      </c>
    </row>
    <row r="181" customFormat="false" ht="15" hidden="false" customHeight="false" outlineLevel="0" collapsed="false">
      <c r="A181" s="19"/>
      <c r="B181" s="20"/>
      <c r="C181" s="19"/>
      <c r="D181" s="19"/>
      <c r="E181" s="19"/>
      <c r="F181" s="19"/>
      <c r="G181" s="21"/>
      <c r="H181" s="19"/>
      <c r="I181" s="21"/>
      <c r="J181" s="19"/>
      <c r="K181" s="20"/>
      <c r="L181" s="20"/>
      <c r="M181" s="19"/>
      <c r="N181" s="19"/>
      <c r="O181" s="20"/>
      <c r="P181" s="20"/>
      <c r="Q181" s="19"/>
      <c r="R181" s="22" t="str">
        <f aca="false">IF(A181="","",N(G181)+N(I181))</f>
        <v/>
      </c>
      <c r="S181" s="23" t="str">
        <f aca="false">IF(OR(K181="",O181=""),"",O181-K181)</f>
        <v/>
      </c>
      <c r="T181" s="23" t="str">
        <f aca="true">IF(AND(C181="Cetak",L181&lt;&gt;"",L181&lt;TODAY()),"YA","")</f>
        <v/>
      </c>
      <c r="U181" s="23" t="str">
        <f aca="false">IF(B181="","",TEXT(B181,"yyyy-mm"))</f>
        <v/>
      </c>
      <c r="V181" s="23" t="str">
        <f aca="false">IF(K181="","",TEXT(K181,"yyyy-mm"))</f>
        <v/>
      </c>
      <c r="W181" s="23" t="n">
        <f aca="false">IF(OR(C181="Cetak",C181="Dikirim",C181="Selesai"),1,0)</f>
        <v>0</v>
      </c>
      <c r="X181" s="23" t="str">
        <f aca="false">IF(F181="","",SUBSTITUTE(SUBSTITUTE(MID(UPPER(TRIM(F181)),4,99),"-LED",""),"-TK",""))</f>
        <v/>
      </c>
      <c r="Y181" s="23" t="str">
        <f aca="false">IF(X181="","",(LEN(X181)+1)/7)</f>
        <v/>
      </c>
      <c r="Z181" s="23" t="str">
        <f aca="false">IF(X181="","",LEFT(X181,6))</f>
        <v/>
      </c>
      <c r="AA181" s="23" t="str">
        <f aca="false">IF(X181="","",IF(Y181&gt;=3,MID(X181,8,6),""))</f>
        <v/>
      </c>
      <c r="AB181" s="23" t="str">
        <f aca="false">IF(X181="","",IF(Y181&gt;=4,MID(X181,15,6),""))</f>
        <v/>
      </c>
      <c r="AC181" s="23" t="str">
        <f aca="false">IF(X181="","",IF(Y181&gt;=5,MID(X181,22,6),""))</f>
        <v/>
      </c>
      <c r="AD181" s="23" t="str">
        <f aca="false">IF(X181="","",RIGHT(X181,6))</f>
        <v/>
      </c>
      <c r="AE181" s="23" t="str">
        <f aca="false">IF(F181="","",IF(ISNUMBER(SEARCH("-TK",UPPER(F181))),0,1))</f>
        <v/>
      </c>
      <c r="AF181" s="23" t="str">
        <f aca="false">IF(F181="","",IF(ISNUMBER(SEARCH("-LED",UPPER(F181))),1,0))</f>
        <v/>
      </c>
      <c r="AG181" s="24" t="n">
        <f aca="false">IF(Z181="",0,IFERROR(INDEX(Resep!$C$5:$C$7,MATCH(LEFT(Z181,3),Resep!$B$5:$B$7,0)),0))</f>
        <v>0</v>
      </c>
      <c r="AH181" s="24" t="n">
        <f aca="false">IF(AA181="",0,IFERROR(INDEX(Resep!$C$9:$C$13,MATCH(LEFT(AA181,3),Resep!$B$9:$B$13,0)),0))</f>
        <v>0</v>
      </c>
      <c r="AI181" s="24" t="n">
        <f aca="false">IF(AB181="",0,IFERROR(INDEX(Resep!$C$9:$C$13,MATCH(LEFT(AB181,3),Resep!$B$9:$B$13,0)),0))</f>
        <v>0</v>
      </c>
      <c r="AJ181" s="24" t="n">
        <f aca="false">IF(AC181="",0,IFERROR(INDEX(Resep!$C$9:$C$13,MATCH(LEFT(AC181,3),Resep!$B$9:$B$13,0)),0))</f>
        <v>0</v>
      </c>
      <c r="AK181" s="24" t="n">
        <f aca="false">IF(AD181="",0,IFERROR(INDEX(Resep!$C$15:$C$18,MATCH(LEFT(AD181,3),Resep!$B$15:$B$18,0)),0))</f>
        <v>0</v>
      </c>
      <c r="AL181" s="24" t="str">
        <f aca="false">IF(X181="","",AG181+AH181+AI181+AJ181+AK181)</f>
        <v/>
      </c>
      <c r="AM181" s="22" t="str">
        <f aca="false">IF(X181="","",AL181*(Pengaturan!$B$6+Pengaturan!$B$7)+Pengaturan!$B$8+AE181*Pengaturan!$B$9+AF181*Pengaturan!$B$10)</f>
        <v/>
      </c>
      <c r="AN181" s="22" t="str">
        <f aca="false">IF(X181="","",N(G181)-AM181)</f>
        <v/>
      </c>
      <c r="AO181" s="25" t="str">
        <f aca="false">IF(OR(X181="",N(G181)=0),"",AN181/G181)</f>
        <v/>
      </c>
    </row>
    <row r="182" customFormat="false" ht="15" hidden="false" customHeight="false" outlineLevel="0" collapsed="false">
      <c r="A182" s="19"/>
      <c r="B182" s="20"/>
      <c r="C182" s="19"/>
      <c r="D182" s="19"/>
      <c r="E182" s="19"/>
      <c r="F182" s="19"/>
      <c r="G182" s="21"/>
      <c r="H182" s="19"/>
      <c r="I182" s="21"/>
      <c r="J182" s="19"/>
      <c r="K182" s="20"/>
      <c r="L182" s="20"/>
      <c r="M182" s="19"/>
      <c r="N182" s="19"/>
      <c r="O182" s="20"/>
      <c r="P182" s="20"/>
      <c r="Q182" s="19"/>
      <c r="R182" s="22" t="str">
        <f aca="false">IF(A182="","",N(G182)+N(I182))</f>
        <v/>
      </c>
      <c r="S182" s="23" t="str">
        <f aca="false">IF(OR(K182="",O182=""),"",O182-K182)</f>
        <v/>
      </c>
      <c r="T182" s="23" t="str">
        <f aca="true">IF(AND(C182="Cetak",L182&lt;&gt;"",L182&lt;TODAY()),"YA","")</f>
        <v/>
      </c>
      <c r="U182" s="23" t="str">
        <f aca="false">IF(B182="","",TEXT(B182,"yyyy-mm"))</f>
        <v/>
      </c>
      <c r="V182" s="23" t="str">
        <f aca="false">IF(K182="","",TEXT(K182,"yyyy-mm"))</f>
        <v/>
      </c>
      <c r="W182" s="23" t="n">
        <f aca="false">IF(OR(C182="Cetak",C182="Dikirim",C182="Selesai"),1,0)</f>
        <v>0</v>
      </c>
      <c r="X182" s="23" t="str">
        <f aca="false">IF(F182="","",SUBSTITUTE(SUBSTITUTE(MID(UPPER(TRIM(F182)),4,99),"-LED",""),"-TK",""))</f>
        <v/>
      </c>
      <c r="Y182" s="23" t="str">
        <f aca="false">IF(X182="","",(LEN(X182)+1)/7)</f>
        <v/>
      </c>
      <c r="Z182" s="23" t="str">
        <f aca="false">IF(X182="","",LEFT(X182,6))</f>
        <v/>
      </c>
      <c r="AA182" s="23" t="str">
        <f aca="false">IF(X182="","",IF(Y182&gt;=3,MID(X182,8,6),""))</f>
        <v/>
      </c>
      <c r="AB182" s="23" t="str">
        <f aca="false">IF(X182="","",IF(Y182&gt;=4,MID(X182,15,6),""))</f>
        <v/>
      </c>
      <c r="AC182" s="23" t="str">
        <f aca="false">IF(X182="","",IF(Y182&gt;=5,MID(X182,22,6),""))</f>
        <v/>
      </c>
      <c r="AD182" s="23" t="str">
        <f aca="false">IF(X182="","",RIGHT(X182,6))</f>
        <v/>
      </c>
      <c r="AE182" s="23" t="str">
        <f aca="false">IF(F182="","",IF(ISNUMBER(SEARCH("-TK",UPPER(F182))),0,1))</f>
        <v/>
      </c>
      <c r="AF182" s="23" t="str">
        <f aca="false">IF(F182="","",IF(ISNUMBER(SEARCH("-LED",UPPER(F182))),1,0))</f>
        <v/>
      </c>
      <c r="AG182" s="24" t="n">
        <f aca="false">IF(Z182="",0,IFERROR(INDEX(Resep!$C$5:$C$7,MATCH(LEFT(Z182,3),Resep!$B$5:$B$7,0)),0))</f>
        <v>0</v>
      </c>
      <c r="AH182" s="24" t="n">
        <f aca="false">IF(AA182="",0,IFERROR(INDEX(Resep!$C$9:$C$13,MATCH(LEFT(AA182,3),Resep!$B$9:$B$13,0)),0))</f>
        <v>0</v>
      </c>
      <c r="AI182" s="24" t="n">
        <f aca="false">IF(AB182="",0,IFERROR(INDEX(Resep!$C$9:$C$13,MATCH(LEFT(AB182,3),Resep!$B$9:$B$13,0)),0))</f>
        <v>0</v>
      </c>
      <c r="AJ182" s="24" t="n">
        <f aca="false">IF(AC182="",0,IFERROR(INDEX(Resep!$C$9:$C$13,MATCH(LEFT(AC182,3),Resep!$B$9:$B$13,0)),0))</f>
        <v>0</v>
      </c>
      <c r="AK182" s="24" t="n">
        <f aca="false">IF(AD182="",0,IFERROR(INDEX(Resep!$C$15:$C$18,MATCH(LEFT(AD182,3),Resep!$B$15:$B$18,0)),0))</f>
        <v>0</v>
      </c>
      <c r="AL182" s="24" t="str">
        <f aca="false">IF(X182="","",AG182+AH182+AI182+AJ182+AK182)</f>
        <v/>
      </c>
      <c r="AM182" s="22" t="str">
        <f aca="false">IF(X182="","",AL182*(Pengaturan!$B$6+Pengaturan!$B$7)+Pengaturan!$B$8+AE182*Pengaturan!$B$9+AF182*Pengaturan!$B$10)</f>
        <v/>
      </c>
      <c r="AN182" s="22" t="str">
        <f aca="false">IF(X182="","",N(G182)-AM182)</f>
        <v/>
      </c>
      <c r="AO182" s="25" t="str">
        <f aca="false">IF(OR(X182="",N(G182)=0),"",AN182/G182)</f>
        <v/>
      </c>
    </row>
    <row r="183" customFormat="false" ht="15" hidden="false" customHeight="false" outlineLevel="0" collapsed="false">
      <c r="A183" s="19"/>
      <c r="B183" s="20"/>
      <c r="C183" s="19"/>
      <c r="D183" s="19"/>
      <c r="E183" s="19"/>
      <c r="F183" s="19"/>
      <c r="G183" s="21"/>
      <c r="H183" s="19"/>
      <c r="I183" s="21"/>
      <c r="J183" s="19"/>
      <c r="K183" s="20"/>
      <c r="L183" s="20"/>
      <c r="M183" s="19"/>
      <c r="N183" s="19"/>
      <c r="O183" s="20"/>
      <c r="P183" s="20"/>
      <c r="Q183" s="19"/>
      <c r="R183" s="22" t="str">
        <f aca="false">IF(A183="","",N(G183)+N(I183))</f>
        <v/>
      </c>
      <c r="S183" s="23" t="str">
        <f aca="false">IF(OR(K183="",O183=""),"",O183-K183)</f>
        <v/>
      </c>
      <c r="T183" s="23" t="str">
        <f aca="true">IF(AND(C183="Cetak",L183&lt;&gt;"",L183&lt;TODAY()),"YA","")</f>
        <v/>
      </c>
      <c r="U183" s="23" t="str">
        <f aca="false">IF(B183="","",TEXT(B183,"yyyy-mm"))</f>
        <v/>
      </c>
      <c r="V183" s="23" t="str">
        <f aca="false">IF(K183="","",TEXT(K183,"yyyy-mm"))</f>
        <v/>
      </c>
      <c r="W183" s="23" t="n">
        <f aca="false">IF(OR(C183="Cetak",C183="Dikirim",C183="Selesai"),1,0)</f>
        <v>0</v>
      </c>
      <c r="X183" s="23" t="str">
        <f aca="false">IF(F183="","",SUBSTITUTE(SUBSTITUTE(MID(UPPER(TRIM(F183)),4,99),"-LED",""),"-TK",""))</f>
        <v/>
      </c>
      <c r="Y183" s="23" t="str">
        <f aca="false">IF(X183="","",(LEN(X183)+1)/7)</f>
        <v/>
      </c>
      <c r="Z183" s="23" t="str">
        <f aca="false">IF(X183="","",LEFT(X183,6))</f>
        <v/>
      </c>
      <c r="AA183" s="23" t="str">
        <f aca="false">IF(X183="","",IF(Y183&gt;=3,MID(X183,8,6),""))</f>
        <v/>
      </c>
      <c r="AB183" s="23" t="str">
        <f aca="false">IF(X183="","",IF(Y183&gt;=4,MID(X183,15,6),""))</f>
        <v/>
      </c>
      <c r="AC183" s="23" t="str">
        <f aca="false">IF(X183="","",IF(Y183&gt;=5,MID(X183,22,6),""))</f>
        <v/>
      </c>
      <c r="AD183" s="23" t="str">
        <f aca="false">IF(X183="","",RIGHT(X183,6))</f>
        <v/>
      </c>
      <c r="AE183" s="23" t="str">
        <f aca="false">IF(F183="","",IF(ISNUMBER(SEARCH("-TK",UPPER(F183))),0,1))</f>
        <v/>
      </c>
      <c r="AF183" s="23" t="str">
        <f aca="false">IF(F183="","",IF(ISNUMBER(SEARCH("-LED",UPPER(F183))),1,0))</f>
        <v/>
      </c>
      <c r="AG183" s="24" t="n">
        <f aca="false">IF(Z183="",0,IFERROR(INDEX(Resep!$C$5:$C$7,MATCH(LEFT(Z183,3),Resep!$B$5:$B$7,0)),0))</f>
        <v>0</v>
      </c>
      <c r="AH183" s="24" t="n">
        <f aca="false">IF(AA183="",0,IFERROR(INDEX(Resep!$C$9:$C$13,MATCH(LEFT(AA183,3),Resep!$B$9:$B$13,0)),0))</f>
        <v>0</v>
      </c>
      <c r="AI183" s="24" t="n">
        <f aca="false">IF(AB183="",0,IFERROR(INDEX(Resep!$C$9:$C$13,MATCH(LEFT(AB183,3),Resep!$B$9:$B$13,0)),0))</f>
        <v>0</v>
      </c>
      <c r="AJ183" s="24" t="n">
        <f aca="false">IF(AC183="",0,IFERROR(INDEX(Resep!$C$9:$C$13,MATCH(LEFT(AC183,3),Resep!$B$9:$B$13,0)),0))</f>
        <v>0</v>
      </c>
      <c r="AK183" s="24" t="n">
        <f aca="false">IF(AD183="",0,IFERROR(INDEX(Resep!$C$15:$C$18,MATCH(LEFT(AD183,3),Resep!$B$15:$B$18,0)),0))</f>
        <v>0</v>
      </c>
      <c r="AL183" s="24" t="str">
        <f aca="false">IF(X183="","",AG183+AH183+AI183+AJ183+AK183)</f>
        <v/>
      </c>
      <c r="AM183" s="22" t="str">
        <f aca="false">IF(X183="","",AL183*(Pengaturan!$B$6+Pengaturan!$B$7)+Pengaturan!$B$8+AE183*Pengaturan!$B$9+AF183*Pengaturan!$B$10)</f>
        <v/>
      </c>
      <c r="AN183" s="22" t="str">
        <f aca="false">IF(X183="","",N(G183)-AM183)</f>
        <v/>
      </c>
      <c r="AO183" s="25" t="str">
        <f aca="false">IF(OR(X183="",N(G183)=0),"",AN183/G183)</f>
        <v/>
      </c>
    </row>
    <row r="184" customFormat="false" ht="15" hidden="false" customHeight="false" outlineLevel="0" collapsed="false">
      <c r="A184" s="19"/>
      <c r="B184" s="20"/>
      <c r="C184" s="19"/>
      <c r="D184" s="19"/>
      <c r="E184" s="19"/>
      <c r="F184" s="19"/>
      <c r="G184" s="21"/>
      <c r="H184" s="19"/>
      <c r="I184" s="21"/>
      <c r="J184" s="19"/>
      <c r="K184" s="20"/>
      <c r="L184" s="20"/>
      <c r="M184" s="19"/>
      <c r="N184" s="19"/>
      <c r="O184" s="20"/>
      <c r="P184" s="20"/>
      <c r="Q184" s="19"/>
      <c r="R184" s="22" t="str">
        <f aca="false">IF(A184="","",N(G184)+N(I184))</f>
        <v/>
      </c>
      <c r="S184" s="23" t="str">
        <f aca="false">IF(OR(K184="",O184=""),"",O184-K184)</f>
        <v/>
      </c>
      <c r="T184" s="23" t="str">
        <f aca="true">IF(AND(C184="Cetak",L184&lt;&gt;"",L184&lt;TODAY()),"YA","")</f>
        <v/>
      </c>
      <c r="U184" s="23" t="str">
        <f aca="false">IF(B184="","",TEXT(B184,"yyyy-mm"))</f>
        <v/>
      </c>
      <c r="V184" s="23" t="str">
        <f aca="false">IF(K184="","",TEXT(K184,"yyyy-mm"))</f>
        <v/>
      </c>
      <c r="W184" s="23" t="n">
        <f aca="false">IF(OR(C184="Cetak",C184="Dikirim",C184="Selesai"),1,0)</f>
        <v>0</v>
      </c>
      <c r="X184" s="23" t="str">
        <f aca="false">IF(F184="","",SUBSTITUTE(SUBSTITUTE(MID(UPPER(TRIM(F184)),4,99),"-LED",""),"-TK",""))</f>
        <v/>
      </c>
      <c r="Y184" s="23" t="str">
        <f aca="false">IF(X184="","",(LEN(X184)+1)/7)</f>
        <v/>
      </c>
      <c r="Z184" s="23" t="str">
        <f aca="false">IF(X184="","",LEFT(X184,6))</f>
        <v/>
      </c>
      <c r="AA184" s="23" t="str">
        <f aca="false">IF(X184="","",IF(Y184&gt;=3,MID(X184,8,6),""))</f>
        <v/>
      </c>
      <c r="AB184" s="23" t="str">
        <f aca="false">IF(X184="","",IF(Y184&gt;=4,MID(X184,15,6),""))</f>
        <v/>
      </c>
      <c r="AC184" s="23" t="str">
        <f aca="false">IF(X184="","",IF(Y184&gt;=5,MID(X184,22,6),""))</f>
        <v/>
      </c>
      <c r="AD184" s="23" t="str">
        <f aca="false">IF(X184="","",RIGHT(X184,6))</f>
        <v/>
      </c>
      <c r="AE184" s="23" t="str">
        <f aca="false">IF(F184="","",IF(ISNUMBER(SEARCH("-TK",UPPER(F184))),0,1))</f>
        <v/>
      </c>
      <c r="AF184" s="23" t="str">
        <f aca="false">IF(F184="","",IF(ISNUMBER(SEARCH("-LED",UPPER(F184))),1,0))</f>
        <v/>
      </c>
      <c r="AG184" s="24" t="n">
        <f aca="false">IF(Z184="",0,IFERROR(INDEX(Resep!$C$5:$C$7,MATCH(LEFT(Z184,3),Resep!$B$5:$B$7,0)),0))</f>
        <v>0</v>
      </c>
      <c r="AH184" s="24" t="n">
        <f aca="false">IF(AA184="",0,IFERROR(INDEX(Resep!$C$9:$C$13,MATCH(LEFT(AA184,3),Resep!$B$9:$B$13,0)),0))</f>
        <v>0</v>
      </c>
      <c r="AI184" s="24" t="n">
        <f aca="false">IF(AB184="",0,IFERROR(INDEX(Resep!$C$9:$C$13,MATCH(LEFT(AB184,3),Resep!$B$9:$B$13,0)),0))</f>
        <v>0</v>
      </c>
      <c r="AJ184" s="24" t="n">
        <f aca="false">IF(AC184="",0,IFERROR(INDEX(Resep!$C$9:$C$13,MATCH(LEFT(AC184,3),Resep!$B$9:$B$13,0)),0))</f>
        <v>0</v>
      </c>
      <c r="AK184" s="24" t="n">
        <f aca="false">IF(AD184="",0,IFERROR(INDEX(Resep!$C$15:$C$18,MATCH(LEFT(AD184,3),Resep!$B$15:$B$18,0)),0))</f>
        <v>0</v>
      </c>
      <c r="AL184" s="24" t="str">
        <f aca="false">IF(X184="","",AG184+AH184+AI184+AJ184+AK184)</f>
        <v/>
      </c>
      <c r="AM184" s="22" t="str">
        <f aca="false">IF(X184="","",AL184*(Pengaturan!$B$6+Pengaturan!$B$7)+Pengaturan!$B$8+AE184*Pengaturan!$B$9+AF184*Pengaturan!$B$10)</f>
        <v/>
      </c>
      <c r="AN184" s="22" t="str">
        <f aca="false">IF(X184="","",N(G184)-AM184)</f>
        <v/>
      </c>
      <c r="AO184" s="25" t="str">
        <f aca="false">IF(OR(X184="",N(G184)=0),"",AN184/G184)</f>
        <v/>
      </c>
    </row>
    <row r="185" customFormat="false" ht="15" hidden="false" customHeight="false" outlineLevel="0" collapsed="false">
      <c r="A185" s="19"/>
      <c r="B185" s="20"/>
      <c r="C185" s="19"/>
      <c r="D185" s="19"/>
      <c r="E185" s="19"/>
      <c r="F185" s="19"/>
      <c r="G185" s="21"/>
      <c r="H185" s="19"/>
      <c r="I185" s="21"/>
      <c r="J185" s="19"/>
      <c r="K185" s="20"/>
      <c r="L185" s="20"/>
      <c r="M185" s="19"/>
      <c r="N185" s="19"/>
      <c r="O185" s="20"/>
      <c r="P185" s="20"/>
      <c r="Q185" s="19"/>
      <c r="R185" s="22" t="str">
        <f aca="false">IF(A185="","",N(G185)+N(I185))</f>
        <v/>
      </c>
      <c r="S185" s="23" t="str">
        <f aca="false">IF(OR(K185="",O185=""),"",O185-K185)</f>
        <v/>
      </c>
      <c r="T185" s="23" t="str">
        <f aca="true">IF(AND(C185="Cetak",L185&lt;&gt;"",L185&lt;TODAY()),"YA","")</f>
        <v/>
      </c>
      <c r="U185" s="23" t="str">
        <f aca="false">IF(B185="","",TEXT(B185,"yyyy-mm"))</f>
        <v/>
      </c>
      <c r="V185" s="23" t="str">
        <f aca="false">IF(K185="","",TEXT(K185,"yyyy-mm"))</f>
        <v/>
      </c>
      <c r="W185" s="23" t="n">
        <f aca="false">IF(OR(C185="Cetak",C185="Dikirim",C185="Selesai"),1,0)</f>
        <v>0</v>
      </c>
      <c r="X185" s="23" t="str">
        <f aca="false">IF(F185="","",SUBSTITUTE(SUBSTITUTE(MID(UPPER(TRIM(F185)),4,99),"-LED",""),"-TK",""))</f>
        <v/>
      </c>
      <c r="Y185" s="23" t="str">
        <f aca="false">IF(X185="","",(LEN(X185)+1)/7)</f>
        <v/>
      </c>
      <c r="Z185" s="23" t="str">
        <f aca="false">IF(X185="","",LEFT(X185,6))</f>
        <v/>
      </c>
      <c r="AA185" s="23" t="str">
        <f aca="false">IF(X185="","",IF(Y185&gt;=3,MID(X185,8,6),""))</f>
        <v/>
      </c>
      <c r="AB185" s="23" t="str">
        <f aca="false">IF(X185="","",IF(Y185&gt;=4,MID(X185,15,6),""))</f>
        <v/>
      </c>
      <c r="AC185" s="23" t="str">
        <f aca="false">IF(X185="","",IF(Y185&gt;=5,MID(X185,22,6),""))</f>
        <v/>
      </c>
      <c r="AD185" s="23" t="str">
        <f aca="false">IF(X185="","",RIGHT(X185,6))</f>
        <v/>
      </c>
      <c r="AE185" s="23" t="str">
        <f aca="false">IF(F185="","",IF(ISNUMBER(SEARCH("-TK",UPPER(F185))),0,1))</f>
        <v/>
      </c>
      <c r="AF185" s="23" t="str">
        <f aca="false">IF(F185="","",IF(ISNUMBER(SEARCH("-LED",UPPER(F185))),1,0))</f>
        <v/>
      </c>
      <c r="AG185" s="24" t="n">
        <f aca="false">IF(Z185="",0,IFERROR(INDEX(Resep!$C$5:$C$7,MATCH(LEFT(Z185,3),Resep!$B$5:$B$7,0)),0))</f>
        <v>0</v>
      </c>
      <c r="AH185" s="24" t="n">
        <f aca="false">IF(AA185="",0,IFERROR(INDEX(Resep!$C$9:$C$13,MATCH(LEFT(AA185,3),Resep!$B$9:$B$13,0)),0))</f>
        <v>0</v>
      </c>
      <c r="AI185" s="24" t="n">
        <f aca="false">IF(AB185="",0,IFERROR(INDEX(Resep!$C$9:$C$13,MATCH(LEFT(AB185,3),Resep!$B$9:$B$13,0)),0))</f>
        <v>0</v>
      </c>
      <c r="AJ185" s="24" t="n">
        <f aca="false">IF(AC185="",0,IFERROR(INDEX(Resep!$C$9:$C$13,MATCH(LEFT(AC185,3),Resep!$B$9:$B$13,0)),0))</f>
        <v>0</v>
      </c>
      <c r="AK185" s="24" t="n">
        <f aca="false">IF(AD185="",0,IFERROR(INDEX(Resep!$C$15:$C$18,MATCH(LEFT(AD185,3),Resep!$B$15:$B$18,0)),0))</f>
        <v>0</v>
      </c>
      <c r="AL185" s="24" t="str">
        <f aca="false">IF(X185="","",AG185+AH185+AI185+AJ185+AK185)</f>
        <v/>
      </c>
      <c r="AM185" s="22" t="str">
        <f aca="false">IF(X185="","",AL185*(Pengaturan!$B$6+Pengaturan!$B$7)+Pengaturan!$B$8+AE185*Pengaturan!$B$9+AF185*Pengaturan!$B$10)</f>
        <v/>
      </c>
      <c r="AN185" s="22" t="str">
        <f aca="false">IF(X185="","",N(G185)-AM185)</f>
        <v/>
      </c>
      <c r="AO185" s="25" t="str">
        <f aca="false">IF(OR(X185="",N(G185)=0),"",AN185/G185)</f>
        <v/>
      </c>
    </row>
    <row r="186" customFormat="false" ht="15" hidden="false" customHeight="false" outlineLevel="0" collapsed="false">
      <c r="A186" s="19"/>
      <c r="B186" s="20"/>
      <c r="C186" s="19"/>
      <c r="D186" s="19"/>
      <c r="E186" s="19"/>
      <c r="F186" s="19"/>
      <c r="G186" s="21"/>
      <c r="H186" s="19"/>
      <c r="I186" s="21"/>
      <c r="J186" s="19"/>
      <c r="K186" s="20"/>
      <c r="L186" s="20"/>
      <c r="M186" s="19"/>
      <c r="N186" s="19"/>
      <c r="O186" s="20"/>
      <c r="P186" s="20"/>
      <c r="Q186" s="19"/>
      <c r="R186" s="22" t="str">
        <f aca="false">IF(A186="","",N(G186)+N(I186))</f>
        <v/>
      </c>
      <c r="S186" s="23" t="str">
        <f aca="false">IF(OR(K186="",O186=""),"",O186-K186)</f>
        <v/>
      </c>
      <c r="T186" s="23" t="str">
        <f aca="true">IF(AND(C186="Cetak",L186&lt;&gt;"",L186&lt;TODAY()),"YA","")</f>
        <v/>
      </c>
      <c r="U186" s="23" t="str">
        <f aca="false">IF(B186="","",TEXT(B186,"yyyy-mm"))</f>
        <v/>
      </c>
      <c r="V186" s="23" t="str">
        <f aca="false">IF(K186="","",TEXT(K186,"yyyy-mm"))</f>
        <v/>
      </c>
      <c r="W186" s="23" t="n">
        <f aca="false">IF(OR(C186="Cetak",C186="Dikirim",C186="Selesai"),1,0)</f>
        <v>0</v>
      </c>
      <c r="X186" s="23" t="str">
        <f aca="false">IF(F186="","",SUBSTITUTE(SUBSTITUTE(MID(UPPER(TRIM(F186)),4,99),"-LED",""),"-TK",""))</f>
        <v/>
      </c>
      <c r="Y186" s="23" t="str">
        <f aca="false">IF(X186="","",(LEN(X186)+1)/7)</f>
        <v/>
      </c>
      <c r="Z186" s="23" t="str">
        <f aca="false">IF(X186="","",LEFT(X186,6))</f>
        <v/>
      </c>
      <c r="AA186" s="23" t="str">
        <f aca="false">IF(X186="","",IF(Y186&gt;=3,MID(X186,8,6),""))</f>
        <v/>
      </c>
      <c r="AB186" s="23" t="str">
        <f aca="false">IF(X186="","",IF(Y186&gt;=4,MID(X186,15,6),""))</f>
        <v/>
      </c>
      <c r="AC186" s="23" t="str">
        <f aca="false">IF(X186="","",IF(Y186&gt;=5,MID(X186,22,6),""))</f>
        <v/>
      </c>
      <c r="AD186" s="23" t="str">
        <f aca="false">IF(X186="","",RIGHT(X186,6))</f>
        <v/>
      </c>
      <c r="AE186" s="23" t="str">
        <f aca="false">IF(F186="","",IF(ISNUMBER(SEARCH("-TK",UPPER(F186))),0,1))</f>
        <v/>
      </c>
      <c r="AF186" s="23" t="str">
        <f aca="false">IF(F186="","",IF(ISNUMBER(SEARCH("-LED",UPPER(F186))),1,0))</f>
        <v/>
      </c>
      <c r="AG186" s="24" t="n">
        <f aca="false">IF(Z186="",0,IFERROR(INDEX(Resep!$C$5:$C$7,MATCH(LEFT(Z186,3),Resep!$B$5:$B$7,0)),0))</f>
        <v>0</v>
      </c>
      <c r="AH186" s="24" t="n">
        <f aca="false">IF(AA186="",0,IFERROR(INDEX(Resep!$C$9:$C$13,MATCH(LEFT(AA186,3),Resep!$B$9:$B$13,0)),0))</f>
        <v>0</v>
      </c>
      <c r="AI186" s="24" t="n">
        <f aca="false">IF(AB186="",0,IFERROR(INDEX(Resep!$C$9:$C$13,MATCH(LEFT(AB186,3),Resep!$B$9:$B$13,0)),0))</f>
        <v>0</v>
      </c>
      <c r="AJ186" s="24" t="n">
        <f aca="false">IF(AC186="",0,IFERROR(INDEX(Resep!$C$9:$C$13,MATCH(LEFT(AC186,3),Resep!$B$9:$B$13,0)),0))</f>
        <v>0</v>
      </c>
      <c r="AK186" s="24" t="n">
        <f aca="false">IF(AD186="",0,IFERROR(INDEX(Resep!$C$15:$C$18,MATCH(LEFT(AD186,3),Resep!$B$15:$B$18,0)),0))</f>
        <v>0</v>
      </c>
      <c r="AL186" s="24" t="str">
        <f aca="false">IF(X186="","",AG186+AH186+AI186+AJ186+AK186)</f>
        <v/>
      </c>
      <c r="AM186" s="22" t="str">
        <f aca="false">IF(X186="","",AL186*(Pengaturan!$B$6+Pengaturan!$B$7)+Pengaturan!$B$8+AE186*Pengaturan!$B$9+AF186*Pengaturan!$B$10)</f>
        <v/>
      </c>
      <c r="AN186" s="22" t="str">
        <f aca="false">IF(X186="","",N(G186)-AM186)</f>
        <v/>
      </c>
      <c r="AO186" s="25" t="str">
        <f aca="false">IF(OR(X186="",N(G186)=0),"",AN186/G186)</f>
        <v/>
      </c>
    </row>
    <row r="187" customFormat="false" ht="15" hidden="false" customHeight="false" outlineLevel="0" collapsed="false">
      <c r="A187" s="19"/>
      <c r="B187" s="20"/>
      <c r="C187" s="19"/>
      <c r="D187" s="19"/>
      <c r="E187" s="19"/>
      <c r="F187" s="19"/>
      <c r="G187" s="21"/>
      <c r="H187" s="19"/>
      <c r="I187" s="21"/>
      <c r="J187" s="19"/>
      <c r="K187" s="20"/>
      <c r="L187" s="20"/>
      <c r="M187" s="19"/>
      <c r="N187" s="19"/>
      <c r="O187" s="20"/>
      <c r="P187" s="20"/>
      <c r="Q187" s="19"/>
      <c r="R187" s="22" t="str">
        <f aca="false">IF(A187="","",N(G187)+N(I187))</f>
        <v/>
      </c>
      <c r="S187" s="23" t="str">
        <f aca="false">IF(OR(K187="",O187=""),"",O187-K187)</f>
        <v/>
      </c>
      <c r="T187" s="23" t="str">
        <f aca="true">IF(AND(C187="Cetak",L187&lt;&gt;"",L187&lt;TODAY()),"YA","")</f>
        <v/>
      </c>
      <c r="U187" s="23" t="str">
        <f aca="false">IF(B187="","",TEXT(B187,"yyyy-mm"))</f>
        <v/>
      </c>
      <c r="V187" s="23" t="str">
        <f aca="false">IF(K187="","",TEXT(K187,"yyyy-mm"))</f>
        <v/>
      </c>
      <c r="W187" s="23" t="n">
        <f aca="false">IF(OR(C187="Cetak",C187="Dikirim",C187="Selesai"),1,0)</f>
        <v>0</v>
      </c>
      <c r="X187" s="23" t="str">
        <f aca="false">IF(F187="","",SUBSTITUTE(SUBSTITUTE(MID(UPPER(TRIM(F187)),4,99),"-LED",""),"-TK",""))</f>
        <v/>
      </c>
      <c r="Y187" s="23" t="str">
        <f aca="false">IF(X187="","",(LEN(X187)+1)/7)</f>
        <v/>
      </c>
      <c r="Z187" s="23" t="str">
        <f aca="false">IF(X187="","",LEFT(X187,6))</f>
        <v/>
      </c>
      <c r="AA187" s="23" t="str">
        <f aca="false">IF(X187="","",IF(Y187&gt;=3,MID(X187,8,6),""))</f>
        <v/>
      </c>
      <c r="AB187" s="23" t="str">
        <f aca="false">IF(X187="","",IF(Y187&gt;=4,MID(X187,15,6),""))</f>
        <v/>
      </c>
      <c r="AC187" s="23" t="str">
        <f aca="false">IF(X187="","",IF(Y187&gt;=5,MID(X187,22,6),""))</f>
        <v/>
      </c>
      <c r="AD187" s="23" t="str">
        <f aca="false">IF(X187="","",RIGHT(X187,6))</f>
        <v/>
      </c>
      <c r="AE187" s="23" t="str">
        <f aca="false">IF(F187="","",IF(ISNUMBER(SEARCH("-TK",UPPER(F187))),0,1))</f>
        <v/>
      </c>
      <c r="AF187" s="23" t="str">
        <f aca="false">IF(F187="","",IF(ISNUMBER(SEARCH("-LED",UPPER(F187))),1,0))</f>
        <v/>
      </c>
      <c r="AG187" s="24" t="n">
        <f aca="false">IF(Z187="",0,IFERROR(INDEX(Resep!$C$5:$C$7,MATCH(LEFT(Z187,3),Resep!$B$5:$B$7,0)),0))</f>
        <v>0</v>
      </c>
      <c r="AH187" s="24" t="n">
        <f aca="false">IF(AA187="",0,IFERROR(INDEX(Resep!$C$9:$C$13,MATCH(LEFT(AA187,3),Resep!$B$9:$B$13,0)),0))</f>
        <v>0</v>
      </c>
      <c r="AI187" s="24" t="n">
        <f aca="false">IF(AB187="",0,IFERROR(INDEX(Resep!$C$9:$C$13,MATCH(LEFT(AB187,3),Resep!$B$9:$B$13,0)),0))</f>
        <v>0</v>
      </c>
      <c r="AJ187" s="24" t="n">
        <f aca="false">IF(AC187="",0,IFERROR(INDEX(Resep!$C$9:$C$13,MATCH(LEFT(AC187,3),Resep!$B$9:$B$13,0)),0))</f>
        <v>0</v>
      </c>
      <c r="AK187" s="24" t="n">
        <f aca="false">IF(AD187="",0,IFERROR(INDEX(Resep!$C$15:$C$18,MATCH(LEFT(AD187,3),Resep!$B$15:$B$18,0)),0))</f>
        <v>0</v>
      </c>
      <c r="AL187" s="24" t="str">
        <f aca="false">IF(X187="","",AG187+AH187+AI187+AJ187+AK187)</f>
        <v/>
      </c>
      <c r="AM187" s="22" t="str">
        <f aca="false">IF(X187="","",AL187*(Pengaturan!$B$6+Pengaturan!$B$7)+Pengaturan!$B$8+AE187*Pengaturan!$B$9+AF187*Pengaturan!$B$10)</f>
        <v/>
      </c>
      <c r="AN187" s="22" t="str">
        <f aca="false">IF(X187="","",N(G187)-AM187)</f>
        <v/>
      </c>
      <c r="AO187" s="25" t="str">
        <f aca="false">IF(OR(X187="",N(G187)=0),"",AN187/G187)</f>
        <v/>
      </c>
    </row>
    <row r="188" customFormat="false" ht="15" hidden="false" customHeight="false" outlineLevel="0" collapsed="false">
      <c r="A188" s="19"/>
      <c r="B188" s="20"/>
      <c r="C188" s="19"/>
      <c r="D188" s="19"/>
      <c r="E188" s="19"/>
      <c r="F188" s="19"/>
      <c r="G188" s="21"/>
      <c r="H188" s="19"/>
      <c r="I188" s="21"/>
      <c r="J188" s="19"/>
      <c r="K188" s="20"/>
      <c r="L188" s="20"/>
      <c r="M188" s="19"/>
      <c r="N188" s="19"/>
      <c r="O188" s="20"/>
      <c r="P188" s="20"/>
      <c r="Q188" s="19"/>
      <c r="R188" s="22" t="str">
        <f aca="false">IF(A188="","",N(G188)+N(I188))</f>
        <v/>
      </c>
      <c r="S188" s="23" t="str">
        <f aca="false">IF(OR(K188="",O188=""),"",O188-K188)</f>
        <v/>
      </c>
      <c r="T188" s="23" t="str">
        <f aca="true">IF(AND(C188="Cetak",L188&lt;&gt;"",L188&lt;TODAY()),"YA","")</f>
        <v/>
      </c>
      <c r="U188" s="23" t="str">
        <f aca="false">IF(B188="","",TEXT(B188,"yyyy-mm"))</f>
        <v/>
      </c>
      <c r="V188" s="23" t="str">
        <f aca="false">IF(K188="","",TEXT(K188,"yyyy-mm"))</f>
        <v/>
      </c>
      <c r="W188" s="23" t="n">
        <f aca="false">IF(OR(C188="Cetak",C188="Dikirim",C188="Selesai"),1,0)</f>
        <v>0</v>
      </c>
      <c r="X188" s="23" t="str">
        <f aca="false">IF(F188="","",SUBSTITUTE(SUBSTITUTE(MID(UPPER(TRIM(F188)),4,99),"-LED",""),"-TK",""))</f>
        <v/>
      </c>
      <c r="Y188" s="23" t="str">
        <f aca="false">IF(X188="","",(LEN(X188)+1)/7)</f>
        <v/>
      </c>
      <c r="Z188" s="23" t="str">
        <f aca="false">IF(X188="","",LEFT(X188,6))</f>
        <v/>
      </c>
      <c r="AA188" s="23" t="str">
        <f aca="false">IF(X188="","",IF(Y188&gt;=3,MID(X188,8,6),""))</f>
        <v/>
      </c>
      <c r="AB188" s="23" t="str">
        <f aca="false">IF(X188="","",IF(Y188&gt;=4,MID(X188,15,6),""))</f>
        <v/>
      </c>
      <c r="AC188" s="23" t="str">
        <f aca="false">IF(X188="","",IF(Y188&gt;=5,MID(X188,22,6),""))</f>
        <v/>
      </c>
      <c r="AD188" s="23" t="str">
        <f aca="false">IF(X188="","",RIGHT(X188,6))</f>
        <v/>
      </c>
      <c r="AE188" s="23" t="str">
        <f aca="false">IF(F188="","",IF(ISNUMBER(SEARCH("-TK",UPPER(F188))),0,1))</f>
        <v/>
      </c>
      <c r="AF188" s="23" t="str">
        <f aca="false">IF(F188="","",IF(ISNUMBER(SEARCH("-LED",UPPER(F188))),1,0))</f>
        <v/>
      </c>
      <c r="AG188" s="24" t="n">
        <f aca="false">IF(Z188="",0,IFERROR(INDEX(Resep!$C$5:$C$7,MATCH(LEFT(Z188,3),Resep!$B$5:$B$7,0)),0))</f>
        <v>0</v>
      </c>
      <c r="AH188" s="24" t="n">
        <f aca="false">IF(AA188="",0,IFERROR(INDEX(Resep!$C$9:$C$13,MATCH(LEFT(AA188,3),Resep!$B$9:$B$13,0)),0))</f>
        <v>0</v>
      </c>
      <c r="AI188" s="24" t="n">
        <f aca="false">IF(AB188="",0,IFERROR(INDEX(Resep!$C$9:$C$13,MATCH(LEFT(AB188,3),Resep!$B$9:$B$13,0)),0))</f>
        <v>0</v>
      </c>
      <c r="AJ188" s="24" t="n">
        <f aca="false">IF(AC188="",0,IFERROR(INDEX(Resep!$C$9:$C$13,MATCH(LEFT(AC188,3),Resep!$B$9:$B$13,0)),0))</f>
        <v>0</v>
      </c>
      <c r="AK188" s="24" t="n">
        <f aca="false">IF(AD188="",0,IFERROR(INDEX(Resep!$C$15:$C$18,MATCH(LEFT(AD188,3),Resep!$B$15:$B$18,0)),0))</f>
        <v>0</v>
      </c>
      <c r="AL188" s="24" t="str">
        <f aca="false">IF(X188="","",AG188+AH188+AI188+AJ188+AK188)</f>
        <v/>
      </c>
      <c r="AM188" s="22" t="str">
        <f aca="false">IF(X188="","",AL188*(Pengaturan!$B$6+Pengaturan!$B$7)+Pengaturan!$B$8+AE188*Pengaturan!$B$9+AF188*Pengaturan!$B$10)</f>
        <v/>
      </c>
      <c r="AN188" s="22" t="str">
        <f aca="false">IF(X188="","",N(G188)-AM188)</f>
        <v/>
      </c>
      <c r="AO188" s="25" t="str">
        <f aca="false">IF(OR(X188="",N(G188)=0),"",AN188/G188)</f>
        <v/>
      </c>
    </row>
    <row r="189" customFormat="false" ht="15" hidden="false" customHeight="false" outlineLevel="0" collapsed="false">
      <c r="A189" s="19"/>
      <c r="B189" s="20"/>
      <c r="C189" s="19"/>
      <c r="D189" s="19"/>
      <c r="E189" s="19"/>
      <c r="F189" s="19"/>
      <c r="G189" s="21"/>
      <c r="H189" s="19"/>
      <c r="I189" s="21"/>
      <c r="J189" s="19"/>
      <c r="K189" s="20"/>
      <c r="L189" s="20"/>
      <c r="M189" s="19"/>
      <c r="N189" s="19"/>
      <c r="O189" s="20"/>
      <c r="P189" s="20"/>
      <c r="Q189" s="19"/>
      <c r="R189" s="22" t="str">
        <f aca="false">IF(A189="","",N(G189)+N(I189))</f>
        <v/>
      </c>
      <c r="S189" s="23" t="str">
        <f aca="false">IF(OR(K189="",O189=""),"",O189-K189)</f>
        <v/>
      </c>
      <c r="T189" s="23" t="str">
        <f aca="true">IF(AND(C189="Cetak",L189&lt;&gt;"",L189&lt;TODAY()),"YA","")</f>
        <v/>
      </c>
      <c r="U189" s="23" t="str">
        <f aca="false">IF(B189="","",TEXT(B189,"yyyy-mm"))</f>
        <v/>
      </c>
      <c r="V189" s="23" t="str">
        <f aca="false">IF(K189="","",TEXT(K189,"yyyy-mm"))</f>
        <v/>
      </c>
      <c r="W189" s="23" t="n">
        <f aca="false">IF(OR(C189="Cetak",C189="Dikirim",C189="Selesai"),1,0)</f>
        <v>0</v>
      </c>
      <c r="X189" s="23" t="str">
        <f aca="false">IF(F189="","",SUBSTITUTE(SUBSTITUTE(MID(UPPER(TRIM(F189)),4,99),"-LED",""),"-TK",""))</f>
        <v/>
      </c>
      <c r="Y189" s="23" t="str">
        <f aca="false">IF(X189="","",(LEN(X189)+1)/7)</f>
        <v/>
      </c>
      <c r="Z189" s="23" t="str">
        <f aca="false">IF(X189="","",LEFT(X189,6))</f>
        <v/>
      </c>
      <c r="AA189" s="23" t="str">
        <f aca="false">IF(X189="","",IF(Y189&gt;=3,MID(X189,8,6),""))</f>
        <v/>
      </c>
      <c r="AB189" s="23" t="str">
        <f aca="false">IF(X189="","",IF(Y189&gt;=4,MID(X189,15,6),""))</f>
        <v/>
      </c>
      <c r="AC189" s="23" t="str">
        <f aca="false">IF(X189="","",IF(Y189&gt;=5,MID(X189,22,6),""))</f>
        <v/>
      </c>
      <c r="AD189" s="23" t="str">
        <f aca="false">IF(X189="","",RIGHT(X189,6))</f>
        <v/>
      </c>
      <c r="AE189" s="23" t="str">
        <f aca="false">IF(F189="","",IF(ISNUMBER(SEARCH("-TK",UPPER(F189))),0,1))</f>
        <v/>
      </c>
      <c r="AF189" s="23" t="str">
        <f aca="false">IF(F189="","",IF(ISNUMBER(SEARCH("-LED",UPPER(F189))),1,0))</f>
        <v/>
      </c>
      <c r="AG189" s="24" t="n">
        <f aca="false">IF(Z189="",0,IFERROR(INDEX(Resep!$C$5:$C$7,MATCH(LEFT(Z189,3),Resep!$B$5:$B$7,0)),0))</f>
        <v>0</v>
      </c>
      <c r="AH189" s="24" t="n">
        <f aca="false">IF(AA189="",0,IFERROR(INDEX(Resep!$C$9:$C$13,MATCH(LEFT(AA189,3),Resep!$B$9:$B$13,0)),0))</f>
        <v>0</v>
      </c>
      <c r="AI189" s="24" t="n">
        <f aca="false">IF(AB189="",0,IFERROR(INDEX(Resep!$C$9:$C$13,MATCH(LEFT(AB189,3),Resep!$B$9:$B$13,0)),0))</f>
        <v>0</v>
      </c>
      <c r="AJ189" s="24" t="n">
        <f aca="false">IF(AC189="",0,IFERROR(INDEX(Resep!$C$9:$C$13,MATCH(LEFT(AC189,3),Resep!$B$9:$B$13,0)),0))</f>
        <v>0</v>
      </c>
      <c r="AK189" s="24" t="n">
        <f aca="false">IF(AD189="",0,IFERROR(INDEX(Resep!$C$15:$C$18,MATCH(LEFT(AD189,3),Resep!$B$15:$B$18,0)),0))</f>
        <v>0</v>
      </c>
      <c r="AL189" s="24" t="str">
        <f aca="false">IF(X189="","",AG189+AH189+AI189+AJ189+AK189)</f>
        <v/>
      </c>
      <c r="AM189" s="22" t="str">
        <f aca="false">IF(X189="","",AL189*(Pengaturan!$B$6+Pengaturan!$B$7)+Pengaturan!$B$8+AE189*Pengaturan!$B$9+AF189*Pengaturan!$B$10)</f>
        <v/>
      </c>
      <c r="AN189" s="22" t="str">
        <f aca="false">IF(X189="","",N(G189)-AM189)</f>
        <v/>
      </c>
      <c r="AO189" s="25" t="str">
        <f aca="false">IF(OR(X189="",N(G189)=0),"",AN189/G189)</f>
        <v/>
      </c>
    </row>
    <row r="190" customFormat="false" ht="15" hidden="false" customHeight="false" outlineLevel="0" collapsed="false">
      <c r="A190" s="19"/>
      <c r="B190" s="20"/>
      <c r="C190" s="19"/>
      <c r="D190" s="19"/>
      <c r="E190" s="19"/>
      <c r="F190" s="19"/>
      <c r="G190" s="21"/>
      <c r="H190" s="19"/>
      <c r="I190" s="21"/>
      <c r="J190" s="19"/>
      <c r="K190" s="20"/>
      <c r="L190" s="20"/>
      <c r="M190" s="19"/>
      <c r="N190" s="19"/>
      <c r="O190" s="20"/>
      <c r="P190" s="20"/>
      <c r="Q190" s="19"/>
      <c r="R190" s="22" t="str">
        <f aca="false">IF(A190="","",N(G190)+N(I190))</f>
        <v/>
      </c>
      <c r="S190" s="23" t="str">
        <f aca="false">IF(OR(K190="",O190=""),"",O190-K190)</f>
        <v/>
      </c>
      <c r="T190" s="23" t="str">
        <f aca="true">IF(AND(C190="Cetak",L190&lt;&gt;"",L190&lt;TODAY()),"YA","")</f>
        <v/>
      </c>
      <c r="U190" s="23" t="str">
        <f aca="false">IF(B190="","",TEXT(B190,"yyyy-mm"))</f>
        <v/>
      </c>
      <c r="V190" s="23" t="str">
        <f aca="false">IF(K190="","",TEXT(K190,"yyyy-mm"))</f>
        <v/>
      </c>
      <c r="W190" s="23" t="n">
        <f aca="false">IF(OR(C190="Cetak",C190="Dikirim",C190="Selesai"),1,0)</f>
        <v>0</v>
      </c>
      <c r="X190" s="23" t="str">
        <f aca="false">IF(F190="","",SUBSTITUTE(SUBSTITUTE(MID(UPPER(TRIM(F190)),4,99),"-LED",""),"-TK",""))</f>
        <v/>
      </c>
      <c r="Y190" s="23" t="str">
        <f aca="false">IF(X190="","",(LEN(X190)+1)/7)</f>
        <v/>
      </c>
      <c r="Z190" s="23" t="str">
        <f aca="false">IF(X190="","",LEFT(X190,6))</f>
        <v/>
      </c>
      <c r="AA190" s="23" t="str">
        <f aca="false">IF(X190="","",IF(Y190&gt;=3,MID(X190,8,6),""))</f>
        <v/>
      </c>
      <c r="AB190" s="23" t="str">
        <f aca="false">IF(X190="","",IF(Y190&gt;=4,MID(X190,15,6),""))</f>
        <v/>
      </c>
      <c r="AC190" s="23" t="str">
        <f aca="false">IF(X190="","",IF(Y190&gt;=5,MID(X190,22,6),""))</f>
        <v/>
      </c>
      <c r="AD190" s="23" t="str">
        <f aca="false">IF(X190="","",RIGHT(X190,6))</f>
        <v/>
      </c>
      <c r="AE190" s="23" t="str">
        <f aca="false">IF(F190="","",IF(ISNUMBER(SEARCH("-TK",UPPER(F190))),0,1))</f>
        <v/>
      </c>
      <c r="AF190" s="23" t="str">
        <f aca="false">IF(F190="","",IF(ISNUMBER(SEARCH("-LED",UPPER(F190))),1,0))</f>
        <v/>
      </c>
      <c r="AG190" s="24" t="n">
        <f aca="false">IF(Z190="",0,IFERROR(INDEX(Resep!$C$5:$C$7,MATCH(LEFT(Z190,3),Resep!$B$5:$B$7,0)),0))</f>
        <v>0</v>
      </c>
      <c r="AH190" s="24" t="n">
        <f aca="false">IF(AA190="",0,IFERROR(INDEX(Resep!$C$9:$C$13,MATCH(LEFT(AA190,3),Resep!$B$9:$B$13,0)),0))</f>
        <v>0</v>
      </c>
      <c r="AI190" s="24" t="n">
        <f aca="false">IF(AB190="",0,IFERROR(INDEX(Resep!$C$9:$C$13,MATCH(LEFT(AB190,3),Resep!$B$9:$B$13,0)),0))</f>
        <v>0</v>
      </c>
      <c r="AJ190" s="24" t="n">
        <f aca="false">IF(AC190="",0,IFERROR(INDEX(Resep!$C$9:$C$13,MATCH(LEFT(AC190,3),Resep!$B$9:$B$13,0)),0))</f>
        <v>0</v>
      </c>
      <c r="AK190" s="24" t="n">
        <f aca="false">IF(AD190="",0,IFERROR(INDEX(Resep!$C$15:$C$18,MATCH(LEFT(AD190,3),Resep!$B$15:$B$18,0)),0))</f>
        <v>0</v>
      </c>
      <c r="AL190" s="24" t="str">
        <f aca="false">IF(X190="","",AG190+AH190+AI190+AJ190+AK190)</f>
        <v/>
      </c>
      <c r="AM190" s="22" t="str">
        <f aca="false">IF(X190="","",AL190*(Pengaturan!$B$6+Pengaturan!$B$7)+Pengaturan!$B$8+AE190*Pengaturan!$B$9+AF190*Pengaturan!$B$10)</f>
        <v/>
      </c>
      <c r="AN190" s="22" t="str">
        <f aca="false">IF(X190="","",N(G190)-AM190)</f>
        <v/>
      </c>
      <c r="AO190" s="25" t="str">
        <f aca="false">IF(OR(X190="",N(G190)=0),"",AN190/G190)</f>
        <v/>
      </c>
    </row>
    <row r="191" customFormat="false" ht="15" hidden="false" customHeight="false" outlineLevel="0" collapsed="false">
      <c r="A191" s="19"/>
      <c r="B191" s="20"/>
      <c r="C191" s="19"/>
      <c r="D191" s="19"/>
      <c r="E191" s="19"/>
      <c r="F191" s="19"/>
      <c r="G191" s="21"/>
      <c r="H191" s="19"/>
      <c r="I191" s="21"/>
      <c r="J191" s="19"/>
      <c r="K191" s="20"/>
      <c r="L191" s="20"/>
      <c r="M191" s="19"/>
      <c r="N191" s="19"/>
      <c r="O191" s="20"/>
      <c r="P191" s="20"/>
      <c r="Q191" s="19"/>
      <c r="R191" s="22" t="str">
        <f aca="false">IF(A191="","",N(G191)+N(I191))</f>
        <v/>
      </c>
      <c r="S191" s="23" t="str">
        <f aca="false">IF(OR(K191="",O191=""),"",O191-K191)</f>
        <v/>
      </c>
      <c r="T191" s="23" t="str">
        <f aca="true">IF(AND(C191="Cetak",L191&lt;&gt;"",L191&lt;TODAY()),"YA","")</f>
        <v/>
      </c>
      <c r="U191" s="23" t="str">
        <f aca="false">IF(B191="","",TEXT(B191,"yyyy-mm"))</f>
        <v/>
      </c>
      <c r="V191" s="23" t="str">
        <f aca="false">IF(K191="","",TEXT(K191,"yyyy-mm"))</f>
        <v/>
      </c>
      <c r="W191" s="23" t="n">
        <f aca="false">IF(OR(C191="Cetak",C191="Dikirim",C191="Selesai"),1,0)</f>
        <v>0</v>
      </c>
      <c r="X191" s="23" t="str">
        <f aca="false">IF(F191="","",SUBSTITUTE(SUBSTITUTE(MID(UPPER(TRIM(F191)),4,99),"-LED",""),"-TK",""))</f>
        <v/>
      </c>
      <c r="Y191" s="23" t="str">
        <f aca="false">IF(X191="","",(LEN(X191)+1)/7)</f>
        <v/>
      </c>
      <c r="Z191" s="23" t="str">
        <f aca="false">IF(X191="","",LEFT(X191,6))</f>
        <v/>
      </c>
      <c r="AA191" s="23" t="str">
        <f aca="false">IF(X191="","",IF(Y191&gt;=3,MID(X191,8,6),""))</f>
        <v/>
      </c>
      <c r="AB191" s="23" t="str">
        <f aca="false">IF(X191="","",IF(Y191&gt;=4,MID(X191,15,6),""))</f>
        <v/>
      </c>
      <c r="AC191" s="23" t="str">
        <f aca="false">IF(X191="","",IF(Y191&gt;=5,MID(X191,22,6),""))</f>
        <v/>
      </c>
      <c r="AD191" s="23" t="str">
        <f aca="false">IF(X191="","",RIGHT(X191,6))</f>
        <v/>
      </c>
      <c r="AE191" s="23" t="str">
        <f aca="false">IF(F191="","",IF(ISNUMBER(SEARCH("-TK",UPPER(F191))),0,1))</f>
        <v/>
      </c>
      <c r="AF191" s="23" t="str">
        <f aca="false">IF(F191="","",IF(ISNUMBER(SEARCH("-LED",UPPER(F191))),1,0))</f>
        <v/>
      </c>
      <c r="AG191" s="24" t="n">
        <f aca="false">IF(Z191="",0,IFERROR(INDEX(Resep!$C$5:$C$7,MATCH(LEFT(Z191,3),Resep!$B$5:$B$7,0)),0))</f>
        <v>0</v>
      </c>
      <c r="AH191" s="24" t="n">
        <f aca="false">IF(AA191="",0,IFERROR(INDEX(Resep!$C$9:$C$13,MATCH(LEFT(AA191,3),Resep!$B$9:$B$13,0)),0))</f>
        <v>0</v>
      </c>
      <c r="AI191" s="24" t="n">
        <f aca="false">IF(AB191="",0,IFERROR(INDEX(Resep!$C$9:$C$13,MATCH(LEFT(AB191,3),Resep!$B$9:$B$13,0)),0))</f>
        <v>0</v>
      </c>
      <c r="AJ191" s="24" t="n">
        <f aca="false">IF(AC191="",0,IFERROR(INDEX(Resep!$C$9:$C$13,MATCH(LEFT(AC191,3),Resep!$B$9:$B$13,0)),0))</f>
        <v>0</v>
      </c>
      <c r="AK191" s="24" t="n">
        <f aca="false">IF(AD191="",0,IFERROR(INDEX(Resep!$C$15:$C$18,MATCH(LEFT(AD191,3),Resep!$B$15:$B$18,0)),0))</f>
        <v>0</v>
      </c>
      <c r="AL191" s="24" t="str">
        <f aca="false">IF(X191="","",AG191+AH191+AI191+AJ191+AK191)</f>
        <v/>
      </c>
      <c r="AM191" s="22" t="str">
        <f aca="false">IF(X191="","",AL191*(Pengaturan!$B$6+Pengaturan!$B$7)+Pengaturan!$B$8+AE191*Pengaturan!$B$9+AF191*Pengaturan!$B$10)</f>
        <v/>
      </c>
      <c r="AN191" s="22" t="str">
        <f aca="false">IF(X191="","",N(G191)-AM191)</f>
        <v/>
      </c>
      <c r="AO191" s="25" t="str">
        <f aca="false">IF(OR(X191="",N(G191)=0),"",AN191/G191)</f>
        <v/>
      </c>
    </row>
    <row r="192" customFormat="false" ht="15" hidden="false" customHeight="false" outlineLevel="0" collapsed="false">
      <c r="A192" s="19"/>
      <c r="B192" s="20"/>
      <c r="C192" s="19"/>
      <c r="D192" s="19"/>
      <c r="E192" s="19"/>
      <c r="F192" s="19"/>
      <c r="G192" s="21"/>
      <c r="H192" s="19"/>
      <c r="I192" s="21"/>
      <c r="J192" s="19"/>
      <c r="K192" s="20"/>
      <c r="L192" s="20"/>
      <c r="M192" s="19"/>
      <c r="N192" s="19"/>
      <c r="O192" s="20"/>
      <c r="P192" s="20"/>
      <c r="Q192" s="19"/>
      <c r="R192" s="22" t="str">
        <f aca="false">IF(A192="","",N(G192)+N(I192))</f>
        <v/>
      </c>
      <c r="S192" s="23" t="str">
        <f aca="false">IF(OR(K192="",O192=""),"",O192-K192)</f>
        <v/>
      </c>
      <c r="T192" s="23" t="str">
        <f aca="true">IF(AND(C192="Cetak",L192&lt;&gt;"",L192&lt;TODAY()),"YA","")</f>
        <v/>
      </c>
      <c r="U192" s="23" t="str">
        <f aca="false">IF(B192="","",TEXT(B192,"yyyy-mm"))</f>
        <v/>
      </c>
      <c r="V192" s="23" t="str">
        <f aca="false">IF(K192="","",TEXT(K192,"yyyy-mm"))</f>
        <v/>
      </c>
      <c r="W192" s="23" t="n">
        <f aca="false">IF(OR(C192="Cetak",C192="Dikirim",C192="Selesai"),1,0)</f>
        <v>0</v>
      </c>
      <c r="X192" s="23" t="str">
        <f aca="false">IF(F192="","",SUBSTITUTE(SUBSTITUTE(MID(UPPER(TRIM(F192)),4,99),"-LED",""),"-TK",""))</f>
        <v/>
      </c>
      <c r="Y192" s="23" t="str">
        <f aca="false">IF(X192="","",(LEN(X192)+1)/7)</f>
        <v/>
      </c>
      <c r="Z192" s="23" t="str">
        <f aca="false">IF(X192="","",LEFT(X192,6))</f>
        <v/>
      </c>
      <c r="AA192" s="23" t="str">
        <f aca="false">IF(X192="","",IF(Y192&gt;=3,MID(X192,8,6),""))</f>
        <v/>
      </c>
      <c r="AB192" s="23" t="str">
        <f aca="false">IF(X192="","",IF(Y192&gt;=4,MID(X192,15,6),""))</f>
        <v/>
      </c>
      <c r="AC192" s="23" t="str">
        <f aca="false">IF(X192="","",IF(Y192&gt;=5,MID(X192,22,6),""))</f>
        <v/>
      </c>
      <c r="AD192" s="23" t="str">
        <f aca="false">IF(X192="","",RIGHT(X192,6))</f>
        <v/>
      </c>
      <c r="AE192" s="23" t="str">
        <f aca="false">IF(F192="","",IF(ISNUMBER(SEARCH("-TK",UPPER(F192))),0,1))</f>
        <v/>
      </c>
      <c r="AF192" s="23" t="str">
        <f aca="false">IF(F192="","",IF(ISNUMBER(SEARCH("-LED",UPPER(F192))),1,0))</f>
        <v/>
      </c>
      <c r="AG192" s="24" t="n">
        <f aca="false">IF(Z192="",0,IFERROR(INDEX(Resep!$C$5:$C$7,MATCH(LEFT(Z192,3),Resep!$B$5:$B$7,0)),0))</f>
        <v>0</v>
      </c>
      <c r="AH192" s="24" t="n">
        <f aca="false">IF(AA192="",0,IFERROR(INDEX(Resep!$C$9:$C$13,MATCH(LEFT(AA192,3),Resep!$B$9:$B$13,0)),0))</f>
        <v>0</v>
      </c>
      <c r="AI192" s="24" t="n">
        <f aca="false">IF(AB192="",0,IFERROR(INDEX(Resep!$C$9:$C$13,MATCH(LEFT(AB192,3),Resep!$B$9:$B$13,0)),0))</f>
        <v>0</v>
      </c>
      <c r="AJ192" s="24" t="n">
        <f aca="false">IF(AC192="",0,IFERROR(INDEX(Resep!$C$9:$C$13,MATCH(LEFT(AC192,3),Resep!$B$9:$B$13,0)),0))</f>
        <v>0</v>
      </c>
      <c r="AK192" s="24" t="n">
        <f aca="false">IF(AD192="",0,IFERROR(INDEX(Resep!$C$15:$C$18,MATCH(LEFT(AD192,3),Resep!$B$15:$B$18,0)),0))</f>
        <v>0</v>
      </c>
      <c r="AL192" s="24" t="str">
        <f aca="false">IF(X192="","",AG192+AH192+AI192+AJ192+AK192)</f>
        <v/>
      </c>
      <c r="AM192" s="22" t="str">
        <f aca="false">IF(X192="","",AL192*(Pengaturan!$B$6+Pengaturan!$B$7)+Pengaturan!$B$8+AE192*Pengaturan!$B$9+AF192*Pengaturan!$B$10)</f>
        <v/>
      </c>
      <c r="AN192" s="22" t="str">
        <f aca="false">IF(X192="","",N(G192)-AM192)</f>
        <v/>
      </c>
      <c r="AO192" s="25" t="str">
        <f aca="false">IF(OR(X192="",N(G192)=0),"",AN192/G192)</f>
        <v/>
      </c>
    </row>
    <row r="193" customFormat="false" ht="15" hidden="false" customHeight="false" outlineLevel="0" collapsed="false">
      <c r="A193" s="19"/>
      <c r="B193" s="20"/>
      <c r="C193" s="19"/>
      <c r="D193" s="19"/>
      <c r="E193" s="19"/>
      <c r="F193" s="19"/>
      <c r="G193" s="21"/>
      <c r="H193" s="19"/>
      <c r="I193" s="21"/>
      <c r="J193" s="19"/>
      <c r="K193" s="20"/>
      <c r="L193" s="20"/>
      <c r="M193" s="19"/>
      <c r="N193" s="19"/>
      <c r="O193" s="20"/>
      <c r="P193" s="20"/>
      <c r="Q193" s="19"/>
      <c r="R193" s="22" t="str">
        <f aca="false">IF(A193="","",N(G193)+N(I193))</f>
        <v/>
      </c>
      <c r="S193" s="23" t="str">
        <f aca="false">IF(OR(K193="",O193=""),"",O193-K193)</f>
        <v/>
      </c>
      <c r="T193" s="23" t="str">
        <f aca="true">IF(AND(C193="Cetak",L193&lt;&gt;"",L193&lt;TODAY()),"YA","")</f>
        <v/>
      </c>
      <c r="U193" s="23" t="str">
        <f aca="false">IF(B193="","",TEXT(B193,"yyyy-mm"))</f>
        <v/>
      </c>
      <c r="V193" s="23" t="str">
        <f aca="false">IF(K193="","",TEXT(K193,"yyyy-mm"))</f>
        <v/>
      </c>
      <c r="W193" s="23" t="n">
        <f aca="false">IF(OR(C193="Cetak",C193="Dikirim",C193="Selesai"),1,0)</f>
        <v>0</v>
      </c>
      <c r="X193" s="23" t="str">
        <f aca="false">IF(F193="","",SUBSTITUTE(SUBSTITUTE(MID(UPPER(TRIM(F193)),4,99),"-LED",""),"-TK",""))</f>
        <v/>
      </c>
      <c r="Y193" s="23" t="str">
        <f aca="false">IF(X193="","",(LEN(X193)+1)/7)</f>
        <v/>
      </c>
      <c r="Z193" s="23" t="str">
        <f aca="false">IF(X193="","",LEFT(X193,6))</f>
        <v/>
      </c>
      <c r="AA193" s="23" t="str">
        <f aca="false">IF(X193="","",IF(Y193&gt;=3,MID(X193,8,6),""))</f>
        <v/>
      </c>
      <c r="AB193" s="23" t="str">
        <f aca="false">IF(X193="","",IF(Y193&gt;=4,MID(X193,15,6),""))</f>
        <v/>
      </c>
      <c r="AC193" s="23" t="str">
        <f aca="false">IF(X193="","",IF(Y193&gt;=5,MID(X193,22,6),""))</f>
        <v/>
      </c>
      <c r="AD193" s="23" t="str">
        <f aca="false">IF(X193="","",RIGHT(X193,6))</f>
        <v/>
      </c>
      <c r="AE193" s="23" t="str">
        <f aca="false">IF(F193="","",IF(ISNUMBER(SEARCH("-TK",UPPER(F193))),0,1))</f>
        <v/>
      </c>
      <c r="AF193" s="23" t="str">
        <f aca="false">IF(F193="","",IF(ISNUMBER(SEARCH("-LED",UPPER(F193))),1,0))</f>
        <v/>
      </c>
      <c r="AG193" s="24" t="n">
        <f aca="false">IF(Z193="",0,IFERROR(INDEX(Resep!$C$5:$C$7,MATCH(LEFT(Z193,3),Resep!$B$5:$B$7,0)),0))</f>
        <v>0</v>
      </c>
      <c r="AH193" s="24" t="n">
        <f aca="false">IF(AA193="",0,IFERROR(INDEX(Resep!$C$9:$C$13,MATCH(LEFT(AA193,3),Resep!$B$9:$B$13,0)),0))</f>
        <v>0</v>
      </c>
      <c r="AI193" s="24" t="n">
        <f aca="false">IF(AB193="",0,IFERROR(INDEX(Resep!$C$9:$C$13,MATCH(LEFT(AB193,3),Resep!$B$9:$B$13,0)),0))</f>
        <v>0</v>
      </c>
      <c r="AJ193" s="24" t="n">
        <f aca="false">IF(AC193="",0,IFERROR(INDEX(Resep!$C$9:$C$13,MATCH(LEFT(AC193,3),Resep!$B$9:$B$13,0)),0))</f>
        <v>0</v>
      </c>
      <c r="AK193" s="24" t="n">
        <f aca="false">IF(AD193="",0,IFERROR(INDEX(Resep!$C$15:$C$18,MATCH(LEFT(AD193,3),Resep!$B$15:$B$18,0)),0))</f>
        <v>0</v>
      </c>
      <c r="AL193" s="24" t="str">
        <f aca="false">IF(X193="","",AG193+AH193+AI193+AJ193+AK193)</f>
        <v/>
      </c>
      <c r="AM193" s="22" t="str">
        <f aca="false">IF(X193="","",AL193*(Pengaturan!$B$6+Pengaturan!$B$7)+Pengaturan!$B$8+AE193*Pengaturan!$B$9+AF193*Pengaturan!$B$10)</f>
        <v/>
      </c>
      <c r="AN193" s="22" t="str">
        <f aca="false">IF(X193="","",N(G193)-AM193)</f>
        <v/>
      </c>
      <c r="AO193" s="25" t="str">
        <f aca="false">IF(OR(X193="",N(G193)=0),"",AN193/G193)</f>
        <v/>
      </c>
    </row>
    <row r="194" customFormat="false" ht="15" hidden="false" customHeight="false" outlineLevel="0" collapsed="false">
      <c r="A194" s="19"/>
      <c r="B194" s="20"/>
      <c r="C194" s="19"/>
      <c r="D194" s="19"/>
      <c r="E194" s="19"/>
      <c r="F194" s="19"/>
      <c r="G194" s="21"/>
      <c r="H194" s="19"/>
      <c r="I194" s="21"/>
      <c r="J194" s="19"/>
      <c r="K194" s="20"/>
      <c r="L194" s="20"/>
      <c r="M194" s="19"/>
      <c r="N194" s="19"/>
      <c r="O194" s="20"/>
      <c r="P194" s="20"/>
      <c r="Q194" s="19"/>
      <c r="R194" s="22" t="str">
        <f aca="false">IF(A194="","",N(G194)+N(I194))</f>
        <v/>
      </c>
      <c r="S194" s="23" t="str">
        <f aca="false">IF(OR(K194="",O194=""),"",O194-K194)</f>
        <v/>
      </c>
      <c r="T194" s="23" t="str">
        <f aca="true">IF(AND(C194="Cetak",L194&lt;&gt;"",L194&lt;TODAY()),"YA","")</f>
        <v/>
      </c>
      <c r="U194" s="23" t="str">
        <f aca="false">IF(B194="","",TEXT(B194,"yyyy-mm"))</f>
        <v/>
      </c>
      <c r="V194" s="23" t="str">
        <f aca="false">IF(K194="","",TEXT(K194,"yyyy-mm"))</f>
        <v/>
      </c>
      <c r="W194" s="23" t="n">
        <f aca="false">IF(OR(C194="Cetak",C194="Dikirim",C194="Selesai"),1,0)</f>
        <v>0</v>
      </c>
      <c r="X194" s="23" t="str">
        <f aca="false">IF(F194="","",SUBSTITUTE(SUBSTITUTE(MID(UPPER(TRIM(F194)),4,99),"-LED",""),"-TK",""))</f>
        <v/>
      </c>
      <c r="Y194" s="23" t="str">
        <f aca="false">IF(X194="","",(LEN(X194)+1)/7)</f>
        <v/>
      </c>
      <c r="Z194" s="23" t="str">
        <f aca="false">IF(X194="","",LEFT(X194,6))</f>
        <v/>
      </c>
      <c r="AA194" s="23" t="str">
        <f aca="false">IF(X194="","",IF(Y194&gt;=3,MID(X194,8,6),""))</f>
        <v/>
      </c>
      <c r="AB194" s="23" t="str">
        <f aca="false">IF(X194="","",IF(Y194&gt;=4,MID(X194,15,6),""))</f>
        <v/>
      </c>
      <c r="AC194" s="23" t="str">
        <f aca="false">IF(X194="","",IF(Y194&gt;=5,MID(X194,22,6),""))</f>
        <v/>
      </c>
      <c r="AD194" s="23" t="str">
        <f aca="false">IF(X194="","",RIGHT(X194,6))</f>
        <v/>
      </c>
      <c r="AE194" s="23" t="str">
        <f aca="false">IF(F194="","",IF(ISNUMBER(SEARCH("-TK",UPPER(F194))),0,1))</f>
        <v/>
      </c>
      <c r="AF194" s="23" t="str">
        <f aca="false">IF(F194="","",IF(ISNUMBER(SEARCH("-LED",UPPER(F194))),1,0))</f>
        <v/>
      </c>
      <c r="AG194" s="24" t="n">
        <f aca="false">IF(Z194="",0,IFERROR(INDEX(Resep!$C$5:$C$7,MATCH(LEFT(Z194,3),Resep!$B$5:$B$7,0)),0))</f>
        <v>0</v>
      </c>
      <c r="AH194" s="24" t="n">
        <f aca="false">IF(AA194="",0,IFERROR(INDEX(Resep!$C$9:$C$13,MATCH(LEFT(AA194,3),Resep!$B$9:$B$13,0)),0))</f>
        <v>0</v>
      </c>
      <c r="AI194" s="24" t="n">
        <f aca="false">IF(AB194="",0,IFERROR(INDEX(Resep!$C$9:$C$13,MATCH(LEFT(AB194,3),Resep!$B$9:$B$13,0)),0))</f>
        <v>0</v>
      </c>
      <c r="AJ194" s="24" t="n">
        <f aca="false">IF(AC194="",0,IFERROR(INDEX(Resep!$C$9:$C$13,MATCH(LEFT(AC194,3),Resep!$B$9:$B$13,0)),0))</f>
        <v>0</v>
      </c>
      <c r="AK194" s="24" t="n">
        <f aca="false">IF(AD194="",0,IFERROR(INDEX(Resep!$C$15:$C$18,MATCH(LEFT(AD194,3),Resep!$B$15:$B$18,0)),0))</f>
        <v>0</v>
      </c>
      <c r="AL194" s="24" t="str">
        <f aca="false">IF(X194="","",AG194+AH194+AI194+AJ194+AK194)</f>
        <v/>
      </c>
      <c r="AM194" s="22" t="str">
        <f aca="false">IF(X194="","",AL194*(Pengaturan!$B$6+Pengaturan!$B$7)+Pengaturan!$B$8+AE194*Pengaturan!$B$9+AF194*Pengaturan!$B$10)</f>
        <v/>
      </c>
      <c r="AN194" s="22" t="str">
        <f aca="false">IF(X194="","",N(G194)-AM194)</f>
        <v/>
      </c>
      <c r="AO194" s="25" t="str">
        <f aca="false">IF(OR(X194="",N(G194)=0),"",AN194/G194)</f>
        <v/>
      </c>
    </row>
    <row r="195" customFormat="false" ht="15" hidden="false" customHeight="false" outlineLevel="0" collapsed="false">
      <c r="A195" s="19"/>
      <c r="B195" s="20"/>
      <c r="C195" s="19"/>
      <c r="D195" s="19"/>
      <c r="E195" s="19"/>
      <c r="F195" s="19"/>
      <c r="G195" s="21"/>
      <c r="H195" s="19"/>
      <c r="I195" s="21"/>
      <c r="J195" s="19"/>
      <c r="K195" s="20"/>
      <c r="L195" s="20"/>
      <c r="M195" s="19"/>
      <c r="N195" s="19"/>
      <c r="O195" s="20"/>
      <c r="P195" s="20"/>
      <c r="Q195" s="19"/>
      <c r="R195" s="22" t="str">
        <f aca="false">IF(A195="","",N(G195)+N(I195))</f>
        <v/>
      </c>
      <c r="S195" s="23" t="str">
        <f aca="false">IF(OR(K195="",O195=""),"",O195-K195)</f>
        <v/>
      </c>
      <c r="T195" s="23" t="str">
        <f aca="true">IF(AND(C195="Cetak",L195&lt;&gt;"",L195&lt;TODAY()),"YA","")</f>
        <v/>
      </c>
      <c r="U195" s="23" t="str">
        <f aca="false">IF(B195="","",TEXT(B195,"yyyy-mm"))</f>
        <v/>
      </c>
      <c r="V195" s="23" t="str">
        <f aca="false">IF(K195="","",TEXT(K195,"yyyy-mm"))</f>
        <v/>
      </c>
      <c r="W195" s="23" t="n">
        <f aca="false">IF(OR(C195="Cetak",C195="Dikirim",C195="Selesai"),1,0)</f>
        <v>0</v>
      </c>
      <c r="X195" s="23" t="str">
        <f aca="false">IF(F195="","",SUBSTITUTE(SUBSTITUTE(MID(UPPER(TRIM(F195)),4,99),"-LED",""),"-TK",""))</f>
        <v/>
      </c>
      <c r="Y195" s="23" t="str">
        <f aca="false">IF(X195="","",(LEN(X195)+1)/7)</f>
        <v/>
      </c>
      <c r="Z195" s="23" t="str">
        <f aca="false">IF(X195="","",LEFT(X195,6))</f>
        <v/>
      </c>
      <c r="AA195" s="23" t="str">
        <f aca="false">IF(X195="","",IF(Y195&gt;=3,MID(X195,8,6),""))</f>
        <v/>
      </c>
      <c r="AB195" s="23" t="str">
        <f aca="false">IF(X195="","",IF(Y195&gt;=4,MID(X195,15,6),""))</f>
        <v/>
      </c>
      <c r="AC195" s="23" t="str">
        <f aca="false">IF(X195="","",IF(Y195&gt;=5,MID(X195,22,6),""))</f>
        <v/>
      </c>
      <c r="AD195" s="23" t="str">
        <f aca="false">IF(X195="","",RIGHT(X195,6))</f>
        <v/>
      </c>
      <c r="AE195" s="23" t="str">
        <f aca="false">IF(F195="","",IF(ISNUMBER(SEARCH("-TK",UPPER(F195))),0,1))</f>
        <v/>
      </c>
      <c r="AF195" s="23" t="str">
        <f aca="false">IF(F195="","",IF(ISNUMBER(SEARCH("-LED",UPPER(F195))),1,0))</f>
        <v/>
      </c>
      <c r="AG195" s="24" t="n">
        <f aca="false">IF(Z195="",0,IFERROR(INDEX(Resep!$C$5:$C$7,MATCH(LEFT(Z195,3),Resep!$B$5:$B$7,0)),0))</f>
        <v>0</v>
      </c>
      <c r="AH195" s="24" t="n">
        <f aca="false">IF(AA195="",0,IFERROR(INDEX(Resep!$C$9:$C$13,MATCH(LEFT(AA195,3),Resep!$B$9:$B$13,0)),0))</f>
        <v>0</v>
      </c>
      <c r="AI195" s="24" t="n">
        <f aca="false">IF(AB195="",0,IFERROR(INDEX(Resep!$C$9:$C$13,MATCH(LEFT(AB195,3),Resep!$B$9:$B$13,0)),0))</f>
        <v>0</v>
      </c>
      <c r="AJ195" s="24" t="n">
        <f aca="false">IF(AC195="",0,IFERROR(INDEX(Resep!$C$9:$C$13,MATCH(LEFT(AC195,3),Resep!$B$9:$B$13,0)),0))</f>
        <v>0</v>
      </c>
      <c r="AK195" s="24" t="n">
        <f aca="false">IF(AD195="",0,IFERROR(INDEX(Resep!$C$15:$C$18,MATCH(LEFT(AD195,3),Resep!$B$15:$B$18,0)),0))</f>
        <v>0</v>
      </c>
      <c r="AL195" s="24" t="str">
        <f aca="false">IF(X195="","",AG195+AH195+AI195+AJ195+AK195)</f>
        <v/>
      </c>
      <c r="AM195" s="22" t="str">
        <f aca="false">IF(X195="","",AL195*(Pengaturan!$B$6+Pengaturan!$B$7)+Pengaturan!$B$8+AE195*Pengaturan!$B$9+AF195*Pengaturan!$B$10)</f>
        <v/>
      </c>
      <c r="AN195" s="22" t="str">
        <f aca="false">IF(X195="","",N(G195)-AM195)</f>
        <v/>
      </c>
      <c r="AO195" s="25" t="str">
        <f aca="false">IF(OR(X195="",N(G195)=0),"",AN195/G195)</f>
        <v/>
      </c>
    </row>
    <row r="196" customFormat="false" ht="15" hidden="false" customHeight="false" outlineLevel="0" collapsed="false">
      <c r="A196" s="19"/>
      <c r="B196" s="20"/>
      <c r="C196" s="19"/>
      <c r="D196" s="19"/>
      <c r="E196" s="19"/>
      <c r="F196" s="19"/>
      <c r="G196" s="21"/>
      <c r="H196" s="19"/>
      <c r="I196" s="21"/>
      <c r="J196" s="19"/>
      <c r="K196" s="20"/>
      <c r="L196" s="20"/>
      <c r="M196" s="19"/>
      <c r="N196" s="19"/>
      <c r="O196" s="20"/>
      <c r="P196" s="20"/>
      <c r="Q196" s="19"/>
      <c r="R196" s="22" t="str">
        <f aca="false">IF(A196="","",N(G196)+N(I196))</f>
        <v/>
      </c>
      <c r="S196" s="23" t="str">
        <f aca="false">IF(OR(K196="",O196=""),"",O196-K196)</f>
        <v/>
      </c>
      <c r="T196" s="23" t="str">
        <f aca="true">IF(AND(C196="Cetak",L196&lt;&gt;"",L196&lt;TODAY()),"YA","")</f>
        <v/>
      </c>
      <c r="U196" s="23" t="str">
        <f aca="false">IF(B196="","",TEXT(B196,"yyyy-mm"))</f>
        <v/>
      </c>
      <c r="V196" s="23" t="str">
        <f aca="false">IF(K196="","",TEXT(K196,"yyyy-mm"))</f>
        <v/>
      </c>
      <c r="W196" s="23" t="n">
        <f aca="false">IF(OR(C196="Cetak",C196="Dikirim",C196="Selesai"),1,0)</f>
        <v>0</v>
      </c>
      <c r="X196" s="23" t="str">
        <f aca="false">IF(F196="","",SUBSTITUTE(SUBSTITUTE(MID(UPPER(TRIM(F196)),4,99),"-LED",""),"-TK",""))</f>
        <v/>
      </c>
      <c r="Y196" s="23" t="str">
        <f aca="false">IF(X196="","",(LEN(X196)+1)/7)</f>
        <v/>
      </c>
      <c r="Z196" s="23" t="str">
        <f aca="false">IF(X196="","",LEFT(X196,6))</f>
        <v/>
      </c>
      <c r="AA196" s="23" t="str">
        <f aca="false">IF(X196="","",IF(Y196&gt;=3,MID(X196,8,6),""))</f>
        <v/>
      </c>
      <c r="AB196" s="23" t="str">
        <f aca="false">IF(X196="","",IF(Y196&gt;=4,MID(X196,15,6),""))</f>
        <v/>
      </c>
      <c r="AC196" s="23" t="str">
        <f aca="false">IF(X196="","",IF(Y196&gt;=5,MID(X196,22,6),""))</f>
        <v/>
      </c>
      <c r="AD196" s="23" t="str">
        <f aca="false">IF(X196="","",RIGHT(X196,6))</f>
        <v/>
      </c>
      <c r="AE196" s="23" t="str">
        <f aca="false">IF(F196="","",IF(ISNUMBER(SEARCH("-TK",UPPER(F196))),0,1))</f>
        <v/>
      </c>
      <c r="AF196" s="23" t="str">
        <f aca="false">IF(F196="","",IF(ISNUMBER(SEARCH("-LED",UPPER(F196))),1,0))</f>
        <v/>
      </c>
      <c r="AG196" s="24" t="n">
        <f aca="false">IF(Z196="",0,IFERROR(INDEX(Resep!$C$5:$C$7,MATCH(LEFT(Z196,3),Resep!$B$5:$B$7,0)),0))</f>
        <v>0</v>
      </c>
      <c r="AH196" s="24" t="n">
        <f aca="false">IF(AA196="",0,IFERROR(INDEX(Resep!$C$9:$C$13,MATCH(LEFT(AA196,3),Resep!$B$9:$B$13,0)),0))</f>
        <v>0</v>
      </c>
      <c r="AI196" s="24" t="n">
        <f aca="false">IF(AB196="",0,IFERROR(INDEX(Resep!$C$9:$C$13,MATCH(LEFT(AB196,3),Resep!$B$9:$B$13,0)),0))</f>
        <v>0</v>
      </c>
      <c r="AJ196" s="24" t="n">
        <f aca="false">IF(AC196="",0,IFERROR(INDEX(Resep!$C$9:$C$13,MATCH(LEFT(AC196,3),Resep!$B$9:$B$13,0)),0))</f>
        <v>0</v>
      </c>
      <c r="AK196" s="24" t="n">
        <f aca="false">IF(AD196="",0,IFERROR(INDEX(Resep!$C$15:$C$18,MATCH(LEFT(AD196,3),Resep!$B$15:$B$18,0)),0))</f>
        <v>0</v>
      </c>
      <c r="AL196" s="24" t="str">
        <f aca="false">IF(X196="","",AG196+AH196+AI196+AJ196+AK196)</f>
        <v/>
      </c>
      <c r="AM196" s="22" t="str">
        <f aca="false">IF(X196="","",AL196*(Pengaturan!$B$6+Pengaturan!$B$7)+Pengaturan!$B$8+AE196*Pengaturan!$B$9+AF196*Pengaturan!$B$10)</f>
        <v/>
      </c>
      <c r="AN196" s="22" t="str">
        <f aca="false">IF(X196="","",N(G196)-AM196)</f>
        <v/>
      </c>
      <c r="AO196" s="25" t="str">
        <f aca="false">IF(OR(X196="",N(G196)=0),"",AN196/G196)</f>
        <v/>
      </c>
    </row>
    <row r="197" customFormat="false" ht="15" hidden="false" customHeight="false" outlineLevel="0" collapsed="false">
      <c r="A197" s="19"/>
      <c r="B197" s="20"/>
      <c r="C197" s="19"/>
      <c r="D197" s="19"/>
      <c r="E197" s="19"/>
      <c r="F197" s="19"/>
      <c r="G197" s="21"/>
      <c r="H197" s="19"/>
      <c r="I197" s="21"/>
      <c r="J197" s="19"/>
      <c r="K197" s="20"/>
      <c r="L197" s="20"/>
      <c r="M197" s="19"/>
      <c r="N197" s="19"/>
      <c r="O197" s="20"/>
      <c r="P197" s="20"/>
      <c r="Q197" s="19"/>
      <c r="R197" s="22" t="str">
        <f aca="false">IF(A197="","",N(G197)+N(I197))</f>
        <v/>
      </c>
      <c r="S197" s="23" t="str">
        <f aca="false">IF(OR(K197="",O197=""),"",O197-K197)</f>
        <v/>
      </c>
      <c r="T197" s="23" t="str">
        <f aca="true">IF(AND(C197="Cetak",L197&lt;&gt;"",L197&lt;TODAY()),"YA","")</f>
        <v/>
      </c>
      <c r="U197" s="23" t="str">
        <f aca="false">IF(B197="","",TEXT(B197,"yyyy-mm"))</f>
        <v/>
      </c>
      <c r="V197" s="23" t="str">
        <f aca="false">IF(K197="","",TEXT(K197,"yyyy-mm"))</f>
        <v/>
      </c>
      <c r="W197" s="23" t="n">
        <f aca="false">IF(OR(C197="Cetak",C197="Dikirim",C197="Selesai"),1,0)</f>
        <v>0</v>
      </c>
      <c r="X197" s="23" t="str">
        <f aca="false">IF(F197="","",SUBSTITUTE(SUBSTITUTE(MID(UPPER(TRIM(F197)),4,99),"-LED",""),"-TK",""))</f>
        <v/>
      </c>
      <c r="Y197" s="23" t="str">
        <f aca="false">IF(X197="","",(LEN(X197)+1)/7)</f>
        <v/>
      </c>
      <c r="Z197" s="23" t="str">
        <f aca="false">IF(X197="","",LEFT(X197,6))</f>
        <v/>
      </c>
      <c r="AA197" s="23" t="str">
        <f aca="false">IF(X197="","",IF(Y197&gt;=3,MID(X197,8,6),""))</f>
        <v/>
      </c>
      <c r="AB197" s="23" t="str">
        <f aca="false">IF(X197="","",IF(Y197&gt;=4,MID(X197,15,6),""))</f>
        <v/>
      </c>
      <c r="AC197" s="23" t="str">
        <f aca="false">IF(X197="","",IF(Y197&gt;=5,MID(X197,22,6),""))</f>
        <v/>
      </c>
      <c r="AD197" s="23" t="str">
        <f aca="false">IF(X197="","",RIGHT(X197,6))</f>
        <v/>
      </c>
      <c r="AE197" s="23" t="str">
        <f aca="false">IF(F197="","",IF(ISNUMBER(SEARCH("-TK",UPPER(F197))),0,1))</f>
        <v/>
      </c>
      <c r="AF197" s="23" t="str">
        <f aca="false">IF(F197="","",IF(ISNUMBER(SEARCH("-LED",UPPER(F197))),1,0))</f>
        <v/>
      </c>
      <c r="AG197" s="24" t="n">
        <f aca="false">IF(Z197="",0,IFERROR(INDEX(Resep!$C$5:$C$7,MATCH(LEFT(Z197,3),Resep!$B$5:$B$7,0)),0))</f>
        <v>0</v>
      </c>
      <c r="AH197" s="24" t="n">
        <f aca="false">IF(AA197="",0,IFERROR(INDEX(Resep!$C$9:$C$13,MATCH(LEFT(AA197,3),Resep!$B$9:$B$13,0)),0))</f>
        <v>0</v>
      </c>
      <c r="AI197" s="24" t="n">
        <f aca="false">IF(AB197="",0,IFERROR(INDEX(Resep!$C$9:$C$13,MATCH(LEFT(AB197,3),Resep!$B$9:$B$13,0)),0))</f>
        <v>0</v>
      </c>
      <c r="AJ197" s="24" t="n">
        <f aca="false">IF(AC197="",0,IFERROR(INDEX(Resep!$C$9:$C$13,MATCH(LEFT(AC197,3),Resep!$B$9:$B$13,0)),0))</f>
        <v>0</v>
      </c>
      <c r="AK197" s="24" t="n">
        <f aca="false">IF(AD197="",0,IFERROR(INDEX(Resep!$C$15:$C$18,MATCH(LEFT(AD197,3),Resep!$B$15:$B$18,0)),0))</f>
        <v>0</v>
      </c>
      <c r="AL197" s="24" t="str">
        <f aca="false">IF(X197="","",AG197+AH197+AI197+AJ197+AK197)</f>
        <v/>
      </c>
      <c r="AM197" s="22" t="str">
        <f aca="false">IF(X197="","",AL197*(Pengaturan!$B$6+Pengaturan!$B$7)+Pengaturan!$B$8+AE197*Pengaturan!$B$9+AF197*Pengaturan!$B$10)</f>
        <v/>
      </c>
      <c r="AN197" s="22" t="str">
        <f aca="false">IF(X197="","",N(G197)-AM197)</f>
        <v/>
      </c>
      <c r="AO197" s="25" t="str">
        <f aca="false">IF(OR(X197="",N(G197)=0),"",AN197/G197)</f>
        <v/>
      </c>
    </row>
    <row r="198" customFormat="false" ht="15" hidden="false" customHeight="false" outlineLevel="0" collapsed="false">
      <c r="A198" s="19"/>
      <c r="B198" s="20"/>
      <c r="C198" s="19"/>
      <c r="D198" s="19"/>
      <c r="E198" s="19"/>
      <c r="F198" s="19"/>
      <c r="G198" s="21"/>
      <c r="H198" s="19"/>
      <c r="I198" s="21"/>
      <c r="J198" s="19"/>
      <c r="K198" s="20"/>
      <c r="L198" s="20"/>
      <c r="M198" s="19"/>
      <c r="N198" s="19"/>
      <c r="O198" s="20"/>
      <c r="P198" s="20"/>
      <c r="Q198" s="19"/>
      <c r="R198" s="22" t="str">
        <f aca="false">IF(A198="","",N(G198)+N(I198))</f>
        <v/>
      </c>
      <c r="S198" s="23" t="str">
        <f aca="false">IF(OR(K198="",O198=""),"",O198-K198)</f>
        <v/>
      </c>
      <c r="T198" s="23" t="str">
        <f aca="true">IF(AND(C198="Cetak",L198&lt;&gt;"",L198&lt;TODAY()),"YA","")</f>
        <v/>
      </c>
      <c r="U198" s="23" t="str">
        <f aca="false">IF(B198="","",TEXT(B198,"yyyy-mm"))</f>
        <v/>
      </c>
      <c r="V198" s="23" t="str">
        <f aca="false">IF(K198="","",TEXT(K198,"yyyy-mm"))</f>
        <v/>
      </c>
      <c r="W198" s="23" t="n">
        <f aca="false">IF(OR(C198="Cetak",C198="Dikirim",C198="Selesai"),1,0)</f>
        <v>0</v>
      </c>
      <c r="X198" s="23" t="str">
        <f aca="false">IF(F198="","",SUBSTITUTE(SUBSTITUTE(MID(UPPER(TRIM(F198)),4,99),"-LED",""),"-TK",""))</f>
        <v/>
      </c>
      <c r="Y198" s="23" t="str">
        <f aca="false">IF(X198="","",(LEN(X198)+1)/7)</f>
        <v/>
      </c>
      <c r="Z198" s="23" t="str">
        <f aca="false">IF(X198="","",LEFT(X198,6))</f>
        <v/>
      </c>
      <c r="AA198" s="23" t="str">
        <f aca="false">IF(X198="","",IF(Y198&gt;=3,MID(X198,8,6),""))</f>
        <v/>
      </c>
      <c r="AB198" s="23" t="str">
        <f aca="false">IF(X198="","",IF(Y198&gt;=4,MID(X198,15,6),""))</f>
        <v/>
      </c>
      <c r="AC198" s="23" t="str">
        <f aca="false">IF(X198="","",IF(Y198&gt;=5,MID(X198,22,6),""))</f>
        <v/>
      </c>
      <c r="AD198" s="23" t="str">
        <f aca="false">IF(X198="","",RIGHT(X198,6))</f>
        <v/>
      </c>
      <c r="AE198" s="23" t="str">
        <f aca="false">IF(F198="","",IF(ISNUMBER(SEARCH("-TK",UPPER(F198))),0,1))</f>
        <v/>
      </c>
      <c r="AF198" s="23" t="str">
        <f aca="false">IF(F198="","",IF(ISNUMBER(SEARCH("-LED",UPPER(F198))),1,0))</f>
        <v/>
      </c>
      <c r="AG198" s="24" t="n">
        <f aca="false">IF(Z198="",0,IFERROR(INDEX(Resep!$C$5:$C$7,MATCH(LEFT(Z198,3),Resep!$B$5:$B$7,0)),0))</f>
        <v>0</v>
      </c>
      <c r="AH198" s="24" t="n">
        <f aca="false">IF(AA198="",0,IFERROR(INDEX(Resep!$C$9:$C$13,MATCH(LEFT(AA198,3),Resep!$B$9:$B$13,0)),0))</f>
        <v>0</v>
      </c>
      <c r="AI198" s="24" t="n">
        <f aca="false">IF(AB198="",0,IFERROR(INDEX(Resep!$C$9:$C$13,MATCH(LEFT(AB198,3),Resep!$B$9:$B$13,0)),0))</f>
        <v>0</v>
      </c>
      <c r="AJ198" s="24" t="n">
        <f aca="false">IF(AC198="",0,IFERROR(INDEX(Resep!$C$9:$C$13,MATCH(LEFT(AC198,3),Resep!$B$9:$B$13,0)),0))</f>
        <v>0</v>
      </c>
      <c r="AK198" s="24" t="n">
        <f aca="false">IF(AD198="",0,IFERROR(INDEX(Resep!$C$15:$C$18,MATCH(LEFT(AD198,3),Resep!$B$15:$B$18,0)),0))</f>
        <v>0</v>
      </c>
      <c r="AL198" s="24" t="str">
        <f aca="false">IF(X198="","",AG198+AH198+AI198+AJ198+AK198)</f>
        <v/>
      </c>
      <c r="AM198" s="22" t="str">
        <f aca="false">IF(X198="","",AL198*(Pengaturan!$B$6+Pengaturan!$B$7)+Pengaturan!$B$8+AE198*Pengaturan!$B$9+AF198*Pengaturan!$B$10)</f>
        <v/>
      </c>
      <c r="AN198" s="22" t="str">
        <f aca="false">IF(X198="","",N(G198)-AM198)</f>
        <v/>
      </c>
      <c r="AO198" s="25" t="str">
        <f aca="false">IF(OR(X198="",N(G198)=0),"",AN198/G198)</f>
        <v/>
      </c>
    </row>
    <row r="199" customFormat="false" ht="15" hidden="false" customHeight="false" outlineLevel="0" collapsed="false">
      <c r="A199" s="19"/>
      <c r="B199" s="20"/>
      <c r="C199" s="19"/>
      <c r="D199" s="19"/>
      <c r="E199" s="19"/>
      <c r="F199" s="19"/>
      <c r="G199" s="21"/>
      <c r="H199" s="19"/>
      <c r="I199" s="21"/>
      <c r="J199" s="19"/>
      <c r="K199" s="20"/>
      <c r="L199" s="20"/>
      <c r="M199" s="19"/>
      <c r="N199" s="19"/>
      <c r="O199" s="20"/>
      <c r="P199" s="20"/>
      <c r="Q199" s="19"/>
      <c r="R199" s="22" t="str">
        <f aca="false">IF(A199="","",N(G199)+N(I199))</f>
        <v/>
      </c>
      <c r="S199" s="23" t="str">
        <f aca="false">IF(OR(K199="",O199=""),"",O199-K199)</f>
        <v/>
      </c>
      <c r="T199" s="23" t="str">
        <f aca="true">IF(AND(C199="Cetak",L199&lt;&gt;"",L199&lt;TODAY()),"YA","")</f>
        <v/>
      </c>
      <c r="U199" s="23" t="str">
        <f aca="false">IF(B199="","",TEXT(B199,"yyyy-mm"))</f>
        <v/>
      </c>
      <c r="V199" s="23" t="str">
        <f aca="false">IF(K199="","",TEXT(K199,"yyyy-mm"))</f>
        <v/>
      </c>
      <c r="W199" s="23" t="n">
        <f aca="false">IF(OR(C199="Cetak",C199="Dikirim",C199="Selesai"),1,0)</f>
        <v>0</v>
      </c>
      <c r="X199" s="23" t="str">
        <f aca="false">IF(F199="","",SUBSTITUTE(SUBSTITUTE(MID(UPPER(TRIM(F199)),4,99),"-LED",""),"-TK",""))</f>
        <v/>
      </c>
      <c r="Y199" s="23" t="str">
        <f aca="false">IF(X199="","",(LEN(X199)+1)/7)</f>
        <v/>
      </c>
      <c r="Z199" s="23" t="str">
        <f aca="false">IF(X199="","",LEFT(X199,6))</f>
        <v/>
      </c>
      <c r="AA199" s="23" t="str">
        <f aca="false">IF(X199="","",IF(Y199&gt;=3,MID(X199,8,6),""))</f>
        <v/>
      </c>
      <c r="AB199" s="23" t="str">
        <f aca="false">IF(X199="","",IF(Y199&gt;=4,MID(X199,15,6),""))</f>
        <v/>
      </c>
      <c r="AC199" s="23" t="str">
        <f aca="false">IF(X199="","",IF(Y199&gt;=5,MID(X199,22,6),""))</f>
        <v/>
      </c>
      <c r="AD199" s="23" t="str">
        <f aca="false">IF(X199="","",RIGHT(X199,6))</f>
        <v/>
      </c>
      <c r="AE199" s="23" t="str">
        <f aca="false">IF(F199="","",IF(ISNUMBER(SEARCH("-TK",UPPER(F199))),0,1))</f>
        <v/>
      </c>
      <c r="AF199" s="23" t="str">
        <f aca="false">IF(F199="","",IF(ISNUMBER(SEARCH("-LED",UPPER(F199))),1,0))</f>
        <v/>
      </c>
      <c r="AG199" s="24" t="n">
        <f aca="false">IF(Z199="",0,IFERROR(INDEX(Resep!$C$5:$C$7,MATCH(LEFT(Z199,3),Resep!$B$5:$B$7,0)),0))</f>
        <v>0</v>
      </c>
      <c r="AH199" s="24" t="n">
        <f aca="false">IF(AA199="",0,IFERROR(INDEX(Resep!$C$9:$C$13,MATCH(LEFT(AA199,3),Resep!$B$9:$B$13,0)),0))</f>
        <v>0</v>
      </c>
      <c r="AI199" s="24" t="n">
        <f aca="false">IF(AB199="",0,IFERROR(INDEX(Resep!$C$9:$C$13,MATCH(LEFT(AB199,3),Resep!$B$9:$B$13,0)),0))</f>
        <v>0</v>
      </c>
      <c r="AJ199" s="24" t="n">
        <f aca="false">IF(AC199="",0,IFERROR(INDEX(Resep!$C$9:$C$13,MATCH(LEFT(AC199,3),Resep!$B$9:$B$13,0)),0))</f>
        <v>0</v>
      </c>
      <c r="AK199" s="24" t="n">
        <f aca="false">IF(AD199="",0,IFERROR(INDEX(Resep!$C$15:$C$18,MATCH(LEFT(AD199,3),Resep!$B$15:$B$18,0)),0))</f>
        <v>0</v>
      </c>
      <c r="AL199" s="24" t="str">
        <f aca="false">IF(X199="","",AG199+AH199+AI199+AJ199+AK199)</f>
        <v/>
      </c>
      <c r="AM199" s="22" t="str">
        <f aca="false">IF(X199="","",AL199*(Pengaturan!$B$6+Pengaturan!$B$7)+Pengaturan!$B$8+AE199*Pengaturan!$B$9+AF199*Pengaturan!$B$10)</f>
        <v/>
      </c>
      <c r="AN199" s="22" t="str">
        <f aca="false">IF(X199="","",N(G199)-AM199)</f>
        <v/>
      </c>
      <c r="AO199" s="25" t="str">
        <f aca="false">IF(OR(X199="",N(G199)=0),"",AN199/G199)</f>
        <v/>
      </c>
    </row>
    <row r="200" customFormat="false" ht="15" hidden="false" customHeight="false" outlineLevel="0" collapsed="false">
      <c r="A200" s="19"/>
      <c r="B200" s="20"/>
      <c r="C200" s="19"/>
      <c r="D200" s="19"/>
      <c r="E200" s="19"/>
      <c r="F200" s="19"/>
      <c r="G200" s="21"/>
      <c r="H200" s="19"/>
      <c r="I200" s="21"/>
      <c r="J200" s="19"/>
      <c r="K200" s="20"/>
      <c r="L200" s="20"/>
      <c r="M200" s="19"/>
      <c r="N200" s="19"/>
      <c r="O200" s="20"/>
      <c r="P200" s="20"/>
      <c r="Q200" s="19"/>
      <c r="R200" s="22" t="str">
        <f aca="false">IF(A200="","",N(G200)+N(I200))</f>
        <v/>
      </c>
      <c r="S200" s="23" t="str">
        <f aca="false">IF(OR(K200="",O200=""),"",O200-K200)</f>
        <v/>
      </c>
      <c r="T200" s="23" t="str">
        <f aca="true">IF(AND(C200="Cetak",L200&lt;&gt;"",L200&lt;TODAY()),"YA","")</f>
        <v/>
      </c>
      <c r="U200" s="23" t="str">
        <f aca="false">IF(B200="","",TEXT(B200,"yyyy-mm"))</f>
        <v/>
      </c>
      <c r="V200" s="23" t="str">
        <f aca="false">IF(K200="","",TEXT(K200,"yyyy-mm"))</f>
        <v/>
      </c>
      <c r="W200" s="23" t="n">
        <f aca="false">IF(OR(C200="Cetak",C200="Dikirim",C200="Selesai"),1,0)</f>
        <v>0</v>
      </c>
      <c r="X200" s="23" t="str">
        <f aca="false">IF(F200="","",SUBSTITUTE(SUBSTITUTE(MID(UPPER(TRIM(F200)),4,99),"-LED",""),"-TK",""))</f>
        <v/>
      </c>
      <c r="Y200" s="23" t="str">
        <f aca="false">IF(X200="","",(LEN(X200)+1)/7)</f>
        <v/>
      </c>
      <c r="Z200" s="23" t="str">
        <f aca="false">IF(X200="","",LEFT(X200,6))</f>
        <v/>
      </c>
      <c r="AA200" s="23" t="str">
        <f aca="false">IF(X200="","",IF(Y200&gt;=3,MID(X200,8,6),""))</f>
        <v/>
      </c>
      <c r="AB200" s="23" t="str">
        <f aca="false">IF(X200="","",IF(Y200&gt;=4,MID(X200,15,6),""))</f>
        <v/>
      </c>
      <c r="AC200" s="23" t="str">
        <f aca="false">IF(X200="","",IF(Y200&gt;=5,MID(X200,22,6),""))</f>
        <v/>
      </c>
      <c r="AD200" s="23" t="str">
        <f aca="false">IF(X200="","",RIGHT(X200,6))</f>
        <v/>
      </c>
      <c r="AE200" s="23" t="str">
        <f aca="false">IF(F200="","",IF(ISNUMBER(SEARCH("-TK",UPPER(F200))),0,1))</f>
        <v/>
      </c>
      <c r="AF200" s="23" t="str">
        <f aca="false">IF(F200="","",IF(ISNUMBER(SEARCH("-LED",UPPER(F200))),1,0))</f>
        <v/>
      </c>
      <c r="AG200" s="24" t="n">
        <f aca="false">IF(Z200="",0,IFERROR(INDEX(Resep!$C$5:$C$7,MATCH(LEFT(Z200,3),Resep!$B$5:$B$7,0)),0))</f>
        <v>0</v>
      </c>
      <c r="AH200" s="24" t="n">
        <f aca="false">IF(AA200="",0,IFERROR(INDEX(Resep!$C$9:$C$13,MATCH(LEFT(AA200,3),Resep!$B$9:$B$13,0)),0))</f>
        <v>0</v>
      </c>
      <c r="AI200" s="24" t="n">
        <f aca="false">IF(AB200="",0,IFERROR(INDEX(Resep!$C$9:$C$13,MATCH(LEFT(AB200,3),Resep!$B$9:$B$13,0)),0))</f>
        <v>0</v>
      </c>
      <c r="AJ200" s="24" t="n">
        <f aca="false">IF(AC200="",0,IFERROR(INDEX(Resep!$C$9:$C$13,MATCH(LEFT(AC200,3),Resep!$B$9:$B$13,0)),0))</f>
        <v>0</v>
      </c>
      <c r="AK200" s="24" t="n">
        <f aca="false">IF(AD200="",0,IFERROR(INDEX(Resep!$C$15:$C$18,MATCH(LEFT(AD200,3),Resep!$B$15:$B$18,0)),0))</f>
        <v>0</v>
      </c>
      <c r="AL200" s="24" t="str">
        <f aca="false">IF(X200="","",AG200+AH200+AI200+AJ200+AK200)</f>
        <v/>
      </c>
      <c r="AM200" s="22" t="str">
        <f aca="false">IF(X200="","",AL200*(Pengaturan!$B$6+Pengaturan!$B$7)+Pengaturan!$B$8+AE200*Pengaturan!$B$9+AF200*Pengaturan!$B$10)</f>
        <v/>
      </c>
      <c r="AN200" s="22" t="str">
        <f aca="false">IF(X200="","",N(G200)-AM200)</f>
        <v/>
      </c>
      <c r="AO200" s="25" t="str">
        <f aca="false">IF(OR(X200="",N(G200)=0),"",AN200/G200)</f>
        <v/>
      </c>
    </row>
    <row r="201" customFormat="false" ht="15" hidden="false" customHeight="false" outlineLevel="0" collapsed="false">
      <c r="A201" s="19"/>
      <c r="B201" s="20"/>
      <c r="C201" s="19"/>
      <c r="D201" s="19"/>
      <c r="E201" s="19"/>
      <c r="F201" s="19"/>
      <c r="G201" s="21"/>
      <c r="H201" s="19"/>
      <c r="I201" s="21"/>
      <c r="J201" s="19"/>
      <c r="K201" s="20"/>
      <c r="L201" s="20"/>
      <c r="M201" s="19"/>
      <c r="N201" s="19"/>
      <c r="O201" s="20"/>
      <c r="P201" s="20"/>
      <c r="Q201" s="19"/>
      <c r="R201" s="22" t="str">
        <f aca="false">IF(A201="","",N(G201)+N(I201))</f>
        <v/>
      </c>
      <c r="S201" s="23" t="str">
        <f aca="false">IF(OR(K201="",O201=""),"",O201-K201)</f>
        <v/>
      </c>
      <c r="T201" s="23" t="str">
        <f aca="true">IF(AND(C201="Cetak",L201&lt;&gt;"",L201&lt;TODAY()),"YA","")</f>
        <v/>
      </c>
      <c r="U201" s="23" t="str">
        <f aca="false">IF(B201="","",TEXT(B201,"yyyy-mm"))</f>
        <v/>
      </c>
      <c r="V201" s="23" t="str">
        <f aca="false">IF(K201="","",TEXT(K201,"yyyy-mm"))</f>
        <v/>
      </c>
      <c r="W201" s="23" t="n">
        <f aca="false">IF(OR(C201="Cetak",C201="Dikirim",C201="Selesai"),1,0)</f>
        <v>0</v>
      </c>
      <c r="X201" s="23" t="str">
        <f aca="false">IF(F201="","",SUBSTITUTE(SUBSTITUTE(MID(UPPER(TRIM(F201)),4,99),"-LED",""),"-TK",""))</f>
        <v/>
      </c>
      <c r="Y201" s="23" t="str">
        <f aca="false">IF(X201="","",(LEN(X201)+1)/7)</f>
        <v/>
      </c>
      <c r="Z201" s="23" t="str">
        <f aca="false">IF(X201="","",LEFT(X201,6))</f>
        <v/>
      </c>
      <c r="AA201" s="23" t="str">
        <f aca="false">IF(X201="","",IF(Y201&gt;=3,MID(X201,8,6),""))</f>
        <v/>
      </c>
      <c r="AB201" s="23" t="str">
        <f aca="false">IF(X201="","",IF(Y201&gt;=4,MID(X201,15,6),""))</f>
        <v/>
      </c>
      <c r="AC201" s="23" t="str">
        <f aca="false">IF(X201="","",IF(Y201&gt;=5,MID(X201,22,6),""))</f>
        <v/>
      </c>
      <c r="AD201" s="23" t="str">
        <f aca="false">IF(X201="","",RIGHT(X201,6))</f>
        <v/>
      </c>
      <c r="AE201" s="23" t="str">
        <f aca="false">IF(F201="","",IF(ISNUMBER(SEARCH("-TK",UPPER(F201))),0,1))</f>
        <v/>
      </c>
      <c r="AF201" s="23" t="str">
        <f aca="false">IF(F201="","",IF(ISNUMBER(SEARCH("-LED",UPPER(F201))),1,0))</f>
        <v/>
      </c>
      <c r="AG201" s="24" t="n">
        <f aca="false">IF(Z201="",0,IFERROR(INDEX(Resep!$C$5:$C$7,MATCH(LEFT(Z201,3),Resep!$B$5:$B$7,0)),0))</f>
        <v>0</v>
      </c>
      <c r="AH201" s="24" t="n">
        <f aca="false">IF(AA201="",0,IFERROR(INDEX(Resep!$C$9:$C$13,MATCH(LEFT(AA201,3),Resep!$B$9:$B$13,0)),0))</f>
        <v>0</v>
      </c>
      <c r="AI201" s="24" t="n">
        <f aca="false">IF(AB201="",0,IFERROR(INDEX(Resep!$C$9:$C$13,MATCH(LEFT(AB201,3),Resep!$B$9:$B$13,0)),0))</f>
        <v>0</v>
      </c>
      <c r="AJ201" s="24" t="n">
        <f aca="false">IF(AC201="",0,IFERROR(INDEX(Resep!$C$9:$C$13,MATCH(LEFT(AC201,3),Resep!$B$9:$B$13,0)),0))</f>
        <v>0</v>
      </c>
      <c r="AK201" s="24" t="n">
        <f aca="false">IF(AD201="",0,IFERROR(INDEX(Resep!$C$15:$C$18,MATCH(LEFT(AD201,3),Resep!$B$15:$B$18,0)),0))</f>
        <v>0</v>
      </c>
      <c r="AL201" s="24" t="str">
        <f aca="false">IF(X201="","",AG201+AH201+AI201+AJ201+AK201)</f>
        <v/>
      </c>
      <c r="AM201" s="22" t="str">
        <f aca="false">IF(X201="","",AL201*(Pengaturan!$B$6+Pengaturan!$B$7)+Pengaturan!$B$8+AE201*Pengaturan!$B$9+AF201*Pengaturan!$B$10)</f>
        <v/>
      </c>
      <c r="AN201" s="22" t="str">
        <f aca="false">IF(X201="","",N(G201)-AM201)</f>
        <v/>
      </c>
      <c r="AO201" s="25" t="str">
        <f aca="false">IF(OR(X201="",N(G201)=0),"",AN201/G201)</f>
        <v/>
      </c>
    </row>
    <row r="202" customFormat="false" ht="15" hidden="false" customHeight="false" outlineLevel="0" collapsed="false">
      <c r="A202" s="19"/>
      <c r="B202" s="20"/>
      <c r="C202" s="19"/>
      <c r="D202" s="19"/>
      <c r="E202" s="19"/>
      <c r="F202" s="19"/>
      <c r="G202" s="21"/>
      <c r="H202" s="19"/>
      <c r="I202" s="21"/>
      <c r="J202" s="19"/>
      <c r="K202" s="20"/>
      <c r="L202" s="20"/>
      <c r="M202" s="19"/>
      <c r="N202" s="19"/>
      <c r="O202" s="20"/>
      <c r="P202" s="20"/>
      <c r="Q202" s="19"/>
      <c r="R202" s="22" t="str">
        <f aca="false">IF(A202="","",N(G202)+N(I202))</f>
        <v/>
      </c>
      <c r="S202" s="23" t="str">
        <f aca="false">IF(OR(K202="",O202=""),"",O202-K202)</f>
        <v/>
      </c>
      <c r="T202" s="23" t="str">
        <f aca="true">IF(AND(C202="Cetak",L202&lt;&gt;"",L202&lt;TODAY()),"YA","")</f>
        <v/>
      </c>
      <c r="U202" s="23" t="str">
        <f aca="false">IF(B202="","",TEXT(B202,"yyyy-mm"))</f>
        <v/>
      </c>
      <c r="V202" s="23" t="str">
        <f aca="false">IF(K202="","",TEXT(K202,"yyyy-mm"))</f>
        <v/>
      </c>
      <c r="W202" s="23" t="n">
        <f aca="false">IF(OR(C202="Cetak",C202="Dikirim",C202="Selesai"),1,0)</f>
        <v>0</v>
      </c>
      <c r="X202" s="23" t="str">
        <f aca="false">IF(F202="","",SUBSTITUTE(SUBSTITUTE(MID(UPPER(TRIM(F202)),4,99),"-LED",""),"-TK",""))</f>
        <v/>
      </c>
      <c r="Y202" s="23" t="str">
        <f aca="false">IF(X202="","",(LEN(X202)+1)/7)</f>
        <v/>
      </c>
      <c r="Z202" s="23" t="str">
        <f aca="false">IF(X202="","",LEFT(X202,6))</f>
        <v/>
      </c>
      <c r="AA202" s="23" t="str">
        <f aca="false">IF(X202="","",IF(Y202&gt;=3,MID(X202,8,6),""))</f>
        <v/>
      </c>
      <c r="AB202" s="23" t="str">
        <f aca="false">IF(X202="","",IF(Y202&gt;=4,MID(X202,15,6),""))</f>
        <v/>
      </c>
      <c r="AC202" s="23" t="str">
        <f aca="false">IF(X202="","",IF(Y202&gt;=5,MID(X202,22,6),""))</f>
        <v/>
      </c>
      <c r="AD202" s="23" t="str">
        <f aca="false">IF(X202="","",RIGHT(X202,6))</f>
        <v/>
      </c>
      <c r="AE202" s="23" t="str">
        <f aca="false">IF(F202="","",IF(ISNUMBER(SEARCH("-TK",UPPER(F202))),0,1))</f>
        <v/>
      </c>
      <c r="AF202" s="23" t="str">
        <f aca="false">IF(F202="","",IF(ISNUMBER(SEARCH("-LED",UPPER(F202))),1,0))</f>
        <v/>
      </c>
      <c r="AG202" s="24" t="n">
        <f aca="false">IF(Z202="",0,IFERROR(INDEX(Resep!$C$5:$C$7,MATCH(LEFT(Z202,3),Resep!$B$5:$B$7,0)),0))</f>
        <v>0</v>
      </c>
      <c r="AH202" s="24" t="n">
        <f aca="false">IF(AA202="",0,IFERROR(INDEX(Resep!$C$9:$C$13,MATCH(LEFT(AA202,3),Resep!$B$9:$B$13,0)),0))</f>
        <v>0</v>
      </c>
      <c r="AI202" s="24" t="n">
        <f aca="false">IF(AB202="",0,IFERROR(INDEX(Resep!$C$9:$C$13,MATCH(LEFT(AB202,3),Resep!$B$9:$B$13,0)),0))</f>
        <v>0</v>
      </c>
      <c r="AJ202" s="24" t="n">
        <f aca="false">IF(AC202="",0,IFERROR(INDEX(Resep!$C$9:$C$13,MATCH(LEFT(AC202,3),Resep!$B$9:$B$13,0)),0))</f>
        <v>0</v>
      </c>
      <c r="AK202" s="24" t="n">
        <f aca="false">IF(AD202="",0,IFERROR(INDEX(Resep!$C$15:$C$18,MATCH(LEFT(AD202,3),Resep!$B$15:$B$18,0)),0))</f>
        <v>0</v>
      </c>
      <c r="AL202" s="24" t="str">
        <f aca="false">IF(X202="","",AG202+AH202+AI202+AJ202+AK202)</f>
        <v/>
      </c>
      <c r="AM202" s="22" t="str">
        <f aca="false">IF(X202="","",AL202*(Pengaturan!$B$6+Pengaturan!$B$7)+Pengaturan!$B$8+AE202*Pengaturan!$B$9+AF202*Pengaturan!$B$10)</f>
        <v/>
      </c>
      <c r="AN202" s="22" t="str">
        <f aca="false">IF(X202="","",N(G202)-AM202)</f>
        <v/>
      </c>
      <c r="AO202" s="25" t="str">
        <f aca="false">IF(OR(X202="",N(G202)=0),"",AN202/G202)</f>
        <v/>
      </c>
    </row>
    <row r="203" customFormat="false" ht="15" hidden="false" customHeight="false" outlineLevel="0" collapsed="false">
      <c r="A203" s="19"/>
      <c r="B203" s="20"/>
      <c r="C203" s="19"/>
      <c r="D203" s="19"/>
      <c r="E203" s="19"/>
      <c r="F203" s="19"/>
      <c r="G203" s="21"/>
      <c r="H203" s="19"/>
      <c r="I203" s="21"/>
      <c r="J203" s="19"/>
      <c r="K203" s="20"/>
      <c r="L203" s="20"/>
      <c r="M203" s="19"/>
      <c r="N203" s="19"/>
      <c r="O203" s="20"/>
      <c r="P203" s="20"/>
      <c r="Q203" s="19"/>
      <c r="R203" s="22" t="str">
        <f aca="false">IF(A203="","",N(G203)+N(I203))</f>
        <v/>
      </c>
      <c r="S203" s="23" t="str">
        <f aca="false">IF(OR(K203="",O203=""),"",O203-K203)</f>
        <v/>
      </c>
      <c r="T203" s="23" t="str">
        <f aca="true">IF(AND(C203="Cetak",L203&lt;&gt;"",L203&lt;TODAY()),"YA","")</f>
        <v/>
      </c>
      <c r="U203" s="23" t="str">
        <f aca="false">IF(B203="","",TEXT(B203,"yyyy-mm"))</f>
        <v/>
      </c>
      <c r="V203" s="23" t="str">
        <f aca="false">IF(K203="","",TEXT(K203,"yyyy-mm"))</f>
        <v/>
      </c>
      <c r="W203" s="23" t="n">
        <f aca="false">IF(OR(C203="Cetak",C203="Dikirim",C203="Selesai"),1,0)</f>
        <v>0</v>
      </c>
      <c r="X203" s="23" t="str">
        <f aca="false">IF(F203="","",SUBSTITUTE(SUBSTITUTE(MID(UPPER(TRIM(F203)),4,99),"-LED",""),"-TK",""))</f>
        <v/>
      </c>
      <c r="Y203" s="23" t="str">
        <f aca="false">IF(X203="","",(LEN(X203)+1)/7)</f>
        <v/>
      </c>
      <c r="Z203" s="23" t="str">
        <f aca="false">IF(X203="","",LEFT(X203,6))</f>
        <v/>
      </c>
      <c r="AA203" s="23" t="str">
        <f aca="false">IF(X203="","",IF(Y203&gt;=3,MID(X203,8,6),""))</f>
        <v/>
      </c>
      <c r="AB203" s="23" t="str">
        <f aca="false">IF(X203="","",IF(Y203&gt;=4,MID(X203,15,6),""))</f>
        <v/>
      </c>
      <c r="AC203" s="23" t="str">
        <f aca="false">IF(X203="","",IF(Y203&gt;=5,MID(X203,22,6),""))</f>
        <v/>
      </c>
      <c r="AD203" s="23" t="str">
        <f aca="false">IF(X203="","",RIGHT(X203,6))</f>
        <v/>
      </c>
      <c r="AE203" s="23" t="str">
        <f aca="false">IF(F203="","",IF(ISNUMBER(SEARCH("-TK",UPPER(F203))),0,1))</f>
        <v/>
      </c>
      <c r="AF203" s="23" t="str">
        <f aca="false">IF(F203="","",IF(ISNUMBER(SEARCH("-LED",UPPER(F203))),1,0))</f>
        <v/>
      </c>
      <c r="AG203" s="24" t="n">
        <f aca="false">IF(Z203="",0,IFERROR(INDEX(Resep!$C$5:$C$7,MATCH(LEFT(Z203,3),Resep!$B$5:$B$7,0)),0))</f>
        <v>0</v>
      </c>
      <c r="AH203" s="24" t="n">
        <f aca="false">IF(AA203="",0,IFERROR(INDEX(Resep!$C$9:$C$13,MATCH(LEFT(AA203,3),Resep!$B$9:$B$13,0)),0))</f>
        <v>0</v>
      </c>
      <c r="AI203" s="24" t="n">
        <f aca="false">IF(AB203="",0,IFERROR(INDEX(Resep!$C$9:$C$13,MATCH(LEFT(AB203,3),Resep!$B$9:$B$13,0)),0))</f>
        <v>0</v>
      </c>
      <c r="AJ203" s="24" t="n">
        <f aca="false">IF(AC203="",0,IFERROR(INDEX(Resep!$C$9:$C$13,MATCH(LEFT(AC203,3),Resep!$B$9:$B$13,0)),0))</f>
        <v>0</v>
      </c>
      <c r="AK203" s="24" t="n">
        <f aca="false">IF(AD203="",0,IFERROR(INDEX(Resep!$C$15:$C$18,MATCH(LEFT(AD203,3),Resep!$B$15:$B$18,0)),0))</f>
        <v>0</v>
      </c>
      <c r="AL203" s="24" t="str">
        <f aca="false">IF(X203="","",AG203+AH203+AI203+AJ203+AK203)</f>
        <v/>
      </c>
      <c r="AM203" s="22" t="str">
        <f aca="false">IF(X203="","",AL203*(Pengaturan!$B$6+Pengaturan!$B$7)+Pengaturan!$B$8+AE203*Pengaturan!$B$9+AF203*Pengaturan!$B$10)</f>
        <v/>
      </c>
      <c r="AN203" s="22" t="str">
        <f aca="false">IF(X203="","",N(G203)-AM203)</f>
        <v/>
      </c>
      <c r="AO203" s="25" t="str">
        <f aca="false">IF(OR(X203="",N(G203)=0),"",AN203/G203)</f>
        <v/>
      </c>
    </row>
    <row r="204" customFormat="false" ht="15" hidden="false" customHeight="false" outlineLevel="0" collapsed="false">
      <c r="A204" s="19"/>
      <c r="B204" s="20"/>
      <c r="C204" s="19"/>
      <c r="D204" s="19"/>
      <c r="E204" s="19"/>
      <c r="F204" s="19"/>
      <c r="G204" s="21"/>
      <c r="H204" s="19"/>
      <c r="I204" s="21"/>
      <c r="J204" s="19"/>
      <c r="K204" s="20"/>
      <c r="L204" s="20"/>
      <c r="M204" s="19"/>
      <c r="N204" s="19"/>
      <c r="O204" s="20"/>
      <c r="P204" s="20"/>
      <c r="Q204" s="19"/>
      <c r="R204" s="22" t="str">
        <f aca="false">IF(A204="","",N(G204)+N(I204))</f>
        <v/>
      </c>
      <c r="S204" s="23" t="str">
        <f aca="false">IF(OR(K204="",O204=""),"",O204-K204)</f>
        <v/>
      </c>
      <c r="T204" s="23" t="str">
        <f aca="true">IF(AND(C204="Cetak",L204&lt;&gt;"",L204&lt;TODAY()),"YA","")</f>
        <v/>
      </c>
      <c r="U204" s="23" t="str">
        <f aca="false">IF(B204="","",TEXT(B204,"yyyy-mm"))</f>
        <v/>
      </c>
      <c r="V204" s="23" t="str">
        <f aca="false">IF(K204="","",TEXT(K204,"yyyy-mm"))</f>
        <v/>
      </c>
      <c r="W204" s="23" t="n">
        <f aca="false">IF(OR(C204="Cetak",C204="Dikirim",C204="Selesai"),1,0)</f>
        <v>0</v>
      </c>
      <c r="X204" s="23" t="str">
        <f aca="false">IF(F204="","",SUBSTITUTE(SUBSTITUTE(MID(UPPER(TRIM(F204)),4,99),"-LED",""),"-TK",""))</f>
        <v/>
      </c>
      <c r="Y204" s="23" t="str">
        <f aca="false">IF(X204="","",(LEN(X204)+1)/7)</f>
        <v/>
      </c>
      <c r="Z204" s="23" t="str">
        <f aca="false">IF(X204="","",LEFT(X204,6))</f>
        <v/>
      </c>
      <c r="AA204" s="23" t="str">
        <f aca="false">IF(X204="","",IF(Y204&gt;=3,MID(X204,8,6),""))</f>
        <v/>
      </c>
      <c r="AB204" s="23" t="str">
        <f aca="false">IF(X204="","",IF(Y204&gt;=4,MID(X204,15,6),""))</f>
        <v/>
      </c>
      <c r="AC204" s="23" t="str">
        <f aca="false">IF(X204="","",IF(Y204&gt;=5,MID(X204,22,6),""))</f>
        <v/>
      </c>
      <c r="AD204" s="23" t="str">
        <f aca="false">IF(X204="","",RIGHT(X204,6))</f>
        <v/>
      </c>
      <c r="AE204" s="23" t="str">
        <f aca="false">IF(F204="","",IF(ISNUMBER(SEARCH("-TK",UPPER(F204))),0,1))</f>
        <v/>
      </c>
      <c r="AF204" s="23" t="str">
        <f aca="false">IF(F204="","",IF(ISNUMBER(SEARCH("-LED",UPPER(F204))),1,0))</f>
        <v/>
      </c>
      <c r="AG204" s="24" t="n">
        <f aca="false">IF(Z204="",0,IFERROR(INDEX(Resep!$C$5:$C$7,MATCH(LEFT(Z204,3),Resep!$B$5:$B$7,0)),0))</f>
        <v>0</v>
      </c>
      <c r="AH204" s="24" t="n">
        <f aca="false">IF(AA204="",0,IFERROR(INDEX(Resep!$C$9:$C$13,MATCH(LEFT(AA204,3),Resep!$B$9:$B$13,0)),0))</f>
        <v>0</v>
      </c>
      <c r="AI204" s="24" t="n">
        <f aca="false">IF(AB204="",0,IFERROR(INDEX(Resep!$C$9:$C$13,MATCH(LEFT(AB204,3),Resep!$B$9:$B$13,0)),0))</f>
        <v>0</v>
      </c>
      <c r="AJ204" s="24" t="n">
        <f aca="false">IF(AC204="",0,IFERROR(INDEX(Resep!$C$9:$C$13,MATCH(LEFT(AC204,3),Resep!$B$9:$B$13,0)),0))</f>
        <v>0</v>
      </c>
      <c r="AK204" s="24" t="n">
        <f aca="false">IF(AD204="",0,IFERROR(INDEX(Resep!$C$15:$C$18,MATCH(LEFT(AD204,3),Resep!$B$15:$B$18,0)),0))</f>
        <v>0</v>
      </c>
      <c r="AL204" s="24" t="str">
        <f aca="false">IF(X204="","",AG204+AH204+AI204+AJ204+AK204)</f>
        <v/>
      </c>
      <c r="AM204" s="22" t="str">
        <f aca="false">IF(X204="","",AL204*(Pengaturan!$B$6+Pengaturan!$B$7)+Pengaturan!$B$8+AE204*Pengaturan!$B$9+AF204*Pengaturan!$B$10)</f>
        <v/>
      </c>
      <c r="AN204" s="22" t="str">
        <f aca="false">IF(X204="","",N(G204)-AM204)</f>
        <v/>
      </c>
      <c r="AO204" s="25" t="str">
        <f aca="false">IF(OR(X204="",N(G204)=0),"",AN204/G204)</f>
        <v/>
      </c>
    </row>
    <row r="205" customFormat="false" ht="15" hidden="false" customHeight="false" outlineLevel="0" collapsed="false">
      <c r="A205" s="19"/>
      <c r="B205" s="20"/>
      <c r="C205" s="19"/>
      <c r="D205" s="19"/>
      <c r="E205" s="19"/>
      <c r="F205" s="19"/>
      <c r="G205" s="21"/>
      <c r="H205" s="19"/>
      <c r="I205" s="21"/>
      <c r="J205" s="19"/>
      <c r="K205" s="20"/>
      <c r="L205" s="20"/>
      <c r="M205" s="19"/>
      <c r="N205" s="19"/>
      <c r="O205" s="20"/>
      <c r="P205" s="20"/>
      <c r="Q205" s="19"/>
      <c r="R205" s="22" t="str">
        <f aca="false">IF(A205="","",N(G205)+N(I205))</f>
        <v/>
      </c>
      <c r="S205" s="23" t="str">
        <f aca="false">IF(OR(K205="",O205=""),"",O205-K205)</f>
        <v/>
      </c>
      <c r="T205" s="23" t="str">
        <f aca="true">IF(AND(C205="Cetak",L205&lt;&gt;"",L205&lt;TODAY()),"YA","")</f>
        <v/>
      </c>
      <c r="U205" s="23" t="str">
        <f aca="false">IF(B205="","",TEXT(B205,"yyyy-mm"))</f>
        <v/>
      </c>
      <c r="V205" s="23" t="str">
        <f aca="false">IF(K205="","",TEXT(K205,"yyyy-mm"))</f>
        <v/>
      </c>
      <c r="W205" s="23" t="n">
        <f aca="false">IF(OR(C205="Cetak",C205="Dikirim",C205="Selesai"),1,0)</f>
        <v>0</v>
      </c>
      <c r="X205" s="23" t="str">
        <f aca="false">IF(F205="","",SUBSTITUTE(SUBSTITUTE(MID(UPPER(TRIM(F205)),4,99),"-LED",""),"-TK",""))</f>
        <v/>
      </c>
      <c r="Y205" s="23" t="str">
        <f aca="false">IF(X205="","",(LEN(X205)+1)/7)</f>
        <v/>
      </c>
      <c r="Z205" s="23" t="str">
        <f aca="false">IF(X205="","",LEFT(X205,6))</f>
        <v/>
      </c>
      <c r="AA205" s="23" t="str">
        <f aca="false">IF(X205="","",IF(Y205&gt;=3,MID(X205,8,6),""))</f>
        <v/>
      </c>
      <c r="AB205" s="23" t="str">
        <f aca="false">IF(X205="","",IF(Y205&gt;=4,MID(X205,15,6),""))</f>
        <v/>
      </c>
      <c r="AC205" s="23" t="str">
        <f aca="false">IF(X205="","",IF(Y205&gt;=5,MID(X205,22,6),""))</f>
        <v/>
      </c>
      <c r="AD205" s="23" t="str">
        <f aca="false">IF(X205="","",RIGHT(X205,6))</f>
        <v/>
      </c>
      <c r="AE205" s="23" t="str">
        <f aca="false">IF(F205="","",IF(ISNUMBER(SEARCH("-TK",UPPER(F205))),0,1))</f>
        <v/>
      </c>
      <c r="AF205" s="23" t="str">
        <f aca="false">IF(F205="","",IF(ISNUMBER(SEARCH("-LED",UPPER(F205))),1,0))</f>
        <v/>
      </c>
      <c r="AG205" s="24" t="n">
        <f aca="false">IF(Z205="",0,IFERROR(INDEX(Resep!$C$5:$C$7,MATCH(LEFT(Z205,3),Resep!$B$5:$B$7,0)),0))</f>
        <v>0</v>
      </c>
      <c r="AH205" s="24" t="n">
        <f aca="false">IF(AA205="",0,IFERROR(INDEX(Resep!$C$9:$C$13,MATCH(LEFT(AA205,3),Resep!$B$9:$B$13,0)),0))</f>
        <v>0</v>
      </c>
      <c r="AI205" s="24" t="n">
        <f aca="false">IF(AB205="",0,IFERROR(INDEX(Resep!$C$9:$C$13,MATCH(LEFT(AB205,3),Resep!$B$9:$B$13,0)),0))</f>
        <v>0</v>
      </c>
      <c r="AJ205" s="24" t="n">
        <f aca="false">IF(AC205="",0,IFERROR(INDEX(Resep!$C$9:$C$13,MATCH(LEFT(AC205,3),Resep!$B$9:$B$13,0)),0))</f>
        <v>0</v>
      </c>
      <c r="AK205" s="24" t="n">
        <f aca="false">IF(AD205="",0,IFERROR(INDEX(Resep!$C$15:$C$18,MATCH(LEFT(AD205,3),Resep!$B$15:$B$18,0)),0))</f>
        <v>0</v>
      </c>
      <c r="AL205" s="24" t="str">
        <f aca="false">IF(X205="","",AG205+AH205+AI205+AJ205+AK205)</f>
        <v/>
      </c>
      <c r="AM205" s="22" t="str">
        <f aca="false">IF(X205="","",AL205*(Pengaturan!$B$6+Pengaturan!$B$7)+Pengaturan!$B$8+AE205*Pengaturan!$B$9+AF205*Pengaturan!$B$10)</f>
        <v/>
      </c>
      <c r="AN205" s="22" t="str">
        <f aca="false">IF(X205="","",N(G205)-AM205)</f>
        <v/>
      </c>
      <c r="AO205" s="25" t="str">
        <f aca="false">IF(OR(X205="",N(G205)=0),"",AN205/G205)</f>
        <v/>
      </c>
    </row>
    <row r="206" customFormat="false" ht="15" hidden="false" customHeight="false" outlineLevel="0" collapsed="false">
      <c r="A206" s="19"/>
      <c r="B206" s="20"/>
      <c r="C206" s="19"/>
      <c r="D206" s="19"/>
      <c r="E206" s="19"/>
      <c r="F206" s="19"/>
      <c r="G206" s="21"/>
      <c r="H206" s="19"/>
      <c r="I206" s="21"/>
      <c r="J206" s="19"/>
      <c r="K206" s="20"/>
      <c r="L206" s="20"/>
      <c r="M206" s="19"/>
      <c r="N206" s="19"/>
      <c r="O206" s="20"/>
      <c r="P206" s="20"/>
      <c r="Q206" s="19"/>
      <c r="R206" s="22" t="str">
        <f aca="false">IF(A206="","",N(G206)+N(I206))</f>
        <v/>
      </c>
      <c r="S206" s="23" t="str">
        <f aca="false">IF(OR(K206="",O206=""),"",O206-K206)</f>
        <v/>
      </c>
      <c r="T206" s="23" t="str">
        <f aca="true">IF(AND(C206="Cetak",L206&lt;&gt;"",L206&lt;TODAY()),"YA","")</f>
        <v/>
      </c>
      <c r="U206" s="23" t="str">
        <f aca="false">IF(B206="","",TEXT(B206,"yyyy-mm"))</f>
        <v/>
      </c>
      <c r="V206" s="23" t="str">
        <f aca="false">IF(K206="","",TEXT(K206,"yyyy-mm"))</f>
        <v/>
      </c>
      <c r="W206" s="23" t="n">
        <f aca="false">IF(OR(C206="Cetak",C206="Dikirim",C206="Selesai"),1,0)</f>
        <v>0</v>
      </c>
      <c r="X206" s="23" t="str">
        <f aca="false">IF(F206="","",SUBSTITUTE(SUBSTITUTE(MID(UPPER(TRIM(F206)),4,99),"-LED",""),"-TK",""))</f>
        <v/>
      </c>
      <c r="Y206" s="23" t="str">
        <f aca="false">IF(X206="","",(LEN(X206)+1)/7)</f>
        <v/>
      </c>
      <c r="Z206" s="23" t="str">
        <f aca="false">IF(X206="","",LEFT(X206,6))</f>
        <v/>
      </c>
      <c r="AA206" s="23" t="str">
        <f aca="false">IF(X206="","",IF(Y206&gt;=3,MID(X206,8,6),""))</f>
        <v/>
      </c>
      <c r="AB206" s="23" t="str">
        <f aca="false">IF(X206="","",IF(Y206&gt;=4,MID(X206,15,6),""))</f>
        <v/>
      </c>
      <c r="AC206" s="23" t="str">
        <f aca="false">IF(X206="","",IF(Y206&gt;=5,MID(X206,22,6),""))</f>
        <v/>
      </c>
      <c r="AD206" s="23" t="str">
        <f aca="false">IF(X206="","",RIGHT(X206,6))</f>
        <v/>
      </c>
      <c r="AE206" s="23" t="str">
        <f aca="false">IF(F206="","",IF(ISNUMBER(SEARCH("-TK",UPPER(F206))),0,1))</f>
        <v/>
      </c>
      <c r="AF206" s="23" t="str">
        <f aca="false">IF(F206="","",IF(ISNUMBER(SEARCH("-LED",UPPER(F206))),1,0))</f>
        <v/>
      </c>
      <c r="AG206" s="24" t="n">
        <f aca="false">IF(Z206="",0,IFERROR(INDEX(Resep!$C$5:$C$7,MATCH(LEFT(Z206,3),Resep!$B$5:$B$7,0)),0))</f>
        <v>0</v>
      </c>
      <c r="AH206" s="24" t="n">
        <f aca="false">IF(AA206="",0,IFERROR(INDEX(Resep!$C$9:$C$13,MATCH(LEFT(AA206,3),Resep!$B$9:$B$13,0)),0))</f>
        <v>0</v>
      </c>
      <c r="AI206" s="24" t="n">
        <f aca="false">IF(AB206="",0,IFERROR(INDEX(Resep!$C$9:$C$13,MATCH(LEFT(AB206,3),Resep!$B$9:$B$13,0)),0))</f>
        <v>0</v>
      </c>
      <c r="AJ206" s="24" t="n">
        <f aca="false">IF(AC206="",0,IFERROR(INDEX(Resep!$C$9:$C$13,MATCH(LEFT(AC206,3),Resep!$B$9:$B$13,0)),0))</f>
        <v>0</v>
      </c>
      <c r="AK206" s="24" t="n">
        <f aca="false">IF(AD206="",0,IFERROR(INDEX(Resep!$C$15:$C$18,MATCH(LEFT(AD206,3),Resep!$B$15:$B$18,0)),0))</f>
        <v>0</v>
      </c>
      <c r="AL206" s="24" t="str">
        <f aca="false">IF(X206="","",AG206+AH206+AI206+AJ206+AK206)</f>
        <v/>
      </c>
      <c r="AM206" s="22" t="str">
        <f aca="false">IF(X206="","",AL206*(Pengaturan!$B$6+Pengaturan!$B$7)+Pengaturan!$B$8+AE206*Pengaturan!$B$9+AF206*Pengaturan!$B$10)</f>
        <v/>
      </c>
      <c r="AN206" s="22" t="str">
        <f aca="false">IF(X206="","",N(G206)-AM206)</f>
        <v/>
      </c>
      <c r="AO206" s="25" t="str">
        <f aca="false">IF(OR(X206="",N(G206)=0),"",AN206/G206)</f>
        <v/>
      </c>
    </row>
    <row r="207" customFormat="false" ht="15" hidden="false" customHeight="false" outlineLevel="0" collapsed="false">
      <c r="A207" s="19"/>
      <c r="B207" s="20"/>
      <c r="C207" s="19"/>
      <c r="D207" s="19"/>
      <c r="E207" s="19"/>
      <c r="F207" s="19"/>
      <c r="G207" s="21"/>
      <c r="H207" s="19"/>
      <c r="I207" s="21"/>
      <c r="J207" s="19"/>
      <c r="K207" s="20"/>
      <c r="L207" s="20"/>
      <c r="M207" s="19"/>
      <c r="N207" s="19"/>
      <c r="O207" s="20"/>
      <c r="P207" s="20"/>
      <c r="Q207" s="19"/>
      <c r="R207" s="22" t="str">
        <f aca="false">IF(A207="","",N(G207)+N(I207))</f>
        <v/>
      </c>
      <c r="S207" s="23" t="str">
        <f aca="false">IF(OR(K207="",O207=""),"",O207-K207)</f>
        <v/>
      </c>
      <c r="T207" s="23" t="str">
        <f aca="true">IF(AND(C207="Cetak",L207&lt;&gt;"",L207&lt;TODAY()),"YA","")</f>
        <v/>
      </c>
      <c r="U207" s="23" t="str">
        <f aca="false">IF(B207="","",TEXT(B207,"yyyy-mm"))</f>
        <v/>
      </c>
      <c r="V207" s="23" t="str">
        <f aca="false">IF(K207="","",TEXT(K207,"yyyy-mm"))</f>
        <v/>
      </c>
      <c r="W207" s="23" t="n">
        <f aca="false">IF(OR(C207="Cetak",C207="Dikirim",C207="Selesai"),1,0)</f>
        <v>0</v>
      </c>
      <c r="X207" s="23" t="str">
        <f aca="false">IF(F207="","",SUBSTITUTE(SUBSTITUTE(MID(UPPER(TRIM(F207)),4,99),"-LED",""),"-TK",""))</f>
        <v/>
      </c>
      <c r="Y207" s="23" t="str">
        <f aca="false">IF(X207="","",(LEN(X207)+1)/7)</f>
        <v/>
      </c>
      <c r="Z207" s="23" t="str">
        <f aca="false">IF(X207="","",LEFT(X207,6))</f>
        <v/>
      </c>
      <c r="AA207" s="23" t="str">
        <f aca="false">IF(X207="","",IF(Y207&gt;=3,MID(X207,8,6),""))</f>
        <v/>
      </c>
      <c r="AB207" s="23" t="str">
        <f aca="false">IF(X207="","",IF(Y207&gt;=4,MID(X207,15,6),""))</f>
        <v/>
      </c>
      <c r="AC207" s="23" t="str">
        <f aca="false">IF(X207="","",IF(Y207&gt;=5,MID(X207,22,6),""))</f>
        <v/>
      </c>
      <c r="AD207" s="23" t="str">
        <f aca="false">IF(X207="","",RIGHT(X207,6))</f>
        <v/>
      </c>
      <c r="AE207" s="23" t="str">
        <f aca="false">IF(F207="","",IF(ISNUMBER(SEARCH("-TK",UPPER(F207))),0,1))</f>
        <v/>
      </c>
      <c r="AF207" s="23" t="str">
        <f aca="false">IF(F207="","",IF(ISNUMBER(SEARCH("-LED",UPPER(F207))),1,0))</f>
        <v/>
      </c>
      <c r="AG207" s="24" t="n">
        <f aca="false">IF(Z207="",0,IFERROR(INDEX(Resep!$C$5:$C$7,MATCH(LEFT(Z207,3),Resep!$B$5:$B$7,0)),0))</f>
        <v>0</v>
      </c>
      <c r="AH207" s="24" t="n">
        <f aca="false">IF(AA207="",0,IFERROR(INDEX(Resep!$C$9:$C$13,MATCH(LEFT(AA207,3),Resep!$B$9:$B$13,0)),0))</f>
        <v>0</v>
      </c>
      <c r="AI207" s="24" t="n">
        <f aca="false">IF(AB207="",0,IFERROR(INDEX(Resep!$C$9:$C$13,MATCH(LEFT(AB207,3),Resep!$B$9:$B$13,0)),0))</f>
        <v>0</v>
      </c>
      <c r="AJ207" s="24" t="n">
        <f aca="false">IF(AC207="",0,IFERROR(INDEX(Resep!$C$9:$C$13,MATCH(LEFT(AC207,3),Resep!$B$9:$B$13,0)),0))</f>
        <v>0</v>
      </c>
      <c r="AK207" s="24" t="n">
        <f aca="false">IF(AD207="",0,IFERROR(INDEX(Resep!$C$15:$C$18,MATCH(LEFT(AD207,3),Resep!$B$15:$B$18,0)),0))</f>
        <v>0</v>
      </c>
      <c r="AL207" s="24" t="str">
        <f aca="false">IF(X207="","",AG207+AH207+AI207+AJ207+AK207)</f>
        <v/>
      </c>
      <c r="AM207" s="22" t="str">
        <f aca="false">IF(X207="","",AL207*(Pengaturan!$B$6+Pengaturan!$B$7)+Pengaturan!$B$8+AE207*Pengaturan!$B$9+AF207*Pengaturan!$B$10)</f>
        <v/>
      </c>
      <c r="AN207" s="22" t="str">
        <f aca="false">IF(X207="","",N(G207)-AM207)</f>
        <v/>
      </c>
      <c r="AO207" s="25" t="str">
        <f aca="false">IF(OR(X207="",N(G207)=0),"",AN207/G207)</f>
        <v/>
      </c>
    </row>
    <row r="208" customFormat="false" ht="15" hidden="false" customHeight="false" outlineLevel="0" collapsed="false">
      <c r="A208" s="19"/>
      <c r="B208" s="20"/>
      <c r="C208" s="19"/>
      <c r="D208" s="19"/>
      <c r="E208" s="19"/>
      <c r="F208" s="19"/>
      <c r="G208" s="21"/>
      <c r="H208" s="19"/>
      <c r="I208" s="21"/>
      <c r="J208" s="19"/>
      <c r="K208" s="20"/>
      <c r="L208" s="20"/>
      <c r="M208" s="19"/>
      <c r="N208" s="19"/>
      <c r="O208" s="20"/>
      <c r="P208" s="20"/>
      <c r="Q208" s="19"/>
      <c r="R208" s="22" t="str">
        <f aca="false">IF(A208="","",N(G208)+N(I208))</f>
        <v/>
      </c>
      <c r="S208" s="23" t="str">
        <f aca="false">IF(OR(K208="",O208=""),"",O208-K208)</f>
        <v/>
      </c>
      <c r="T208" s="23" t="str">
        <f aca="true">IF(AND(C208="Cetak",L208&lt;&gt;"",L208&lt;TODAY()),"YA","")</f>
        <v/>
      </c>
      <c r="U208" s="23" t="str">
        <f aca="false">IF(B208="","",TEXT(B208,"yyyy-mm"))</f>
        <v/>
      </c>
      <c r="V208" s="23" t="str">
        <f aca="false">IF(K208="","",TEXT(K208,"yyyy-mm"))</f>
        <v/>
      </c>
      <c r="W208" s="23" t="n">
        <f aca="false">IF(OR(C208="Cetak",C208="Dikirim",C208="Selesai"),1,0)</f>
        <v>0</v>
      </c>
      <c r="X208" s="23" t="str">
        <f aca="false">IF(F208="","",SUBSTITUTE(SUBSTITUTE(MID(UPPER(TRIM(F208)),4,99),"-LED",""),"-TK",""))</f>
        <v/>
      </c>
      <c r="Y208" s="23" t="str">
        <f aca="false">IF(X208="","",(LEN(X208)+1)/7)</f>
        <v/>
      </c>
      <c r="Z208" s="23" t="str">
        <f aca="false">IF(X208="","",LEFT(X208,6))</f>
        <v/>
      </c>
      <c r="AA208" s="23" t="str">
        <f aca="false">IF(X208="","",IF(Y208&gt;=3,MID(X208,8,6),""))</f>
        <v/>
      </c>
      <c r="AB208" s="23" t="str">
        <f aca="false">IF(X208="","",IF(Y208&gt;=4,MID(X208,15,6),""))</f>
        <v/>
      </c>
      <c r="AC208" s="23" t="str">
        <f aca="false">IF(X208="","",IF(Y208&gt;=5,MID(X208,22,6),""))</f>
        <v/>
      </c>
      <c r="AD208" s="23" t="str">
        <f aca="false">IF(X208="","",RIGHT(X208,6))</f>
        <v/>
      </c>
      <c r="AE208" s="23" t="str">
        <f aca="false">IF(F208="","",IF(ISNUMBER(SEARCH("-TK",UPPER(F208))),0,1))</f>
        <v/>
      </c>
      <c r="AF208" s="23" t="str">
        <f aca="false">IF(F208="","",IF(ISNUMBER(SEARCH("-LED",UPPER(F208))),1,0))</f>
        <v/>
      </c>
      <c r="AG208" s="24" t="n">
        <f aca="false">IF(Z208="",0,IFERROR(INDEX(Resep!$C$5:$C$7,MATCH(LEFT(Z208,3),Resep!$B$5:$B$7,0)),0))</f>
        <v>0</v>
      </c>
      <c r="AH208" s="24" t="n">
        <f aca="false">IF(AA208="",0,IFERROR(INDEX(Resep!$C$9:$C$13,MATCH(LEFT(AA208,3),Resep!$B$9:$B$13,0)),0))</f>
        <v>0</v>
      </c>
      <c r="AI208" s="24" t="n">
        <f aca="false">IF(AB208="",0,IFERROR(INDEX(Resep!$C$9:$C$13,MATCH(LEFT(AB208,3),Resep!$B$9:$B$13,0)),0))</f>
        <v>0</v>
      </c>
      <c r="AJ208" s="24" t="n">
        <f aca="false">IF(AC208="",0,IFERROR(INDEX(Resep!$C$9:$C$13,MATCH(LEFT(AC208,3),Resep!$B$9:$B$13,0)),0))</f>
        <v>0</v>
      </c>
      <c r="AK208" s="24" t="n">
        <f aca="false">IF(AD208="",0,IFERROR(INDEX(Resep!$C$15:$C$18,MATCH(LEFT(AD208,3),Resep!$B$15:$B$18,0)),0))</f>
        <v>0</v>
      </c>
      <c r="AL208" s="24" t="str">
        <f aca="false">IF(X208="","",AG208+AH208+AI208+AJ208+AK208)</f>
        <v/>
      </c>
      <c r="AM208" s="22" t="str">
        <f aca="false">IF(X208="","",AL208*(Pengaturan!$B$6+Pengaturan!$B$7)+Pengaturan!$B$8+AE208*Pengaturan!$B$9+AF208*Pengaturan!$B$10)</f>
        <v/>
      </c>
      <c r="AN208" s="22" t="str">
        <f aca="false">IF(X208="","",N(G208)-AM208)</f>
        <v/>
      </c>
      <c r="AO208" s="25" t="str">
        <f aca="false">IF(OR(X208="",N(G208)=0),"",AN208/G208)</f>
        <v/>
      </c>
    </row>
    <row r="209" customFormat="false" ht="15" hidden="false" customHeight="false" outlineLevel="0" collapsed="false">
      <c r="A209" s="19"/>
      <c r="B209" s="20"/>
      <c r="C209" s="19"/>
      <c r="D209" s="19"/>
      <c r="E209" s="19"/>
      <c r="F209" s="19"/>
      <c r="G209" s="21"/>
      <c r="H209" s="19"/>
      <c r="I209" s="21"/>
      <c r="J209" s="19"/>
      <c r="K209" s="20"/>
      <c r="L209" s="20"/>
      <c r="M209" s="19"/>
      <c r="N209" s="19"/>
      <c r="O209" s="20"/>
      <c r="P209" s="20"/>
      <c r="Q209" s="19"/>
      <c r="R209" s="22" t="str">
        <f aca="false">IF(A209="","",N(G209)+N(I209))</f>
        <v/>
      </c>
      <c r="S209" s="23" t="str">
        <f aca="false">IF(OR(K209="",O209=""),"",O209-K209)</f>
        <v/>
      </c>
      <c r="T209" s="23" t="str">
        <f aca="true">IF(AND(C209="Cetak",L209&lt;&gt;"",L209&lt;TODAY()),"YA","")</f>
        <v/>
      </c>
      <c r="U209" s="23" t="str">
        <f aca="false">IF(B209="","",TEXT(B209,"yyyy-mm"))</f>
        <v/>
      </c>
      <c r="V209" s="23" t="str">
        <f aca="false">IF(K209="","",TEXT(K209,"yyyy-mm"))</f>
        <v/>
      </c>
      <c r="W209" s="23" t="n">
        <f aca="false">IF(OR(C209="Cetak",C209="Dikirim",C209="Selesai"),1,0)</f>
        <v>0</v>
      </c>
      <c r="X209" s="23" t="str">
        <f aca="false">IF(F209="","",SUBSTITUTE(SUBSTITUTE(MID(UPPER(TRIM(F209)),4,99),"-LED",""),"-TK",""))</f>
        <v/>
      </c>
      <c r="Y209" s="23" t="str">
        <f aca="false">IF(X209="","",(LEN(X209)+1)/7)</f>
        <v/>
      </c>
      <c r="Z209" s="23" t="str">
        <f aca="false">IF(X209="","",LEFT(X209,6))</f>
        <v/>
      </c>
      <c r="AA209" s="23" t="str">
        <f aca="false">IF(X209="","",IF(Y209&gt;=3,MID(X209,8,6),""))</f>
        <v/>
      </c>
      <c r="AB209" s="23" t="str">
        <f aca="false">IF(X209="","",IF(Y209&gt;=4,MID(X209,15,6),""))</f>
        <v/>
      </c>
      <c r="AC209" s="23" t="str">
        <f aca="false">IF(X209="","",IF(Y209&gt;=5,MID(X209,22,6),""))</f>
        <v/>
      </c>
      <c r="AD209" s="23" t="str">
        <f aca="false">IF(X209="","",RIGHT(X209,6))</f>
        <v/>
      </c>
      <c r="AE209" s="23" t="str">
        <f aca="false">IF(F209="","",IF(ISNUMBER(SEARCH("-TK",UPPER(F209))),0,1))</f>
        <v/>
      </c>
      <c r="AF209" s="23" t="str">
        <f aca="false">IF(F209="","",IF(ISNUMBER(SEARCH("-LED",UPPER(F209))),1,0))</f>
        <v/>
      </c>
      <c r="AG209" s="24" t="n">
        <f aca="false">IF(Z209="",0,IFERROR(INDEX(Resep!$C$5:$C$7,MATCH(LEFT(Z209,3),Resep!$B$5:$B$7,0)),0))</f>
        <v>0</v>
      </c>
      <c r="AH209" s="24" t="n">
        <f aca="false">IF(AA209="",0,IFERROR(INDEX(Resep!$C$9:$C$13,MATCH(LEFT(AA209,3),Resep!$B$9:$B$13,0)),0))</f>
        <v>0</v>
      </c>
      <c r="AI209" s="24" t="n">
        <f aca="false">IF(AB209="",0,IFERROR(INDEX(Resep!$C$9:$C$13,MATCH(LEFT(AB209,3),Resep!$B$9:$B$13,0)),0))</f>
        <v>0</v>
      </c>
      <c r="AJ209" s="24" t="n">
        <f aca="false">IF(AC209="",0,IFERROR(INDEX(Resep!$C$9:$C$13,MATCH(LEFT(AC209,3),Resep!$B$9:$B$13,0)),0))</f>
        <v>0</v>
      </c>
      <c r="AK209" s="24" t="n">
        <f aca="false">IF(AD209="",0,IFERROR(INDEX(Resep!$C$15:$C$18,MATCH(LEFT(AD209,3),Resep!$B$15:$B$18,0)),0))</f>
        <v>0</v>
      </c>
      <c r="AL209" s="24" t="str">
        <f aca="false">IF(X209="","",AG209+AH209+AI209+AJ209+AK209)</f>
        <v/>
      </c>
      <c r="AM209" s="22" t="str">
        <f aca="false">IF(X209="","",AL209*(Pengaturan!$B$6+Pengaturan!$B$7)+Pengaturan!$B$8+AE209*Pengaturan!$B$9+AF209*Pengaturan!$B$10)</f>
        <v/>
      </c>
      <c r="AN209" s="22" t="str">
        <f aca="false">IF(X209="","",N(G209)-AM209)</f>
        <v/>
      </c>
      <c r="AO209" s="25" t="str">
        <f aca="false">IF(OR(X209="",N(G209)=0),"",AN209/G209)</f>
        <v/>
      </c>
    </row>
    <row r="210" customFormat="false" ht="15" hidden="false" customHeight="false" outlineLevel="0" collapsed="false">
      <c r="A210" s="19"/>
      <c r="B210" s="20"/>
      <c r="C210" s="19"/>
      <c r="D210" s="19"/>
      <c r="E210" s="19"/>
      <c r="F210" s="19"/>
      <c r="G210" s="21"/>
      <c r="H210" s="19"/>
      <c r="I210" s="21"/>
      <c r="J210" s="19"/>
      <c r="K210" s="20"/>
      <c r="L210" s="20"/>
      <c r="M210" s="19"/>
      <c r="N210" s="19"/>
      <c r="O210" s="20"/>
      <c r="P210" s="20"/>
      <c r="Q210" s="19"/>
      <c r="R210" s="22" t="str">
        <f aca="false">IF(A210="","",N(G210)+N(I210))</f>
        <v/>
      </c>
      <c r="S210" s="23" t="str">
        <f aca="false">IF(OR(K210="",O210=""),"",O210-K210)</f>
        <v/>
      </c>
      <c r="T210" s="23" t="str">
        <f aca="true">IF(AND(C210="Cetak",L210&lt;&gt;"",L210&lt;TODAY()),"YA","")</f>
        <v/>
      </c>
      <c r="U210" s="23" t="str">
        <f aca="false">IF(B210="","",TEXT(B210,"yyyy-mm"))</f>
        <v/>
      </c>
      <c r="V210" s="23" t="str">
        <f aca="false">IF(K210="","",TEXT(K210,"yyyy-mm"))</f>
        <v/>
      </c>
      <c r="W210" s="23" t="n">
        <f aca="false">IF(OR(C210="Cetak",C210="Dikirim",C210="Selesai"),1,0)</f>
        <v>0</v>
      </c>
      <c r="X210" s="23" t="str">
        <f aca="false">IF(F210="","",SUBSTITUTE(SUBSTITUTE(MID(UPPER(TRIM(F210)),4,99),"-LED",""),"-TK",""))</f>
        <v/>
      </c>
      <c r="Y210" s="23" t="str">
        <f aca="false">IF(X210="","",(LEN(X210)+1)/7)</f>
        <v/>
      </c>
      <c r="Z210" s="23" t="str">
        <f aca="false">IF(X210="","",LEFT(X210,6))</f>
        <v/>
      </c>
      <c r="AA210" s="23" t="str">
        <f aca="false">IF(X210="","",IF(Y210&gt;=3,MID(X210,8,6),""))</f>
        <v/>
      </c>
      <c r="AB210" s="23" t="str">
        <f aca="false">IF(X210="","",IF(Y210&gt;=4,MID(X210,15,6),""))</f>
        <v/>
      </c>
      <c r="AC210" s="23" t="str">
        <f aca="false">IF(X210="","",IF(Y210&gt;=5,MID(X210,22,6),""))</f>
        <v/>
      </c>
      <c r="AD210" s="23" t="str">
        <f aca="false">IF(X210="","",RIGHT(X210,6))</f>
        <v/>
      </c>
      <c r="AE210" s="23" t="str">
        <f aca="false">IF(F210="","",IF(ISNUMBER(SEARCH("-TK",UPPER(F210))),0,1))</f>
        <v/>
      </c>
      <c r="AF210" s="23" t="str">
        <f aca="false">IF(F210="","",IF(ISNUMBER(SEARCH("-LED",UPPER(F210))),1,0))</f>
        <v/>
      </c>
      <c r="AG210" s="24" t="n">
        <f aca="false">IF(Z210="",0,IFERROR(INDEX(Resep!$C$5:$C$7,MATCH(LEFT(Z210,3),Resep!$B$5:$B$7,0)),0))</f>
        <v>0</v>
      </c>
      <c r="AH210" s="24" t="n">
        <f aca="false">IF(AA210="",0,IFERROR(INDEX(Resep!$C$9:$C$13,MATCH(LEFT(AA210,3),Resep!$B$9:$B$13,0)),0))</f>
        <v>0</v>
      </c>
      <c r="AI210" s="24" t="n">
        <f aca="false">IF(AB210="",0,IFERROR(INDEX(Resep!$C$9:$C$13,MATCH(LEFT(AB210,3),Resep!$B$9:$B$13,0)),0))</f>
        <v>0</v>
      </c>
      <c r="AJ210" s="24" t="n">
        <f aca="false">IF(AC210="",0,IFERROR(INDEX(Resep!$C$9:$C$13,MATCH(LEFT(AC210,3),Resep!$B$9:$B$13,0)),0))</f>
        <v>0</v>
      </c>
      <c r="AK210" s="24" t="n">
        <f aca="false">IF(AD210="",0,IFERROR(INDEX(Resep!$C$15:$C$18,MATCH(LEFT(AD210,3),Resep!$B$15:$B$18,0)),0))</f>
        <v>0</v>
      </c>
      <c r="AL210" s="24" t="str">
        <f aca="false">IF(X210="","",AG210+AH210+AI210+AJ210+AK210)</f>
        <v/>
      </c>
      <c r="AM210" s="22" t="str">
        <f aca="false">IF(X210="","",AL210*(Pengaturan!$B$6+Pengaturan!$B$7)+Pengaturan!$B$8+AE210*Pengaturan!$B$9+AF210*Pengaturan!$B$10)</f>
        <v/>
      </c>
      <c r="AN210" s="22" t="str">
        <f aca="false">IF(X210="","",N(G210)-AM210)</f>
        <v/>
      </c>
      <c r="AO210" s="25" t="str">
        <f aca="false">IF(OR(X210="",N(G210)=0),"",AN210/G210)</f>
        <v/>
      </c>
    </row>
    <row r="211" customFormat="false" ht="15" hidden="false" customHeight="false" outlineLevel="0" collapsed="false">
      <c r="A211" s="19"/>
      <c r="B211" s="20"/>
      <c r="C211" s="19"/>
      <c r="D211" s="19"/>
      <c r="E211" s="19"/>
      <c r="F211" s="19"/>
      <c r="G211" s="21"/>
      <c r="H211" s="19"/>
      <c r="I211" s="21"/>
      <c r="J211" s="19"/>
      <c r="K211" s="20"/>
      <c r="L211" s="20"/>
      <c r="M211" s="19"/>
      <c r="N211" s="19"/>
      <c r="O211" s="20"/>
      <c r="P211" s="20"/>
      <c r="Q211" s="19"/>
      <c r="R211" s="22" t="str">
        <f aca="false">IF(A211="","",N(G211)+N(I211))</f>
        <v/>
      </c>
      <c r="S211" s="23" t="str">
        <f aca="false">IF(OR(K211="",O211=""),"",O211-K211)</f>
        <v/>
      </c>
      <c r="T211" s="23" t="str">
        <f aca="true">IF(AND(C211="Cetak",L211&lt;&gt;"",L211&lt;TODAY()),"YA","")</f>
        <v/>
      </c>
      <c r="U211" s="23" t="str">
        <f aca="false">IF(B211="","",TEXT(B211,"yyyy-mm"))</f>
        <v/>
      </c>
      <c r="V211" s="23" t="str">
        <f aca="false">IF(K211="","",TEXT(K211,"yyyy-mm"))</f>
        <v/>
      </c>
      <c r="W211" s="23" t="n">
        <f aca="false">IF(OR(C211="Cetak",C211="Dikirim",C211="Selesai"),1,0)</f>
        <v>0</v>
      </c>
      <c r="X211" s="23" t="str">
        <f aca="false">IF(F211="","",SUBSTITUTE(SUBSTITUTE(MID(UPPER(TRIM(F211)),4,99),"-LED",""),"-TK",""))</f>
        <v/>
      </c>
      <c r="Y211" s="23" t="str">
        <f aca="false">IF(X211="","",(LEN(X211)+1)/7)</f>
        <v/>
      </c>
      <c r="Z211" s="23" t="str">
        <f aca="false">IF(X211="","",LEFT(X211,6))</f>
        <v/>
      </c>
      <c r="AA211" s="23" t="str">
        <f aca="false">IF(X211="","",IF(Y211&gt;=3,MID(X211,8,6),""))</f>
        <v/>
      </c>
      <c r="AB211" s="23" t="str">
        <f aca="false">IF(X211="","",IF(Y211&gt;=4,MID(X211,15,6),""))</f>
        <v/>
      </c>
      <c r="AC211" s="23" t="str">
        <f aca="false">IF(X211="","",IF(Y211&gt;=5,MID(X211,22,6),""))</f>
        <v/>
      </c>
      <c r="AD211" s="23" t="str">
        <f aca="false">IF(X211="","",RIGHT(X211,6))</f>
        <v/>
      </c>
      <c r="AE211" s="23" t="str">
        <f aca="false">IF(F211="","",IF(ISNUMBER(SEARCH("-TK",UPPER(F211))),0,1))</f>
        <v/>
      </c>
      <c r="AF211" s="23" t="str">
        <f aca="false">IF(F211="","",IF(ISNUMBER(SEARCH("-LED",UPPER(F211))),1,0))</f>
        <v/>
      </c>
      <c r="AG211" s="24" t="n">
        <f aca="false">IF(Z211="",0,IFERROR(INDEX(Resep!$C$5:$C$7,MATCH(LEFT(Z211,3),Resep!$B$5:$B$7,0)),0))</f>
        <v>0</v>
      </c>
      <c r="AH211" s="24" t="n">
        <f aca="false">IF(AA211="",0,IFERROR(INDEX(Resep!$C$9:$C$13,MATCH(LEFT(AA211,3),Resep!$B$9:$B$13,0)),0))</f>
        <v>0</v>
      </c>
      <c r="AI211" s="24" t="n">
        <f aca="false">IF(AB211="",0,IFERROR(INDEX(Resep!$C$9:$C$13,MATCH(LEFT(AB211,3),Resep!$B$9:$B$13,0)),0))</f>
        <v>0</v>
      </c>
      <c r="AJ211" s="24" t="n">
        <f aca="false">IF(AC211="",0,IFERROR(INDEX(Resep!$C$9:$C$13,MATCH(LEFT(AC211,3),Resep!$B$9:$B$13,0)),0))</f>
        <v>0</v>
      </c>
      <c r="AK211" s="24" t="n">
        <f aca="false">IF(AD211="",0,IFERROR(INDEX(Resep!$C$15:$C$18,MATCH(LEFT(AD211,3),Resep!$B$15:$B$18,0)),0))</f>
        <v>0</v>
      </c>
      <c r="AL211" s="24" t="str">
        <f aca="false">IF(X211="","",AG211+AH211+AI211+AJ211+AK211)</f>
        <v/>
      </c>
      <c r="AM211" s="22" t="str">
        <f aca="false">IF(X211="","",AL211*(Pengaturan!$B$6+Pengaturan!$B$7)+Pengaturan!$B$8+AE211*Pengaturan!$B$9+AF211*Pengaturan!$B$10)</f>
        <v/>
      </c>
      <c r="AN211" s="22" t="str">
        <f aca="false">IF(X211="","",N(G211)-AM211)</f>
        <v/>
      </c>
      <c r="AO211" s="25" t="str">
        <f aca="false">IF(OR(X211="",N(G211)=0),"",AN211/G211)</f>
        <v/>
      </c>
    </row>
    <row r="212" customFormat="false" ht="15" hidden="false" customHeight="false" outlineLevel="0" collapsed="false">
      <c r="A212" s="19"/>
      <c r="B212" s="20"/>
      <c r="C212" s="19"/>
      <c r="D212" s="19"/>
      <c r="E212" s="19"/>
      <c r="F212" s="19"/>
      <c r="G212" s="21"/>
      <c r="H212" s="19"/>
      <c r="I212" s="21"/>
      <c r="J212" s="19"/>
      <c r="K212" s="20"/>
      <c r="L212" s="20"/>
      <c r="M212" s="19"/>
      <c r="N212" s="19"/>
      <c r="O212" s="20"/>
      <c r="P212" s="20"/>
      <c r="Q212" s="19"/>
      <c r="R212" s="22" t="str">
        <f aca="false">IF(A212="","",N(G212)+N(I212))</f>
        <v/>
      </c>
      <c r="S212" s="23" t="str">
        <f aca="false">IF(OR(K212="",O212=""),"",O212-K212)</f>
        <v/>
      </c>
      <c r="T212" s="23" t="str">
        <f aca="true">IF(AND(C212="Cetak",L212&lt;&gt;"",L212&lt;TODAY()),"YA","")</f>
        <v/>
      </c>
      <c r="U212" s="23" t="str">
        <f aca="false">IF(B212="","",TEXT(B212,"yyyy-mm"))</f>
        <v/>
      </c>
      <c r="V212" s="23" t="str">
        <f aca="false">IF(K212="","",TEXT(K212,"yyyy-mm"))</f>
        <v/>
      </c>
      <c r="W212" s="23" t="n">
        <f aca="false">IF(OR(C212="Cetak",C212="Dikirim",C212="Selesai"),1,0)</f>
        <v>0</v>
      </c>
      <c r="X212" s="23" t="str">
        <f aca="false">IF(F212="","",SUBSTITUTE(SUBSTITUTE(MID(UPPER(TRIM(F212)),4,99),"-LED",""),"-TK",""))</f>
        <v/>
      </c>
      <c r="Y212" s="23" t="str">
        <f aca="false">IF(X212="","",(LEN(X212)+1)/7)</f>
        <v/>
      </c>
      <c r="Z212" s="23" t="str">
        <f aca="false">IF(X212="","",LEFT(X212,6))</f>
        <v/>
      </c>
      <c r="AA212" s="23" t="str">
        <f aca="false">IF(X212="","",IF(Y212&gt;=3,MID(X212,8,6),""))</f>
        <v/>
      </c>
      <c r="AB212" s="23" t="str">
        <f aca="false">IF(X212="","",IF(Y212&gt;=4,MID(X212,15,6),""))</f>
        <v/>
      </c>
      <c r="AC212" s="23" t="str">
        <f aca="false">IF(X212="","",IF(Y212&gt;=5,MID(X212,22,6),""))</f>
        <v/>
      </c>
      <c r="AD212" s="23" t="str">
        <f aca="false">IF(X212="","",RIGHT(X212,6))</f>
        <v/>
      </c>
      <c r="AE212" s="23" t="str">
        <f aca="false">IF(F212="","",IF(ISNUMBER(SEARCH("-TK",UPPER(F212))),0,1))</f>
        <v/>
      </c>
      <c r="AF212" s="23" t="str">
        <f aca="false">IF(F212="","",IF(ISNUMBER(SEARCH("-LED",UPPER(F212))),1,0))</f>
        <v/>
      </c>
      <c r="AG212" s="24" t="n">
        <f aca="false">IF(Z212="",0,IFERROR(INDEX(Resep!$C$5:$C$7,MATCH(LEFT(Z212,3),Resep!$B$5:$B$7,0)),0))</f>
        <v>0</v>
      </c>
      <c r="AH212" s="24" t="n">
        <f aca="false">IF(AA212="",0,IFERROR(INDEX(Resep!$C$9:$C$13,MATCH(LEFT(AA212,3),Resep!$B$9:$B$13,0)),0))</f>
        <v>0</v>
      </c>
      <c r="AI212" s="24" t="n">
        <f aca="false">IF(AB212="",0,IFERROR(INDEX(Resep!$C$9:$C$13,MATCH(LEFT(AB212,3),Resep!$B$9:$B$13,0)),0))</f>
        <v>0</v>
      </c>
      <c r="AJ212" s="24" t="n">
        <f aca="false">IF(AC212="",0,IFERROR(INDEX(Resep!$C$9:$C$13,MATCH(LEFT(AC212,3),Resep!$B$9:$B$13,0)),0))</f>
        <v>0</v>
      </c>
      <c r="AK212" s="24" t="n">
        <f aca="false">IF(AD212="",0,IFERROR(INDEX(Resep!$C$15:$C$18,MATCH(LEFT(AD212,3),Resep!$B$15:$B$18,0)),0))</f>
        <v>0</v>
      </c>
      <c r="AL212" s="24" t="str">
        <f aca="false">IF(X212="","",AG212+AH212+AI212+AJ212+AK212)</f>
        <v/>
      </c>
      <c r="AM212" s="22" t="str">
        <f aca="false">IF(X212="","",AL212*(Pengaturan!$B$6+Pengaturan!$B$7)+Pengaturan!$B$8+AE212*Pengaturan!$B$9+AF212*Pengaturan!$B$10)</f>
        <v/>
      </c>
      <c r="AN212" s="22" t="str">
        <f aca="false">IF(X212="","",N(G212)-AM212)</f>
        <v/>
      </c>
      <c r="AO212" s="25" t="str">
        <f aca="false">IF(OR(X212="",N(G212)=0),"",AN212/G212)</f>
        <v/>
      </c>
    </row>
    <row r="213" customFormat="false" ht="15" hidden="false" customHeight="false" outlineLevel="0" collapsed="false">
      <c r="A213" s="19"/>
      <c r="B213" s="20"/>
      <c r="C213" s="19"/>
      <c r="D213" s="19"/>
      <c r="E213" s="19"/>
      <c r="F213" s="19"/>
      <c r="G213" s="21"/>
      <c r="H213" s="19"/>
      <c r="I213" s="21"/>
      <c r="J213" s="19"/>
      <c r="K213" s="20"/>
      <c r="L213" s="20"/>
      <c r="M213" s="19"/>
      <c r="N213" s="19"/>
      <c r="O213" s="20"/>
      <c r="P213" s="20"/>
      <c r="Q213" s="19"/>
      <c r="R213" s="22" t="str">
        <f aca="false">IF(A213="","",N(G213)+N(I213))</f>
        <v/>
      </c>
      <c r="S213" s="23" t="str">
        <f aca="false">IF(OR(K213="",O213=""),"",O213-K213)</f>
        <v/>
      </c>
      <c r="T213" s="23" t="str">
        <f aca="true">IF(AND(C213="Cetak",L213&lt;&gt;"",L213&lt;TODAY()),"YA","")</f>
        <v/>
      </c>
      <c r="U213" s="23" t="str">
        <f aca="false">IF(B213="","",TEXT(B213,"yyyy-mm"))</f>
        <v/>
      </c>
      <c r="V213" s="23" t="str">
        <f aca="false">IF(K213="","",TEXT(K213,"yyyy-mm"))</f>
        <v/>
      </c>
      <c r="W213" s="23" t="n">
        <f aca="false">IF(OR(C213="Cetak",C213="Dikirim",C213="Selesai"),1,0)</f>
        <v>0</v>
      </c>
      <c r="X213" s="23" t="str">
        <f aca="false">IF(F213="","",SUBSTITUTE(SUBSTITUTE(MID(UPPER(TRIM(F213)),4,99),"-LED",""),"-TK",""))</f>
        <v/>
      </c>
      <c r="Y213" s="23" t="str">
        <f aca="false">IF(X213="","",(LEN(X213)+1)/7)</f>
        <v/>
      </c>
      <c r="Z213" s="23" t="str">
        <f aca="false">IF(X213="","",LEFT(X213,6))</f>
        <v/>
      </c>
      <c r="AA213" s="23" t="str">
        <f aca="false">IF(X213="","",IF(Y213&gt;=3,MID(X213,8,6),""))</f>
        <v/>
      </c>
      <c r="AB213" s="23" t="str">
        <f aca="false">IF(X213="","",IF(Y213&gt;=4,MID(X213,15,6),""))</f>
        <v/>
      </c>
      <c r="AC213" s="23" t="str">
        <f aca="false">IF(X213="","",IF(Y213&gt;=5,MID(X213,22,6),""))</f>
        <v/>
      </c>
      <c r="AD213" s="23" t="str">
        <f aca="false">IF(X213="","",RIGHT(X213,6))</f>
        <v/>
      </c>
      <c r="AE213" s="23" t="str">
        <f aca="false">IF(F213="","",IF(ISNUMBER(SEARCH("-TK",UPPER(F213))),0,1))</f>
        <v/>
      </c>
      <c r="AF213" s="23" t="str">
        <f aca="false">IF(F213="","",IF(ISNUMBER(SEARCH("-LED",UPPER(F213))),1,0))</f>
        <v/>
      </c>
      <c r="AG213" s="24" t="n">
        <f aca="false">IF(Z213="",0,IFERROR(INDEX(Resep!$C$5:$C$7,MATCH(LEFT(Z213,3),Resep!$B$5:$B$7,0)),0))</f>
        <v>0</v>
      </c>
      <c r="AH213" s="24" t="n">
        <f aca="false">IF(AA213="",0,IFERROR(INDEX(Resep!$C$9:$C$13,MATCH(LEFT(AA213,3),Resep!$B$9:$B$13,0)),0))</f>
        <v>0</v>
      </c>
      <c r="AI213" s="24" t="n">
        <f aca="false">IF(AB213="",0,IFERROR(INDEX(Resep!$C$9:$C$13,MATCH(LEFT(AB213,3),Resep!$B$9:$B$13,0)),0))</f>
        <v>0</v>
      </c>
      <c r="AJ213" s="24" t="n">
        <f aca="false">IF(AC213="",0,IFERROR(INDEX(Resep!$C$9:$C$13,MATCH(LEFT(AC213,3),Resep!$B$9:$B$13,0)),0))</f>
        <v>0</v>
      </c>
      <c r="AK213" s="24" t="n">
        <f aca="false">IF(AD213="",0,IFERROR(INDEX(Resep!$C$15:$C$18,MATCH(LEFT(AD213,3),Resep!$B$15:$B$18,0)),0))</f>
        <v>0</v>
      </c>
      <c r="AL213" s="24" t="str">
        <f aca="false">IF(X213="","",AG213+AH213+AI213+AJ213+AK213)</f>
        <v/>
      </c>
      <c r="AM213" s="22" t="str">
        <f aca="false">IF(X213="","",AL213*(Pengaturan!$B$6+Pengaturan!$B$7)+Pengaturan!$B$8+AE213*Pengaturan!$B$9+AF213*Pengaturan!$B$10)</f>
        <v/>
      </c>
      <c r="AN213" s="22" t="str">
        <f aca="false">IF(X213="","",N(G213)-AM213)</f>
        <v/>
      </c>
      <c r="AO213" s="25" t="str">
        <f aca="false">IF(OR(X213="",N(G213)=0),"",AN213/G213)</f>
        <v/>
      </c>
    </row>
    <row r="214" customFormat="false" ht="15" hidden="false" customHeight="false" outlineLevel="0" collapsed="false">
      <c r="A214" s="19"/>
      <c r="B214" s="20"/>
      <c r="C214" s="19"/>
      <c r="D214" s="19"/>
      <c r="E214" s="19"/>
      <c r="F214" s="19"/>
      <c r="G214" s="21"/>
      <c r="H214" s="19"/>
      <c r="I214" s="21"/>
      <c r="J214" s="19"/>
      <c r="K214" s="20"/>
      <c r="L214" s="20"/>
      <c r="M214" s="19"/>
      <c r="N214" s="19"/>
      <c r="O214" s="20"/>
      <c r="P214" s="20"/>
      <c r="Q214" s="19"/>
      <c r="R214" s="22" t="str">
        <f aca="false">IF(A214="","",N(G214)+N(I214))</f>
        <v/>
      </c>
      <c r="S214" s="23" t="str">
        <f aca="false">IF(OR(K214="",O214=""),"",O214-K214)</f>
        <v/>
      </c>
      <c r="T214" s="23" t="str">
        <f aca="true">IF(AND(C214="Cetak",L214&lt;&gt;"",L214&lt;TODAY()),"YA","")</f>
        <v/>
      </c>
      <c r="U214" s="23" t="str">
        <f aca="false">IF(B214="","",TEXT(B214,"yyyy-mm"))</f>
        <v/>
      </c>
      <c r="V214" s="23" t="str">
        <f aca="false">IF(K214="","",TEXT(K214,"yyyy-mm"))</f>
        <v/>
      </c>
      <c r="W214" s="23" t="n">
        <f aca="false">IF(OR(C214="Cetak",C214="Dikirim",C214="Selesai"),1,0)</f>
        <v>0</v>
      </c>
      <c r="X214" s="23" t="str">
        <f aca="false">IF(F214="","",SUBSTITUTE(SUBSTITUTE(MID(UPPER(TRIM(F214)),4,99),"-LED",""),"-TK",""))</f>
        <v/>
      </c>
      <c r="Y214" s="23" t="str">
        <f aca="false">IF(X214="","",(LEN(X214)+1)/7)</f>
        <v/>
      </c>
      <c r="Z214" s="23" t="str">
        <f aca="false">IF(X214="","",LEFT(X214,6))</f>
        <v/>
      </c>
      <c r="AA214" s="23" t="str">
        <f aca="false">IF(X214="","",IF(Y214&gt;=3,MID(X214,8,6),""))</f>
        <v/>
      </c>
      <c r="AB214" s="23" t="str">
        <f aca="false">IF(X214="","",IF(Y214&gt;=4,MID(X214,15,6),""))</f>
        <v/>
      </c>
      <c r="AC214" s="23" t="str">
        <f aca="false">IF(X214="","",IF(Y214&gt;=5,MID(X214,22,6),""))</f>
        <v/>
      </c>
      <c r="AD214" s="23" t="str">
        <f aca="false">IF(X214="","",RIGHT(X214,6))</f>
        <v/>
      </c>
      <c r="AE214" s="23" t="str">
        <f aca="false">IF(F214="","",IF(ISNUMBER(SEARCH("-TK",UPPER(F214))),0,1))</f>
        <v/>
      </c>
      <c r="AF214" s="23" t="str">
        <f aca="false">IF(F214="","",IF(ISNUMBER(SEARCH("-LED",UPPER(F214))),1,0))</f>
        <v/>
      </c>
      <c r="AG214" s="24" t="n">
        <f aca="false">IF(Z214="",0,IFERROR(INDEX(Resep!$C$5:$C$7,MATCH(LEFT(Z214,3),Resep!$B$5:$B$7,0)),0))</f>
        <v>0</v>
      </c>
      <c r="AH214" s="24" t="n">
        <f aca="false">IF(AA214="",0,IFERROR(INDEX(Resep!$C$9:$C$13,MATCH(LEFT(AA214,3),Resep!$B$9:$B$13,0)),0))</f>
        <v>0</v>
      </c>
      <c r="AI214" s="24" t="n">
        <f aca="false">IF(AB214="",0,IFERROR(INDEX(Resep!$C$9:$C$13,MATCH(LEFT(AB214,3),Resep!$B$9:$B$13,0)),0))</f>
        <v>0</v>
      </c>
      <c r="AJ214" s="24" t="n">
        <f aca="false">IF(AC214="",0,IFERROR(INDEX(Resep!$C$9:$C$13,MATCH(LEFT(AC214,3),Resep!$B$9:$B$13,0)),0))</f>
        <v>0</v>
      </c>
      <c r="AK214" s="24" t="n">
        <f aca="false">IF(AD214="",0,IFERROR(INDEX(Resep!$C$15:$C$18,MATCH(LEFT(AD214,3),Resep!$B$15:$B$18,0)),0))</f>
        <v>0</v>
      </c>
      <c r="AL214" s="24" t="str">
        <f aca="false">IF(X214="","",AG214+AH214+AI214+AJ214+AK214)</f>
        <v/>
      </c>
      <c r="AM214" s="22" t="str">
        <f aca="false">IF(X214="","",AL214*(Pengaturan!$B$6+Pengaturan!$B$7)+Pengaturan!$B$8+AE214*Pengaturan!$B$9+AF214*Pengaturan!$B$10)</f>
        <v/>
      </c>
      <c r="AN214" s="22" t="str">
        <f aca="false">IF(X214="","",N(G214)-AM214)</f>
        <v/>
      </c>
      <c r="AO214" s="25" t="str">
        <f aca="false">IF(OR(X214="",N(G214)=0),"",AN214/G214)</f>
        <v/>
      </c>
    </row>
    <row r="215" customFormat="false" ht="15" hidden="false" customHeight="false" outlineLevel="0" collapsed="false">
      <c r="A215" s="19"/>
      <c r="B215" s="20"/>
      <c r="C215" s="19"/>
      <c r="D215" s="19"/>
      <c r="E215" s="19"/>
      <c r="F215" s="19"/>
      <c r="G215" s="21"/>
      <c r="H215" s="19"/>
      <c r="I215" s="21"/>
      <c r="J215" s="19"/>
      <c r="K215" s="20"/>
      <c r="L215" s="20"/>
      <c r="M215" s="19"/>
      <c r="N215" s="19"/>
      <c r="O215" s="20"/>
      <c r="P215" s="20"/>
      <c r="Q215" s="19"/>
      <c r="R215" s="22" t="str">
        <f aca="false">IF(A215="","",N(G215)+N(I215))</f>
        <v/>
      </c>
      <c r="S215" s="23" t="str">
        <f aca="false">IF(OR(K215="",O215=""),"",O215-K215)</f>
        <v/>
      </c>
      <c r="T215" s="23" t="str">
        <f aca="true">IF(AND(C215="Cetak",L215&lt;&gt;"",L215&lt;TODAY()),"YA","")</f>
        <v/>
      </c>
      <c r="U215" s="23" t="str">
        <f aca="false">IF(B215="","",TEXT(B215,"yyyy-mm"))</f>
        <v/>
      </c>
      <c r="V215" s="23" t="str">
        <f aca="false">IF(K215="","",TEXT(K215,"yyyy-mm"))</f>
        <v/>
      </c>
      <c r="W215" s="23" t="n">
        <f aca="false">IF(OR(C215="Cetak",C215="Dikirim",C215="Selesai"),1,0)</f>
        <v>0</v>
      </c>
      <c r="X215" s="23" t="str">
        <f aca="false">IF(F215="","",SUBSTITUTE(SUBSTITUTE(MID(UPPER(TRIM(F215)),4,99),"-LED",""),"-TK",""))</f>
        <v/>
      </c>
      <c r="Y215" s="23" t="str">
        <f aca="false">IF(X215="","",(LEN(X215)+1)/7)</f>
        <v/>
      </c>
      <c r="Z215" s="23" t="str">
        <f aca="false">IF(X215="","",LEFT(X215,6))</f>
        <v/>
      </c>
      <c r="AA215" s="23" t="str">
        <f aca="false">IF(X215="","",IF(Y215&gt;=3,MID(X215,8,6),""))</f>
        <v/>
      </c>
      <c r="AB215" s="23" t="str">
        <f aca="false">IF(X215="","",IF(Y215&gt;=4,MID(X215,15,6),""))</f>
        <v/>
      </c>
      <c r="AC215" s="23" t="str">
        <f aca="false">IF(X215="","",IF(Y215&gt;=5,MID(X215,22,6),""))</f>
        <v/>
      </c>
      <c r="AD215" s="23" t="str">
        <f aca="false">IF(X215="","",RIGHT(X215,6))</f>
        <v/>
      </c>
      <c r="AE215" s="23" t="str">
        <f aca="false">IF(F215="","",IF(ISNUMBER(SEARCH("-TK",UPPER(F215))),0,1))</f>
        <v/>
      </c>
      <c r="AF215" s="23" t="str">
        <f aca="false">IF(F215="","",IF(ISNUMBER(SEARCH("-LED",UPPER(F215))),1,0))</f>
        <v/>
      </c>
      <c r="AG215" s="24" t="n">
        <f aca="false">IF(Z215="",0,IFERROR(INDEX(Resep!$C$5:$C$7,MATCH(LEFT(Z215,3),Resep!$B$5:$B$7,0)),0))</f>
        <v>0</v>
      </c>
      <c r="AH215" s="24" t="n">
        <f aca="false">IF(AA215="",0,IFERROR(INDEX(Resep!$C$9:$C$13,MATCH(LEFT(AA215,3),Resep!$B$9:$B$13,0)),0))</f>
        <v>0</v>
      </c>
      <c r="AI215" s="24" t="n">
        <f aca="false">IF(AB215="",0,IFERROR(INDEX(Resep!$C$9:$C$13,MATCH(LEFT(AB215,3),Resep!$B$9:$B$13,0)),0))</f>
        <v>0</v>
      </c>
      <c r="AJ215" s="24" t="n">
        <f aca="false">IF(AC215="",0,IFERROR(INDEX(Resep!$C$9:$C$13,MATCH(LEFT(AC215,3),Resep!$B$9:$B$13,0)),0))</f>
        <v>0</v>
      </c>
      <c r="AK215" s="24" t="n">
        <f aca="false">IF(AD215="",0,IFERROR(INDEX(Resep!$C$15:$C$18,MATCH(LEFT(AD215,3),Resep!$B$15:$B$18,0)),0))</f>
        <v>0</v>
      </c>
      <c r="AL215" s="24" t="str">
        <f aca="false">IF(X215="","",AG215+AH215+AI215+AJ215+AK215)</f>
        <v/>
      </c>
      <c r="AM215" s="22" t="str">
        <f aca="false">IF(X215="","",AL215*(Pengaturan!$B$6+Pengaturan!$B$7)+Pengaturan!$B$8+AE215*Pengaturan!$B$9+AF215*Pengaturan!$B$10)</f>
        <v/>
      </c>
      <c r="AN215" s="22" t="str">
        <f aca="false">IF(X215="","",N(G215)-AM215)</f>
        <v/>
      </c>
      <c r="AO215" s="25" t="str">
        <f aca="false">IF(OR(X215="",N(G215)=0),"",AN215/G215)</f>
        <v/>
      </c>
    </row>
    <row r="216" customFormat="false" ht="15" hidden="false" customHeight="false" outlineLevel="0" collapsed="false">
      <c r="A216" s="19"/>
      <c r="B216" s="20"/>
      <c r="C216" s="19"/>
      <c r="D216" s="19"/>
      <c r="E216" s="19"/>
      <c r="F216" s="19"/>
      <c r="G216" s="21"/>
      <c r="H216" s="19"/>
      <c r="I216" s="21"/>
      <c r="J216" s="19"/>
      <c r="K216" s="20"/>
      <c r="L216" s="20"/>
      <c r="M216" s="19"/>
      <c r="N216" s="19"/>
      <c r="O216" s="20"/>
      <c r="P216" s="20"/>
      <c r="Q216" s="19"/>
      <c r="R216" s="22" t="str">
        <f aca="false">IF(A216="","",N(G216)+N(I216))</f>
        <v/>
      </c>
      <c r="S216" s="23" t="str">
        <f aca="false">IF(OR(K216="",O216=""),"",O216-K216)</f>
        <v/>
      </c>
      <c r="T216" s="23" t="str">
        <f aca="true">IF(AND(C216="Cetak",L216&lt;&gt;"",L216&lt;TODAY()),"YA","")</f>
        <v/>
      </c>
      <c r="U216" s="23" t="str">
        <f aca="false">IF(B216="","",TEXT(B216,"yyyy-mm"))</f>
        <v/>
      </c>
      <c r="V216" s="23" t="str">
        <f aca="false">IF(K216="","",TEXT(K216,"yyyy-mm"))</f>
        <v/>
      </c>
      <c r="W216" s="23" t="n">
        <f aca="false">IF(OR(C216="Cetak",C216="Dikirim",C216="Selesai"),1,0)</f>
        <v>0</v>
      </c>
      <c r="X216" s="23" t="str">
        <f aca="false">IF(F216="","",SUBSTITUTE(SUBSTITUTE(MID(UPPER(TRIM(F216)),4,99),"-LED",""),"-TK",""))</f>
        <v/>
      </c>
      <c r="Y216" s="23" t="str">
        <f aca="false">IF(X216="","",(LEN(X216)+1)/7)</f>
        <v/>
      </c>
      <c r="Z216" s="23" t="str">
        <f aca="false">IF(X216="","",LEFT(X216,6))</f>
        <v/>
      </c>
      <c r="AA216" s="23" t="str">
        <f aca="false">IF(X216="","",IF(Y216&gt;=3,MID(X216,8,6),""))</f>
        <v/>
      </c>
      <c r="AB216" s="23" t="str">
        <f aca="false">IF(X216="","",IF(Y216&gt;=4,MID(X216,15,6),""))</f>
        <v/>
      </c>
      <c r="AC216" s="23" t="str">
        <f aca="false">IF(X216="","",IF(Y216&gt;=5,MID(X216,22,6),""))</f>
        <v/>
      </c>
      <c r="AD216" s="23" t="str">
        <f aca="false">IF(X216="","",RIGHT(X216,6))</f>
        <v/>
      </c>
      <c r="AE216" s="23" t="str">
        <f aca="false">IF(F216="","",IF(ISNUMBER(SEARCH("-TK",UPPER(F216))),0,1))</f>
        <v/>
      </c>
      <c r="AF216" s="23" t="str">
        <f aca="false">IF(F216="","",IF(ISNUMBER(SEARCH("-LED",UPPER(F216))),1,0))</f>
        <v/>
      </c>
      <c r="AG216" s="24" t="n">
        <f aca="false">IF(Z216="",0,IFERROR(INDEX(Resep!$C$5:$C$7,MATCH(LEFT(Z216,3),Resep!$B$5:$B$7,0)),0))</f>
        <v>0</v>
      </c>
      <c r="AH216" s="24" t="n">
        <f aca="false">IF(AA216="",0,IFERROR(INDEX(Resep!$C$9:$C$13,MATCH(LEFT(AA216,3),Resep!$B$9:$B$13,0)),0))</f>
        <v>0</v>
      </c>
      <c r="AI216" s="24" t="n">
        <f aca="false">IF(AB216="",0,IFERROR(INDEX(Resep!$C$9:$C$13,MATCH(LEFT(AB216,3),Resep!$B$9:$B$13,0)),0))</f>
        <v>0</v>
      </c>
      <c r="AJ216" s="24" t="n">
        <f aca="false">IF(AC216="",0,IFERROR(INDEX(Resep!$C$9:$C$13,MATCH(LEFT(AC216,3),Resep!$B$9:$B$13,0)),0))</f>
        <v>0</v>
      </c>
      <c r="AK216" s="24" t="n">
        <f aca="false">IF(AD216="",0,IFERROR(INDEX(Resep!$C$15:$C$18,MATCH(LEFT(AD216,3),Resep!$B$15:$B$18,0)),0))</f>
        <v>0</v>
      </c>
      <c r="AL216" s="24" t="str">
        <f aca="false">IF(X216="","",AG216+AH216+AI216+AJ216+AK216)</f>
        <v/>
      </c>
      <c r="AM216" s="22" t="str">
        <f aca="false">IF(X216="","",AL216*(Pengaturan!$B$6+Pengaturan!$B$7)+Pengaturan!$B$8+AE216*Pengaturan!$B$9+AF216*Pengaturan!$B$10)</f>
        <v/>
      </c>
      <c r="AN216" s="22" t="str">
        <f aca="false">IF(X216="","",N(G216)-AM216)</f>
        <v/>
      </c>
      <c r="AO216" s="25" t="str">
        <f aca="false">IF(OR(X216="",N(G216)=0),"",AN216/G216)</f>
        <v/>
      </c>
    </row>
    <row r="217" customFormat="false" ht="15" hidden="false" customHeight="false" outlineLevel="0" collapsed="false">
      <c r="A217" s="19"/>
      <c r="B217" s="20"/>
      <c r="C217" s="19"/>
      <c r="D217" s="19"/>
      <c r="E217" s="19"/>
      <c r="F217" s="19"/>
      <c r="G217" s="21"/>
      <c r="H217" s="19"/>
      <c r="I217" s="21"/>
      <c r="J217" s="19"/>
      <c r="K217" s="20"/>
      <c r="L217" s="20"/>
      <c r="M217" s="19"/>
      <c r="N217" s="19"/>
      <c r="O217" s="20"/>
      <c r="P217" s="20"/>
      <c r="Q217" s="19"/>
      <c r="R217" s="22" t="str">
        <f aca="false">IF(A217="","",N(G217)+N(I217))</f>
        <v/>
      </c>
      <c r="S217" s="23" t="str">
        <f aca="false">IF(OR(K217="",O217=""),"",O217-K217)</f>
        <v/>
      </c>
      <c r="T217" s="23" t="str">
        <f aca="true">IF(AND(C217="Cetak",L217&lt;&gt;"",L217&lt;TODAY()),"YA","")</f>
        <v/>
      </c>
      <c r="U217" s="23" t="str">
        <f aca="false">IF(B217="","",TEXT(B217,"yyyy-mm"))</f>
        <v/>
      </c>
      <c r="V217" s="23" t="str">
        <f aca="false">IF(K217="","",TEXT(K217,"yyyy-mm"))</f>
        <v/>
      </c>
      <c r="W217" s="23" t="n">
        <f aca="false">IF(OR(C217="Cetak",C217="Dikirim",C217="Selesai"),1,0)</f>
        <v>0</v>
      </c>
      <c r="X217" s="23" t="str">
        <f aca="false">IF(F217="","",SUBSTITUTE(SUBSTITUTE(MID(UPPER(TRIM(F217)),4,99),"-LED",""),"-TK",""))</f>
        <v/>
      </c>
      <c r="Y217" s="23" t="str">
        <f aca="false">IF(X217="","",(LEN(X217)+1)/7)</f>
        <v/>
      </c>
      <c r="Z217" s="23" t="str">
        <f aca="false">IF(X217="","",LEFT(X217,6))</f>
        <v/>
      </c>
      <c r="AA217" s="23" t="str">
        <f aca="false">IF(X217="","",IF(Y217&gt;=3,MID(X217,8,6),""))</f>
        <v/>
      </c>
      <c r="AB217" s="23" t="str">
        <f aca="false">IF(X217="","",IF(Y217&gt;=4,MID(X217,15,6),""))</f>
        <v/>
      </c>
      <c r="AC217" s="23" t="str">
        <f aca="false">IF(X217="","",IF(Y217&gt;=5,MID(X217,22,6),""))</f>
        <v/>
      </c>
      <c r="AD217" s="23" t="str">
        <f aca="false">IF(X217="","",RIGHT(X217,6))</f>
        <v/>
      </c>
      <c r="AE217" s="23" t="str">
        <f aca="false">IF(F217="","",IF(ISNUMBER(SEARCH("-TK",UPPER(F217))),0,1))</f>
        <v/>
      </c>
      <c r="AF217" s="23" t="str">
        <f aca="false">IF(F217="","",IF(ISNUMBER(SEARCH("-LED",UPPER(F217))),1,0))</f>
        <v/>
      </c>
      <c r="AG217" s="24" t="n">
        <f aca="false">IF(Z217="",0,IFERROR(INDEX(Resep!$C$5:$C$7,MATCH(LEFT(Z217,3),Resep!$B$5:$B$7,0)),0))</f>
        <v>0</v>
      </c>
      <c r="AH217" s="24" t="n">
        <f aca="false">IF(AA217="",0,IFERROR(INDEX(Resep!$C$9:$C$13,MATCH(LEFT(AA217,3),Resep!$B$9:$B$13,0)),0))</f>
        <v>0</v>
      </c>
      <c r="AI217" s="24" t="n">
        <f aca="false">IF(AB217="",0,IFERROR(INDEX(Resep!$C$9:$C$13,MATCH(LEFT(AB217,3),Resep!$B$9:$B$13,0)),0))</f>
        <v>0</v>
      </c>
      <c r="AJ217" s="24" t="n">
        <f aca="false">IF(AC217="",0,IFERROR(INDEX(Resep!$C$9:$C$13,MATCH(LEFT(AC217,3),Resep!$B$9:$B$13,0)),0))</f>
        <v>0</v>
      </c>
      <c r="AK217" s="24" t="n">
        <f aca="false">IF(AD217="",0,IFERROR(INDEX(Resep!$C$15:$C$18,MATCH(LEFT(AD217,3),Resep!$B$15:$B$18,0)),0))</f>
        <v>0</v>
      </c>
      <c r="AL217" s="24" t="str">
        <f aca="false">IF(X217="","",AG217+AH217+AI217+AJ217+AK217)</f>
        <v/>
      </c>
      <c r="AM217" s="22" t="str">
        <f aca="false">IF(X217="","",AL217*(Pengaturan!$B$6+Pengaturan!$B$7)+Pengaturan!$B$8+AE217*Pengaturan!$B$9+AF217*Pengaturan!$B$10)</f>
        <v/>
      </c>
      <c r="AN217" s="22" t="str">
        <f aca="false">IF(X217="","",N(G217)-AM217)</f>
        <v/>
      </c>
      <c r="AO217" s="25" t="str">
        <f aca="false">IF(OR(X217="",N(G217)=0),"",AN217/G217)</f>
        <v/>
      </c>
    </row>
    <row r="218" customFormat="false" ht="15" hidden="false" customHeight="false" outlineLevel="0" collapsed="false">
      <c r="A218" s="19"/>
      <c r="B218" s="20"/>
      <c r="C218" s="19"/>
      <c r="D218" s="19"/>
      <c r="E218" s="19"/>
      <c r="F218" s="19"/>
      <c r="G218" s="21"/>
      <c r="H218" s="19"/>
      <c r="I218" s="21"/>
      <c r="J218" s="19"/>
      <c r="K218" s="20"/>
      <c r="L218" s="20"/>
      <c r="M218" s="19"/>
      <c r="N218" s="19"/>
      <c r="O218" s="20"/>
      <c r="P218" s="20"/>
      <c r="Q218" s="19"/>
      <c r="R218" s="22" t="str">
        <f aca="false">IF(A218="","",N(G218)+N(I218))</f>
        <v/>
      </c>
      <c r="S218" s="23" t="str">
        <f aca="false">IF(OR(K218="",O218=""),"",O218-K218)</f>
        <v/>
      </c>
      <c r="T218" s="23" t="str">
        <f aca="true">IF(AND(C218="Cetak",L218&lt;&gt;"",L218&lt;TODAY()),"YA","")</f>
        <v/>
      </c>
      <c r="U218" s="23" t="str">
        <f aca="false">IF(B218="","",TEXT(B218,"yyyy-mm"))</f>
        <v/>
      </c>
      <c r="V218" s="23" t="str">
        <f aca="false">IF(K218="","",TEXT(K218,"yyyy-mm"))</f>
        <v/>
      </c>
      <c r="W218" s="23" t="n">
        <f aca="false">IF(OR(C218="Cetak",C218="Dikirim",C218="Selesai"),1,0)</f>
        <v>0</v>
      </c>
      <c r="X218" s="23" t="str">
        <f aca="false">IF(F218="","",SUBSTITUTE(SUBSTITUTE(MID(UPPER(TRIM(F218)),4,99),"-LED",""),"-TK",""))</f>
        <v/>
      </c>
      <c r="Y218" s="23" t="str">
        <f aca="false">IF(X218="","",(LEN(X218)+1)/7)</f>
        <v/>
      </c>
      <c r="Z218" s="23" t="str">
        <f aca="false">IF(X218="","",LEFT(X218,6))</f>
        <v/>
      </c>
      <c r="AA218" s="23" t="str">
        <f aca="false">IF(X218="","",IF(Y218&gt;=3,MID(X218,8,6),""))</f>
        <v/>
      </c>
      <c r="AB218" s="23" t="str">
        <f aca="false">IF(X218="","",IF(Y218&gt;=4,MID(X218,15,6),""))</f>
        <v/>
      </c>
      <c r="AC218" s="23" t="str">
        <f aca="false">IF(X218="","",IF(Y218&gt;=5,MID(X218,22,6),""))</f>
        <v/>
      </c>
      <c r="AD218" s="23" t="str">
        <f aca="false">IF(X218="","",RIGHT(X218,6))</f>
        <v/>
      </c>
      <c r="AE218" s="23" t="str">
        <f aca="false">IF(F218="","",IF(ISNUMBER(SEARCH("-TK",UPPER(F218))),0,1))</f>
        <v/>
      </c>
      <c r="AF218" s="23" t="str">
        <f aca="false">IF(F218="","",IF(ISNUMBER(SEARCH("-LED",UPPER(F218))),1,0))</f>
        <v/>
      </c>
      <c r="AG218" s="24" t="n">
        <f aca="false">IF(Z218="",0,IFERROR(INDEX(Resep!$C$5:$C$7,MATCH(LEFT(Z218,3),Resep!$B$5:$B$7,0)),0))</f>
        <v>0</v>
      </c>
      <c r="AH218" s="24" t="n">
        <f aca="false">IF(AA218="",0,IFERROR(INDEX(Resep!$C$9:$C$13,MATCH(LEFT(AA218,3),Resep!$B$9:$B$13,0)),0))</f>
        <v>0</v>
      </c>
      <c r="AI218" s="24" t="n">
        <f aca="false">IF(AB218="",0,IFERROR(INDEX(Resep!$C$9:$C$13,MATCH(LEFT(AB218,3),Resep!$B$9:$B$13,0)),0))</f>
        <v>0</v>
      </c>
      <c r="AJ218" s="24" t="n">
        <f aca="false">IF(AC218="",0,IFERROR(INDEX(Resep!$C$9:$C$13,MATCH(LEFT(AC218,3),Resep!$B$9:$B$13,0)),0))</f>
        <v>0</v>
      </c>
      <c r="AK218" s="24" t="n">
        <f aca="false">IF(AD218="",0,IFERROR(INDEX(Resep!$C$15:$C$18,MATCH(LEFT(AD218,3),Resep!$B$15:$B$18,0)),0))</f>
        <v>0</v>
      </c>
      <c r="AL218" s="24" t="str">
        <f aca="false">IF(X218="","",AG218+AH218+AI218+AJ218+AK218)</f>
        <v/>
      </c>
      <c r="AM218" s="22" t="str">
        <f aca="false">IF(X218="","",AL218*(Pengaturan!$B$6+Pengaturan!$B$7)+Pengaturan!$B$8+AE218*Pengaturan!$B$9+AF218*Pengaturan!$B$10)</f>
        <v/>
      </c>
      <c r="AN218" s="22" t="str">
        <f aca="false">IF(X218="","",N(G218)-AM218)</f>
        <v/>
      </c>
      <c r="AO218" s="25" t="str">
        <f aca="false">IF(OR(X218="",N(G218)=0),"",AN218/G218)</f>
        <v/>
      </c>
    </row>
    <row r="219" customFormat="false" ht="15" hidden="false" customHeight="false" outlineLevel="0" collapsed="false">
      <c r="A219" s="19"/>
      <c r="B219" s="20"/>
      <c r="C219" s="19"/>
      <c r="D219" s="19"/>
      <c r="E219" s="19"/>
      <c r="F219" s="19"/>
      <c r="G219" s="21"/>
      <c r="H219" s="19"/>
      <c r="I219" s="21"/>
      <c r="J219" s="19"/>
      <c r="K219" s="20"/>
      <c r="L219" s="20"/>
      <c r="M219" s="19"/>
      <c r="N219" s="19"/>
      <c r="O219" s="20"/>
      <c r="P219" s="20"/>
      <c r="Q219" s="19"/>
      <c r="R219" s="22" t="str">
        <f aca="false">IF(A219="","",N(G219)+N(I219))</f>
        <v/>
      </c>
      <c r="S219" s="23" t="str">
        <f aca="false">IF(OR(K219="",O219=""),"",O219-K219)</f>
        <v/>
      </c>
      <c r="T219" s="23" t="str">
        <f aca="true">IF(AND(C219="Cetak",L219&lt;&gt;"",L219&lt;TODAY()),"YA","")</f>
        <v/>
      </c>
      <c r="U219" s="23" t="str">
        <f aca="false">IF(B219="","",TEXT(B219,"yyyy-mm"))</f>
        <v/>
      </c>
      <c r="V219" s="23" t="str">
        <f aca="false">IF(K219="","",TEXT(K219,"yyyy-mm"))</f>
        <v/>
      </c>
      <c r="W219" s="23" t="n">
        <f aca="false">IF(OR(C219="Cetak",C219="Dikirim",C219="Selesai"),1,0)</f>
        <v>0</v>
      </c>
      <c r="X219" s="23" t="str">
        <f aca="false">IF(F219="","",SUBSTITUTE(SUBSTITUTE(MID(UPPER(TRIM(F219)),4,99),"-LED",""),"-TK",""))</f>
        <v/>
      </c>
      <c r="Y219" s="23" t="str">
        <f aca="false">IF(X219="","",(LEN(X219)+1)/7)</f>
        <v/>
      </c>
      <c r="Z219" s="23" t="str">
        <f aca="false">IF(X219="","",LEFT(X219,6))</f>
        <v/>
      </c>
      <c r="AA219" s="23" t="str">
        <f aca="false">IF(X219="","",IF(Y219&gt;=3,MID(X219,8,6),""))</f>
        <v/>
      </c>
      <c r="AB219" s="23" t="str">
        <f aca="false">IF(X219="","",IF(Y219&gt;=4,MID(X219,15,6),""))</f>
        <v/>
      </c>
      <c r="AC219" s="23" t="str">
        <f aca="false">IF(X219="","",IF(Y219&gt;=5,MID(X219,22,6),""))</f>
        <v/>
      </c>
      <c r="AD219" s="23" t="str">
        <f aca="false">IF(X219="","",RIGHT(X219,6))</f>
        <v/>
      </c>
      <c r="AE219" s="23" t="str">
        <f aca="false">IF(F219="","",IF(ISNUMBER(SEARCH("-TK",UPPER(F219))),0,1))</f>
        <v/>
      </c>
      <c r="AF219" s="23" t="str">
        <f aca="false">IF(F219="","",IF(ISNUMBER(SEARCH("-LED",UPPER(F219))),1,0))</f>
        <v/>
      </c>
      <c r="AG219" s="24" t="n">
        <f aca="false">IF(Z219="",0,IFERROR(INDEX(Resep!$C$5:$C$7,MATCH(LEFT(Z219,3),Resep!$B$5:$B$7,0)),0))</f>
        <v>0</v>
      </c>
      <c r="AH219" s="24" t="n">
        <f aca="false">IF(AA219="",0,IFERROR(INDEX(Resep!$C$9:$C$13,MATCH(LEFT(AA219,3),Resep!$B$9:$B$13,0)),0))</f>
        <v>0</v>
      </c>
      <c r="AI219" s="24" t="n">
        <f aca="false">IF(AB219="",0,IFERROR(INDEX(Resep!$C$9:$C$13,MATCH(LEFT(AB219,3),Resep!$B$9:$B$13,0)),0))</f>
        <v>0</v>
      </c>
      <c r="AJ219" s="24" t="n">
        <f aca="false">IF(AC219="",0,IFERROR(INDEX(Resep!$C$9:$C$13,MATCH(LEFT(AC219,3),Resep!$B$9:$B$13,0)),0))</f>
        <v>0</v>
      </c>
      <c r="AK219" s="24" t="n">
        <f aca="false">IF(AD219="",0,IFERROR(INDEX(Resep!$C$15:$C$18,MATCH(LEFT(AD219,3),Resep!$B$15:$B$18,0)),0))</f>
        <v>0</v>
      </c>
      <c r="AL219" s="24" t="str">
        <f aca="false">IF(X219="","",AG219+AH219+AI219+AJ219+AK219)</f>
        <v/>
      </c>
      <c r="AM219" s="22" t="str">
        <f aca="false">IF(X219="","",AL219*(Pengaturan!$B$6+Pengaturan!$B$7)+Pengaturan!$B$8+AE219*Pengaturan!$B$9+AF219*Pengaturan!$B$10)</f>
        <v/>
      </c>
      <c r="AN219" s="22" t="str">
        <f aca="false">IF(X219="","",N(G219)-AM219)</f>
        <v/>
      </c>
      <c r="AO219" s="25" t="str">
        <f aca="false">IF(OR(X219="",N(G219)=0),"",AN219/G219)</f>
        <v/>
      </c>
    </row>
    <row r="220" customFormat="false" ht="15" hidden="false" customHeight="false" outlineLevel="0" collapsed="false">
      <c r="A220" s="19"/>
      <c r="B220" s="20"/>
      <c r="C220" s="19"/>
      <c r="D220" s="19"/>
      <c r="E220" s="19"/>
      <c r="F220" s="19"/>
      <c r="G220" s="21"/>
      <c r="H220" s="19"/>
      <c r="I220" s="21"/>
      <c r="J220" s="19"/>
      <c r="K220" s="20"/>
      <c r="L220" s="20"/>
      <c r="M220" s="19"/>
      <c r="N220" s="19"/>
      <c r="O220" s="20"/>
      <c r="P220" s="20"/>
      <c r="Q220" s="19"/>
      <c r="R220" s="22" t="str">
        <f aca="false">IF(A220="","",N(G220)+N(I220))</f>
        <v/>
      </c>
      <c r="S220" s="23" t="str">
        <f aca="false">IF(OR(K220="",O220=""),"",O220-K220)</f>
        <v/>
      </c>
      <c r="T220" s="23" t="str">
        <f aca="true">IF(AND(C220="Cetak",L220&lt;&gt;"",L220&lt;TODAY()),"YA","")</f>
        <v/>
      </c>
      <c r="U220" s="23" t="str">
        <f aca="false">IF(B220="","",TEXT(B220,"yyyy-mm"))</f>
        <v/>
      </c>
      <c r="V220" s="23" t="str">
        <f aca="false">IF(K220="","",TEXT(K220,"yyyy-mm"))</f>
        <v/>
      </c>
      <c r="W220" s="23" t="n">
        <f aca="false">IF(OR(C220="Cetak",C220="Dikirim",C220="Selesai"),1,0)</f>
        <v>0</v>
      </c>
      <c r="X220" s="23" t="str">
        <f aca="false">IF(F220="","",SUBSTITUTE(SUBSTITUTE(MID(UPPER(TRIM(F220)),4,99),"-LED",""),"-TK",""))</f>
        <v/>
      </c>
      <c r="Y220" s="23" t="str">
        <f aca="false">IF(X220="","",(LEN(X220)+1)/7)</f>
        <v/>
      </c>
      <c r="Z220" s="23" t="str">
        <f aca="false">IF(X220="","",LEFT(X220,6))</f>
        <v/>
      </c>
      <c r="AA220" s="23" t="str">
        <f aca="false">IF(X220="","",IF(Y220&gt;=3,MID(X220,8,6),""))</f>
        <v/>
      </c>
      <c r="AB220" s="23" t="str">
        <f aca="false">IF(X220="","",IF(Y220&gt;=4,MID(X220,15,6),""))</f>
        <v/>
      </c>
      <c r="AC220" s="23" t="str">
        <f aca="false">IF(X220="","",IF(Y220&gt;=5,MID(X220,22,6),""))</f>
        <v/>
      </c>
      <c r="AD220" s="23" t="str">
        <f aca="false">IF(X220="","",RIGHT(X220,6))</f>
        <v/>
      </c>
      <c r="AE220" s="23" t="str">
        <f aca="false">IF(F220="","",IF(ISNUMBER(SEARCH("-TK",UPPER(F220))),0,1))</f>
        <v/>
      </c>
      <c r="AF220" s="23" t="str">
        <f aca="false">IF(F220="","",IF(ISNUMBER(SEARCH("-LED",UPPER(F220))),1,0))</f>
        <v/>
      </c>
      <c r="AG220" s="24" t="n">
        <f aca="false">IF(Z220="",0,IFERROR(INDEX(Resep!$C$5:$C$7,MATCH(LEFT(Z220,3),Resep!$B$5:$B$7,0)),0))</f>
        <v>0</v>
      </c>
      <c r="AH220" s="24" t="n">
        <f aca="false">IF(AA220="",0,IFERROR(INDEX(Resep!$C$9:$C$13,MATCH(LEFT(AA220,3),Resep!$B$9:$B$13,0)),0))</f>
        <v>0</v>
      </c>
      <c r="AI220" s="24" t="n">
        <f aca="false">IF(AB220="",0,IFERROR(INDEX(Resep!$C$9:$C$13,MATCH(LEFT(AB220,3),Resep!$B$9:$B$13,0)),0))</f>
        <v>0</v>
      </c>
      <c r="AJ220" s="24" t="n">
        <f aca="false">IF(AC220="",0,IFERROR(INDEX(Resep!$C$9:$C$13,MATCH(LEFT(AC220,3),Resep!$B$9:$B$13,0)),0))</f>
        <v>0</v>
      </c>
      <c r="AK220" s="24" t="n">
        <f aca="false">IF(AD220="",0,IFERROR(INDEX(Resep!$C$15:$C$18,MATCH(LEFT(AD220,3),Resep!$B$15:$B$18,0)),0))</f>
        <v>0</v>
      </c>
      <c r="AL220" s="24" t="str">
        <f aca="false">IF(X220="","",AG220+AH220+AI220+AJ220+AK220)</f>
        <v/>
      </c>
      <c r="AM220" s="22" t="str">
        <f aca="false">IF(X220="","",AL220*(Pengaturan!$B$6+Pengaturan!$B$7)+Pengaturan!$B$8+AE220*Pengaturan!$B$9+AF220*Pengaturan!$B$10)</f>
        <v/>
      </c>
      <c r="AN220" s="22" t="str">
        <f aca="false">IF(X220="","",N(G220)-AM220)</f>
        <v/>
      </c>
      <c r="AO220" s="25" t="str">
        <f aca="false">IF(OR(X220="",N(G220)=0),"",AN220/G220)</f>
        <v/>
      </c>
    </row>
    <row r="221" customFormat="false" ht="15" hidden="false" customHeight="false" outlineLevel="0" collapsed="false">
      <c r="A221" s="19"/>
      <c r="B221" s="20"/>
      <c r="C221" s="19"/>
      <c r="D221" s="19"/>
      <c r="E221" s="19"/>
      <c r="F221" s="19"/>
      <c r="G221" s="21"/>
      <c r="H221" s="19"/>
      <c r="I221" s="21"/>
      <c r="J221" s="19"/>
      <c r="K221" s="20"/>
      <c r="L221" s="20"/>
      <c r="M221" s="19"/>
      <c r="N221" s="19"/>
      <c r="O221" s="20"/>
      <c r="P221" s="20"/>
      <c r="Q221" s="19"/>
      <c r="R221" s="22" t="str">
        <f aca="false">IF(A221="","",N(G221)+N(I221))</f>
        <v/>
      </c>
      <c r="S221" s="23" t="str">
        <f aca="false">IF(OR(K221="",O221=""),"",O221-K221)</f>
        <v/>
      </c>
      <c r="T221" s="23" t="str">
        <f aca="true">IF(AND(C221="Cetak",L221&lt;&gt;"",L221&lt;TODAY()),"YA","")</f>
        <v/>
      </c>
      <c r="U221" s="23" t="str">
        <f aca="false">IF(B221="","",TEXT(B221,"yyyy-mm"))</f>
        <v/>
      </c>
      <c r="V221" s="23" t="str">
        <f aca="false">IF(K221="","",TEXT(K221,"yyyy-mm"))</f>
        <v/>
      </c>
      <c r="W221" s="23" t="n">
        <f aca="false">IF(OR(C221="Cetak",C221="Dikirim",C221="Selesai"),1,0)</f>
        <v>0</v>
      </c>
      <c r="X221" s="23" t="str">
        <f aca="false">IF(F221="","",SUBSTITUTE(SUBSTITUTE(MID(UPPER(TRIM(F221)),4,99),"-LED",""),"-TK",""))</f>
        <v/>
      </c>
      <c r="Y221" s="23" t="str">
        <f aca="false">IF(X221="","",(LEN(X221)+1)/7)</f>
        <v/>
      </c>
      <c r="Z221" s="23" t="str">
        <f aca="false">IF(X221="","",LEFT(X221,6))</f>
        <v/>
      </c>
      <c r="AA221" s="23" t="str">
        <f aca="false">IF(X221="","",IF(Y221&gt;=3,MID(X221,8,6),""))</f>
        <v/>
      </c>
      <c r="AB221" s="23" t="str">
        <f aca="false">IF(X221="","",IF(Y221&gt;=4,MID(X221,15,6),""))</f>
        <v/>
      </c>
      <c r="AC221" s="23" t="str">
        <f aca="false">IF(X221="","",IF(Y221&gt;=5,MID(X221,22,6),""))</f>
        <v/>
      </c>
      <c r="AD221" s="23" t="str">
        <f aca="false">IF(X221="","",RIGHT(X221,6))</f>
        <v/>
      </c>
      <c r="AE221" s="23" t="str">
        <f aca="false">IF(F221="","",IF(ISNUMBER(SEARCH("-TK",UPPER(F221))),0,1))</f>
        <v/>
      </c>
      <c r="AF221" s="23" t="str">
        <f aca="false">IF(F221="","",IF(ISNUMBER(SEARCH("-LED",UPPER(F221))),1,0))</f>
        <v/>
      </c>
      <c r="AG221" s="24" t="n">
        <f aca="false">IF(Z221="",0,IFERROR(INDEX(Resep!$C$5:$C$7,MATCH(LEFT(Z221,3),Resep!$B$5:$B$7,0)),0))</f>
        <v>0</v>
      </c>
      <c r="AH221" s="24" t="n">
        <f aca="false">IF(AA221="",0,IFERROR(INDEX(Resep!$C$9:$C$13,MATCH(LEFT(AA221,3),Resep!$B$9:$B$13,0)),0))</f>
        <v>0</v>
      </c>
      <c r="AI221" s="24" t="n">
        <f aca="false">IF(AB221="",0,IFERROR(INDEX(Resep!$C$9:$C$13,MATCH(LEFT(AB221,3),Resep!$B$9:$B$13,0)),0))</f>
        <v>0</v>
      </c>
      <c r="AJ221" s="24" t="n">
        <f aca="false">IF(AC221="",0,IFERROR(INDEX(Resep!$C$9:$C$13,MATCH(LEFT(AC221,3),Resep!$B$9:$B$13,0)),0))</f>
        <v>0</v>
      </c>
      <c r="AK221" s="24" t="n">
        <f aca="false">IF(AD221="",0,IFERROR(INDEX(Resep!$C$15:$C$18,MATCH(LEFT(AD221,3),Resep!$B$15:$B$18,0)),0))</f>
        <v>0</v>
      </c>
      <c r="AL221" s="24" t="str">
        <f aca="false">IF(X221="","",AG221+AH221+AI221+AJ221+AK221)</f>
        <v/>
      </c>
      <c r="AM221" s="22" t="str">
        <f aca="false">IF(X221="","",AL221*(Pengaturan!$B$6+Pengaturan!$B$7)+Pengaturan!$B$8+AE221*Pengaturan!$B$9+AF221*Pengaturan!$B$10)</f>
        <v/>
      </c>
      <c r="AN221" s="22" t="str">
        <f aca="false">IF(X221="","",N(G221)-AM221)</f>
        <v/>
      </c>
      <c r="AO221" s="25" t="str">
        <f aca="false">IF(OR(X221="",N(G221)=0),"",AN221/G221)</f>
        <v/>
      </c>
    </row>
    <row r="222" customFormat="false" ht="15" hidden="false" customHeight="false" outlineLevel="0" collapsed="false">
      <c r="A222" s="19"/>
      <c r="B222" s="20"/>
      <c r="C222" s="19"/>
      <c r="D222" s="19"/>
      <c r="E222" s="19"/>
      <c r="F222" s="19"/>
      <c r="G222" s="21"/>
      <c r="H222" s="19"/>
      <c r="I222" s="21"/>
      <c r="J222" s="19"/>
      <c r="K222" s="20"/>
      <c r="L222" s="20"/>
      <c r="M222" s="19"/>
      <c r="N222" s="19"/>
      <c r="O222" s="20"/>
      <c r="P222" s="20"/>
      <c r="Q222" s="19"/>
      <c r="R222" s="22" t="str">
        <f aca="false">IF(A222="","",N(G222)+N(I222))</f>
        <v/>
      </c>
      <c r="S222" s="23" t="str">
        <f aca="false">IF(OR(K222="",O222=""),"",O222-K222)</f>
        <v/>
      </c>
      <c r="T222" s="23" t="str">
        <f aca="true">IF(AND(C222="Cetak",L222&lt;&gt;"",L222&lt;TODAY()),"YA","")</f>
        <v/>
      </c>
      <c r="U222" s="23" t="str">
        <f aca="false">IF(B222="","",TEXT(B222,"yyyy-mm"))</f>
        <v/>
      </c>
      <c r="V222" s="23" t="str">
        <f aca="false">IF(K222="","",TEXT(K222,"yyyy-mm"))</f>
        <v/>
      </c>
      <c r="W222" s="23" t="n">
        <f aca="false">IF(OR(C222="Cetak",C222="Dikirim",C222="Selesai"),1,0)</f>
        <v>0</v>
      </c>
      <c r="X222" s="23" t="str">
        <f aca="false">IF(F222="","",SUBSTITUTE(SUBSTITUTE(MID(UPPER(TRIM(F222)),4,99),"-LED",""),"-TK",""))</f>
        <v/>
      </c>
      <c r="Y222" s="23" t="str">
        <f aca="false">IF(X222="","",(LEN(X222)+1)/7)</f>
        <v/>
      </c>
      <c r="Z222" s="23" t="str">
        <f aca="false">IF(X222="","",LEFT(X222,6))</f>
        <v/>
      </c>
      <c r="AA222" s="23" t="str">
        <f aca="false">IF(X222="","",IF(Y222&gt;=3,MID(X222,8,6),""))</f>
        <v/>
      </c>
      <c r="AB222" s="23" t="str">
        <f aca="false">IF(X222="","",IF(Y222&gt;=4,MID(X222,15,6),""))</f>
        <v/>
      </c>
      <c r="AC222" s="23" t="str">
        <f aca="false">IF(X222="","",IF(Y222&gt;=5,MID(X222,22,6),""))</f>
        <v/>
      </c>
      <c r="AD222" s="23" t="str">
        <f aca="false">IF(X222="","",RIGHT(X222,6))</f>
        <v/>
      </c>
      <c r="AE222" s="23" t="str">
        <f aca="false">IF(F222="","",IF(ISNUMBER(SEARCH("-TK",UPPER(F222))),0,1))</f>
        <v/>
      </c>
      <c r="AF222" s="23" t="str">
        <f aca="false">IF(F222="","",IF(ISNUMBER(SEARCH("-LED",UPPER(F222))),1,0))</f>
        <v/>
      </c>
      <c r="AG222" s="24" t="n">
        <f aca="false">IF(Z222="",0,IFERROR(INDEX(Resep!$C$5:$C$7,MATCH(LEFT(Z222,3),Resep!$B$5:$B$7,0)),0))</f>
        <v>0</v>
      </c>
      <c r="AH222" s="24" t="n">
        <f aca="false">IF(AA222="",0,IFERROR(INDEX(Resep!$C$9:$C$13,MATCH(LEFT(AA222,3),Resep!$B$9:$B$13,0)),0))</f>
        <v>0</v>
      </c>
      <c r="AI222" s="24" t="n">
        <f aca="false">IF(AB222="",0,IFERROR(INDEX(Resep!$C$9:$C$13,MATCH(LEFT(AB222,3),Resep!$B$9:$B$13,0)),0))</f>
        <v>0</v>
      </c>
      <c r="AJ222" s="24" t="n">
        <f aca="false">IF(AC222="",0,IFERROR(INDEX(Resep!$C$9:$C$13,MATCH(LEFT(AC222,3),Resep!$B$9:$B$13,0)),0))</f>
        <v>0</v>
      </c>
      <c r="AK222" s="24" t="n">
        <f aca="false">IF(AD222="",0,IFERROR(INDEX(Resep!$C$15:$C$18,MATCH(LEFT(AD222,3),Resep!$B$15:$B$18,0)),0))</f>
        <v>0</v>
      </c>
      <c r="AL222" s="24" t="str">
        <f aca="false">IF(X222="","",AG222+AH222+AI222+AJ222+AK222)</f>
        <v/>
      </c>
      <c r="AM222" s="22" t="str">
        <f aca="false">IF(X222="","",AL222*(Pengaturan!$B$6+Pengaturan!$B$7)+Pengaturan!$B$8+AE222*Pengaturan!$B$9+AF222*Pengaturan!$B$10)</f>
        <v/>
      </c>
      <c r="AN222" s="22" t="str">
        <f aca="false">IF(X222="","",N(G222)-AM222)</f>
        <v/>
      </c>
      <c r="AO222" s="25" t="str">
        <f aca="false">IF(OR(X222="",N(G222)=0),"",AN222/G222)</f>
        <v/>
      </c>
    </row>
    <row r="223" customFormat="false" ht="15" hidden="false" customHeight="false" outlineLevel="0" collapsed="false">
      <c r="A223" s="19"/>
      <c r="B223" s="20"/>
      <c r="C223" s="19"/>
      <c r="D223" s="19"/>
      <c r="E223" s="19"/>
      <c r="F223" s="19"/>
      <c r="G223" s="21"/>
      <c r="H223" s="19"/>
      <c r="I223" s="21"/>
      <c r="J223" s="19"/>
      <c r="K223" s="20"/>
      <c r="L223" s="20"/>
      <c r="M223" s="19"/>
      <c r="N223" s="19"/>
      <c r="O223" s="20"/>
      <c r="P223" s="20"/>
      <c r="Q223" s="19"/>
      <c r="R223" s="22" t="str">
        <f aca="false">IF(A223="","",N(G223)+N(I223))</f>
        <v/>
      </c>
      <c r="S223" s="23" t="str">
        <f aca="false">IF(OR(K223="",O223=""),"",O223-K223)</f>
        <v/>
      </c>
      <c r="T223" s="23" t="str">
        <f aca="true">IF(AND(C223="Cetak",L223&lt;&gt;"",L223&lt;TODAY()),"YA","")</f>
        <v/>
      </c>
      <c r="U223" s="23" t="str">
        <f aca="false">IF(B223="","",TEXT(B223,"yyyy-mm"))</f>
        <v/>
      </c>
      <c r="V223" s="23" t="str">
        <f aca="false">IF(K223="","",TEXT(K223,"yyyy-mm"))</f>
        <v/>
      </c>
      <c r="W223" s="23" t="n">
        <f aca="false">IF(OR(C223="Cetak",C223="Dikirim",C223="Selesai"),1,0)</f>
        <v>0</v>
      </c>
      <c r="X223" s="23" t="str">
        <f aca="false">IF(F223="","",SUBSTITUTE(SUBSTITUTE(MID(UPPER(TRIM(F223)),4,99),"-LED",""),"-TK",""))</f>
        <v/>
      </c>
      <c r="Y223" s="23" t="str">
        <f aca="false">IF(X223="","",(LEN(X223)+1)/7)</f>
        <v/>
      </c>
      <c r="Z223" s="23" t="str">
        <f aca="false">IF(X223="","",LEFT(X223,6))</f>
        <v/>
      </c>
      <c r="AA223" s="23" t="str">
        <f aca="false">IF(X223="","",IF(Y223&gt;=3,MID(X223,8,6),""))</f>
        <v/>
      </c>
      <c r="AB223" s="23" t="str">
        <f aca="false">IF(X223="","",IF(Y223&gt;=4,MID(X223,15,6),""))</f>
        <v/>
      </c>
      <c r="AC223" s="23" t="str">
        <f aca="false">IF(X223="","",IF(Y223&gt;=5,MID(X223,22,6),""))</f>
        <v/>
      </c>
      <c r="AD223" s="23" t="str">
        <f aca="false">IF(X223="","",RIGHT(X223,6))</f>
        <v/>
      </c>
      <c r="AE223" s="23" t="str">
        <f aca="false">IF(F223="","",IF(ISNUMBER(SEARCH("-TK",UPPER(F223))),0,1))</f>
        <v/>
      </c>
      <c r="AF223" s="23" t="str">
        <f aca="false">IF(F223="","",IF(ISNUMBER(SEARCH("-LED",UPPER(F223))),1,0))</f>
        <v/>
      </c>
      <c r="AG223" s="24" t="n">
        <f aca="false">IF(Z223="",0,IFERROR(INDEX(Resep!$C$5:$C$7,MATCH(LEFT(Z223,3),Resep!$B$5:$B$7,0)),0))</f>
        <v>0</v>
      </c>
      <c r="AH223" s="24" t="n">
        <f aca="false">IF(AA223="",0,IFERROR(INDEX(Resep!$C$9:$C$13,MATCH(LEFT(AA223,3),Resep!$B$9:$B$13,0)),0))</f>
        <v>0</v>
      </c>
      <c r="AI223" s="24" t="n">
        <f aca="false">IF(AB223="",0,IFERROR(INDEX(Resep!$C$9:$C$13,MATCH(LEFT(AB223,3),Resep!$B$9:$B$13,0)),0))</f>
        <v>0</v>
      </c>
      <c r="AJ223" s="24" t="n">
        <f aca="false">IF(AC223="",0,IFERROR(INDEX(Resep!$C$9:$C$13,MATCH(LEFT(AC223,3),Resep!$B$9:$B$13,0)),0))</f>
        <v>0</v>
      </c>
      <c r="AK223" s="24" t="n">
        <f aca="false">IF(AD223="",0,IFERROR(INDEX(Resep!$C$15:$C$18,MATCH(LEFT(AD223,3),Resep!$B$15:$B$18,0)),0))</f>
        <v>0</v>
      </c>
      <c r="AL223" s="24" t="str">
        <f aca="false">IF(X223="","",AG223+AH223+AI223+AJ223+AK223)</f>
        <v/>
      </c>
      <c r="AM223" s="22" t="str">
        <f aca="false">IF(X223="","",AL223*(Pengaturan!$B$6+Pengaturan!$B$7)+Pengaturan!$B$8+AE223*Pengaturan!$B$9+AF223*Pengaturan!$B$10)</f>
        <v/>
      </c>
      <c r="AN223" s="22" t="str">
        <f aca="false">IF(X223="","",N(G223)-AM223)</f>
        <v/>
      </c>
      <c r="AO223" s="25" t="str">
        <f aca="false">IF(OR(X223="",N(G223)=0),"",AN223/G223)</f>
        <v/>
      </c>
    </row>
    <row r="224" customFormat="false" ht="15" hidden="false" customHeight="false" outlineLevel="0" collapsed="false">
      <c r="A224" s="19"/>
      <c r="B224" s="20"/>
      <c r="C224" s="19"/>
      <c r="D224" s="19"/>
      <c r="E224" s="19"/>
      <c r="F224" s="19"/>
      <c r="G224" s="21"/>
      <c r="H224" s="19"/>
      <c r="I224" s="21"/>
      <c r="J224" s="19"/>
      <c r="K224" s="20"/>
      <c r="L224" s="20"/>
      <c r="M224" s="19"/>
      <c r="N224" s="19"/>
      <c r="O224" s="20"/>
      <c r="P224" s="20"/>
      <c r="Q224" s="19"/>
      <c r="R224" s="22" t="str">
        <f aca="false">IF(A224="","",N(G224)+N(I224))</f>
        <v/>
      </c>
      <c r="S224" s="23" t="str">
        <f aca="false">IF(OR(K224="",O224=""),"",O224-K224)</f>
        <v/>
      </c>
      <c r="T224" s="23" t="str">
        <f aca="true">IF(AND(C224="Cetak",L224&lt;&gt;"",L224&lt;TODAY()),"YA","")</f>
        <v/>
      </c>
      <c r="U224" s="23" t="str">
        <f aca="false">IF(B224="","",TEXT(B224,"yyyy-mm"))</f>
        <v/>
      </c>
      <c r="V224" s="23" t="str">
        <f aca="false">IF(K224="","",TEXT(K224,"yyyy-mm"))</f>
        <v/>
      </c>
      <c r="W224" s="23" t="n">
        <f aca="false">IF(OR(C224="Cetak",C224="Dikirim",C224="Selesai"),1,0)</f>
        <v>0</v>
      </c>
      <c r="X224" s="23" t="str">
        <f aca="false">IF(F224="","",SUBSTITUTE(SUBSTITUTE(MID(UPPER(TRIM(F224)),4,99),"-LED",""),"-TK",""))</f>
        <v/>
      </c>
      <c r="Y224" s="23" t="str">
        <f aca="false">IF(X224="","",(LEN(X224)+1)/7)</f>
        <v/>
      </c>
      <c r="Z224" s="23" t="str">
        <f aca="false">IF(X224="","",LEFT(X224,6))</f>
        <v/>
      </c>
      <c r="AA224" s="23" t="str">
        <f aca="false">IF(X224="","",IF(Y224&gt;=3,MID(X224,8,6),""))</f>
        <v/>
      </c>
      <c r="AB224" s="23" t="str">
        <f aca="false">IF(X224="","",IF(Y224&gt;=4,MID(X224,15,6),""))</f>
        <v/>
      </c>
      <c r="AC224" s="23" t="str">
        <f aca="false">IF(X224="","",IF(Y224&gt;=5,MID(X224,22,6),""))</f>
        <v/>
      </c>
      <c r="AD224" s="23" t="str">
        <f aca="false">IF(X224="","",RIGHT(X224,6))</f>
        <v/>
      </c>
      <c r="AE224" s="23" t="str">
        <f aca="false">IF(F224="","",IF(ISNUMBER(SEARCH("-TK",UPPER(F224))),0,1))</f>
        <v/>
      </c>
      <c r="AF224" s="23" t="str">
        <f aca="false">IF(F224="","",IF(ISNUMBER(SEARCH("-LED",UPPER(F224))),1,0))</f>
        <v/>
      </c>
      <c r="AG224" s="24" t="n">
        <f aca="false">IF(Z224="",0,IFERROR(INDEX(Resep!$C$5:$C$7,MATCH(LEFT(Z224,3),Resep!$B$5:$B$7,0)),0))</f>
        <v>0</v>
      </c>
      <c r="AH224" s="24" t="n">
        <f aca="false">IF(AA224="",0,IFERROR(INDEX(Resep!$C$9:$C$13,MATCH(LEFT(AA224,3),Resep!$B$9:$B$13,0)),0))</f>
        <v>0</v>
      </c>
      <c r="AI224" s="24" t="n">
        <f aca="false">IF(AB224="",0,IFERROR(INDEX(Resep!$C$9:$C$13,MATCH(LEFT(AB224,3),Resep!$B$9:$B$13,0)),0))</f>
        <v>0</v>
      </c>
      <c r="AJ224" s="24" t="n">
        <f aca="false">IF(AC224="",0,IFERROR(INDEX(Resep!$C$9:$C$13,MATCH(LEFT(AC224,3),Resep!$B$9:$B$13,0)),0))</f>
        <v>0</v>
      </c>
      <c r="AK224" s="24" t="n">
        <f aca="false">IF(AD224="",0,IFERROR(INDEX(Resep!$C$15:$C$18,MATCH(LEFT(AD224,3),Resep!$B$15:$B$18,0)),0))</f>
        <v>0</v>
      </c>
      <c r="AL224" s="24" t="str">
        <f aca="false">IF(X224="","",AG224+AH224+AI224+AJ224+AK224)</f>
        <v/>
      </c>
      <c r="AM224" s="22" t="str">
        <f aca="false">IF(X224="","",AL224*(Pengaturan!$B$6+Pengaturan!$B$7)+Pengaturan!$B$8+AE224*Pengaturan!$B$9+AF224*Pengaturan!$B$10)</f>
        <v/>
      </c>
      <c r="AN224" s="22" t="str">
        <f aca="false">IF(X224="","",N(G224)-AM224)</f>
        <v/>
      </c>
      <c r="AO224" s="25" t="str">
        <f aca="false">IF(OR(X224="",N(G224)=0),"",AN224/G224)</f>
        <v/>
      </c>
    </row>
    <row r="225" customFormat="false" ht="15" hidden="false" customHeight="false" outlineLevel="0" collapsed="false">
      <c r="A225" s="19"/>
      <c r="B225" s="20"/>
      <c r="C225" s="19"/>
      <c r="D225" s="19"/>
      <c r="E225" s="19"/>
      <c r="F225" s="19"/>
      <c r="G225" s="21"/>
      <c r="H225" s="19"/>
      <c r="I225" s="21"/>
      <c r="J225" s="19"/>
      <c r="K225" s="20"/>
      <c r="L225" s="20"/>
      <c r="M225" s="19"/>
      <c r="N225" s="19"/>
      <c r="O225" s="20"/>
      <c r="P225" s="20"/>
      <c r="Q225" s="19"/>
      <c r="R225" s="22" t="str">
        <f aca="false">IF(A225="","",N(G225)+N(I225))</f>
        <v/>
      </c>
      <c r="S225" s="23" t="str">
        <f aca="false">IF(OR(K225="",O225=""),"",O225-K225)</f>
        <v/>
      </c>
      <c r="T225" s="23" t="str">
        <f aca="true">IF(AND(C225="Cetak",L225&lt;&gt;"",L225&lt;TODAY()),"YA","")</f>
        <v/>
      </c>
      <c r="U225" s="23" t="str">
        <f aca="false">IF(B225="","",TEXT(B225,"yyyy-mm"))</f>
        <v/>
      </c>
      <c r="V225" s="23" t="str">
        <f aca="false">IF(K225="","",TEXT(K225,"yyyy-mm"))</f>
        <v/>
      </c>
      <c r="W225" s="23" t="n">
        <f aca="false">IF(OR(C225="Cetak",C225="Dikirim",C225="Selesai"),1,0)</f>
        <v>0</v>
      </c>
      <c r="X225" s="23" t="str">
        <f aca="false">IF(F225="","",SUBSTITUTE(SUBSTITUTE(MID(UPPER(TRIM(F225)),4,99),"-LED",""),"-TK",""))</f>
        <v/>
      </c>
      <c r="Y225" s="23" t="str">
        <f aca="false">IF(X225="","",(LEN(X225)+1)/7)</f>
        <v/>
      </c>
      <c r="Z225" s="23" t="str">
        <f aca="false">IF(X225="","",LEFT(X225,6))</f>
        <v/>
      </c>
      <c r="AA225" s="23" t="str">
        <f aca="false">IF(X225="","",IF(Y225&gt;=3,MID(X225,8,6),""))</f>
        <v/>
      </c>
      <c r="AB225" s="23" t="str">
        <f aca="false">IF(X225="","",IF(Y225&gt;=4,MID(X225,15,6),""))</f>
        <v/>
      </c>
      <c r="AC225" s="23" t="str">
        <f aca="false">IF(X225="","",IF(Y225&gt;=5,MID(X225,22,6),""))</f>
        <v/>
      </c>
      <c r="AD225" s="23" t="str">
        <f aca="false">IF(X225="","",RIGHT(X225,6))</f>
        <v/>
      </c>
      <c r="AE225" s="23" t="str">
        <f aca="false">IF(F225="","",IF(ISNUMBER(SEARCH("-TK",UPPER(F225))),0,1))</f>
        <v/>
      </c>
      <c r="AF225" s="23" t="str">
        <f aca="false">IF(F225="","",IF(ISNUMBER(SEARCH("-LED",UPPER(F225))),1,0))</f>
        <v/>
      </c>
      <c r="AG225" s="24" t="n">
        <f aca="false">IF(Z225="",0,IFERROR(INDEX(Resep!$C$5:$C$7,MATCH(LEFT(Z225,3),Resep!$B$5:$B$7,0)),0))</f>
        <v>0</v>
      </c>
      <c r="AH225" s="24" t="n">
        <f aca="false">IF(AA225="",0,IFERROR(INDEX(Resep!$C$9:$C$13,MATCH(LEFT(AA225,3),Resep!$B$9:$B$13,0)),0))</f>
        <v>0</v>
      </c>
      <c r="AI225" s="24" t="n">
        <f aca="false">IF(AB225="",0,IFERROR(INDEX(Resep!$C$9:$C$13,MATCH(LEFT(AB225,3),Resep!$B$9:$B$13,0)),0))</f>
        <v>0</v>
      </c>
      <c r="AJ225" s="24" t="n">
        <f aca="false">IF(AC225="",0,IFERROR(INDEX(Resep!$C$9:$C$13,MATCH(LEFT(AC225,3),Resep!$B$9:$B$13,0)),0))</f>
        <v>0</v>
      </c>
      <c r="AK225" s="24" t="n">
        <f aca="false">IF(AD225="",0,IFERROR(INDEX(Resep!$C$15:$C$18,MATCH(LEFT(AD225,3),Resep!$B$15:$B$18,0)),0))</f>
        <v>0</v>
      </c>
      <c r="AL225" s="24" t="str">
        <f aca="false">IF(X225="","",AG225+AH225+AI225+AJ225+AK225)</f>
        <v/>
      </c>
      <c r="AM225" s="22" t="str">
        <f aca="false">IF(X225="","",AL225*(Pengaturan!$B$6+Pengaturan!$B$7)+Pengaturan!$B$8+AE225*Pengaturan!$B$9+AF225*Pengaturan!$B$10)</f>
        <v/>
      </c>
      <c r="AN225" s="22" t="str">
        <f aca="false">IF(X225="","",N(G225)-AM225)</f>
        <v/>
      </c>
      <c r="AO225" s="25" t="str">
        <f aca="false">IF(OR(X225="",N(G225)=0),"",AN225/G225)</f>
        <v/>
      </c>
    </row>
    <row r="226" customFormat="false" ht="15" hidden="false" customHeight="false" outlineLevel="0" collapsed="false">
      <c r="A226" s="19"/>
      <c r="B226" s="20"/>
      <c r="C226" s="19"/>
      <c r="D226" s="19"/>
      <c r="E226" s="19"/>
      <c r="F226" s="19"/>
      <c r="G226" s="21"/>
      <c r="H226" s="19"/>
      <c r="I226" s="21"/>
      <c r="J226" s="19"/>
      <c r="K226" s="20"/>
      <c r="L226" s="20"/>
      <c r="M226" s="19"/>
      <c r="N226" s="19"/>
      <c r="O226" s="20"/>
      <c r="P226" s="20"/>
      <c r="Q226" s="19"/>
      <c r="R226" s="22" t="str">
        <f aca="false">IF(A226="","",N(G226)+N(I226))</f>
        <v/>
      </c>
      <c r="S226" s="23" t="str">
        <f aca="false">IF(OR(K226="",O226=""),"",O226-K226)</f>
        <v/>
      </c>
      <c r="T226" s="23" t="str">
        <f aca="true">IF(AND(C226="Cetak",L226&lt;&gt;"",L226&lt;TODAY()),"YA","")</f>
        <v/>
      </c>
      <c r="U226" s="23" t="str">
        <f aca="false">IF(B226="","",TEXT(B226,"yyyy-mm"))</f>
        <v/>
      </c>
      <c r="V226" s="23" t="str">
        <f aca="false">IF(K226="","",TEXT(K226,"yyyy-mm"))</f>
        <v/>
      </c>
      <c r="W226" s="23" t="n">
        <f aca="false">IF(OR(C226="Cetak",C226="Dikirim",C226="Selesai"),1,0)</f>
        <v>0</v>
      </c>
      <c r="X226" s="23" t="str">
        <f aca="false">IF(F226="","",SUBSTITUTE(SUBSTITUTE(MID(UPPER(TRIM(F226)),4,99),"-LED",""),"-TK",""))</f>
        <v/>
      </c>
      <c r="Y226" s="23" t="str">
        <f aca="false">IF(X226="","",(LEN(X226)+1)/7)</f>
        <v/>
      </c>
      <c r="Z226" s="23" t="str">
        <f aca="false">IF(X226="","",LEFT(X226,6))</f>
        <v/>
      </c>
      <c r="AA226" s="23" t="str">
        <f aca="false">IF(X226="","",IF(Y226&gt;=3,MID(X226,8,6),""))</f>
        <v/>
      </c>
      <c r="AB226" s="23" t="str">
        <f aca="false">IF(X226="","",IF(Y226&gt;=4,MID(X226,15,6),""))</f>
        <v/>
      </c>
      <c r="AC226" s="23" t="str">
        <f aca="false">IF(X226="","",IF(Y226&gt;=5,MID(X226,22,6),""))</f>
        <v/>
      </c>
      <c r="AD226" s="23" t="str">
        <f aca="false">IF(X226="","",RIGHT(X226,6))</f>
        <v/>
      </c>
      <c r="AE226" s="23" t="str">
        <f aca="false">IF(F226="","",IF(ISNUMBER(SEARCH("-TK",UPPER(F226))),0,1))</f>
        <v/>
      </c>
      <c r="AF226" s="23" t="str">
        <f aca="false">IF(F226="","",IF(ISNUMBER(SEARCH("-LED",UPPER(F226))),1,0))</f>
        <v/>
      </c>
      <c r="AG226" s="24" t="n">
        <f aca="false">IF(Z226="",0,IFERROR(INDEX(Resep!$C$5:$C$7,MATCH(LEFT(Z226,3),Resep!$B$5:$B$7,0)),0))</f>
        <v>0</v>
      </c>
      <c r="AH226" s="24" t="n">
        <f aca="false">IF(AA226="",0,IFERROR(INDEX(Resep!$C$9:$C$13,MATCH(LEFT(AA226,3),Resep!$B$9:$B$13,0)),0))</f>
        <v>0</v>
      </c>
      <c r="AI226" s="24" t="n">
        <f aca="false">IF(AB226="",0,IFERROR(INDEX(Resep!$C$9:$C$13,MATCH(LEFT(AB226,3),Resep!$B$9:$B$13,0)),0))</f>
        <v>0</v>
      </c>
      <c r="AJ226" s="24" t="n">
        <f aca="false">IF(AC226="",0,IFERROR(INDEX(Resep!$C$9:$C$13,MATCH(LEFT(AC226,3),Resep!$B$9:$B$13,0)),0))</f>
        <v>0</v>
      </c>
      <c r="AK226" s="24" t="n">
        <f aca="false">IF(AD226="",0,IFERROR(INDEX(Resep!$C$15:$C$18,MATCH(LEFT(AD226,3),Resep!$B$15:$B$18,0)),0))</f>
        <v>0</v>
      </c>
      <c r="AL226" s="24" t="str">
        <f aca="false">IF(X226="","",AG226+AH226+AI226+AJ226+AK226)</f>
        <v/>
      </c>
      <c r="AM226" s="22" t="str">
        <f aca="false">IF(X226="","",AL226*(Pengaturan!$B$6+Pengaturan!$B$7)+Pengaturan!$B$8+AE226*Pengaturan!$B$9+AF226*Pengaturan!$B$10)</f>
        <v/>
      </c>
      <c r="AN226" s="22" t="str">
        <f aca="false">IF(X226="","",N(G226)-AM226)</f>
        <v/>
      </c>
      <c r="AO226" s="25" t="str">
        <f aca="false">IF(OR(X226="",N(G226)=0),"",AN226/G226)</f>
        <v/>
      </c>
    </row>
    <row r="227" customFormat="false" ht="15" hidden="false" customHeight="false" outlineLevel="0" collapsed="false">
      <c r="A227" s="19"/>
      <c r="B227" s="20"/>
      <c r="C227" s="19"/>
      <c r="D227" s="19"/>
      <c r="E227" s="19"/>
      <c r="F227" s="19"/>
      <c r="G227" s="21"/>
      <c r="H227" s="19"/>
      <c r="I227" s="21"/>
      <c r="J227" s="19"/>
      <c r="K227" s="20"/>
      <c r="L227" s="20"/>
      <c r="M227" s="19"/>
      <c r="N227" s="19"/>
      <c r="O227" s="20"/>
      <c r="P227" s="20"/>
      <c r="Q227" s="19"/>
      <c r="R227" s="22" t="str">
        <f aca="false">IF(A227="","",N(G227)+N(I227))</f>
        <v/>
      </c>
      <c r="S227" s="23" t="str">
        <f aca="false">IF(OR(K227="",O227=""),"",O227-K227)</f>
        <v/>
      </c>
      <c r="T227" s="23" t="str">
        <f aca="true">IF(AND(C227="Cetak",L227&lt;&gt;"",L227&lt;TODAY()),"YA","")</f>
        <v/>
      </c>
      <c r="U227" s="23" t="str">
        <f aca="false">IF(B227="","",TEXT(B227,"yyyy-mm"))</f>
        <v/>
      </c>
      <c r="V227" s="23" t="str">
        <f aca="false">IF(K227="","",TEXT(K227,"yyyy-mm"))</f>
        <v/>
      </c>
      <c r="W227" s="23" t="n">
        <f aca="false">IF(OR(C227="Cetak",C227="Dikirim",C227="Selesai"),1,0)</f>
        <v>0</v>
      </c>
      <c r="X227" s="23" t="str">
        <f aca="false">IF(F227="","",SUBSTITUTE(SUBSTITUTE(MID(UPPER(TRIM(F227)),4,99),"-LED",""),"-TK",""))</f>
        <v/>
      </c>
      <c r="Y227" s="23" t="str">
        <f aca="false">IF(X227="","",(LEN(X227)+1)/7)</f>
        <v/>
      </c>
      <c r="Z227" s="23" t="str">
        <f aca="false">IF(X227="","",LEFT(X227,6))</f>
        <v/>
      </c>
      <c r="AA227" s="23" t="str">
        <f aca="false">IF(X227="","",IF(Y227&gt;=3,MID(X227,8,6),""))</f>
        <v/>
      </c>
      <c r="AB227" s="23" t="str">
        <f aca="false">IF(X227="","",IF(Y227&gt;=4,MID(X227,15,6),""))</f>
        <v/>
      </c>
      <c r="AC227" s="23" t="str">
        <f aca="false">IF(X227="","",IF(Y227&gt;=5,MID(X227,22,6),""))</f>
        <v/>
      </c>
      <c r="AD227" s="23" t="str">
        <f aca="false">IF(X227="","",RIGHT(X227,6))</f>
        <v/>
      </c>
      <c r="AE227" s="23" t="str">
        <f aca="false">IF(F227="","",IF(ISNUMBER(SEARCH("-TK",UPPER(F227))),0,1))</f>
        <v/>
      </c>
      <c r="AF227" s="23" t="str">
        <f aca="false">IF(F227="","",IF(ISNUMBER(SEARCH("-LED",UPPER(F227))),1,0))</f>
        <v/>
      </c>
      <c r="AG227" s="24" t="n">
        <f aca="false">IF(Z227="",0,IFERROR(INDEX(Resep!$C$5:$C$7,MATCH(LEFT(Z227,3),Resep!$B$5:$B$7,0)),0))</f>
        <v>0</v>
      </c>
      <c r="AH227" s="24" t="n">
        <f aca="false">IF(AA227="",0,IFERROR(INDEX(Resep!$C$9:$C$13,MATCH(LEFT(AA227,3),Resep!$B$9:$B$13,0)),0))</f>
        <v>0</v>
      </c>
      <c r="AI227" s="24" t="n">
        <f aca="false">IF(AB227="",0,IFERROR(INDEX(Resep!$C$9:$C$13,MATCH(LEFT(AB227,3),Resep!$B$9:$B$13,0)),0))</f>
        <v>0</v>
      </c>
      <c r="AJ227" s="24" t="n">
        <f aca="false">IF(AC227="",0,IFERROR(INDEX(Resep!$C$9:$C$13,MATCH(LEFT(AC227,3),Resep!$B$9:$B$13,0)),0))</f>
        <v>0</v>
      </c>
      <c r="AK227" s="24" t="n">
        <f aca="false">IF(AD227="",0,IFERROR(INDEX(Resep!$C$15:$C$18,MATCH(LEFT(AD227,3),Resep!$B$15:$B$18,0)),0))</f>
        <v>0</v>
      </c>
      <c r="AL227" s="24" t="str">
        <f aca="false">IF(X227="","",AG227+AH227+AI227+AJ227+AK227)</f>
        <v/>
      </c>
      <c r="AM227" s="22" t="str">
        <f aca="false">IF(X227="","",AL227*(Pengaturan!$B$6+Pengaturan!$B$7)+Pengaturan!$B$8+AE227*Pengaturan!$B$9+AF227*Pengaturan!$B$10)</f>
        <v/>
      </c>
      <c r="AN227" s="22" t="str">
        <f aca="false">IF(X227="","",N(G227)-AM227)</f>
        <v/>
      </c>
      <c r="AO227" s="25" t="str">
        <f aca="false">IF(OR(X227="",N(G227)=0),"",AN227/G227)</f>
        <v/>
      </c>
    </row>
    <row r="228" customFormat="false" ht="15" hidden="false" customHeight="false" outlineLevel="0" collapsed="false">
      <c r="A228" s="19"/>
      <c r="B228" s="20"/>
      <c r="C228" s="19"/>
      <c r="D228" s="19"/>
      <c r="E228" s="19"/>
      <c r="F228" s="19"/>
      <c r="G228" s="21"/>
      <c r="H228" s="19"/>
      <c r="I228" s="21"/>
      <c r="J228" s="19"/>
      <c r="K228" s="20"/>
      <c r="L228" s="20"/>
      <c r="M228" s="19"/>
      <c r="N228" s="19"/>
      <c r="O228" s="20"/>
      <c r="P228" s="20"/>
      <c r="Q228" s="19"/>
      <c r="R228" s="22" t="str">
        <f aca="false">IF(A228="","",N(G228)+N(I228))</f>
        <v/>
      </c>
      <c r="S228" s="23" t="str">
        <f aca="false">IF(OR(K228="",O228=""),"",O228-K228)</f>
        <v/>
      </c>
      <c r="T228" s="23" t="str">
        <f aca="true">IF(AND(C228="Cetak",L228&lt;&gt;"",L228&lt;TODAY()),"YA","")</f>
        <v/>
      </c>
      <c r="U228" s="23" t="str">
        <f aca="false">IF(B228="","",TEXT(B228,"yyyy-mm"))</f>
        <v/>
      </c>
      <c r="V228" s="23" t="str">
        <f aca="false">IF(K228="","",TEXT(K228,"yyyy-mm"))</f>
        <v/>
      </c>
      <c r="W228" s="23" t="n">
        <f aca="false">IF(OR(C228="Cetak",C228="Dikirim",C228="Selesai"),1,0)</f>
        <v>0</v>
      </c>
      <c r="X228" s="23" t="str">
        <f aca="false">IF(F228="","",SUBSTITUTE(SUBSTITUTE(MID(UPPER(TRIM(F228)),4,99),"-LED",""),"-TK",""))</f>
        <v/>
      </c>
      <c r="Y228" s="23" t="str">
        <f aca="false">IF(X228="","",(LEN(X228)+1)/7)</f>
        <v/>
      </c>
      <c r="Z228" s="23" t="str">
        <f aca="false">IF(X228="","",LEFT(X228,6))</f>
        <v/>
      </c>
      <c r="AA228" s="23" t="str">
        <f aca="false">IF(X228="","",IF(Y228&gt;=3,MID(X228,8,6),""))</f>
        <v/>
      </c>
      <c r="AB228" s="23" t="str">
        <f aca="false">IF(X228="","",IF(Y228&gt;=4,MID(X228,15,6),""))</f>
        <v/>
      </c>
      <c r="AC228" s="23" t="str">
        <f aca="false">IF(X228="","",IF(Y228&gt;=5,MID(X228,22,6),""))</f>
        <v/>
      </c>
      <c r="AD228" s="23" t="str">
        <f aca="false">IF(X228="","",RIGHT(X228,6))</f>
        <v/>
      </c>
      <c r="AE228" s="23" t="str">
        <f aca="false">IF(F228="","",IF(ISNUMBER(SEARCH("-TK",UPPER(F228))),0,1))</f>
        <v/>
      </c>
      <c r="AF228" s="23" t="str">
        <f aca="false">IF(F228="","",IF(ISNUMBER(SEARCH("-LED",UPPER(F228))),1,0))</f>
        <v/>
      </c>
      <c r="AG228" s="24" t="n">
        <f aca="false">IF(Z228="",0,IFERROR(INDEX(Resep!$C$5:$C$7,MATCH(LEFT(Z228,3),Resep!$B$5:$B$7,0)),0))</f>
        <v>0</v>
      </c>
      <c r="AH228" s="24" t="n">
        <f aca="false">IF(AA228="",0,IFERROR(INDEX(Resep!$C$9:$C$13,MATCH(LEFT(AA228,3),Resep!$B$9:$B$13,0)),0))</f>
        <v>0</v>
      </c>
      <c r="AI228" s="24" t="n">
        <f aca="false">IF(AB228="",0,IFERROR(INDEX(Resep!$C$9:$C$13,MATCH(LEFT(AB228,3),Resep!$B$9:$B$13,0)),0))</f>
        <v>0</v>
      </c>
      <c r="AJ228" s="24" t="n">
        <f aca="false">IF(AC228="",0,IFERROR(INDEX(Resep!$C$9:$C$13,MATCH(LEFT(AC228,3),Resep!$B$9:$B$13,0)),0))</f>
        <v>0</v>
      </c>
      <c r="AK228" s="24" t="n">
        <f aca="false">IF(AD228="",0,IFERROR(INDEX(Resep!$C$15:$C$18,MATCH(LEFT(AD228,3),Resep!$B$15:$B$18,0)),0))</f>
        <v>0</v>
      </c>
      <c r="AL228" s="24" t="str">
        <f aca="false">IF(X228="","",AG228+AH228+AI228+AJ228+AK228)</f>
        <v/>
      </c>
      <c r="AM228" s="22" t="str">
        <f aca="false">IF(X228="","",AL228*(Pengaturan!$B$6+Pengaturan!$B$7)+Pengaturan!$B$8+AE228*Pengaturan!$B$9+AF228*Pengaturan!$B$10)</f>
        <v/>
      </c>
      <c r="AN228" s="22" t="str">
        <f aca="false">IF(X228="","",N(G228)-AM228)</f>
        <v/>
      </c>
      <c r="AO228" s="25" t="str">
        <f aca="false">IF(OR(X228="",N(G228)=0),"",AN228/G228)</f>
        <v/>
      </c>
    </row>
    <row r="229" customFormat="false" ht="15" hidden="false" customHeight="false" outlineLevel="0" collapsed="false">
      <c r="A229" s="19"/>
      <c r="B229" s="20"/>
      <c r="C229" s="19"/>
      <c r="D229" s="19"/>
      <c r="E229" s="19"/>
      <c r="F229" s="19"/>
      <c r="G229" s="21"/>
      <c r="H229" s="19"/>
      <c r="I229" s="21"/>
      <c r="J229" s="19"/>
      <c r="K229" s="20"/>
      <c r="L229" s="20"/>
      <c r="M229" s="19"/>
      <c r="N229" s="19"/>
      <c r="O229" s="20"/>
      <c r="P229" s="20"/>
      <c r="Q229" s="19"/>
      <c r="R229" s="22" t="str">
        <f aca="false">IF(A229="","",N(G229)+N(I229))</f>
        <v/>
      </c>
      <c r="S229" s="23" t="str">
        <f aca="false">IF(OR(K229="",O229=""),"",O229-K229)</f>
        <v/>
      </c>
      <c r="T229" s="23" t="str">
        <f aca="true">IF(AND(C229="Cetak",L229&lt;&gt;"",L229&lt;TODAY()),"YA","")</f>
        <v/>
      </c>
      <c r="U229" s="23" t="str">
        <f aca="false">IF(B229="","",TEXT(B229,"yyyy-mm"))</f>
        <v/>
      </c>
      <c r="V229" s="23" t="str">
        <f aca="false">IF(K229="","",TEXT(K229,"yyyy-mm"))</f>
        <v/>
      </c>
      <c r="W229" s="23" t="n">
        <f aca="false">IF(OR(C229="Cetak",C229="Dikirim",C229="Selesai"),1,0)</f>
        <v>0</v>
      </c>
      <c r="X229" s="23" t="str">
        <f aca="false">IF(F229="","",SUBSTITUTE(SUBSTITUTE(MID(UPPER(TRIM(F229)),4,99),"-LED",""),"-TK",""))</f>
        <v/>
      </c>
      <c r="Y229" s="23" t="str">
        <f aca="false">IF(X229="","",(LEN(X229)+1)/7)</f>
        <v/>
      </c>
      <c r="Z229" s="23" t="str">
        <f aca="false">IF(X229="","",LEFT(X229,6))</f>
        <v/>
      </c>
      <c r="AA229" s="23" t="str">
        <f aca="false">IF(X229="","",IF(Y229&gt;=3,MID(X229,8,6),""))</f>
        <v/>
      </c>
      <c r="AB229" s="23" t="str">
        <f aca="false">IF(X229="","",IF(Y229&gt;=4,MID(X229,15,6),""))</f>
        <v/>
      </c>
      <c r="AC229" s="23" t="str">
        <f aca="false">IF(X229="","",IF(Y229&gt;=5,MID(X229,22,6),""))</f>
        <v/>
      </c>
      <c r="AD229" s="23" t="str">
        <f aca="false">IF(X229="","",RIGHT(X229,6))</f>
        <v/>
      </c>
      <c r="AE229" s="23" t="str">
        <f aca="false">IF(F229="","",IF(ISNUMBER(SEARCH("-TK",UPPER(F229))),0,1))</f>
        <v/>
      </c>
      <c r="AF229" s="23" t="str">
        <f aca="false">IF(F229="","",IF(ISNUMBER(SEARCH("-LED",UPPER(F229))),1,0))</f>
        <v/>
      </c>
      <c r="AG229" s="24" t="n">
        <f aca="false">IF(Z229="",0,IFERROR(INDEX(Resep!$C$5:$C$7,MATCH(LEFT(Z229,3),Resep!$B$5:$B$7,0)),0))</f>
        <v>0</v>
      </c>
      <c r="AH229" s="24" t="n">
        <f aca="false">IF(AA229="",0,IFERROR(INDEX(Resep!$C$9:$C$13,MATCH(LEFT(AA229,3),Resep!$B$9:$B$13,0)),0))</f>
        <v>0</v>
      </c>
      <c r="AI229" s="24" t="n">
        <f aca="false">IF(AB229="",0,IFERROR(INDEX(Resep!$C$9:$C$13,MATCH(LEFT(AB229,3),Resep!$B$9:$B$13,0)),0))</f>
        <v>0</v>
      </c>
      <c r="AJ229" s="24" t="n">
        <f aca="false">IF(AC229="",0,IFERROR(INDEX(Resep!$C$9:$C$13,MATCH(LEFT(AC229,3),Resep!$B$9:$B$13,0)),0))</f>
        <v>0</v>
      </c>
      <c r="AK229" s="24" t="n">
        <f aca="false">IF(AD229="",0,IFERROR(INDEX(Resep!$C$15:$C$18,MATCH(LEFT(AD229,3),Resep!$B$15:$B$18,0)),0))</f>
        <v>0</v>
      </c>
      <c r="AL229" s="24" t="str">
        <f aca="false">IF(X229="","",AG229+AH229+AI229+AJ229+AK229)</f>
        <v/>
      </c>
      <c r="AM229" s="22" t="str">
        <f aca="false">IF(X229="","",AL229*(Pengaturan!$B$6+Pengaturan!$B$7)+Pengaturan!$B$8+AE229*Pengaturan!$B$9+AF229*Pengaturan!$B$10)</f>
        <v/>
      </c>
      <c r="AN229" s="22" t="str">
        <f aca="false">IF(X229="","",N(G229)-AM229)</f>
        <v/>
      </c>
      <c r="AO229" s="25" t="str">
        <f aca="false">IF(OR(X229="",N(G229)=0),"",AN229/G229)</f>
        <v/>
      </c>
    </row>
    <row r="230" customFormat="false" ht="15" hidden="false" customHeight="false" outlineLevel="0" collapsed="false">
      <c r="A230" s="19"/>
      <c r="B230" s="20"/>
      <c r="C230" s="19"/>
      <c r="D230" s="19"/>
      <c r="E230" s="19"/>
      <c r="F230" s="19"/>
      <c r="G230" s="21"/>
      <c r="H230" s="19"/>
      <c r="I230" s="21"/>
      <c r="J230" s="19"/>
      <c r="K230" s="20"/>
      <c r="L230" s="20"/>
      <c r="M230" s="19"/>
      <c r="N230" s="19"/>
      <c r="O230" s="20"/>
      <c r="P230" s="20"/>
      <c r="Q230" s="19"/>
      <c r="R230" s="22" t="str">
        <f aca="false">IF(A230="","",N(G230)+N(I230))</f>
        <v/>
      </c>
      <c r="S230" s="23" t="str">
        <f aca="false">IF(OR(K230="",O230=""),"",O230-K230)</f>
        <v/>
      </c>
      <c r="T230" s="23" t="str">
        <f aca="true">IF(AND(C230="Cetak",L230&lt;&gt;"",L230&lt;TODAY()),"YA","")</f>
        <v/>
      </c>
      <c r="U230" s="23" t="str">
        <f aca="false">IF(B230="","",TEXT(B230,"yyyy-mm"))</f>
        <v/>
      </c>
      <c r="V230" s="23" t="str">
        <f aca="false">IF(K230="","",TEXT(K230,"yyyy-mm"))</f>
        <v/>
      </c>
      <c r="W230" s="23" t="n">
        <f aca="false">IF(OR(C230="Cetak",C230="Dikirim",C230="Selesai"),1,0)</f>
        <v>0</v>
      </c>
      <c r="X230" s="23" t="str">
        <f aca="false">IF(F230="","",SUBSTITUTE(SUBSTITUTE(MID(UPPER(TRIM(F230)),4,99),"-LED",""),"-TK",""))</f>
        <v/>
      </c>
      <c r="Y230" s="23" t="str">
        <f aca="false">IF(X230="","",(LEN(X230)+1)/7)</f>
        <v/>
      </c>
      <c r="Z230" s="23" t="str">
        <f aca="false">IF(X230="","",LEFT(X230,6))</f>
        <v/>
      </c>
      <c r="AA230" s="23" t="str">
        <f aca="false">IF(X230="","",IF(Y230&gt;=3,MID(X230,8,6),""))</f>
        <v/>
      </c>
      <c r="AB230" s="23" t="str">
        <f aca="false">IF(X230="","",IF(Y230&gt;=4,MID(X230,15,6),""))</f>
        <v/>
      </c>
      <c r="AC230" s="23" t="str">
        <f aca="false">IF(X230="","",IF(Y230&gt;=5,MID(X230,22,6),""))</f>
        <v/>
      </c>
      <c r="AD230" s="23" t="str">
        <f aca="false">IF(X230="","",RIGHT(X230,6))</f>
        <v/>
      </c>
      <c r="AE230" s="23" t="str">
        <f aca="false">IF(F230="","",IF(ISNUMBER(SEARCH("-TK",UPPER(F230))),0,1))</f>
        <v/>
      </c>
      <c r="AF230" s="23" t="str">
        <f aca="false">IF(F230="","",IF(ISNUMBER(SEARCH("-LED",UPPER(F230))),1,0))</f>
        <v/>
      </c>
      <c r="AG230" s="24" t="n">
        <f aca="false">IF(Z230="",0,IFERROR(INDEX(Resep!$C$5:$C$7,MATCH(LEFT(Z230,3),Resep!$B$5:$B$7,0)),0))</f>
        <v>0</v>
      </c>
      <c r="AH230" s="24" t="n">
        <f aca="false">IF(AA230="",0,IFERROR(INDEX(Resep!$C$9:$C$13,MATCH(LEFT(AA230,3),Resep!$B$9:$B$13,0)),0))</f>
        <v>0</v>
      </c>
      <c r="AI230" s="24" t="n">
        <f aca="false">IF(AB230="",0,IFERROR(INDEX(Resep!$C$9:$C$13,MATCH(LEFT(AB230,3),Resep!$B$9:$B$13,0)),0))</f>
        <v>0</v>
      </c>
      <c r="AJ230" s="24" t="n">
        <f aca="false">IF(AC230="",0,IFERROR(INDEX(Resep!$C$9:$C$13,MATCH(LEFT(AC230,3),Resep!$B$9:$B$13,0)),0))</f>
        <v>0</v>
      </c>
      <c r="AK230" s="24" t="n">
        <f aca="false">IF(AD230="",0,IFERROR(INDEX(Resep!$C$15:$C$18,MATCH(LEFT(AD230,3),Resep!$B$15:$B$18,0)),0))</f>
        <v>0</v>
      </c>
      <c r="AL230" s="24" t="str">
        <f aca="false">IF(X230="","",AG230+AH230+AI230+AJ230+AK230)</f>
        <v/>
      </c>
      <c r="AM230" s="22" t="str">
        <f aca="false">IF(X230="","",AL230*(Pengaturan!$B$6+Pengaturan!$B$7)+Pengaturan!$B$8+AE230*Pengaturan!$B$9+AF230*Pengaturan!$B$10)</f>
        <v/>
      </c>
      <c r="AN230" s="22" t="str">
        <f aca="false">IF(X230="","",N(G230)-AM230)</f>
        <v/>
      </c>
      <c r="AO230" s="25" t="str">
        <f aca="false">IF(OR(X230="",N(G230)=0),"",AN230/G230)</f>
        <v/>
      </c>
    </row>
    <row r="231" customFormat="false" ht="15" hidden="false" customHeight="false" outlineLevel="0" collapsed="false">
      <c r="A231" s="19"/>
      <c r="B231" s="20"/>
      <c r="C231" s="19"/>
      <c r="D231" s="19"/>
      <c r="E231" s="19"/>
      <c r="F231" s="19"/>
      <c r="G231" s="21"/>
      <c r="H231" s="19"/>
      <c r="I231" s="21"/>
      <c r="J231" s="19"/>
      <c r="K231" s="20"/>
      <c r="L231" s="20"/>
      <c r="M231" s="19"/>
      <c r="N231" s="19"/>
      <c r="O231" s="20"/>
      <c r="P231" s="20"/>
      <c r="Q231" s="19"/>
      <c r="R231" s="22" t="str">
        <f aca="false">IF(A231="","",N(G231)+N(I231))</f>
        <v/>
      </c>
      <c r="S231" s="23" t="str">
        <f aca="false">IF(OR(K231="",O231=""),"",O231-K231)</f>
        <v/>
      </c>
      <c r="T231" s="23" t="str">
        <f aca="true">IF(AND(C231="Cetak",L231&lt;&gt;"",L231&lt;TODAY()),"YA","")</f>
        <v/>
      </c>
      <c r="U231" s="23" t="str">
        <f aca="false">IF(B231="","",TEXT(B231,"yyyy-mm"))</f>
        <v/>
      </c>
      <c r="V231" s="23" t="str">
        <f aca="false">IF(K231="","",TEXT(K231,"yyyy-mm"))</f>
        <v/>
      </c>
      <c r="W231" s="23" t="n">
        <f aca="false">IF(OR(C231="Cetak",C231="Dikirim",C231="Selesai"),1,0)</f>
        <v>0</v>
      </c>
      <c r="X231" s="23" t="str">
        <f aca="false">IF(F231="","",SUBSTITUTE(SUBSTITUTE(MID(UPPER(TRIM(F231)),4,99),"-LED",""),"-TK",""))</f>
        <v/>
      </c>
      <c r="Y231" s="23" t="str">
        <f aca="false">IF(X231="","",(LEN(X231)+1)/7)</f>
        <v/>
      </c>
      <c r="Z231" s="23" t="str">
        <f aca="false">IF(X231="","",LEFT(X231,6))</f>
        <v/>
      </c>
      <c r="AA231" s="23" t="str">
        <f aca="false">IF(X231="","",IF(Y231&gt;=3,MID(X231,8,6),""))</f>
        <v/>
      </c>
      <c r="AB231" s="23" t="str">
        <f aca="false">IF(X231="","",IF(Y231&gt;=4,MID(X231,15,6),""))</f>
        <v/>
      </c>
      <c r="AC231" s="23" t="str">
        <f aca="false">IF(X231="","",IF(Y231&gt;=5,MID(X231,22,6),""))</f>
        <v/>
      </c>
      <c r="AD231" s="23" t="str">
        <f aca="false">IF(X231="","",RIGHT(X231,6))</f>
        <v/>
      </c>
      <c r="AE231" s="23" t="str">
        <f aca="false">IF(F231="","",IF(ISNUMBER(SEARCH("-TK",UPPER(F231))),0,1))</f>
        <v/>
      </c>
      <c r="AF231" s="23" t="str">
        <f aca="false">IF(F231="","",IF(ISNUMBER(SEARCH("-LED",UPPER(F231))),1,0))</f>
        <v/>
      </c>
      <c r="AG231" s="24" t="n">
        <f aca="false">IF(Z231="",0,IFERROR(INDEX(Resep!$C$5:$C$7,MATCH(LEFT(Z231,3),Resep!$B$5:$B$7,0)),0))</f>
        <v>0</v>
      </c>
      <c r="AH231" s="24" t="n">
        <f aca="false">IF(AA231="",0,IFERROR(INDEX(Resep!$C$9:$C$13,MATCH(LEFT(AA231,3),Resep!$B$9:$B$13,0)),0))</f>
        <v>0</v>
      </c>
      <c r="AI231" s="24" t="n">
        <f aca="false">IF(AB231="",0,IFERROR(INDEX(Resep!$C$9:$C$13,MATCH(LEFT(AB231,3),Resep!$B$9:$B$13,0)),0))</f>
        <v>0</v>
      </c>
      <c r="AJ231" s="24" t="n">
        <f aca="false">IF(AC231="",0,IFERROR(INDEX(Resep!$C$9:$C$13,MATCH(LEFT(AC231,3),Resep!$B$9:$B$13,0)),0))</f>
        <v>0</v>
      </c>
      <c r="AK231" s="24" t="n">
        <f aca="false">IF(AD231="",0,IFERROR(INDEX(Resep!$C$15:$C$18,MATCH(LEFT(AD231,3),Resep!$B$15:$B$18,0)),0))</f>
        <v>0</v>
      </c>
      <c r="AL231" s="24" t="str">
        <f aca="false">IF(X231="","",AG231+AH231+AI231+AJ231+AK231)</f>
        <v/>
      </c>
      <c r="AM231" s="22" t="str">
        <f aca="false">IF(X231="","",AL231*(Pengaturan!$B$6+Pengaturan!$B$7)+Pengaturan!$B$8+AE231*Pengaturan!$B$9+AF231*Pengaturan!$B$10)</f>
        <v/>
      </c>
      <c r="AN231" s="22" t="str">
        <f aca="false">IF(X231="","",N(G231)-AM231)</f>
        <v/>
      </c>
      <c r="AO231" s="25" t="str">
        <f aca="false">IF(OR(X231="",N(G231)=0),"",AN231/G231)</f>
        <v/>
      </c>
    </row>
    <row r="232" customFormat="false" ht="15" hidden="false" customHeight="false" outlineLevel="0" collapsed="false">
      <c r="A232" s="19"/>
      <c r="B232" s="20"/>
      <c r="C232" s="19"/>
      <c r="D232" s="19"/>
      <c r="E232" s="19"/>
      <c r="F232" s="19"/>
      <c r="G232" s="21"/>
      <c r="H232" s="19"/>
      <c r="I232" s="21"/>
      <c r="J232" s="19"/>
      <c r="K232" s="20"/>
      <c r="L232" s="20"/>
      <c r="M232" s="19"/>
      <c r="N232" s="19"/>
      <c r="O232" s="20"/>
      <c r="P232" s="20"/>
      <c r="Q232" s="19"/>
      <c r="R232" s="22" t="str">
        <f aca="false">IF(A232="","",N(G232)+N(I232))</f>
        <v/>
      </c>
      <c r="S232" s="23" t="str">
        <f aca="false">IF(OR(K232="",O232=""),"",O232-K232)</f>
        <v/>
      </c>
      <c r="T232" s="23" t="str">
        <f aca="true">IF(AND(C232="Cetak",L232&lt;&gt;"",L232&lt;TODAY()),"YA","")</f>
        <v/>
      </c>
      <c r="U232" s="23" t="str">
        <f aca="false">IF(B232="","",TEXT(B232,"yyyy-mm"))</f>
        <v/>
      </c>
      <c r="V232" s="23" t="str">
        <f aca="false">IF(K232="","",TEXT(K232,"yyyy-mm"))</f>
        <v/>
      </c>
      <c r="W232" s="23" t="n">
        <f aca="false">IF(OR(C232="Cetak",C232="Dikirim",C232="Selesai"),1,0)</f>
        <v>0</v>
      </c>
      <c r="X232" s="23" t="str">
        <f aca="false">IF(F232="","",SUBSTITUTE(SUBSTITUTE(MID(UPPER(TRIM(F232)),4,99),"-LED",""),"-TK",""))</f>
        <v/>
      </c>
      <c r="Y232" s="23" t="str">
        <f aca="false">IF(X232="","",(LEN(X232)+1)/7)</f>
        <v/>
      </c>
      <c r="Z232" s="23" t="str">
        <f aca="false">IF(X232="","",LEFT(X232,6))</f>
        <v/>
      </c>
      <c r="AA232" s="23" t="str">
        <f aca="false">IF(X232="","",IF(Y232&gt;=3,MID(X232,8,6),""))</f>
        <v/>
      </c>
      <c r="AB232" s="23" t="str">
        <f aca="false">IF(X232="","",IF(Y232&gt;=4,MID(X232,15,6),""))</f>
        <v/>
      </c>
      <c r="AC232" s="23" t="str">
        <f aca="false">IF(X232="","",IF(Y232&gt;=5,MID(X232,22,6),""))</f>
        <v/>
      </c>
      <c r="AD232" s="23" t="str">
        <f aca="false">IF(X232="","",RIGHT(X232,6))</f>
        <v/>
      </c>
      <c r="AE232" s="23" t="str">
        <f aca="false">IF(F232="","",IF(ISNUMBER(SEARCH("-TK",UPPER(F232))),0,1))</f>
        <v/>
      </c>
      <c r="AF232" s="23" t="str">
        <f aca="false">IF(F232="","",IF(ISNUMBER(SEARCH("-LED",UPPER(F232))),1,0))</f>
        <v/>
      </c>
      <c r="AG232" s="24" t="n">
        <f aca="false">IF(Z232="",0,IFERROR(INDEX(Resep!$C$5:$C$7,MATCH(LEFT(Z232,3),Resep!$B$5:$B$7,0)),0))</f>
        <v>0</v>
      </c>
      <c r="AH232" s="24" t="n">
        <f aca="false">IF(AA232="",0,IFERROR(INDEX(Resep!$C$9:$C$13,MATCH(LEFT(AA232,3),Resep!$B$9:$B$13,0)),0))</f>
        <v>0</v>
      </c>
      <c r="AI232" s="24" t="n">
        <f aca="false">IF(AB232="",0,IFERROR(INDEX(Resep!$C$9:$C$13,MATCH(LEFT(AB232,3),Resep!$B$9:$B$13,0)),0))</f>
        <v>0</v>
      </c>
      <c r="AJ232" s="24" t="n">
        <f aca="false">IF(AC232="",0,IFERROR(INDEX(Resep!$C$9:$C$13,MATCH(LEFT(AC232,3),Resep!$B$9:$B$13,0)),0))</f>
        <v>0</v>
      </c>
      <c r="AK232" s="24" t="n">
        <f aca="false">IF(AD232="",0,IFERROR(INDEX(Resep!$C$15:$C$18,MATCH(LEFT(AD232,3),Resep!$B$15:$B$18,0)),0))</f>
        <v>0</v>
      </c>
      <c r="AL232" s="24" t="str">
        <f aca="false">IF(X232="","",AG232+AH232+AI232+AJ232+AK232)</f>
        <v/>
      </c>
      <c r="AM232" s="22" t="str">
        <f aca="false">IF(X232="","",AL232*(Pengaturan!$B$6+Pengaturan!$B$7)+Pengaturan!$B$8+AE232*Pengaturan!$B$9+AF232*Pengaturan!$B$10)</f>
        <v/>
      </c>
      <c r="AN232" s="22" t="str">
        <f aca="false">IF(X232="","",N(G232)-AM232)</f>
        <v/>
      </c>
      <c r="AO232" s="25" t="str">
        <f aca="false">IF(OR(X232="",N(G232)=0),"",AN232/G232)</f>
        <v/>
      </c>
    </row>
    <row r="233" customFormat="false" ht="15" hidden="false" customHeight="false" outlineLevel="0" collapsed="false">
      <c r="A233" s="19"/>
      <c r="B233" s="20"/>
      <c r="C233" s="19"/>
      <c r="D233" s="19"/>
      <c r="E233" s="19"/>
      <c r="F233" s="19"/>
      <c r="G233" s="21"/>
      <c r="H233" s="19"/>
      <c r="I233" s="21"/>
      <c r="J233" s="19"/>
      <c r="K233" s="20"/>
      <c r="L233" s="20"/>
      <c r="M233" s="19"/>
      <c r="N233" s="19"/>
      <c r="O233" s="20"/>
      <c r="P233" s="20"/>
      <c r="Q233" s="19"/>
      <c r="R233" s="22" t="str">
        <f aca="false">IF(A233="","",N(G233)+N(I233))</f>
        <v/>
      </c>
      <c r="S233" s="23" t="str">
        <f aca="false">IF(OR(K233="",O233=""),"",O233-K233)</f>
        <v/>
      </c>
      <c r="T233" s="23" t="str">
        <f aca="true">IF(AND(C233="Cetak",L233&lt;&gt;"",L233&lt;TODAY()),"YA","")</f>
        <v/>
      </c>
      <c r="U233" s="23" t="str">
        <f aca="false">IF(B233="","",TEXT(B233,"yyyy-mm"))</f>
        <v/>
      </c>
      <c r="V233" s="23" t="str">
        <f aca="false">IF(K233="","",TEXT(K233,"yyyy-mm"))</f>
        <v/>
      </c>
      <c r="W233" s="23" t="n">
        <f aca="false">IF(OR(C233="Cetak",C233="Dikirim",C233="Selesai"),1,0)</f>
        <v>0</v>
      </c>
      <c r="X233" s="23" t="str">
        <f aca="false">IF(F233="","",SUBSTITUTE(SUBSTITUTE(MID(UPPER(TRIM(F233)),4,99),"-LED",""),"-TK",""))</f>
        <v/>
      </c>
      <c r="Y233" s="23" t="str">
        <f aca="false">IF(X233="","",(LEN(X233)+1)/7)</f>
        <v/>
      </c>
      <c r="Z233" s="23" t="str">
        <f aca="false">IF(X233="","",LEFT(X233,6))</f>
        <v/>
      </c>
      <c r="AA233" s="23" t="str">
        <f aca="false">IF(X233="","",IF(Y233&gt;=3,MID(X233,8,6),""))</f>
        <v/>
      </c>
      <c r="AB233" s="23" t="str">
        <f aca="false">IF(X233="","",IF(Y233&gt;=4,MID(X233,15,6),""))</f>
        <v/>
      </c>
      <c r="AC233" s="23" t="str">
        <f aca="false">IF(X233="","",IF(Y233&gt;=5,MID(X233,22,6),""))</f>
        <v/>
      </c>
      <c r="AD233" s="23" t="str">
        <f aca="false">IF(X233="","",RIGHT(X233,6))</f>
        <v/>
      </c>
      <c r="AE233" s="23" t="str">
        <f aca="false">IF(F233="","",IF(ISNUMBER(SEARCH("-TK",UPPER(F233))),0,1))</f>
        <v/>
      </c>
      <c r="AF233" s="23" t="str">
        <f aca="false">IF(F233="","",IF(ISNUMBER(SEARCH("-LED",UPPER(F233))),1,0))</f>
        <v/>
      </c>
      <c r="AG233" s="24" t="n">
        <f aca="false">IF(Z233="",0,IFERROR(INDEX(Resep!$C$5:$C$7,MATCH(LEFT(Z233,3),Resep!$B$5:$B$7,0)),0))</f>
        <v>0</v>
      </c>
      <c r="AH233" s="24" t="n">
        <f aca="false">IF(AA233="",0,IFERROR(INDEX(Resep!$C$9:$C$13,MATCH(LEFT(AA233,3),Resep!$B$9:$B$13,0)),0))</f>
        <v>0</v>
      </c>
      <c r="AI233" s="24" t="n">
        <f aca="false">IF(AB233="",0,IFERROR(INDEX(Resep!$C$9:$C$13,MATCH(LEFT(AB233,3),Resep!$B$9:$B$13,0)),0))</f>
        <v>0</v>
      </c>
      <c r="AJ233" s="24" t="n">
        <f aca="false">IF(AC233="",0,IFERROR(INDEX(Resep!$C$9:$C$13,MATCH(LEFT(AC233,3),Resep!$B$9:$B$13,0)),0))</f>
        <v>0</v>
      </c>
      <c r="AK233" s="24" t="n">
        <f aca="false">IF(AD233="",0,IFERROR(INDEX(Resep!$C$15:$C$18,MATCH(LEFT(AD233,3),Resep!$B$15:$B$18,0)),0))</f>
        <v>0</v>
      </c>
      <c r="AL233" s="24" t="str">
        <f aca="false">IF(X233="","",AG233+AH233+AI233+AJ233+AK233)</f>
        <v/>
      </c>
      <c r="AM233" s="22" t="str">
        <f aca="false">IF(X233="","",AL233*(Pengaturan!$B$6+Pengaturan!$B$7)+Pengaturan!$B$8+AE233*Pengaturan!$B$9+AF233*Pengaturan!$B$10)</f>
        <v/>
      </c>
      <c r="AN233" s="22" t="str">
        <f aca="false">IF(X233="","",N(G233)-AM233)</f>
        <v/>
      </c>
      <c r="AO233" s="25" t="str">
        <f aca="false">IF(OR(X233="",N(G233)=0),"",AN233/G233)</f>
        <v/>
      </c>
    </row>
    <row r="234" customFormat="false" ht="15" hidden="false" customHeight="false" outlineLevel="0" collapsed="false">
      <c r="A234" s="19"/>
      <c r="B234" s="20"/>
      <c r="C234" s="19"/>
      <c r="D234" s="19"/>
      <c r="E234" s="19"/>
      <c r="F234" s="19"/>
      <c r="G234" s="21"/>
      <c r="H234" s="19"/>
      <c r="I234" s="21"/>
      <c r="J234" s="19"/>
      <c r="K234" s="20"/>
      <c r="L234" s="20"/>
      <c r="M234" s="19"/>
      <c r="N234" s="19"/>
      <c r="O234" s="20"/>
      <c r="P234" s="20"/>
      <c r="Q234" s="19"/>
      <c r="R234" s="22" t="str">
        <f aca="false">IF(A234="","",N(G234)+N(I234))</f>
        <v/>
      </c>
      <c r="S234" s="23" t="str">
        <f aca="false">IF(OR(K234="",O234=""),"",O234-K234)</f>
        <v/>
      </c>
      <c r="T234" s="23" t="str">
        <f aca="true">IF(AND(C234="Cetak",L234&lt;&gt;"",L234&lt;TODAY()),"YA","")</f>
        <v/>
      </c>
      <c r="U234" s="23" t="str">
        <f aca="false">IF(B234="","",TEXT(B234,"yyyy-mm"))</f>
        <v/>
      </c>
      <c r="V234" s="23" t="str">
        <f aca="false">IF(K234="","",TEXT(K234,"yyyy-mm"))</f>
        <v/>
      </c>
      <c r="W234" s="23" t="n">
        <f aca="false">IF(OR(C234="Cetak",C234="Dikirim",C234="Selesai"),1,0)</f>
        <v>0</v>
      </c>
      <c r="X234" s="23" t="str">
        <f aca="false">IF(F234="","",SUBSTITUTE(SUBSTITUTE(MID(UPPER(TRIM(F234)),4,99),"-LED",""),"-TK",""))</f>
        <v/>
      </c>
      <c r="Y234" s="23" t="str">
        <f aca="false">IF(X234="","",(LEN(X234)+1)/7)</f>
        <v/>
      </c>
      <c r="Z234" s="23" t="str">
        <f aca="false">IF(X234="","",LEFT(X234,6))</f>
        <v/>
      </c>
      <c r="AA234" s="23" t="str">
        <f aca="false">IF(X234="","",IF(Y234&gt;=3,MID(X234,8,6),""))</f>
        <v/>
      </c>
      <c r="AB234" s="23" t="str">
        <f aca="false">IF(X234="","",IF(Y234&gt;=4,MID(X234,15,6),""))</f>
        <v/>
      </c>
      <c r="AC234" s="23" t="str">
        <f aca="false">IF(X234="","",IF(Y234&gt;=5,MID(X234,22,6),""))</f>
        <v/>
      </c>
      <c r="AD234" s="23" t="str">
        <f aca="false">IF(X234="","",RIGHT(X234,6))</f>
        <v/>
      </c>
      <c r="AE234" s="23" t="str">
        <f aca="false">IF(F234="","",IF(ISNUMBER(SEARCH("-TK",UPPER(F234))),0,1))</f>
        <v/>
      </c>
      <c r="AF234" s="23" t="str">
        <f aca="false">IF(F234="","",IF(ISNUMBER(SEARCH("-LED",UPPER(F234))),1,0))</f>
        <v/>
      </c>
      <c r="AG234" s="24" t="n">
        <f aca="false">IF(Z234="",0,IFERROR(INDEX(Resep!$C$5:$C$7,MATCH(LEFT(Z234,3),Resep!$B$5:$B$7,0)),0))</f>
        <v>0</v>
      </c>
      <c r="AH234" s="24" t="n">
        <f aca="false">IF(AA234="",0,IFERROR(INDEX(Resep!$C$9:$C$13,MATCH(LEFT(AA234,3),Resep!$B$9:$B$13,0)),0))</f>
        <v>0</v>
      </c>
      <c r="AI234" s="24" t="n">
        <f aca="false">IF(AB234="",0,IFERROR(INDEX(Resep!$C$9:$C$13,MATCH(LEFT(AB234,3),Resep!$B$9:$B$13,0)),0))</f>
        <v>0</v>
      </c>
      <c r="AJ234" s="24" t="n">
        <f aca="false">IF(AC234="",0,IFERROR(INDEX(Resep!$C$9:$C$13,MATCH(LEFT(AC234,3),Resep!$B$9:$B$13,0)),0))</f>
        <v>0</v>
      </c>
      <c r="AK234" s="24" t="n">
        <f aca="false">IF(AD234="",0,IFERROR(INDEX(Resep!$C$15:$C$18,MATCH(LEFT(AD234,3),Resep!$B$15:$B$18,0)),0))</f>
        <v>0</v>
      </c>
      <c r="AL234" s="24" t="str">
        <f aca="false">IF(X234="","",AG234+AH234+AI234+AJ234+AK234)</f>
        <v/>
      </c>
      <c r="AM234" s="22" t="str">
        <f aca="false">IF(X234="","",AL234*(Pengaturan!$B$6+Pengaturan!$B$7)+Pengaturan!$B$8+AE234*Pengaturan!$B$9+AF234*Pengaturan!$B$10)</f>
        <v/>
      </c>
      <c r="AN234" s="22" t="str">
        <f aca="false">IF(X234="","",N(G234)-AM234)</f>
        <v/>
      </c>
      <c r="AO234" s="25" t="str">
        <f aca="false">IF(OR(X234="",N(G234)=0),"",AN234/G234)</f>
        <v/>
      </c>
    </row>
    <row r="235" customFormat="false" ht="15" hidden="false" customHeight="false" outlineLevel="0" collapsed="false">
      <c r="A235" s="19"/>
      <c r="B235" s="20"/>
      <c r="C235" s="19"/>
      <c r="D235" s="19"/>
      <c r="E235" s="19"/>
      <c r="F235" s="19"/>
      <c r="G235" s="21"/>
      <c r="H235" s="19"/>
      <c r="I235" s="21"/>
      <c r="J235" s="19"/>
      <c r="K235" s="20"/>
      <c r="L235" s="20"/>
      <c r="M235" s="19"/>
      <c r="N235" s="19"/>
      <c r="O235" s="20"/>
      <c r="P235" s="20"/>
      <c r="Q235" s="19"/>
      <c r="R235" s="22" t="str">
        <f aca="false">IF(A235="","",N(G235)+N(I235))</f>
        <v/>
      </c>
      <c r="S235" s="23" t="str">
        <f aca="false">IF(OR(K235="",O235=""),"",O235-K235)</f>
        <v/>
      </c>
      <c r="T235" s="23" t="str">
        <f aca="true">IF(AND(C235="Cetak",L235&lt;&gt;"",L235&lt;TODAY()),"YA","")</f>
        <v/>
      </c>
      <c r="U235" s="23" t="str">
        <f aca="false">IF(B235="","",TEXT(B235,"yyyy-mm"))</f>
        <v/>
      </c>
      <c r="V235" s="23" t="str">
        <f aca="false">IF(K235="","",TEXT(K235,"yyyy-mm"))</f>
        <v/>
      </c>
      <c r="W235" s="23" t="n">
        <f aca="false">IF(OR(C235="Cetak",C235="Dikirim",C235="Selesai"),1,0)</f>
        <v>0</v>
      </c>
      <c r="X235" s="23" t="str">
        <f aca="false">IF(F235="","",SUBSTITUTE(SUBSTITUTE(MID(UPPER(TRIM(F235)),4,99),"-LED",""),"-TK",""))</f>
        <v/>
      </c>
      <c r="Y235" s="23" t="str">
        <f aca="false">IF(X235="","",(LEN(X235)+1)/7)</f>
        <v/>
      </c>
      <c r="Z235" s="23" t="str">
        <f aca="false">IF(X235="","",LEFT(X235,6))</f>
        <v/>
      </c>
      <c r="AA235" s="23" t="str">
        <f aca="false">IF(X235="","",IF(Y235&gt;=3,MID(X235,8,6),""))</f>
        <v/>
      </c>
      <c r="AB235" s="23" t="str">
        <f aca="false">IF(X235="","",IF(Y235&gt;=4,MID(X235,15,6),""))</f>
        <v/>
      </c>
      <c r="AC235" s="23" t="str">
        <f aca="false">IF(X235="","",IF(Y235&gt;=5,MID(X235,22,6),""))</f>
        <v/>
      </c>
      <c r="AD235" s="23" t="str">
        <f aca="false">IF(X235="","",RIGHT(X235,6))</f>
        <v/>
      </c>
      <c r="AE235" s="23" t="str">
        <f aca="false">IF(F235="","",IF(ISNUMBER(SEARCH("-TK",UPPER(F235))),0,1))</f>
        <v/>
      </c>
      <c r="AF235" s="23" t="str">
        <f aca="false">IF(F235="","",IF(ISNUMBER(SEARCH("-LED",UPPER(F235))),1,0))</f>
        <v/>
      </c>
      <c r="AG235" s="24" t="n">
        <f aca="false">IF(Z235="",0,IFERROR(INDEX(Resep!$C$5:$C$7,MATCH(LEFT(Z235,3),Resep!$B$5:$B$7,0)),0))</f>
        <v>0</v>
      </c>
      <c r="AH235" s="24" t="n">
        <f aca="false">IF(AA235="",0,IFERROR(INDEX(Resep!$C$9:$C$13,MATCH(LEFT(AA235,3),Resep!$B$9:$B$13,0)),0))</f>
        <v>0</v>
      </c>
      <c r="AI235" s="24" t="n">
        <f aca="false">IF(AB235="",0,IFERROR(INDEX(Resep!$C$9:$C$13,MATCH(LEFT(AB235,3),Resep!$B$9:$B$13,0)),0))</f>
        <v>0</v>
      </c>
      <c r="AJ235" s="24" t="n">
        <f aca="false">IF(AC235="",0,IFERROR(INDEX(Resep!$C$9:$C$13,MATCH(LEFT(AC235,3),Resep!$B$9:$B$13,0)),0))</f>
        <v>0</v>
      </c>
      <c r="AK235" s="24" t="n">
        <f aca="false">IF(AD235="",0,IFERROR(INDEX(Resep!$C$15:$C$18,MATCH(LEFT(AD235,3),Resep!$B$15:$B$18,0)),0))</f>
        <v>0</v>
      </c>
      <c r="AL235" s="24" t="str">
        <f aca="false">IF(X235="","",AG235+AH235+AI235+AJ235+AK235)</f>
        <v/>
      </c>
      <c r="AM235" s="22" t="str">
        <f aca="false">IF(X235="","",AL235*(Pengaturan!$B$6+Pengaturan!$B$7)+Pengaturan!$B$8+AE235*Pengaturan!$B$9+AF235*Pengaturan!$B$10)</f>
        <v/>
      </c>
      <c r="AN235" s="22" t="str">
        <f aca="false">IF(X235="","",N(G235)-AM235)</f>
        <v/>
      </c>
      <c r="AO235" s="25" t="str">
        <f aca="false">IF(OR(X235="",N(G235)=0),"",AN235/G235)</f>
        <v/>
      </c>
    </row>
    <row r="236" customFormat="false" ht="15" hidden="false" customHeight="false" outlineLevel="0" collapsed="false">
      <c r="A236" s="19"/>
      <c r="B236" s="20"/>
      <c r="C236" s="19"/>
      <c r="D236" s="19"/>
      <c r="E236" s="19"/>
      <c r="F236" s="19"/>
      <c r="G236" s="21"/>
      <c r="H236" s="19"/>
      <c r="I236" s="21"/>
      <c r="J236" s="19"/>
      <c r="K236" s="20"/>
      <c r="L236" s="20"/>
      <c r="M236" s="19"/>
      <c r="N236" s="19"/>
      <c r="O236" s="20"/>
      <c r="P236" s="20"/>
      <c r="Q236" s="19"/>
      <c r="R236" s="22" t="str">
        <f aca="false">IF(A236="","",N(G236)+N(I236))</f>
        <v/>
      </c>
      <c r="S236" s="23" t="str">
        <f aca="false">IF(OR(K236="",O236=""),"",O236-K236)</f>
        <v/>
      </c>
      <c r="T236" s="23" t="str">
        <f aca="true">IF(AND(C236="Cetak",L236&lt;&gt;"",L236&lt;TODAY()),"YA","")</f>
        <v/>
      </c>
      <c r="U236" s="23" t="str">
        <f aca="false">IF(B236="","",TEXT(B236,"yyyy-mm"))</f>
        <v/>
      </c>
      <c r="V236" s="23" t="str">
        <f aca="false">IF(K236="","",TEXT(K236,"yyyy-mm"))</f>
        <v/>
      </c>
      <c r="W236" s="23" t="n">
        <f aca="false">IF(OR(C236="Cetak",C236="Dikirim",C236="Selesai"),1,0)</f>
        <v>0</v>
      </c>
      <c r="X236" s="23" t="str">
        <f aca="false">IF(F236="","",SUBSTITUTE(SUBSTITUTE(MID(UPPER(TRIM(F236)),4,99),"-LED",""),"-TK",""))</f>
        <v/>
      </c>
      <c r="Y236" s="23" t="str">
        <f aca="false">IF(X236="","",(LEN(X236)+1)/7)</f>
        <v/>
      </c>
      <c r="Z236" s="23" t="str">
        <f aca="false">IF(X236="","",LEFT(X236,6))</f>
        <v/>
      </c>
      <c r="AA236" s="23" t="str">
        <f aca="false">IF(X236="","",IF(Y236&gt;=3,MID(X236,8,6),""))</f>
        <v/>
      </c>
      <c r="AB236" s="23" t="str">
        <f aca="false">IF(X236="","",IF(Y236&gt;=4,MID(X236,15,6),""))</f>
        <v/>
      </c>
      <c r="AC236" s="23" t="str">
        <f aca="false">IF(X236="","",IF(Y236&gt;=5,MID(X236,22,6),""))</f>
        <v/>
      </c>
      <c r="AD236" s="23" t="str">
        <f aca="false">IF(X236="","",RIGHT(X236,6))</f>
        <v/>
      </c>
      <c r="AE236" s="23" t="str">
        <f aca="false">IF(F236="","",IF(ISNUMBER(SEARCH("-TK",UPPER(F236))),0,1))</f>
        <v/>
      </c>
      <c r="AF236" s="23" t="str">
        <f aca="false">IF(F236="","",IF(ISNUMBER(SEARCH("-LED",UPPER(F236))),1,0))</f>
        <v/>
      </c>
      <c r="AG236" s="24" t="n">
        <f aca="false">IF(Z236="",0,IFERROR(INDEX(Resep!$C$5:$C$7,MATCH(LEFT(Z236,3),Resep!$B$5:$B$7,0)),0))</f>
        <v>0</v>
      </c>
      <c r="AH236" s="24" t="n">
        <f aca="false">IF(AA236="",0,IFERROR(INDEX(Resep!$C$9:$C$13,MATCH(LEFT(AA236,3),Resep!$B$9:$B$13,0)),0))</f>
        <v>0</v>
      </c>
      <c r="AI236" s="24" t="n">
        <f aca="false">IF(AB236="",0,IFERROR(INDEX(Resep!$C$9:$C$13,MATCH(LEFT(AB236,3),Resep!$B$9:$B$13,0)),0))</f>
        <v>0</v>
      </c>
      <c r="AJ236" s="24" t="n">
        <f aca="false">IF(AC236="",0,IFERROR(INDEX(Resep!$C$9:$C$13,MATCH(LEFT(AC236,3),Resep!$B$9:$B$13,0)),0))</f>
        <v>0</v>
      </c>
      <c r="AK236" s="24" t="n">
        <f aca="false">IF(AD236="",0,IFERROR(INDEX(Resep!$C$15:$C$18,MATCH(LEFT(AD236,3),Resep!$B$15:$B$18,0)),0))</f>
        <v>0</v>
      </c>
      <c r="AL236" s="24" t="str">
        <f aca="false">IF(X236="","",AG236+AH236+AI236+AJ236+AK236)</f>
        <v/>
      </c>
      <c r="AM236" s="22" t="str">
        <f aca="false">IF(X236="","",AL236*(Pengaturan!$B$6+Pengaturan!$B$7)+Pengaturan!$B$8+AE236*Pengaturan!$B$9+AF236*Pengaturan!$B$10)</f>
        <v/>
      </c>
      <c r="AN236" s="22" t="str">
        <f aca="false">IF(X236="","",N(G236)-AM236)</f>
        <v/>
      </c>
      <c r="AO236" s="25" t="str">
        <f aca="false">IF(OR(X236="",N(G236)=0),"",AN236/G236)</f>
        <v/>
      </c>
    </row>
    <row r="237" customFormat="false" ht="15" hidden="false" customHeight="false" outlineLevel="0" collapsed="false">
      <c r="A237" s="19"/>
      <c r="B237" s="20"/>
      <c r="C237" s="19"/>
      <c r="D237" s="19"/>
      <c r="E237" s="19"/>
      <c r="F237" s="19"/>
      <c r="G237" s="21"/>
      <c r="H237" s="19"/>
      <c r="I237" s="21"/>
      <c r="J237" s="19"/>
      <c r="K237" s="20"/>
      <c r="L237" s="20"/>
      <c r="M237" s="19"/>
      <c r="N237" s="19"/>
      <c r="O237" s="20"/>
      <c r="P237" s="20"/>
      <c r="Q237" s="19"/>
      <c r="R237" s="22" t="str">
        <f aca="false">IF(A237="","",N(G237)+N(I237))</f>
        <v/>
      </c>
      <c r="S237" s="23" t="str">
        <f aca="false">IF(OR(K237="",O237=""),"",O237-K237)</f>
        <v/>
      </c>
      <c r="T237" s="23" t="str">
        <f aca="true">IF(AND(C237="Cetak",L237&lt;&gt;"",L237&lt;TODAY()),"YA","")</f>
        <v/>
      </c>
      <c r="U237" s="23" t="str">
        <f aca="false">IF(B237="","",TEXT(B237,"yyyy-mm"))</f>
        <v/>
      </c>
      <c r="V237" s="23" t="str">
        <f aca="false">IF(K237="","",TEXT(K237,"yyyy-mm"))</f>
        <v/>
      </c>
      <c r="W237" s="23" t="n">
        <f aca="false">IF(OR(C237="Cetak",C237="Dikirim",C237="Selesai"),1,0)</f>
        <v>0</v>
      </c>
      <c r="X237" s="23" t="str">
        <f aca="false">IF(F237="","",SUBSTITUTE(SUBSTITUTE(MID(UPPER(TRIM(F237)),4,99),"-LED",""),"-TK",""))</f>
        <v/>
      </c>
      <c r="Y237" s="23" t="str">
        <f aca="false">IF(X237="","",(LEN(X237)+1)/7)</f>
        <v/>
      </c>
      <c r="Z237" s="23" t="str">
        <f aca="false">IF(X237="","",LEFT(X237,6))</f>
        <v/>
      </c>
      <c r="AA237" s="23" t="str">
        <f aca="false">IF(X237="","",IF(Y237&gt;=3,MID(X237,8,6),""))</f>
        <v/>
      </c>
      <c r="AB237" s="23" t="str">
        <f aca="false">IF(X237="","",IF(Y237&gt;=4,MID(X237,15,6),""))</f>
        <v/>
      </c>
      <c r="AC237" s="23" t="str">
        <f aca="false">IF(X237="","",IF(Y237&gt;=5,MID(X237,22,6),""))</f>
        <v/>
      </c>
      <c r="AD237" s="23" t="str">
        <f aca="false">IF(X237="","",RIGHT(X237,6))</f>
        <v/>
      </c>
      <c r="AE237" s="23" t="str">
        <f aca="false">IF(F237="","",IF(ISNUMBER(SEARCH("-TK",UPPER(F237))),0,1))</f>
        <v/>
      </c>
      <c r="AF237" s="23" t="str">
        <f aca="false">IF(F237="","",IF(ISNUMBER(SEARCH("-LED",UPPER(F237))),1,0))</f>
        <v/>
      </c>
      <c r="AG237" s="24" t="n">
        <f aca="false">IF(Z237="",0,IFERROR(INDEX(Resep!$C$5:$C$7,MATCH(LEFT(Z237,3),Resep!$B$5:$B$7,0)),0))</f>
        <v>0</v>
      </c>
      <c r="AH237" s="24" t="n">
        <f aca="false">IF(AA237="",0,IFERROR(INDEX(Resep!$C$9:$C$13,MATCH(LEFT(AA237,3),Resep!$B$9:$B$13,0)),0))</f>
        <v>0</v>
      </c>
      <c r="AI237" s="24" t="n">
        <f aca="false">IF(AB237="",0,IFERROR(INDEX(Resep!$C$9:$C$13,MATCH(LEFT(AB237,3),Resep!$B$9:$B$13,0)),0))</f>
        <v>0</v>
      </c>
      <c r="AJ237" s="24" t="n">
        <f aca="false">IF(AC237="",0,IFERROR(INDEX(Resep!$C$9:$C$13,MATCH(LEFT(AC237,3),Resep!$B$9:$B$13,0)),0))</f>
        <v>0</v>
      </c>
      <c r="AK237" s="24" t="n">
        <f aca="false">IF(AD237="",0,IFERROR(INDEX(Resep!$C$15:$C$18,MATCH(LEFT(AD237,3),Resep!$B$15:$B$18,0)),0))</f>
        <v>0</v>
      </c>
      <c r="AL237" s="24" t="str">
        <f aca="false">IF(X237="","",AG237+AH237+AI237+AJ237+AK237)</f>
        <v/>
      </c>
      <c r="AM237" s="22" t="str">
        <f aca="false">IF(X237="","",AL237*(Pengaturan!$B$6+Pengaturan!$B$7)+Pengaturan!$B$8+AE237*Pengaturan!$B$9+AF237*Pengaturan!$B$10)</f>
        <v/>
      </c>
      <c r="AN237" s="22" t="str">
        <f aca="false">IF(X237="","",N(G237)-AM237)</f>
        <v/>
      </c>
      <c r="AO237" s="25" t="str">
        <f aca="false">IF(OR(X237="",N(G237)=0),"",AN237/G237)</f>
        <v/>
      </c>
    </row>
    <row r="238" customFormat="false" ht="15" hidden="false" customHeight="false" outlineLevel="0" collapsed="false">
      <c r="A238" s="19"/>
      <c r="B238" s="20"/>
      <c r="C238" s="19"/>
      <c r="D238" s="19"/>
      <c r="E238" s="19"/>
      <c r="F238" s="19"/>
      <c r="G238" s="21"/>
      <c r="H238" s="19"/>
      <c r="I238" s="21"/>
      <c r="J238" s="19"/>
      <c r="K238" s="20"/>
      <c r="L238" s="20"/>
      <c r="M238" s="19"/>
      <c r="N238" s="19"/>
      <c r="O238" s="20"/>
      <c r="P238" s="20"/>
      <c r="Q238" s="19"/>
      <c r="R238" s="22" t="str">
        <f aca="false">IF(A238="","",N(G238)+N(I238))</f>
        <v/>
      </c>
      <c r="S238" s="23" t="str">
        <f aca="false">IF(OR(K238="",O238=""),"",O238-K238)</f>
        <v/>
      </c>
      <c r="T238" s="23" t="str">
        <f aca="true">IF(AND(C238="Cetak",L238&lt;&gt;"",L238&lt;TODAY()),"YA","")</f>
        <v/>
      </c>
      <c r="U238" s="23" t="str">
        <f aca="false">IF(B238="","",TEXT(B238,"yyyy-mm"))</f>
        <v/>
      </c>
      <c r="V238" s="23" t="str">
        <f aca="false">IF(K238="","",TEXT(K238,"yyyy-mm"))</f>
        <v/>
      </c>
      <c r="W238" s="23" t="n">
        <f aca="false">IF(OR(C238="Cetak",C238="Dikirim",C238="Selesai"),1,0)</f>
        <v>0</v>
      </c>
      <c r="X238" s="23" t="str">
        <f aca="false">IF(F238="","",SUBSTITUTE(SUBSTITUTE(MID(UPPER(TRIM(F238)),4,99),"-LED",""),"-TK",""))</f>
        <v/>
      </c>
      <c r="Y238" s="23" t="str">
        <f aca="false">IF(X238="","",(LEN(X238)+1)/7)</f>
        <v/>
      </c>
      <c r="Z238" s="23" t="str">
        <f aca="false">IF(X238="","",LEFT(X238,6))</f>
        <v/>
      </c>
      <c r="AA238" s="23" t="str">
        <f aca="false">IF(X238="","",IF(Y238&gt;=3,MID(X238,8,6),""))</f>
        <v/>
      </c>
      <c r="AB238" s="23" t="str">
        <f aca="false">IF(X238="","",IF(Y238&gt;=4,MID(X238,15,6),""))</f>
        <v/>
      </c>
      <c r="AC238" s="23" t="str">
        <f aca="false">IF(X238="","",IF(Y238&gt;=5,MID(X238,22,6),""))</f>
        <v/>
      </c>
      <c r="AD238" s="23" t="str">
        <f aca="false">IF(X238="","",RIGHT(X238,6))</f>
        <v/>
      </c>
      <c r="AE238" s="23" t="str">
        <f aca="false">IF(F238="","",IF(ISNUMBER(SEARCH("-TK",UPPER(F238))),0,1))</f>
        <v/>
      </c>
      <c r="AF238" s="23" t="str">
        <f aca="false">IF(F238="","",IF(ISNUMBER(SEARCH("-LED",UPPER(F238))),1,0))</f>
        <v/>
      </c>
      <c r="AG238" s="24" t="n">
        <f aca="false">IF(Z238="",0,IFERROR(INDEX(Resep!$C$5:$C$7,MATCH(LEFT(Z238,3),Resep!$B$5:$B$7,0)),0))</f>
        <v>0</v>
      </c>
      <c r="AH238" s="24" t="n">
        <f aca="false">IF(AA238="",0,IFERROR(INDEX(Resep!$C$9:$C$13,MATCH(LEFT(AA238,3),Resep!$B$9:$B$13,0)),0))</f>
        <v>0</v>
      </c>
      <c r="AI238" s="24" t="n">
        <f aca="false">IF(AB238="",0,IFERROR(INDEX(Resep!$C$9:$C$13,MATCH(LEFT(AB238,3),Resep!$B$9:$B$13,0)),0))</f>
        <v>0</v>
      </c>
      <c r="AJ238" s="24" t="n">
        <f aca="false">IF(AC238="",0,IFERROR(INDEX(Resep!$C$9:$C$13,MATCH(LEFT(AC238,3),Resep!$B$9:$B$13,0)),0))</f>
        <v>0</v>
      </c>
      <c r="AK238" s="24" t="n">
        <f aca="false">IF(AD238="",0,IFERROR(INDEX(Resep!$C$15:$C$18,MATCH(LEFT(AD238,3),Resep!$B$15:$B$18,0)),0))</f>
        <v>0</v>
      </c>
      <c r="AL238" s="24" t="str">
        <f aca="false">IF(X238="","",AG238+AH238+AI238+AJ238+AK238)</f>
        <v/>
      </c>
      <c r="AM238" s="22" t="str">
        <f aca="false">IF(X238="","",AL238*(Pengaturan!$B$6+Pengaturan!$B$7)+Pengaturan!$B$8+AE238*Pengaturan!$B$9+AF238*Pengaturan!$B$10)</f>
        <v/>
      </c>
      <c r="AN238" s="22" t="str">
        <f aca="false">IF(X238="","",N(G238)-AM238)</f>
        <v/>
      </c>
      <c r="AO238" s="25" t="str">
        <f aca="false">IF(OR(X238="",N(G238)=0),"",AN238/G238)</f>
        <v/>
      </c>
    </row>
    <row r="239" customFormat="false" ht="15" hidden="false" customHeight="false" outlineLevel="0" collapsed="false">
      <c r="A239" s="19"/>
      <c r="B239" s="20"/>
      <c r="C239" s="19"/>
      <c r="D239" s="19"/>
      <c r="E239" s="19"/>
      <c r="F239" s="19"/>
      <c r="G239" s="21"/>
      <c r="H239" s="19"/>
      <c r="I239" s="21"/>
      <c r="J239" s="19"/>
      <c r="K239" s="20"/>
      <c r="L239" s="20"/>
      <c r="M239" s="19"/>
      <c r="N239" s="19"/>
      <c r="O239" s="20"/>
      <c r="P239" s="20"/>
      <c r="Q239" s="19"/>
      <c r="R239" s="22" t="str">
        <f aca="false">IF(A239="","",N(G239)+N(I239))</f>
        <v/>
      </c>
      <c r="S239" s="23" t="str">
        <f aca="false">IF(OR(K239="",O239=""),"",O239-K239)</f>
        <v/>
      </c>
      <c r="T239" s="23" t="str">
        <f aca="true">IF(AND(C239="Cetak",L239&lt;&gt;"",L239&lt;TODAY()),"YA","")</f>
        <v/>
      </c>
      <c r="U239" s="23" t="str">
        <f aca="false">IF(B239="","",TEXT(B239,"yyyy-mm"))</f>
        <v/>
      </c>
      <c r="V239" s="23" t="str">
        <f aca="false">IF(K239="","",TEXT(K239,"yyyy-mm"))</f>
        <v/>
      </c>
      <c r="W239" s="23" t="n">
        <f aca="false">IF(OR(C239="Cetak",C239="Dikirim",C239="Selesai"),1,0)</f>
        <v>0</v>
      </c>
      <c r="X239" s="23" t="str">
        <f aca="false">IF(F239="","",SUBSTITUTE(SUBSTITUTE(MID(UPPER(TRIM(F239)),4,99),"-LED",""),"-TK",""))</f>
        <v/>
      </c>
      <c r="Y239" s="23" t="str">
        <f aca="false">IF(X239="","",(LEN(X239)+1)/7)</f>
        <v/>
      </c>
      <c r="Z239" s="23" t="str">
        <f aca="false">IF(X239="","",LEFT(X239,6))</f>
        <v/>
      </c>
      <c r="AA239" s="23" t="str">
        <f aca="false">IF(X239="","",IF(Y239&gt;=3,MID(X239,8,6),""))</f>
        <v/>
      </c>
      <c r="AB239" s="23" t="str">
        <f aca="false">IF(X239="","",IF(Y239&gt;=4,MID(X239,15,6),""))</f>
        <v/>
      </c>
      <c r="AC239" s="23" t="str">
        <f aca="false">IF(X239="","",IF(Y239&gt;=5,MID(X239,22,6),""))</f>
        <v/>
      </c>
      <c r="AD239" s="23" t="str">
        <f aca="false">IF(X239="","",RIGHT(X239,6))</f>
        <v/>
      </c>
      <c r="AE239" s="23" t="str">
        <f aca="false">IF(F239="","",IF(ISNUMBER(SEARCH("-TK",UPPER(F239))),0,1))</f>
        <v/>
      </c>
      <c r="AF239" s="23" t="str">
        <f aca="false">IF(F239="","",IF(ISNUMBER(SEARCH("-LED",UPPER(F239))),1,0))</f>
        <v/>
      </c>
      <c r="AG239" s="24" t="n">
        <f aca="false">IF(Z239="",0,IFERROR(INDEX(Resep!$C$5:$C$7,MATCH(LEFT(Z239,3),Resep!$B$5:$B$7,0)),0))</f>
        <v>0</v>
      </c>
      <c r="AH239" s="24" t="n">
        <f aca="false">IF(AA239="",0,IFERROR(INDEX(Resep!$C$9:$C$13,MATCH(LEFT(AA239,3),Resep!$B$9:$B$13,0)),0))</f>
        <v>0</v>
      </c>
      <c r="AI239" s="24" t="n">
        <f aca="false">IF(AB239="",0,IFERROR(INDEX(Resep!$C$9:$C$13,MATCH(LEFT(AB239,3),Resep!$B$9:$B$13,0)),0))</f>
        <v>0</v>
      </c>
      <c r="AJ239" s="24" t="n">
        <f aca="false">IF(AC239="",0,IFERROR(INDEX(Resep!$C$9:$C$13,MATCH(LEFT(AC239,3),Resep!$B$9:$B$13,0)),0))</f>
        <v>0</v>
      </c>
      <c r="AK239" s="24" t="n">
        <f aca="false">IF(AD239="",0,IFERROR(INDEX(Resep!$C$15:$C$18,MATCH(LEFT(AD239,3),Resep!$B$15:$B$18,0)),0))</f>
        <v>0</v>
      </c>
      <c r="AL239" s="24" t="str">
        <f aca="false">IF(X239="","",AG239+AH239+AI239+AJ239+AK239)</f>
        <v/>
      </c>
      <c r="AM239" s="22" t="str">
        <f aca="false">IF(X239="","",AL239*(Pengaturan!$B$6+Pengaturan!$B$7)+Pengaturan!$B$8+AE239*Pengaturan!$B$9+AF239*Pengaturan!$B$10)</f>
        <v/>
      </c>
      <c r="AN239" s="22" t="str">
        <f aca="false">IF(X239="","",N(G239)-AM239)</f>
        <v/>
      </c>
      <c r="AO239" s="25" t="str">
        <f aca="false">IF(OR(X239="",N(G239)=0),"",AN239/G239)</f>
        <v/>
      </c>
    </row>
    <row r="240" customFormat="false" ht="15" hidden="false" customHeight="false" outlineLevel="0" collapsed="false">
      <c r="A240" s="19"/>
      <c r="B240" s="20"/>
      <c r="C240" s="19"/>
      <c r="D240" s="19"/>
      <c r="E240" s="19"/>
      <c r="F240" s="19"/>
      <c r="G240" s="21"/>
      <c r="H240" s="19"/>
      <c r="I240" s="21"/>
      <c r="J240" s="19"/>
      <c r="K240" s="20"/>
      <c r="L240" s="20"/>
      <c r="M240" s="19"/>
      <c r="N240" s="19"/>
      <c r="O240" s="20"/>
      <c r="P240" s="20"/>
      <c r="Q240" s="19"/>
      <c r="R240" s="22" t="str">
        <f aca="false">IF(A240="","",N(G240)+N(I240))</f>
        <v/>
      </c>
      <c r="S240" s="23" t="str">
        <f aca="false">IF(OR(K240="",O240=""),"",O240-K240)</f>
        <v/>
      </c>
      <c r="T240" s="23" t="str">
        <f aca="true">IF(AND(C240="Cetak",L240&lt;&gt;"",L240&lt;TODAY()),"YA","")</f>
        <v/>
      </c>
      <c r="U240" s="23" t="str">
        <f aca="false">IF(B240="","",TEXT(B240,"yyyy-mm"))</f>
        <v/>
      </c>
      <c r="V240" s="23" t="str">
        <f aca="false">IF(K240="","",TEXT(K240,"yyyy-mm"))</f>
        <v/>
      </c>
      <c r="W240" s="23" t="n">
        <f aca="false">IF(OR(C240="Cetak",C240="Dikirim",C240="Selesai"),1,0)</f>
        <v>0</v>
      </c>
      <c r="X240" s="23" t="str">
        <f aca="false">IF(F240="","",SUBSTITUTE(SUBSTITUTE(MID(UPPER(TRIM(F240)),4,99),"-LED",""),"-TK",""))</f>
        <v/>
      </c>
      <c r="Y240" s="23" t="str">
        <f aca="false">IF(X240="","",(LEN(X240)+1)/7)</f>
        <v/>
      </c>
      <c r="Z240" s="23" t="str">
        <f aca="false">IF(X240="","",LEFT(X240,6))</f>
        <v/>
      </c>
      <c r="AA240" s="23" t="str">
        <f aca="false">IF(X240="","",IF(Y240&gt;=3,MID(X240,8,6),""))</f>
        <v/>
      </c>
      <c r="AB240" s="23" t="str">
        <f aca="false">IF(X240="","",IF(Y240&gt;=4,MID(X240,15,6),""))</f>
        <v/>
      </c>
      <c r="AC240" s="23" t="str">
        <f aca="false">IF(X240="","",IF(Y240&gt;=5,MID(X240,22,6),""))</f>
        <v/>
      </c>
      <c r="AD240" s="23" t="str">
        <f aca="false">IF(X240="","",RIGHT(X240,6))</f>
        <v/>
      </c>
      <c r="AE240" s="23" t="str">
        <f aca="false">IF(F240="","",IF(ISNUMBER(SEARCH("-TK",UPPER(F240))),0,1))</f>
        <v/>
      </c>
      <c r="AF240" s="23" t="str">
        <f aca="false">IF(F240="","",IF(ISNUMBER(SEARCH("-LED",UPPER(F240))),1,0))</f>
        <v/>
      </c>
      <c r="AG240" s="24" t="n">
        <f aca="false">IF(Z240="",0,IFERROR(INDEX(Resep!$C$5:$C$7,MATCH(LEFT(Z240,3),Resep!$B$5:$B$7,0)),0))</f>
        <v>0</v>
      </c>
      <c r="AH240" s="24" t="n">
        <f aca="false">IF(AA240="",0,IFERROR(INDEX(Resep!$C$9:$C$13,MATCH(LEFT(AA240,3),Resep!$B$9:$B$13,0)),0))</f>
        <v>0</v>
      </c>
      <c r="AI240" s="24" t="n">
        <f aca="false">IF(AB240="",0,IFERROR(INDEX(Resep!$C$9:$C$13,MATCH(LEFT(AB240,3),Resep!$B$9:$B$13,0)),0))</f>
        <v>0</v>
      </c>
      <c r="AJ240" s="24" t="n">
        <f aca="false">IF(AC240="",0,IFERROR(INDEX(Resep!$C$9:$C$13,MATCH(LEFT(AC240,3),Resep!$B$9:$B$13,0)),0))</f>
        <v>0</v>
      </c>
      <c r="AK240" s="24" t="n">
        <f aca="false">IF(AD240="",0,IFERROR(INDEX(Resep!$C$15:$C$18,MATCH(LEFT(AD240,3),Resep!$B$15:$B$18,0)),0))</f>
        <v>0</v>
      </c>
      <c r="AL240" s="24" t="str">
        <f aca="false">IF(X240="","",AG240+AH240+AI240+AJ240+AK240)</f>
        <v/>
      </c>
      <c r="AM240" s="22" t="str">
        <f aca="false">IF(X240="","",AL240*(Pengaturan!$B$6+Pengaturan!$B$7)+Pengaturan!$B$8+AE240*Pengaturan!$B$9+AF240*Pengaturan!$B$10)</f>
        <v/>
      </c>
      <c r="AN240" s="22" t="str">
        <f aca="false">IF(X240="","",N(G240)-AM240)</f>
        <v/>
      </c>
      <c r="AO240" s="25" t="str">
        <f aca="false">IF(OR(X240="",N(G240)=0),"",AN240/G240)</f>
        <v/>
      </c>
    </row>
    <row r="241" customFormat="false" ht="15" hidden="false" customHeight="false" outlineLevel="0" collapsed="false">
      <c r="A241" s="19"/>
      <c r="B241" s="20"/>
      <c r="C241" s="19"/>
      <c r="D241" s="19"/>
      <c r="E241" s="19"/>
      <c r="F241" s="19"/>
      <c r="G241" s="21"/>
      <c r="H241" s="19"/>
      <c r="I241" s="21"/>
      <c r="J241" s="19"/>
      <c r="K241" s="20"/>
      <c r="L241" s="20"/>
      <c r="M241" s="19"/>
      <c r="N241" s="19"/>
      <c r="O241" s="20"/>
      <c r="P241" s="20"/>
      <c r="Q241" s="19"/>
      <c r="R241" s="22" t="str">
        <f aca="false">IF(A241="","",N(G241)+N(I241))</f>
        <v/>
      </c>
      <c r="S241" s="23" t="str">
        <f aca="false">IF(OR(K241="",O241=""),"",O241-K241)</f>
        <v/>
      </c>
      <c r="T241" s="23" t="str">
        <f aca="true">IF(AND(C241="Cetak",L241&lt;&gt;"",L241&lt;TODAY()),"YA","")</f>
        <v/>
      </c>
      <c r="U241" s="23" t="str">
        <f aca="false">IF(B241="","",TEXT(B241,"yyyy-mm"))</f>
        <v/>
      </c>
      <c r="V241" s="23" t="str">
        <f aca="false">IF(K241="","",TEXT(K241,"yyyy-mm"))</f>
        <v/>
      </c>
      <c r="W241" s="23" t="n">
        <f aca="false">IF(OR(C241="Cetak",C241="Dikirim",C241="Selesai"),1,0)</f>
        <v>0</v>
      </c>
      <c r="X241" s="23" t="str">
        <f aca="false">IF(F241="","",SUBSTITUTE(SUBSTITUTE(MID(UPPER(TRIM(F241)),4,99),"-LED",""),"-TK",""))</f>
        <v/>
      </c>
      <c r="Y241" s="23" t="str">
        <f aca="false">IF(X241="","",(LEN(X241)+1)/7)</f>
        <v/>
      </c>
      <c r="Z241" s="23" t="str">
        <f aca="false">IF(X241="","",LEFT(X241,6))</f>
        <v/>
      </c>
      <c r="AA241" s="23" t="str">
        <f aca="false">IF(X241="","",IF(Y241&gt;=3,MID(X241,8,6),""))</f>
        <v/>
      </c>
      <c r="AB241" s="23" t="str">
        <f aca="false">IF(X241="","",IF(Y241&gt;=4,MID(X241,15,6),""))</f>
        <v/>
      </c>
      <c r="AC241" s="23" t="str">
        <f aca="false">IF(X241="","",IF(Y241&gt;=5,MID(X241,22,6),""))</f>
        <v/>
      </c>
      <c r="AD241" s="23" t="str">
        <f aca="false">IF(X241="","",RIGHT(X241,6))</f>
        <v/>
      </c>
      <c r="AE241" s="23" t="str">
        <f aca="false">IF(F241="","",IF(ISNUMBER(SEARCH("-TK",UPPER(F241))),0,1))</f>
        <v/>
      </c>
      <c r="AF241" s="23" t="str">
        <f aca="false">IF(F241="","",IF(ISNUMBER(SEARCH("-LED",UPPER(F241))),1,0))</f>
        <v/>
      </c>
      <c r="AG241" s="24" t="n">
        <f aca="false">IF(Z241="",0,IFERROR(INDEX(Resep!$C$5:$C$7,MATCH(LEFT(Z241,3),Resep!$B$5:$B$7,0)),0))</f>
        <v>0</v>
      </c>
      <c r="AH241" s="24" t="n">
        <f aca="false">IF(AA241="",0,IFERROR(INDEX(Resep!$C$9:$C$13,MATCH(LEFT(AA241,3),Resep!$B$9:$B$13,0)),0))</f>
        <v>0</v>
      </c>
      <c r="AI241" s="24" t="n">
        <f aca="false">IF(AB241="",0,IFERROR(INDEX(Resep!$C$9:$C$13,MATCH(LEFT(AB241,3),Resep!$B$9:$B$13,0)),0))</f>
        <v>0</v>
      </c>
      <c r="AJ241" s="24" t="n">
        <f aca="false">IF(AC241="",0,IFERROR(INDEX(Resep!$C$9:$C$13,MATCH(LEFT(AC241,3),Resep!$B$9:$B$13,0)),0))</f>
        <v>0</v>
      </c>
      <c r="AK241" s="24" t="n">
        <f aca="false">IF(AD241="",0,IFERROR(INDEX(Resep!$C$15:$C$18,MATCH(LEFT(AD241,3),Resep!$B$15:$B$18,0)),0))</f>
        <v>0</v>
      </c>
      <c r="AL241" s="24" t="str">
        <f aca="false">IF(X241="","",AG241+AH241+AI241+AJ241+AK241)</f>
        <v/>
      </c>
      <c r="AM241" s="22" t="str">
        <f aca="false">IF(X241="","",AL241*(Pengaturan!$B$6+Pengaturan!$B$7)+Pengaturan!$B$8+AE241*Pengaturan!$B$9+AF241*Pengaturan!$B$10)</f>
        <v/>
      </c>
      <c r="AN241" s="22" t="str">
        <f aca="false">IF(X241="","",N(G241)-AM241)</f>
        <v/>
      </c>
      <c r="AO241" s="25" t="str">
        <f aca="false">IF(OR(X241="",N(G241)=0),"",AN241/G241)</f>
        <v/>
      </c>
    </row>
    <row r="242" customFormat="false" ht="15" hidden="false" customHeight="false" outlineLevel="0" collapsed="false">
      <c r="A242" s="19"/>
      <c r="B242" s="20"/>
      <c r="C242" s="19"/>
      <c r="D242" s="19"/>
      <c r="E242" s="19"/>
      <c r="F242" s="19"/>
      <c r="G242" s="21"/>
      <c r="H242" s="19"/>
      <c r="I242" s="21"/>
      <c r="J242" s="19"/>
      <c r="K242" s="20"/>
      <c r="L242" s="20"/>
      <c r="M242" s="19"/>
      <c r="N242" s="19"/>
      <c r="O242" s="20"/>
      <c r="P242" s="20"/>
      <c r="Q242" s="19"/>
      <c r="R242" s="22" t="str">
        <f aca="false">IF(A242="","",N(G242)+N(I242))</f>
        <v/>
      </c>
      <c r="S242" s="23" t="str">
        <f aca="false">IF(OR(K242="",O242=""),"",O242-K242)</f>
        <v/>
      </c>
      <c r="T242" s="23" t="str">
        <f aca="true">IF(AND(C242="Cetak",L242&lt;&gt;"",L242&lt;TODAY()),"YA","")</f>
        <v/>
      </c>
      <c r="U242" s="23" t="str">
        <f aca="false">IF(B242="","",TEXT(B242,"yyyy-mm"))</f>
        <v/>
      </c>
      <c r="V242" s="23" t="str">
        <f aca="false">IF(K242="","",TEXT(K242,"yyyy-mm"))</f>
        <v/>
      </c>
      <c r="W242" s="23" t="n">
        <f aca="false">IF(OR(C242="Cetak",C242="Dikirim",C242="Selesai"),1,0)</f>
        <v>0</v>
      </c>
      <c r="X242" s="23" t="str">
        <f aca="false">IF(F242="","",SUBSTITUTE(SUBSTITUTE(MID(UPPER(TRIM(F242)),4,99),"-LED",""),"-TK",""))</f>
        <v/>
      </c>
      <c r="Y242" s="23" t="str">
        <f aca="false">IF(X242="","",(LEN(X242)+1)/7)</f>
        <v/>
      </c>
      <c r="Z242" s="23" t="str">
        <f aca="false">IF(X242="","",LEFT(X242,6))</f>
        <v/>
      </c>
      <c r="AA242" s="23" t="str">
        <f aca="false">IF(X242="","",IF(Y242&gt;=3,MID(X242,8,6),""))</f>
        <v/>
      </c>
      <c r="AB242" s="23" t="str">
        <f aca="false">IF(X242="","",IF(Y242&gt;=4,MID(X242,15,6),""))</f>
        <v/>
      </c>
      <c r="AC242" s="23" t="str">
        <f aca="false">IF(X242="","",IF(Y242&gt;=5,MID(X242,22,6),""))</f>
        <v/>
      </c>
      <c r="AD242" s="23" t="str">
        <f aca="false">IF(X242="","",RIGHT(X242,6))</f>
        <v/>
      </c>
      <c r="AE242" s="23" t="str">
        <f aca="false">IF(F242="","",IF(ISNUMBER(SEARCH("-TK",UPPER(F242))),0,1))</f>
        <v/>
      </c>
      <c r="AF242" s="23" t="str">
        <f aca="false">IF(F242="","",IF(ISNUMBER(SEARCH("-LED",UPPER(F242))),1,0))</f>
        <v/>
      </c>
      <c r="AG242" s="24" t="n">
        <f aca="false">IF(Z242="",0,IFERROR(INDEX(Resep!$C$5:$C$7,MATCH(LEFT(Z242,3),Resep!$B$5:$B$7,0)),0))</f>
        <v>0</v>
      </c>
      <c r="AH242" s="24" t="n">
        <f aca="false">IF(AA242="",0,IFERROR(INDEX(Resep!$C$9:$C$13,MATCH(LEFT(AA242,3),Resep!$B$9:$B$13,0)),0))</f>
        <v>0</v>
      </c>
      <c r="AI242" s="24" t="n">
        <f aca="false">IF(AB242="",0,IFERROR(INDEX(Resep!$C$9:$C$13,MATCH(LEFT(AB242,3),Resep!$B$9:$B$13,0)),0))</f>
        <v>0</v>
      </c>
      <c r="AJ242" s="24" t="n">
        <f aca="false">IF(AC242="",0,IFERROR(INDEX(Resep!$C$9:$C$13,MATCH(LEFT(AC242,3),Resep!$B$9:$B$13,0)),0))</f>
        <v>0</v>
      </c>
      <c r="AK242" s="24" t="n">
        <f aca="false">IF(AD242="",0,IFERROR(INDEX(Resep!$C$15:$C$18,MATCH(LEFT(AD242,3),Resep!$B$15:$B$18,0)),0))</f>
        <v>0</v>
      </c>
      <c r="AL242" s="24" t="str">
        <f aca="false">IF(X242="","",AG242+AH242+AI242+AJ242+AK242)</f>
        <v/>
      </c>
      <c r="AM242" s="22" t="str">
        <f aca="false">IF(X242="","",AL242*(Pengaturan!$B$6+Pengaturan!$B$7)+Pengaturan!$B$8+AE242*Pengaturan!$B$9+AF242*Pengaturan!$B$10)</f>
        <v/>
      </c>
      <c r="AN242" s="22" t="str">
        <f aca="false">IF(X242="","",N(G242)-AM242)</f>
        <v/>
      </c>
      <c r="AO242" s="25" t="str">
        <f aca="false">IF(OR(X242="",N(G242)=0),"",AN242/G242)</f>
        <v/>
      </c>
    </row>
    <row r="243" customFormat="false" ht="15" hidden="false" customHeight="false" outlineLevel="0" collapsed="false">
      <c r="A243" s="19"/>
      <c r="B243" s="20"/>
      <c r="C243" s="19"/>
      <c r="D243" s="19"/>
      <c r="E243" s="19"/>
      <c r="F243" s="19"/>
      <c r="G243" s="21"/>
      <c r="H243" s="19"/>
      <c r="I243" s="21"/>
      <c r="J243" s="19"/>
      <c r="K243" s="20"/>
      <c r="L243" s="20"/>
      <c r="M243" s="19"/>
      <c r="N243" s="19"/>
      <c r="O243" s="20"/>
      <c r="P243" s="20"/>
      <c r="Q243" s="19"/>
      <c r="R243" s="22" t="str">
        <f aca="false">IF(A243="","",N(G243)+N(I243))</f>
        <v/>
      </c>
      <c r="S243" s="23" t="str">
        <f aca="false">IF(OR(K243="",O243=""),"",O243-K243)</f>
        <v/>
      </c>
      <c r="T243" s="23" t="str">
        <f aca="true">IF(AND(C243="Cetak",L243&lt;&gt;"",L243&lt;TODAY()),"YA","")</f>
        <v/>
      </c>
      <c r="U243" s="23" t="str">
        <f aca="false">IF(B243="","",TEXT(B243,"yyyy-mm"))</f>
        <v/>
      </c>
      <c r="V243" s="23" t="str">
        <f aca="false">IF(K243="","",TEXT(K243,"yyyy-mm"))</f>
        <v/>
      </c>
      <c r="W243" s="23" t="n">
        <f aca="false">IF(OR(C243="Cetak",C243="Dikirim",C243="Selesai"),1,0)</f>
        <v>0</v>
      </c>
      <c r="X243" s="23" t="str">
        <f aca="false">IF(F243="","",SUBSTITUTE(SUBSTITUTE(MID(UPPER(TRIM(F243)),4,99),"-LED",""),"-TK",""))</f>
        <v/>
      </c>
      <c r="Y243" s="23" t="str">
        <f aca="false">IF(X243="","",(LEN(X243)+1)/7)</f>
        <v/>
      </c>
      <c r="Z243" s="23" t="str">
        <f aca="false">IF(X243="","",LEFT(X243,6))</f>
        <v/>
      </c>
      <c r="AA243" s="23" t="str">
        <f aca="false">IF(X243="","",IF(Y243&gt;=3,MID(X243,8,6),""))</f>
        <v/>
      </c>
      <c r="AB243" s="23" t="str">
        <f aca="false">IF(X243="","",IF(Y243&gt;=4,MID(X243,15,6),""))</f>
        <v/>
      </c>
      <c r="AC243" s="23" t="str">
        <f aca="false">IF(X243="","",IF(Y243&gt;=5,MID(X243,22,6),""))</f>
        <v/>
      </c>
      <c r="AD243" s="23" t="str">
        <f aca="false">IF(X243="","",RIGHT(X243,6))</f>
        <v/>
      </c>
      <c r="AE243" s="23" t="str">
        <f aca="false">IF(F243="","",IF(ISNUMBER(SEARCH("-TK",UPPER(F243))),0,1))</f>
        <v/>
      </c>
      <c r="AF243" s="23" t="str">
        <f aca="false">IF(F243="","",IF(ISNUMBER(SEARCH("-LED",UPPER(F243))),1,0))</f>
        <v/>
      </c>
      <c r="AG243" s="24" t="n">
        <f aca="false">IF(Z243="",0,IFERROR(INDEX(Resep!$C$5:$C$7,MATCH(LEFT(Z243,3),Resep!$B$5:$B$7,0)),0))</f>
        <v>0</v>
      </c>
      <c r="AH243" s="24" t="n">
        <f aca="false">IF(AA243="",0,IFERROR(INDEX(Resep!$C$9:$C$13,MATCH(LEFT(AA243,3),Resep!$B$9:$B$13,0)),0))</f>
        <v>0</v>
      </c>
      <c r="AI243" s="24" t="n">
        <f aca="false">IF(AB243="",0,IFERROR(INDEX(Resep!$C$9:$C$13,MATCH(LEFT(AB243,3),Resep!$B$9:$B$13,0)),0))</f>
        <v>0</v>
      </c>
      <c r="AJ243" s="24" t="n">
        <f aca="false">IF(AC243="",0,IFERROR(INDEX(Resep!$C$9:$C$13,MATCH(LEFT(AC243,3),Resep!$B$9:$B$13,0)),0))</f>
        <v>0</v>
      </c>
      <c r="AK243" s="24" t="n">
        <f aca="false">IF(AD243="",0,IFERROR(INDEX(Resep!$C$15:$C$18,MATCH(LEFT(AD243,3),Resep!$B$15:$B$18,0)),0))</f>
        <v>0</v>
      </c>
      <c r="AL243" s="24" t="str">
        <f aca="false">IF(X243="","",AG243+AH243+AI243+AJ243+AK243)</f>
        <v/>
      </c>
      <c r="AM243" s="22" t="str">
        <f aca="false">IF(X243="","",AL243*(Pengaturan!$B$6+Pengaturan!$B$7)+Pengaturan!$B$8+AE243*Pengaturan!$B$9+AF243*Pengaturan!$B$10)</f>
        <v/>
      </c>
      <c r="AN243" s="22" t="str">
        <f aca="false">IF(X243="","",N(G243)-AM243)</f>
        <v/>
      </c>
      <c r="AO243" s="25" t="str">
        <f aca="false">IF(OR(X243="",N(G243)=0),"",AN243/G243)</f>
        <v/>
      </c>
    </row>
    <row r="244" customFormat="false" ht="15" hidden="false" customHeight="false" outlineLevel="0" collapsed="false">
      <c r="A244" s="19"/>
      <c r="B244" s="20"/>
      <c r="C244" s="19"/>
      <c r="D244" s="19"/>
      <c r="E244" s="19"/>
      <c r="F244" s="19"/>
      <c r="G244" s="21"/>
      <c r="H244" s="19"/>
      <c r="I244" s="21"/>
      <c r="J244" s="19"/>
      <c r="K244" s="20"/>
      <c r="L244" s="20"/>
      <c r="M244" s="19"/>
      <c r="N244" s="19"/>
      <c r="O244" s="20"/>
      <c r="P244" s="20"/>
      <c r="Q244" s="19"/>
      <c r="R244" s="22" t="str">
        <f aca="false">IF(A244="","",N(G244)+N(I244))</f>
        <v/>
      </c>
      <c r="S244" s="23" t="str">
        <f aca="false">IF(OR(K244="",O244=""),"",O244-K244)</f>
        <v/>
      </c>
      <c r="T244" s="23" t="str">
        <f aca="true">IF(AND(C244="Cetak",L244&lt;&gt;"",L244&lt;TODAY()),"YA","")</f>
        <v/>
      </c>
      <c r="U244" s="23" t="str">
        <f aca="false">IF(B244="","",TEXT(B244,"yyyy-mm"))</f>
        <v/>
      </c>
      <c r="V244" s="23" t="str">
        <f aca="false">IF(K244="","",TEXT(K244,"yyyy-mm"))</f>
        <v/>
      </c>
      <c r="W244" s="23" t="n">
        <f aca="false">IF(OR(C244="Cetak",C244="Dikirim",C244="Selesai"),1,0)</f>
        <v>0</v>
      </c>
      <c r="X244" s="23" t="str">
        <f aca="false">IF(F244="","",SUBSTITUTE(SUBSTITUTE(MID(UPPER(TRIM(F244)),4,99),"-LED",""),"-TK",""))</f>
        <v/>
      </c>
      <c r="Y244" s="23" t="str">
        <f aca="false">IF(X244="","",(LEN(X244)+1)/7)</f>
        <v/>
      </c>
      <c r="Z244" s="23" t="str">
        <f aca="false">IF(X244="","",LEFT(X244,6))</f>
        <v/>
      </c>
      <c r="AA244" s="23" t="str">
        <f aca="false">IF(X244="","",IF(Y244&gt;=3,MID(X244,8,6),""))</f>
        <v/>
      </c>
      <c r="AB244" s="23" t="str">
        <f aca="false">IF(X244="","",IF(Y244&gt;=4,MID(X244,15,6),""))</f>
        <v/>
      </c>
      <c r="AC244" s="23" t="str">
        <f aca="false">IF(X244="","",IF(Y244&gt;=5,MID(X244,22,6),""))</f>
        <v/>
      </c>
      <c r="AD244" s="23" t="str">
        <f aca="false">IF(X244="","",RIGHT(X244,6))</f>
        <v/>
      </c>
      <c r="AE244" s="23" t="str">
        <f aca="false">IF(F244="","",IF(ISNUMBER(SEARCH("-TK",UPPER(F244))),0,1))</f>
        <v/>
      </c>
      <c r="AF244" s="23" t="str">
        <f aca="false">IF(F244="","",IF(ISNUMBER(SEARCH("-LED",UPPER(F244))),1,0))</f>
        <v/>
      </c>
      <c r="AG244" s="24" t="n">
        <f aca="false">IF(Z244="",0,IFERROR(INDEX(Resep!$C$5:$C$7,MATCH(LEFT(Z244,3),Resep!$B$5:$B$7,0)),0))</f>
        <v>0</v>
      </c>
      <c r="AH244" s="24" t="n">
        <f aca="false">IF(AA244="",0,IFERROR(INDEX(Resep!$C$9:$C$13,MATCH(LEFT(AA244,3),Resep!$B$9:$B$13,0)),0))</f>
        <v>0</v>
      </c>
      <c r="AI244" s="24" t="n">
        <f aca="false">IF(AB244="",0,IFERROR(INDEX(Resep!$C$9:$C$13,MATCH(LEFT(AB244,3),Resep!$B$9:$B$13,0)),0))</f>
        <v>0</v>
      </c>
      <c r="AJ244" s="24" t="n">
        <f aca="false">IF(AC244="",0,IFERROR(INDEX(Resep!$C$9:$C$13,MATCH(LEFT(AC244,3),Resep!$B$9:$B$13,0)),0))</f>
        <v>0</v>
      </c>
      <c r="AK244" s="24" t="n">
        <f aca="false">IF(AD244="",0,IFERROR(INDEX(Resep!$C$15:$C$18,MATCH(LEFT(AD244,3),Resep!$B$15:$B$18,0)),0))</f>
        <v>0</v>
      </c>
      <c r="AL244" s="24" t="str">
        <f aca="false">IF(X244="","",AG244+AH244+AI244+AJ244+AK244)</f>
        <v/>
      </c>
      <c r="AM244" s="22" t="str">
        <f aca="false">IF(X244="","",AL244*(Pengaturan!$B$6+Pengaturan!$B$7)+Pengaturan!$B$8+AE244*Pengaturan!$B$9+AF244*Pengaturan!$B$10)</f>
        <v/>
      </c>
      <c r="AN244" s="22" t="str">
        <f aca="false">IF(X244="","",N(G244)-AM244)</f>
        <v/>
      </c>
      <c r="AO244" s="25" t="str">
        <f aca="false">IF(OR(X244="",N(G244)=0),"",AN244/G244)</f>
        <v/>
      </c>
    </row>
    <row r="245" customFormat="false" ht="15" hidden="false" customHeight="false" outlineLevel="0" collapsed="false">
      <c r="A245" s="19"/>
      <c r="B245" s="20"/>
      <c r="C245" s="19"/>
      <c r="D245" s="19"/>
      <c r="E245" s="19"/>
      <c r="F245" s="19"/>
      <c r="G245" s="21"/>
      <c r="H245" s="19"/>
      <c r="I245" s="21"/>
      <c r="J245" s="19"/>
      <c r="K245" s="20"/>
      <c r="L245" s="20"/>
      <c r="M245" s="19"/>
      <c r="N245" s="19"/>
      <c r="O245" s="20"/>
      <c r="P245" s="20"/>
      <c r="Q245" s="19"/>
      <c r="R245" s="22" t="str">
        <f aca="false">IF(A245="","",N(G245)+N(I245))</f>
        <v/>
      </c>
      <c r="S245" s="23" t="str">
        <f aca="false">IF(OR(K245="",O245=""),"",O245-K245)</f>
        <v/>
      </c>
      <c r="T245" s="23" t="str">
        <f aca="true">IF(AND(C245="Cetak",L245&lt;&gt;"",L245&lt;TODAY()),"YA","")</f>
        <v/>
      </c>
      <c r="U245" s="23" t="str">
        <f aca="false">IF(B245="","",TEXT(B245,"yyyy-mm"))</f>
        <v/>
      </c>
      <c r="V245" s="23" t="str">
        <f aca="false">IF(K245="","",TEXT(K245,"yyyy-mm"))</f>
        <v/>
      </c>
      <c r="W245" s="23" t="n">
        <f aca="false">IF(OR(C245="Cetak",C245="Dikirim",C245="Selesai"),1,0)</f>
        <v>0</v>
      </c>
      <c r="X245" s="23" t="str">
        <f aca="false">IF(F245="","",SUBSTITUTE(SUBSTITUTE(MID(UPPER(TRIM(F245)),4,99),"-LED",""),"-TK",""))</f>
        <v/>
      </c>
      <c r="Y245" s="23" t="str">
        <f aca="false">IF(X245="","",(LEN(X245)+1)/7)</f>
        <v/>
      </c>
      <c r="Z245" s="23" t="str">
        <f aca="false">IF(X245="","",LEFT(X245,6))</f>
        <v/>
      </c>
      <c r="AA245" s="23" t="str">
        <f aca="false">IF(X245="","",IF(Y245&gt;=3,MID(X245,8,6),""))</f>
        <v/>
      </c>
      <c r="AB245" s="23" t="str">
        <f aca="false">IF(X245="","",IF(Y245&gt;=4,MID(X245,15,6),""))</f>
        <v/>
      </c>
      <c r="AC245" s="23" t="str">
        <f aca="false">IF(X245="","",IF(Y245&gt;=5,MID(X245,22,6),""))</f>
        <v/>
      </c>
      <c r="AD245" s="23" t="str">
        <f aca="false">IF(X245="","",RIGHT(X245,6))</f>
        <v/>
      </c>
      <c r="AE245" s="23" t="str">
        <f aca="false">IF(F245="","",IF(ISNUMBER(SEARCH("-TK",UPPER(F245))),0,1))</f>
        <v/>
      </c>
      <c r="AF245" s="23" t="str">
        <f aca="false">IF(F245="","",IF(ISNUMBER(SEARCH("-LED",UPPER(F245))),1,0))</f>
        <v/>
      </c>
      <c r="AG245" s="24" t="n">
        <f aca="false">IF(Z245="",0,IFERROR(INDEX(Resep!$C$5:$C$7,MATCH(LEFT(Z245,3),Resep!$B$5:$B$7,0)),0))</f>
        <v>0</v>
      </c>
      <c r="AH245" s="24" t="n">
        <f aca="false">IF(AA245="",0,IFERROR(INDEX(Resep!$C$9:$C$13,MATCH(LEFT(AA245,3),Resep!$B$9:$B$13,0)),0))</f>
        <v>0</v>
      </c>
      <c r="AI245" s="24" t="n">
        <f aca="false">IF(AB245="",0,IFERROR(INDEX(Resep!$C$9:$C$13,MATCH(LEFT(AB245,3),Resep!$B$9:$B$13,0)),0))</f>
        <v>0</v>
      </c>
      <c r="AJ245" s="24" t="n">
        <f aca="false">IF(AC245="",0,IFERROR(INDEX(Resep!$C$9:$C$13,MATCH(LEFT(AC245,3),Resep!$B$9:$B$13,0)),0))</f>
        <v>0</v>
      </c>
      <c r="AK245" s="24" t="n">
        <f aca="false">IF(AD245="",0,IFERROR(INDEX(Resep!$C$15:$C$18,MATCH(LEFT(AD245,3),Resep!$B$15:$B$18,0)),0))</f>
        <v>0</v>
      </c>
      <c r="AL245" s="24" t="str">
        <f aca="false">IF(X245="","",AG245+AH245+AI245+AJ245+AK245)</f>
        <v/>
      </c>
      <c r="AM245" s="22" t="str">
        <f aca="false">IF(X245="","",AL245*(Pengaturan!$B$6+Pengaturan!$B$7)+Pengaturan!$B$8+AE245*Pengaturan!$B$9+AF245*Pengaturan!$B$10)</f>
        <v/>
      </c>
      <c r="AN245" s="22" t="str">
        <f aca="false">IF(X245="","",N(G245)-AM245)</f>
        <v/>
      </c>
      <c r="AO245" s="25" t="str">
        <f aca="false">IF(OR(X245="",N(G245)=0),"",AN245/G245)</f>
        <v/>
      </c>
    </row>
    <row r="246" customFormat="false" ht="15" hidden="false" customHeight="false" outlineLevel="0" collapsed="false">
      <c r="A246" s="19"/>
      <c r="B246" s="20"/>
      <c r="C246" s="19"/>
      <c r="D246" s="19"/>
      <c r="E246" s="19"/>
      <c r="F246" s="19"/>
      <c r="G246" s="21"/>
      <c r="H246" s="19"/>
      <c r="I246" s="21"/>
      <c r="J246" s="19"/>
      <c r="K246" s="20"/>
      <c r="L246" s="20"/>
      <c r="M246" s="19"/>
      <c r="N246" s="19"/>
      <c r="O246" s="20"/>
      <c r="P246" s="20"/>
      <c r="Q246" s="19"/>
      <c r="R246" s="22" t="str">
        <f aca="false">IF(A246="","",N(G246)+N(I246))</f>
        <v/>
      </c>
      <c r="S246" s="23" t="str">
        <f aca="false">IF(OR(K246="",O246=""),"",O246-K246)</f>
        <v/>
      </c>
      <c r="T246" s="23" t="str">
        <f aca="true">IF(AND(C246="Cetak",L246&lt;&gt;"",L246&lt;TODAY()),"YA","")</f>
        <v/>
      </c>
      <c r="U246" s="23" t="str">
        <f aca="false">IF(B246="","",TEXT(B246,"yyyy-mm"))</f>
        <v/>
      </c>
      <c r="V246" s="23" t="str">
        <f aca="false">IF(K246="","",TEXT(K246,"yyyy-mm"))</f>
        <v/>
      </c>
      <c r="W246" s="23" t="n">
        <f aca="false">IF(OR(C246="Cetak",C246="Dikirim",C246="Selesai"),1,0)</f>
        <v>0</v>
      </c>
      <c r="X246" s="23" t="str">
        <f aca="false">IF(F246="","",SUBSTITUTE(SUBSTITUTE(MID(UPPER(TRIM(F246)),4,99),"-LED",""),"-TK",""))</f>
        <v/>
      </c>
      <c r="Y246" s="23" t="str">
        <f aca="false">IF(X246="","",(LEN(X246)+1)/7)</f>
        <v/>
      </c>
      <c r="Z246" s="23" t="str">
        <f aca="false">IF(X246="","",LEFT(X246,6))</f>
        <v/>
      </c>
      <c r="AA246" s="23" t="str">
        <f aca="false">IF(X246="","",IF(Y246&gt;=3,MID(X246,8,6),""))</f>
        <v/>
      </c>
      <c r="AB246" s="23" t="str">
        <f aca="false">IF(X246="","",IF(Y246&gt;=4,MID(X246,15,6),""))</f>
        <v/>
      </c>
      <c r="AC246" s="23" t="str">
        <f aca="false">IF(X246="","",IF(Y246&gt;=5,MID(X246,22,6),""))</f>
        <v/>
      </c>
      <c r="AD246" s="23" t="str">
        <f aca="false">IF(X246="","",RIGHT(X246,6))</f>
        <v/>
      </c>
      <c r="AE246" s="23" t="str">
        <f aca="false">IF(F246="","",IF(ISNUMBER(SEARCH("-TK",UPPER(F246))),0,1))</f>
        <v/>
      </c>
      <c r="AF246" s="23" t="str">
        <f aca="false">IF(F246="","",IF(ISNUMBER(SEARCH("-LED",UPPER(F246))),1,0))</f>
        <v/>
      </c>
      <c r="AG246" s="24" t="n">
        <f aca="false">IF(Z246="",0,IFERROR(INDEX(Resep!$C$5:$C$7,MATCH(LEFT(Z246,3),Resep!$B$5:$B$7,0)),0))</f>
        <v>0</v>
      </c>
      <c r="AH246" s="24" t="n">
        <f aca="false">IF(AA246="",0,IFERROR(INDEX(Resep!$C$9:$C$13,MATCH(LEFT(AA246,3),Resep!$B$9:$B$13,0)),0))</f>
        <v>0</v>
      </c>
      <c r="AI246" s="24" t="n">
        <f aca="false">IF(AB246="",0,IFERROR(INDEX(Resep!$C$9:$C$13,MATCH(LEFT(AB246,3),Resep!$B$9:$B$13,0)),0))</f>
        <v>0</v>
      </c>
      <c r="AJ246" s="24" t="n">
        <f aca="false">IF(AC246="",0,IFERROR(INDEX(Resep!$C$9:$C$13,MATCH(LEFT(AC246,3),Resep!$B$9:$B$13,0)),0))</f>
        <v>0</v>
      </c>
      <c r="AK246" s="24" t="n">
        <f aca="false">IF(AD246="",0,IFERROR(INDEX(Resep!$C$15:$C$18,MATCH(LEFT(AD246,3),Resep!$B$15:$B$18,0)),0))</f>
        <v>0</v>
      </c>
      <c r="AL246" s="24" t="str">
        <f aca="false">IF(X246="","",AG246+AH246+AI246+AJ246+AK246)</f>
        <v/>
      </c>
      <c r="AM246" s="22" t="str">
        <f aca="false">IF(X246="","",AL246*(Pengaturan!$B$6+Pengaturan!$B$7)+Pengaturan!$B$8+AE246*Pengaturan!$B$9+AF246*Pengaturan!$B$10)</f>
        <v/>
      </c>
      <c r="AN246" s="22" t="str">
        <f aca="false">IF(X246="","",N(G246)-AM246)</f>
        <v/>
      </c>
      <c r="AO246" s="25" t="str">
        <f aca="false">IF(OR(X246="",N(G246)=0),"",AN246/G246)</f>
        <v/>
      </c>
    </row>
    <row r="247" customFormat="false" ht="15" hidden="false" customHeight="false" outlineLevel="0" collapsed="false">
      <c r="A247" s="19"/>
      <c r="B247" s="20"/>
      <c r="C247" s="19"/>
      <c r="D247" s="19"/>
      <c r="E247" s="19"/>
      <c r="F247" s="19"/>
      <c r="G247" s="21"/>
      <c r="H247" s="19"/>
      <c r="I247" s="21"/>
      <c r="J247" s="19"/>
      <c r="K247" s="20"/>
      <c r="L247" s="20"/>
      <c r="M247" s="19"/>
      <c r="N247" s="19"/>
      <c r="O247" s="20"/>
      <c r="P247" s="20"/>
      <c r="Q247" s="19"/>
      <c r="R247" s="22" t="str">
        <f aca="false">IF(A247="","",N(G247)+N(I247))</f>
        <v/>
      </c>
      <c r="S247" s="23" t="str">
        <f aca="false">IF(OR(K247="",O247=""),"",O247-K247)</f>
        <v/>
      </c>
      <c r="T247" s="23" t="str">
        <f aca="true">IF(AND(C247="Cetak",L247&lt;&gt;"",L247&lt;TODAY()),"YA","")</f>
        <v/>
      </c>
      <c r="U247" s="23" t="str">
        <f aca="false">IF(B247="","",TEXT(B247,"yyyy-mm"))</f>
        <v/>
      </c>
      <c r="V247" s="23" t="str">
        <f aca="false">IF(K247="","",TEXT(K247,"yyyy-mm"))</f>
        <v/>
      </c>
      <c r="W247" s="23" t="n">
        <f aca="false">IF(OR(C247="Cetak",C247="Dikirim",C247="Selesai"),1,0)</f>
        <v>0</v>
      </c>
      <c r="X247" s="23" t="str">
        <f aca="false">IF(F247="","",SUBSTITUTE(SUBSTITUTE(MID(UPPER(TRIM(F247)),4,99),"-LED",""),"-TK",""))</f>
        <v/>
      </c>
      <c r="Y247" s="23" t="str">
        <f aca="false">IF(X247="","",(LEN(X247)+1)/7)</f>
        <v/>
      </c>
      <c r="Z247" s="23" t="str">
        <f aca="false">IF(X247="","",LEFT(X247,6))</f>
        <v/>
      </c>
      <c r="AA247" s="23" t="str">
        <f aca="false">IF(X247="","",IF(Y247&gt;=3,MID(X247,8,6),""))</f>
        <v/>
      </c>
      <c r="AB247" s="23" t="str">
        <f aca="false">IF(X247="","",IF(Y247&gt;=4,MID(X247,15,6),""))</f>
        <v/>
      </c>
      <c r="AC247" s="23" t="str">
        <f aca="false">IF(X247="","",IF(Y247&gt;=5,MID(X247,22,6),""))</f>
        <v/>
      </c>
      <c r="AD247" s="23" t="str">
        <f aca="false">IF(X247="","",RIGHT(X247,6))</f>
        <v/>
      </c>
      <c r="AE247" s="23" t="str">
        <f aca="false">IF(F247="","",IF(ISNUMBER(SEARCH("-TK",UPPER(F247))),0,1))</f>
        <v/>
      </c>
      <c r="AF247" s="23" t="str">
        <f aca="false">IF(F247="","",IF(ISNUMBER(SEARCH("-LED",UPPER(F247))),1,0))</f>
        <v/>
      </c>
      <c r="AG247" s="24" t="n">
        <f aca="false">IF(Z247="",0,IFERROR(INDEX(Resep!$C$5:$C$7,MATCH(LEFT(Z247,3),Resep!$B$5:$B$7,0)),0))</f>
        <v>0</v>
      </c>
      <c r="AH247" s="24" t="n">
        <f aca="false">IF(AA247="",0,IFERROR(INDEX(Resep!$C$9:$C$13,MATCH(LEFT(AA247,3),Resep!$B$9:$B$13,0)),0))</f>
        <v>0</v>
      </c>
      <c r="AI247" s="24" t="n">
        <f aca="false">IF(AB247="",0,IFERROR(INDEX(Resep!$C$9:$C$13,MATCH(LEFT(AB247,3),Resep!$B$9:$B$13,0)),0))</f>
        <v>0</v>
      </c>
      <c r="AJ247" s="24" t="n">
        <f aca="false">IF(AC247="",0,IFERROR(INDEX(Resep!$C$9:$C$13,MATCH(LEFT(AC247,3),Resep!$B$9:$B$13,0)),0))</f>
        <v>0</v>
      </c>
      <c r="AK247" s="24" t="n">
        <f aca="false">IF(AD247="",0,IFERROR(INDEX(Resep!$C$15:$C$18,MATCH(LEFT(AD247,3),Resep!$B$15:$B$18,0)),0))</f>
        <v>0</v>
      </c>
      <c r="AL247" s="24" t="str">
        <f aca="false">IF(X247="","",AG247+AH247+AI247+AJ247+AK247)</f>
        <v/>
      </c>
      <c r="AM247" s="22" t="str">
        <f aca="false">IF(X247="","",AL247*(Pengaturan!$B$6+Pengaturan!$B$7)+Pengaturan!$B$8+AE247*Pengaturan!$B$9+AF247*Pengaturan!$B$10)</f>
        <v/>
      </c>
      <c r="AN247" s="22" t="str">
        <f aca="false">IF(X247="","",N(G247)-AM247)</f>
        <v/>
      </c>
      <c r="AO247" s="25" t="str">
        <f aca="false">IF(OR(X247="",N(G247)=0),"",AN247/G247)</f>
        <v/>
      </c>
    </row>
    <row r="248" customFormat="false" ht="15" hidden="false" customHeight="false" outlineLevel="0" collapsed="false">
      <c r="A248" s="19"/>
      <c r="B248" s="20"/>
      <c r="C248" s="19"/>
      <c r="D248" s="19"/>
      <c r="E248" s="19"/>
      <c r="F248" s="19"/>
      <c r="G248" s="21"/>
      <c r="H248" s="19"/>
      <c r="I248" s="21"/>
      <c r="J248" s="19"/>
      <c r="K248" s="20"/>
      <c r="L248" s="20"/>
      <c r="M248" s="19"/>
      <c r="N248" s="19"/>
      <c r="O248" s="20"/>
      <c r="P248" s="20"/>
      <c r="Q248" s="19"/>
      <c r="R248" s="22" t="str">
        <f aca="false">IF(A248="","",N(G248)+N(I248))</f>
        <v/>
      </c>
      <c r="S248" s="23" t="str">
        <f aca="false">IF(OR(K248="",O248=""),"",O248-K248)</f>
        <v/>
      </c>
      <c r="T248" s="23" t="str">
        <f aca="true">IF(AND(C248="Cetak",L248&lt;&gt;"",L248&lt;TODAY()),"YA","")</f>
        <v/>
      </c>
      <c r="U248" s="23" t="str">
        <f aca="false">IF(B248="","",TEXT(B248,"yyyy-mm"))</f>
        <v/>
      </c>
      <c r="V248" s="23" t="str">
        <f aca="false">IF(K248="","",TEXT(K248,"yyyy-mm"))</f>
        <v/>
      </c>
      <c r="W248" s="23" t="n">
        <f aca="false">IF(OR(C248="Cetak",C248="Dikirim",C248="Selesai"),1,0)</f>
        <v>0</v>
      </c>
      <c r="X248" s="23" t="str">
        <f aca="false">IF(F248="","",SUBSTITUTE(SUBSTITUTE(MID(UPPER(TRIM(F248)),4,99),"-LED",""),"-TK",""))</f>
        <v/>
      </c>
      <c r="Y248" s="23" t="str">
        <f aca="false">IF(X248="","",(LEN(X248)+1)/7)</f>
        <v/>
      </c>
      <c r="Z248" s="23" t="str">
        <f aca="false">IF(X248="","",LEFT(X248,6))</f>
        <v/>
      </c>
      <c r="AA248" s="23" t="str">
        <f aca="false">IF(X248="","",IF(Y248&gt;=3,MID(X248,8,6),""))</f>
        <v/>
      </c>
      <c r="AB248" s="23" t="str">
        <f aca="false">IF(X248="","",IF(Y248&gt;=4,MID(X248,15,6),""))</f>
        <v/>
      </c>
      <c r="AC248" s="23" t="str">
        <f aca="false">IF(X248="","",IF(Y248&gt;=5,MID(X248,22,6),""))</f>
        <v/>
      </c>
      <c r="AD248" s="23" t="str">
        <f aca="false">IF(X248="","",RIGHT(X248,6))</f>
        <v/>
      </c>
      <c r="AE248" s="23" t="str">
        <f aca="false">IF(F248="","",IF(ISNUMBER(SEARCH("-TK",UPPER(F248))),0,1))</f>
        <v/>
      </c>
      <c r="AF248" s="23" t="str">
        <f aca="false">IF(F248="","",IF(ISNUMBER(SEARCH("-LED",UPPER(F248))),1,0))</f>
        <v/>
      </c>
      <c r="AG248" s="24" t="n">
        <f aca="false">IF(Z248="",0,IFERROR(INDEX(Resep!$C$5:$C$7,MATCH(LEFT(Z248,3),Resep!$B$5:$B$7,0)),0))</f>
        <v>0</v>
      </c>
      <c r="AH248" s="24" t="n">
        <f aca="false">IF(AA248="",0,IFERROR(INDEX(Resep!$C$9:$C$13,MATCH(LEFT(AA248,3),Resep!$B$9:$B$13,0)),0))</f>
        <v>0</v>
      </c>
      <c r="AI248" s="24" t="n">
        <f aca="false">IF(AB248="",0,IFERROR(INDEX(Resep!$C$9:$C$13,MATCH(LEFT(AB248,3),Resep!$B$9:$B$13,0)),0))</f>
        <v>0</v>
      </c>
      <c r="AJ248" s="24" t="n">
        <f aca="false">IF(AC248="",0,IFERROR(INDEX(Resep!$C$9:$C$13,MATCH(LEFT(AC248,3),Resep!$B$9:$B$13,0)),0))</f>
        <v>0</v>
      </c>
      <c r="AK248" s="24" t="n">
        <f aca="false">IF(AD248="",0,IFERROR(INDEX(Resep!$C$15:$C$18,MATCH(LEFT(AD248,3),Resep!$B$15:$B$18,0)),0))</f>
        <v>0</v>
      </c>
      <c r="AL248" s="24" t="str">
        <f aca="false">IF(X248="","",AG248+AH248+AI248+AJ248+AK248)</f>
        <v/>
      </c>
      <c r="AM248" s="22" t="str">
        <f aca="false">IF(X248="","",AL248*(Pengaturan!$B$6+Pengaturan!$B$7)+Pengaturan!$B$8+AE248*Pengaturan!$B$9+AF248*Pengaturan!$B$10)</f>
        <v/>
      </c>
      <c r="AN248" s="22" t="str">
        <f aca="false">IF(X248="","",N(G248)-AM248)</f>
        <v/>
      </c>
      <c r="AO248" s="25" t="str">
        <f aca="false">IF(OR(X248="",N(G248)=0),"",AN248/G248)</f>
        <v/>
      </c>
    </row>
    <row r="249" customFormat="false" ht="15" hidden="false" customHeight="false" outlineLevel="0" collapsed="false">
      <c r="A249" s="19"/>
      <c r="B249" s="20"/>
      <c r="C249" s="19"/>
      <c r="D249" s="19"/>
      <c r="E249" s="19"/>
      <c r="F249" s="19"/>
      <c r="G249" s="21"/>
      <c r="H249" s="19"/>
      <c r="I249" s="21"/>
      <c r="J249" s="19"/>
      <c r="K249" s="20"/>
      <c r="L249" s="20"/>
      <c r="M249" s="19"/>
      <c r="N249" s="19"/>
      <c r="O249" s="20"/>
      <c r="P249" s="20"/>
      <c r="Q249" s="19"/>
      <c r="R249" s="22" t="str">
        <f aca="false">IF(A249="","",N(G249)+N(I249))</f>
        <v/>
      </c>
      <c r="S249" s="23" t="str">
        <f aca="false">IF(OR(K249="",O249=""),"",O249-K249)</f>
        <v/>
      </c>
      <c r="T249" s="23" t="str">
        <f aca="true">IF(AND(C249="Cetak",L249&lt;&gt;"",L249&lt;TODAY()),"YA","")</f>
        <v/>
      </c>
      <c r="U249" s="23" t="str">
        <f aca="false">IF(B249="","",TEXT(B249,"yyyy-mm"))</f>
        <v/>
      </c>
      <c r="V249" s="23" t="str">
        <f aca="false">IF(K249="","",TEXT(K249,"yyyy-mm"))</f>
        <v/>
      </c>
      <c r="W249" s="23" t="n">
        <f aca="false">IF(OR(C249="Cetak",C249="Dikirim",C249="Selesai"),1,0)</f>
        <v>0</v>
      </c>
      <c r="X249" s="23" t="str">
        <f aca="false">IF(F249="","",SUBSTITUTE(SUBSTITUTE(MID(UPPER(TRIM(F249)),4,99),"-LED",""),"-TK",""))</f>
        <v/>
      </c>
      <c r="Y249" s="23" t="str">
        <f aca="false">IF(X249="","",(LEN(X249)+1)/7)</f>
        <v/>
      </c>
      <c r="Z249" s="23" t="str">
        <f aca="false">IF(X249="","",LEFT(X249,6))</f>
        <v/>
      </c>
      <c r="AA249" s="23" t="str">
        <f aca="false">IF(X249="","",IF(Y249&gt;=3,MID(X249,8,6),""))</f>
        <v/>
      </c>
      <c r="AB249" s="23" t="str">
        <f aca="false">IF(X249="","",IF(Y249&gt;=4,MID(X249,15,6),""))</f>
        <v/>
      </c>
      <c r="AC249" s="23" t="str">
        <f aca="false">IF(X249="","",IF(Y249&gt;=5,MID(X249,22,6),""))</f>
        <v/>
      </c>
      <c r="AD249" s="23" t="str">
        <f aca="false">IF(X249="","",RIGHT(X249,6))</f>
        <v/>
      </c>
      <c r="AE249" s="23" t="str">
        <f aca="false">IF(F249="","",IF(ISNUMBER(SEARCH("-TK",UPPER(F249))),0,1))</f>
        <v/>
      </c>
      <c r="AF249" s="23" t="str">
        <f aca="false">IF(F249="","",IF(ISNUMBER(SEARCH("-LED",UPPER(F249))),1,0))</f>
        <v/>
      </c>
      <c r="AG249" s="24" t="n">
        <f aca="false">IF(Z249="",0,IFERROR(INDEX(Resep!$C$5:$C$7,MATCH(LEFT(Z249,3),Resep!$B$5:$B$7,0)),0))</f>
        <v>0</v>
      </c>
      <c r="AH249" s="24" t="n">
        <f aca="false">IF(AA249="",0,IFERROR(INDEX(Resep!$C$9:$C$13,MATCH(LEFT(AA249,3),Resep!$B$9:$B$13,0)),0))</f>
        <v>0</v>
      </c>
      <c r="AI249" s="24" t="n">
        <f aca="false">IF(AB249="",0,IFERROR(INDEX(Resep!$C$9:$C$13,MATCH(LEFT(AB249,3),Resep!$B$9:$B$13,0)),0))</f>
        <v>0</v>
      </c>
      <c r="AJ249" s="24" t="n">
        <f aca="false">IF(AC249="",0,IFERROR(INDEX(Resep!$C$9:$C$13,MATCH(LEFT(AC249,3),Resep!$B$9:$B$13,0)),0))</f>
        <v>0</v>
      </c>
      <c r="AK249" s="24" t="n">
        <f aca="false">IF(AD249="",0,IFERROR(INDEX(Resep!$C$15:$C$18,MATCH(LEFT(AD249,3),Resep!$B$15:$B$18,0)),0))</f>
        <v>0</v>
      </c>
      <c r="AL249" s="24" t="str">
        <f aca="false">IF(X249="","",AG249+AH249+AI249+AJ249+AK249)</f>
        <v/>
      </c>
      <c r="AM249" s="22" t="str">
        <f aca="false">IF(X249="","",AL249*(Pengaturan!$B$6+Pengaturan!$B$7)+Pengaturan!$B$8+AE249*Pengaturan!$B$9+AF249*Pengaturan!$B$10)</f>
        <v/>
      </c>
      <c r="AN249" s="22" t="str">
        <f aca="false">IF(X249="","",N(G249)-AM249)</f>
        <v/>
      </c>
      <c r="AO249" s="25" t="str">
        <f aca="false">IF(OR(X249="",N(G249)=0),"",AN249/G249)</f>
        <v/>
      </c>
    </row>
    <row r="250" customFormat="false" ht="15" hidden="false" customHeight="false" outlineLevel="0" collapsed="false">
      <c r="A250" s="19"/>
      <c r="B250" s="20"/>
      <c r="C250" s="19"/>
      <c r="D250" s="19"/>
      <c r="E250" s="19"/>
      <c r="F250" s="19"/>
      <c r="G250" s="21"/>
      <c r="H250" s="19"/>
      <c r="I250" s="21"/>
      <c r="J250" s="19"/>
      <c r="K250" s="20"/>
      <c r="L250" s="20"/>
      <c r="M250" s="19"/>
      <c r="N250" s="19"/>
      <c r="O250" s="20"/>
      <c r="P250" s="20"/>
      <c r="Q250" s="19"/>
      <c r="R250" s="22" t="str">
        <f aca="false">IF(A250="","",N(G250)+N(I250))</f>
        <v/>
      </c>
      <c r="S250" s="23" t="str">
        <f aca="false">IF(OR(K250="",O250=""),"",O250-K250)</f>
        <v/>
      </c>
      <c r="T250" s="23" t="str">
        <f aca="true">IF(AND(C250="Cetak",L250&lt;&gt;"",L250&lt;TODAY()),"YA","")</f>
        <v/>
      </c>
      <c r="U250" s="23" t="str">
        <f aca="false">IF(B250="","",TEXT(B250,"yyyy-mm"))</f>
        <v/>
      </c>
      <c r="V250" s="23" t="str">
        <f aca="false">IF(K250="","",TEXT(K250,"yyyy-mm"))</f>
        <v/>
      </c>
      <c r="W250" s="23" t="n">
        <f aca="false">IF(OR(C250="Cetak",C250="Dikirim",C250="Selesai"),1,0)</f>
        <v>0</v>
      </c>
      <c r="X250" s="23" t="str">
        <f aca="false">IF(F250="","",SUBSTITUTE(SUBSTITUTE(MID(UPPER(TRIM(F250)),4,99),"-LED",""),"-TK",""))</f>
        <v/>
      </c>
      <c r="Y250" s="23" t="str">
        <f aca="false">IF(X250="","",(LEN(X250)+1)/7)</f>
        <v/>
      </c>
      <c r="Z250" s="23" t="str">
        <f aca="false">IF(X250="","",LEFT(X250,6))</f>
        <v/>
      </c>
      <c r="AA250" s="23" t="str">
        <f aca="false">IF(X250="","",IF(Y250&gt;=3,MID(X250,8,6),""))</f>
        <v/>
      </c>
      <c r="AB250" s="23" t="str">
        <f aca="false">IF(X250="","",IF(Y250&gt;=4,MID(X250,15,6),""))</f>
        <v/>
      </c>
      <c r="AC250" s="23" t="str">
        <f aca="false">IF(X250="","",IF(Y250&gt;=5,MID(X250,22,6),""))</f>
        <v/>
      </c>
      <c r="AD250" s="23" t="str">
        <f aca="false">IF(X250="","",RIGHT(X250,6))</f>
        <v/>
      </c>
      <c r="AE250" s="23" t="str">
        <f aca="false">IF(F250="","",IF(ISNUMBER(SEARCH("-TK",UPPER(F250))),0,1))</f>
        <v/>
      </c>
      <c r="AF250" s="23" t="str">
        <f aca="false">IF(F250="","",IF(ISNUMBER(SEARCH("-LED",UPPER(F250))),1,0))</f>
        <v/>
      </c>
      <c r="AG250" s="24" t="n">
        <f aca="false">IF(Z250="",0,IFERROR(INDEX(Resep!$C$5:$C$7,MATCH(LEFT(Z250,3),Resep!$B$5:$B$7,0)),0))</f>
        <v>0</v>
      </c>
      <c r="AH250" s="24" t="n">
        <f aca="false">IF(AA250="",0,IFERROR(INDEX(Resep!$C$9:$C$13,MATCH(LEFT(AA250,3),Resep!$B$9:$B$13,0)),0))</f>
        <v>0</v>
      </c>
      <c r="AI250" s="24" t="n">
        <f aca="false">IF(AB250="",0,IFERROR(INDEX(Resep!$C$9:$C$13,MATCH(LEFT(AB250,3),Resep!$B$9:$B$13,0)),0))</f>
        <v>0</v>
      </c>
      <c r="AJ250" s="24" t="n">
        <f aca="false">IF(AC250="",0,IFERROR(INDEX(Resep!$C$9:$C$13,MATCH(LEFT(AC250,3),Resep!$B$9:$B$13,0)),0))</f>
        <v>0</v>
      </c>
      <c r="AK250" s="24" t="n">
        <f aca="false">IF(AD250="",0,IFERROR(INDEX(Resep!$C$15:$C$18,MATCH(LEFT(AD250,3),Resep!$B$15:$B$18,0)),0))</f>
        <v>0</v>
      </c>
      <c r="AL250" s="24" t="str">
        <f aca="false">IF(X250="","",AG250+AH250+AI250+AJ250+AK250)</f>
        <v/>
      </c>
      <c r="AM250" s="22" t="str">
        <f aca="false">IF(X250="","",AL250*(Pengaturan!$B$6+Pengaturan!$B$7)+Pengaturan!$B$8+AE250*Pengaturan!$B$9+AF250*Pengaturan!$B$10)</f>
        <v/>
      </c>
      <c r="AN250" s="22" t="str">
        <f aca="false">IF(X250="","",N(G250)-AM250)</f>
        <v/>
      </c>
      <c r="AO250" s="25" t="str">
        <f aca="false">IF(OR(X250="",N(G250)=0),"",AN250/G250)</f>
        <v/>
      </c>
    </row>
    <row r="251" customFormat="false" ht="15" hidden="false" customHeight="false" outlineLevel="0" collapsed="false">
      <c r="A251" s="19"/>
      <c r="B251" s="20"/>
      <c r="C251" s="19"/>
      <c r="D251" s="19"/>
      <c r="E251" s="19"/>
      <c r="F251" s="19"/>
      <c r="G251" s="21"/>
      <c r="H251" s="19"/>
      <c r="I251" s="21"/>
      <c r="J251" s="19"/>
      <c r="K251" s="20"/>
      <c r="L251" s="20"/>
      <c r="M251" s="19"/>
      <c r="N251" s="19"/>
      <c r="O251" s="20"/>
      <c r="P251" s="20"/>
      <c r="Q251" s="19"/>
      <c r="R251" s="22" t="str">
        <f aca="false">IF(A251="","",N(G251)+N(I251))</f>
        <v/>
      </c>
      <c r="S251" s="23" t="str">
        <f aca="false">IF(OR(K251="",O251=""),"",O251-K251)</f>
        <v/>
      </c>
      <c r="T251" s="23" t="str">
        <f aca="true">IF(AND(C251="Cetak",L251&lt;&gt;"",L251&lt;TODAY()),"YA","")</f>
        <v/>
      </c>
      <c r="U251" s="23" t="str">
        <f aca="false">IF(B251="","",TEXT(B251,"yyyy-mm"))</f>
        <v/>
      </c>
      <c r="V251" s="23" t="str">
        <f aca="false">IF(K251="","",TEXT(K251,"yyyy-mm"))</f>
        <v/>
      </c>
      <c r="W251" s="23" t="n">
        <f aca="false">IF(OR(C251="Cetak",C251="Dikirim",C251="Selesai"),1,0)</f>
        <v>0</v>
      </c>
      <c r="X251" s="23" t="str">
        <f aca="false">IF(F251="","",SUBSTITUTE(SUBSTITUTE(MID(UPPER(TRIM(F251)),4,99),"-LED",""),"-TK",""))</f>
        <v/>
      </c>
      <c r="Y251" s="23" t="str">
        <f aca="false">IF(X251="","",(LEN(X251)+1)/7)</f>
        <v/>
      </c>
      <c r="Z251" s="23" t="str">
        <f aca="false">IF(X251="","",LEFT(X251,6))</f>
        <v/>
      </c>
      <c r="AA251" s="23" t="str">
        <f aca="false">IF(X251="","",IF(Y251&gt;=3,MID(X251,8,6),""))</f>
        <v/>
      </c>
      <c r="AB251" s="23" t="str">
        <f aca="false">IF(X251="","",IF(Y251&gt;=4,MID(X251,15,6),""))</f>
        <v/>
      </c>
      <c r="AC251" s="23" t="str">
        <f aca="false">IF(X251="","",IF(Y251&gt;=5,MID(X251,22,6),""))</f>
        <v/>
      </c>
      <c r="AD251" s="23" t="str">
        <f aca="false">IF(X251="","",RIGHT(X251,6))</f>
        <v/>
      </c>
      <c r="AE251" s="23" t="str">
        <f aca="false">IF(F251="","",IF(ISNUMBER(SEARCH("-TK",UPPER(F251))),0,1))</f>
        <v/>
      </c>
      <c r="AF251" s="23" t="str">
        <f aca="false">IF(F251="","",IF(ISNUMBER(SEARCH("-LED",UPPER(F251))),1,0))</f>
        <v/>
      </c>
      <c r="AG251" s="24" t="n">
        <f aca="false">IF(Z251="",0,IFERROR(INDEX(Resep!$C$5:$C$7,MATCH(LEFT(Z251,3),Resep!$B$5:$B$7,0)),0))</f>
        <v>0</v>
      </c>
      <c r="AH251" s="24" t="n">
        <f aca="false">IF(AA251="",0,IFERROR(INDEX(Resep!$C$9:$C$13,MATCH(LEFT(AA251,3),Resep!$B$9:$B$13,0)),0))</f>
        <v>0</v>
      </c>
      <c r="AI251" s="24" t="n">
        <f aca="false">IF(AB251="",0,IFERROR(INDEX(Resep!$C$9:$C$13,MATCH(LEFT(AB251,3),Resep!$B$9:$B$13,0)),0))</f>
        <v>0</v>
      </c>
      <c r="AJ251" s="24" t="n">
        <f aca="false">IF(AC251="",0,IFERROR(INDEX(Resep!$C$9:$C$13,MATCH(LEFT(AC251,3),Resep!$B$9:$B$13,0)),0))</f>
        <v>0</v>
      </c>
      <c r="AK251" s="24" t="n">
        <f aca="false">IF(AD251="",0,IFERROR(INDEX(Resep!$C$15:$C$18,MATCH(LEFT(AD251,3),Resep!$B$15:$B$18,0)),0))</f>
        <v>0</v>
      </c>
      <c r="AL251" s="24" t="str">
        <f aca="false">IF(X251="","",AG251+AH251+AI251+AJ251+AK251)</f>
        <v/>
      </c>
      <c r="AM251" s="22" t="str">
        <f aca="false">IF(X251="","",AL251*(Pengaturan!$B$6+Pengaturan!$B$7)+Pengaturan!$B$8+AE251*Pengaturan!$B$9+AF251*Pengaturan!$B$10)</f>
        <v/>
      </c>
      <c r="AN251" s="22" t="str">
        <f aca="false">IF(X251="","",N(G251)-AM251)</f>
        <v/>
      </c>
      <c r="AO251" s="25" t="str">
        <f aca="false">IF(OR(X251="",N(G251)=0),"",AN251/G251)</f>
        <v/>
      </c>
    </row>
    <row r="252" customFormat="false" ht="15" hidden="false" customHeight="false" outlineLevel="0" collapsed="false">
      <c r="A252" s="19"/>
      <c r="B252" s="20"/>
      <c r="C252" s="19"/>
      <c r="D252" s="19"/>
      <c r="E252" s="19"/>
      <c r="F252" s="19"/>
      <c r="G252" s="21"/>
      <c r="H252" s="19"/>
      <c r="I252" s="21"/>
      <c r="J252" s="19"/>
      <c r="K252" s="20"/>
      <c r="L252" s="20"/>
      <c r="M252" s="19"/>
      <c r="N252" s="19"/>
      <c r="O252" s="20"/>
      <c r="P252" s="20"/>
      <c r="Q252" s="19"/>
      <c r="R252" s="22" t="str">
        <f aca="false">IF(A252="","",N(G252)+N(I252))</f>
        <v/>
      </c>
      <c r="S252" s="23" t="str">
        <f aca="false">IF(OR(K252="",O252=""),"",O252-K252)</f>
        <v/>
      </c>
      <c r="T252" s="23" t="str">
        <f aca="true">IF(AND(C252="Cetak",L252&lt;&gt;"",L252&lt;TODAY()),"YA","")</f>
        <v/>
      </c>
      <c r="U252" s="23" t="str">
        <f aca="false">IF(B252="","",TEXT(B252,"yyyy-mm"))</f>
        <v/>
      </c>
      <c r="V252" s="23" t="str">
        <f aca="false">IF(K252="","",TEXT(K252,"yyyy-mm"))</f>
        <v/>
      </c>
      <c r="W252" s="23" t="n">
        <f aca="false">IF(OR(C252="Cetak",C252="Dikirim",C252="Selesai"),1,0)</f>
        <v>0</v>
      </c>
      <c r="X252" s="23" t="str">
        <f aca="false">IF(F252="","",SUBSTITUTE(SUBSTITUTE(MID(UPPER(TRIM(F252)),4,99),"-LED",""),"-TK",""))</f>
        <v/>
      </c>
      <c r="Y252" s="23" t="str">
        <f aca="false">IF(X252="","",(LEN(X252)+1)/7)</f>
        <v/>
      </c>
      <c r="Z252" s="23" t="str">
        <f aca="false">IF(X252="","",LEFT(X252,6))</f>
        <v/>
      </c>
      <c r="AA252" s="23" t="str">
        <f aca="false">IF(X252="","",IF(Y252&gt;=3,MID(X252,8,6),""))</f>
        <v/>
      </c>
      <c r="AB252" s="23" t="str">
        <f aca="false">IF(X252="","",IF(Y252&gt;=4,MID(X252,15,6),""))</f>
        <v/>
      </c>
      <c r="AC252" s="23" t="str">
        <f aca="false">IF(X252="","",IF(Y252&gt;=5,MID(X252,22,6),""))</f>
        <v/>
      </c>
      <c r="AD252" s="23" t="str">
        <f aca="false">IF(X252="","",RIGHT(X252,6))</f>
        <v/>
      </c>
      <c r="AE252" s="23" t="str">
        <f aca="false">IF(F252="","",IF(ISNUMBER(SEARCH("-TK",UPPER(F252))),0,1))</f>
        <v/>
      </c>
      <c r="AF252" s="23" t="str">
        <f aca="false">IF(F252="","",IF(ISNUMBER(SEARCH("-LED",UPPER(F252))),1,0))</f>
        <v/>
      </c>
      <c r="AG252" s="24" t="n">
        <f aca="false">IF(Z252="",0,IFERROR(INDEX(Resep!$C$5:$C$7,MATCH(LEFT(Z252,3),Resep!$B$5:$B$7,0)),0))</f>
        <v>0</v>
      </c>
      <c r="AH252" s="24" t="n">
        <f aca="false">IF(AA252="",0,IFERROR(INDEX(Resep!$C$9:$C$13,MATCH(LEFT(AA252,3),Resep!$B$9:$B$13,0)),0))</f>
        <v>0</v>
      </c>
      <c r="AI252" s="24" t="n">
        <f aca="false">IF(AB252="",0,IFERROR(INDEX(Resep!$C$9:$C$13,MATCH(LEFT(AB252,3),Resep!$B$9:$B$13,0)),0))</f>
        <v>0</v>
      </c>
      <c r="AJ252" s="24" t="n">
        <f aca="false">IF(AC252="",0,IFERROR(INDEX(Resep!$C$9:$C$13,MATCH(LEFT(AC252,3),Resep!$B$9:$B$13,0)),0))</f>
        <v>0</v>
      </c>
      <c r="AK252" s="24" t="n">
        <f aca="false">IF(AD252="",0,IFERROR(INDEX(Resep!$C$15:$C$18,MATCH(LEFT(AD252,3),Resep!$B$15:$B$18,0)),0))</f>
        <v>0</v>
      </c>
      <c r="AL252" s="24" t="str">
        <f aca="false">IF(X252="","",AG252+AH252+AI252+AJ252+AK252)</f>
        <v/>
      </c>
      <c r="AM252" s="22" t="str">
        <f aca="false">IF(X252="","",AL252*(Pengaturan!$B$6+Pengaturan!$B$7)+Pengaturan!$B$8+AE252*Pengaturan!$B$9+AF252*Pengaturan!$B$10)</f>
        <v/>
      </c>
      <c r="AN252" s="22" t="str">
        <f aca="false">IF(X252="","",N(G252)-AM252)</f>
        <v/>
      </c>
      <c r="AO252" s="25" t="str">
        <f aca="false">IF(OR(X252="",N(G252)=0),"",AN252/G252)</f>
        <v/>
      </c>
    </row>
    <row r="253" customFormat="false" ht="15" hidden="false" customHeight="false" outlineLevel="0" collapsed="false">
      <c r="A253" s="19"/>
      <c r="B253" s="20"/>
      <c r="C253" s="19"/>
      <c r="D253" s="19"/>
      <c r="E253" s="19"/>
      <c r="F253" s="19"/>
      <c r="G253" s="21"/>
      <c r="H253" s="19"/>
      <c r="I253" s="21"/>
      <c r="J253" s="19"/>
      <c r="K253" s="20"/>
      <c r="L253" s="20"/>
      <c r="M253" s="19"/>
      <c r="N253" s="19"/>
      <c r="O253" s="20"/>
      <c r="P253" s="20"/>
      <c r="Q253" s="19"/>
      <c r="R253" s="22" t="str">
        <f aca="false">IF(A253="","",N(G253)+N(I253))</f>
        <v/>
      </c>
      <c r="S253" s="23" t="str">
        <f aca="false">IF(OR(K253="",O253=""),"",O253-K253)</f>
        <v/>
      </c>
      <c r="T253" s="23" t="str">
        <f aca="true">IF(AND(C253="Cetak",L253&lt;&gt;"",L253&lt;TODAY()),"YA","")</f>
        <v/>
      </c>
      <c r="U253" s="23" t="str">
        <f aca="false">IF(B253="","",TEXT(B253,"yyyy-mm"))</f>
        <v/>
      </c>
      <c r="V253" s="23" t="str">
        <f aca="false">IF(K253="","",TEXT(K253,"yyyy-mm"))</f>
        <v/>
      </c>
      <c r="W253" s="23" t="n">
        <f aca="false">IF(OR(C253="Cetak",C253="Dikirim",C253="Selesai"),1,0)</f>
        <v>0</v>
      </c>
      <c r="X253" s="23" t="str">
        <f aca="false">IF(F253="","",SUBSTITUTE(SUBSTITUTE(MID(UPPER(TRIM(F253)),4,99),"-LED",""),"-TK",""))</f>
        <v/>
      </c>
      <c r="Y253" s="23" t="str">
        <f aca="false">IF(X253="","",(LEN(X253)+1)/7)</f>
        <v/>
      </c>
      <c r="Z253" s="23" t="str">
        <f aca="false">IF(X253="","",LEFT(X253,6))</f>
        <v/>
      </c>
      <c r="AA253" s="23" t="str">
        <f aca="false">IF(X253="","",IF(Y253&gt;=3,MID(X253,8,6),""))</f>
        <v/>
      </c>
      <c r="AB253" s="23" t="str">
        <f aca="false">IF(X253="","",IF(Y253&gt;=4,MID(X253,15,6),""))</f>
        <v/>
      </c>
      <c r="AC253" s="23" t="str">
        <f aca="false">IF(X253="","",IF(Y253&gt;=5,MID(X253,22,6),""))</f>
        <v/>
      </c>
      <c r="AD253" s="23" t="str">
        <f aca="false">IF(X253="","",RIGHT(X253,6))</f>
        <v/>
      </c>
      <c r="AE253" s="23" t="str">
        <f aca="false">IF(F253="","",IF(ISNUMBER(SEARCH("-TK",UPPER(F253))),0,1))</f>
        <v/>
      </c>
      <c r="AF253" s="23" t="str">
        <f aca="false">IF(F253="","",IF(ISNUMBER(SEARCH("-LED",UPPER(F253))),1,0))</f>
        <v/>
      </c>
      <c r="AG253" s="24" t="n">
        <f aca="false">IF(Z253="",0,IFERROR(INDEX(Resep!$C$5:$C$7,MATCH(LEFT(Z253,3),Resep!$B$5:$B$7,0)),0))</f>
        <v>0</v>
      </c>
      <c r="AH253" s="24" t="n">
        <f aca="false">IF(AA253="",0,IFERROR(INDEX(Resep!$C$9:$C$13,MATCH(LEFT(AA253,3),Resep!$B$9:$B$13,0)),0))</f>
        <v>0</v>
      </c>
      <c r="AI253" s="24" t="n">
        <f aca="false">IF(AB253="",0,IFERROR(INDEX(Resep!$C$9:$C$13,MATCH(LEFT(AB253,3),Resep!$B$9:$B$13,0)),0))</f>
        <v>0</v>
      </c>
      <c r="AJ253" s="24" t="n">
        <f aca="false">IF(AC253="",0,IFERROR(INDEX(Resep!$C$9:$C$13,MATCH(LEFT(AC253,3),Resep!$B$9:$B$13,0)),0))</f>
        <v>0</v>
      </c>
      <c r="AK253" s="24" t="n">
        <f aca="false">IF(AD253="",0,IFERROR(INDEX(Resep!$C$15:$C$18,MATCH(LEFT(AD253,3),Resep!$B$15:$B$18,0)),0))</f>
        <v>0</v>
      </c>
      <c r="AL253" s="24" t="str">
        <f aca="false">IF(X253="","",AG253+AH253+AI253+AJ253+AK253)</f>
        <v/>
      </c>
      <c r="AM253" s="22" t="str">
        <f aca="false">IF(X253="","",AL253*(Pengaturan!$B$6+Pengaturan!$B$7)+Pengaturan!$B$8+AE253*Pengaturan!$B$9+AF253*Pengaturan!$B$10)</f>
        <v/>
      </c>
      <c r="AN253" s="22" t="str">
        <f aca="false">IF(X253="","",N(G253)-AM253)</f>
        <v/>
      </c>
      <c r="AO253" s="25" t="str">
        <f aca="false">IF(OR(X253="",N(G253)=0),"",AN253/G253)</f>
        <v/>
      </c>
    </row>
    <row r="254" customFormat="false" ht="15" hidden="false" customHeight="false" outlineLevel="0" collapsed="false">
      <c r="A254" s="19"/>
      <c r="B254" s="20"/>
      <c r="C254" s="19"/>
      <c r="D254" s="19"/>
      <c r="E254" s="19"/>
      <c r="F254" s="19"/>
      <c r="G254" s="21"/>
      <c r="H254" s="19"/>
      <c r="I254" s="21"/>
      <c r="J254" s="19"/>
      <c r="K254" s="20"/>
      <c r="L254" s="20"/>
      <c r="M254" s="19"/>
      <c r="N254" s="19"/>
      <c r="O254" s="20"/>
      <c r="P254" s="20"/>
      <c r="Q254" s="19"/>
      <c r="R254" s="22" t="str">
        <f aca="false">IF(A254="","",N(G254)+N(I254))</f>
        <v/>
      </c>
      <c r="S254" s="23" t="str">
        <f aca="false">IF(OR(K254="",O254=""),"",O254-K254)</f>
        <v/>
      </c>
      <c r="T254" s="23" t="str">
        <f aca="true">IF(AND(C254="Cetak",L254&lt;&gt;"",L254&lt;TODAY()),"YA","")</f>
        <v/>
      </c>
      <c r="U254" s="23" t="str">
        <f aca="false">IF(B254="","",TEXT(B254,"yyyy-mm"))</f>
        <v/>
      </c>
      <c r="V254" s="23" t="str">
        <f aca="false">IF(K254="","",TEXT(K254,"yyyy-mm"))</f>
        <v/>
      </c>
      <c r="W254" s="23" t="n">
        <f aca="false">IF(OR(C254="Cetak",C254="Dikirim",C254="Selesai"),1,0)</f>
        <v>0</v>
      </c>
      <c r="X254" s="23" t="str">
        <f aca="false">IF(F254="","",SUBSTITUTE(SUBSTITUTE(MID(UPPER(TRIM(F254)),4,99),"-LED",""),"-TK",""))</f>
        <v/>
      </c>
      <c r="Y254" s="23" t="str">
        <f aca="false">IF(X254="","",(LEN(X254)+1)/7)</f>
        <v/>
      </c>
      <c r="Z254" s="23" t="str">
        <f aca="false">IF(X254="","",LEFT(X254,6))</f>
        <v/>
      </c>
      <c r="AA254" s="23" t="str">
        <f aca="false">IF(X254="","",IF(Y254&gt;=3,MID(X254,8,6),""))</f>
        <v/>
      </c>
      <c r="AB254" s="23" t="str">
        <f aca="false">IF(X254="","",IF(Y254&gt;=4,MID(X254,15,6),""))</f>
        <v/>
      </c>
      <c r="AC254" s="23" t="str">
        <f aca="false">IF(X254="","",IF(Y254&gt;=5,MID(X254,22,6),""))</f>
        <v/>
      </c>
      <c r="AD254" s="23" t="str">
        <f aca="false">IF(X254="","",RIGHT(X254,6))</f>
        <v/>
      </c>
      <c r="AE254" s="23" t="str">
        <f aca="false">IF(F254="","",IF(ISNUMBER(SEARCH("-TK",UPPER(F254))),0,1))</f>
        <v/>
      </c>
      <c r="AF254" s="23" t="str">
        <f aca="false">IF(F254="","",IF(ISNUMBER(SEARCH("-LED",UPPER(F254))),1,0))</f>
        <v/>
      </c>
      <c r="AG254" s="24" t="n">
        <f aca="false">IF(Z254="",0,IFERROR(INDEX(Resep!$C$5:$C$7,MATCH(LEFT(Z254,3),Resep!$B$5:$B$7,0)),0))</f>
        <v>0</v>
      </c>
      <c r="AH254" s="24" t="n">
        <f aca="false">IF(AA254="",0,IFERROR(INDEX(Resep!$C$9:$C$13,MATCH(LEFT(AA254,3),Resep!$B$9:$B$13,0)),0))</f>
        <v>0</v>
      </c>
      <c r="AI254" s="24" t="n">
        <f aca="false">IF(AB254="",0,IFERROR(INDEX(Resep!$C$9:$C$13,MATCH(LEFT(AB254,3),Resep!$B$9:$B$13,0)),0))</f>
        <v>0</v>
      </c>
      <c r="AJ254" s="24" t="n">
        <f aca="false">IF(AC254="",0,IFERROR(INDEX(Resep!$C$9:$C$13,MATCH(LEFT(AC254,3),Resep!$B$9:$B$13,0)),0))</f>
        <v>0</v>
      </c>
      <c r="AK254" s="24" t="n">
        <f aca="false">IF(AD254="",0,IFERROR(INDEX(Resep!$C$15:$C$18,MATCH(LEFT(AD254,3),Resep!$B$15:$B$18,0)),0))</f>
        <v>0</v>
      </c>
      <c r="AL254" s="24" t="str">
        <f aca="false">IF(X254="","",AG254+AH254+AI254+AJ254+AK254)</f>
        <v/>
      </c>
      <c r="AM254" s="22" t="str">
        <f aca="false">IF(X254="","",AL254*(Pengaturan!$B$6+Pengaturan!$B$7)+Pengaturan!$B$8+AE254*Pengaturan!$B$9+AF254*Pengaturan!$B$10)</f>
        <v/>
      </c>
      <c r="AN254" s="22" t="str">
        <f aca="false">IF(X254="","",N(G254)-AM254)</f>
        <v/>
      </c>
      <c r="AO254" s="25" t="str">
        <f aca="false">IF(OR(X254="",N(G254)=0),"",AN254/G254)</f>
        <v/>
      </c>
    </row>
    <row r="255" customFormat="false" ht="15" hidden="false" customHeight="false" outlineLevel="0" collapsed="false">
      <c r="A255" s="19"/>
      <c r="B255" s="20"/>
      <c r="C255" s="19"/>
      <c r="D255" s="19"/>
      <c r="E255" s="19"/>
      <c r="F255" s="19"/>
      <c r="G255" s="21"/>
      <c r="H255" s="19"/>
      <c r="I255" s="21"/>
      <c r="J255" s="19"/>
      <c r="K255" s="20"/>
      <c r="L255" s="20"/>
      <c r="M255" s="19"/>
      <c r="N255" s="19"/>
      <c r="O255" s="20"/>
      <c r="P255" s="20"/>
      <c r="Q255" s="19"/>
      <c r="R255" s="22" t="str">
        <f aca="false">IF(A255="","",N(G255)+N(I255))</f>
        <v/>
      </c>
      <c r="S255" s="23" t="str">
        <f aca="false">IF(OR(K255="",O255=""),"",O255-K255)</f>
        <v/>
      </c>
      <c r="T255" s="23" t="str">
        <f aca="true">IF(AND(C255="Cetak",L255&lt;&gt;"",L255&lt;TODAY()),"YA","")</f>
        <v/>
      </c>
      <c r="U255" s="23" t="str">
        <f aca="false">IF(B255="","",TEXT(B255,"yyyy-mm"))</f>
        <v/>
      </c>
      <c r="V255" s="23" t="str">
        <f aca="false">IF(K255="","",TEXT(K255,"yyyy-mm"))</f>
        <v/>
      </c>
      <c r="W255" s="23" t="n">
        <f aca="false">IF(OR(C255="Cetak",C255="Dikirim",C255="Selesai"),1,0)</f>
        <v>0</v>
      </c>
      <c r="X255" s="23" t="str">
        <f aca="false">IF(F255="","",SUBSTITUTE(SUBSTITUTE(MID(UPPER(TRIM(F255)),4,99),"-LED",""),"-TK",""))</f>
        <v/>
      </c>
      <c r="Y255" s="23" t="str">
        <f aca="false">IF(X255="","",(LEN(X255)+1)/7)</f>
        <v/>
      </c>
      <c r="Z255" s="23" t="str">
        <f aca="false">IF(X255="","",LEFT(X255,6))</f>
        <v/>
      </c>
      <c r="AA255" s="23" t="str">
        <f aca="false">IF(X255="","",IF(Y255&gt;=3,MID(X255,8,6),""))</f>
        <v/>
      </c>
      <c r="AB255" s="23" t="str">
        <f aca="false">IF(X255="","",IF(Y255&gt;=4,MID(X255,15,6),""))</f>
        <v/>
      </c>
      <c r="AC255" s="23" t="str">
        <f aca="false">IF(X255="","",IF(Y255&gt;=5,MID(X255,22,6),""))</f>
        <v/>
      </c>
      <c r="AD255" s="23" t="str">
        <f aca="false">IF(X255="","",RIGHT(X255,6))</f>
        <v/>
      </c>
      <c r="AE255" s="23" t="str">
        <f aca="false">IF(F255="","",IF(ISNUMBER(SEARCH("-TK",UPPER(F255))),0,1))</f>
        <v/>
      </c>
      <c r="AF255" s="23" t="str">
        <f aca="false">IF(F255="","",IF(ISNUMBER(SEARCH("-LED",UPPER(F255))),1,0))</f>
        <v/>
      </c>
      <c r="AG255" s="24" t="n">
        <f aca="false">IF(Z255="",0,IFERROR(INDEX(Resep!$C$5:$C$7,MATCH(LEFT(Z255,3),Resep!$B$5:$B$7,0)),0))</f>
        <v>0</v>
      </c>
      <c r="AH255" s="24" t="n">
        <f aca="false">IF(AA255="",0,IFERROR(INDEX(Resep!$C$9:$C$13,MATCH(LEFT(AA255,3),Resep!$B$9:$B$13,0)),0))</f>
        <v>0</v>
      </c>
      <c r="AI255" s="24" t="n">
        <f aca="false">IF(AB255="",0,IFERROR(INDEX(Resep!$C$9:$C$13,MATCH(LEFT(AB255,3),Resep!$B$9:$B$13,0)),0))</f>
        <v>0</v>
      </c>
      <c r="AJ255" s="24" t="n">
        <f aca="false">IF(AC255="",0,IFERROR(INDEX(Resep!$C$9:$C$13,MATCH(LEFT(AC255,3),Resep!$B$9:$B$13,0)),0))</f>
        <v>0</v>
      </c>
      <c r="AK255" s="24" t="n">
        <f aca="false">IF(AD255="",0,IFERROR(INDEX(Resep!$C$15:$C$18,MATCH(LEFT(AD255,3),Resep!$B$15:$B$18,0)),0))</f>
        <v>0</v>
      </c>
      <c r="AL255" s="24" t="str">
        <f aca="false">IF(X255="","",AG255+AH255+AI255+AJ255+AK255)</f>
        <v/>
      </c>
      <c r="AM255" s="22" t="str">
        <f aca="false">IF(X255="","",AL255*(Pengaturan!$B$6+Pengaturan!$B$7)+Pengaturan!$B$8+AE255*Pengaturan!$B$9+AF255*Pengaturan!$B$10)</f>
        <v/>
      </c>
      <c r="AN255" s="22" t="str">
        <f aca="false">IF(X255="","",N(G255)-AM255)</f>
        <v/>
      </c>
      <c r="AO255" s="25" t="str">
        <f aca="false">IF(OR(X255="",N(G255)=0),"",AN255/G255)</f>
        <v/>
      </c>
    </row>
    <row r="256" customFormat="false" ht="15" hidden="false" customHeight="false" outlineLevel="0" collapsed="false">
      <c r="A256" s="19"/>
      <c r="B256" s="20"/>
      <c r="C256" s="19"/>
      <c r="D256" s="19"/>
      <c r="E256" s="19"/>
      <c r="F256" s="19"/>
      <c r="G256" s="21"/>
      <c r="H256" s="19"/>
      <c r="I256" s="21"/>
      <c r="J256" s="19"/>
      <c r="K256" s="20"/>
      <c r="L256" s="20"/>
      <c r="M256" s="19"/>
      <c r="N256" s="19"/>
      <c r="O256" s="20"/>
      <c r="P256" s="20"/>
      <c r="Q256" s="19"/>
      <c r="R256" s="22" t="str">
        <f aca="false">IF(A256="","",N(G256)+N(I256))</f>
        <v/>
      </c>
      <c r="S256" s="23" t="str">
        <f aca="false">IF(OR(K256="",O256=""),"",O256-K256)</f>
        <v/>
      </c>
      <c r="T256" s="23" t="str">
        <f aca="true">IF(AND(C256="Cetak",L256&lt;&gt;"",L256&lt;TODAY()),"YA","")</f>
        <v/>
      </c>
      <c r="U256" s="23" t="str">
        <f aca="false">IF(B256="","",TEXT(B256,"yyyy-mm"))</f>
        <v/>
      </c>
      <c r="V256" s="23" t="str">
        <f aca="false">IF(K256="","",TEXT(K256,"yyyy-mm"))</f>
        <v/>
      </c>
      <c r="W256" s="23" t="n">
        <f aca="false">IF(OR(C256="Cetak",C256="Dikirim",C256="Selesai"),1,0)</f>
        <v>0</v>
      </c>
      <c r="X256" s="23" t="str">
        <f aca="false">IF(F256="","",SUBSTITUTE(SUBSTITUTE(MID(UPPER(TRIM(F256)),4,99),"-LED",""),"-TK",""))</f>
        <v/>
      </c>
      <c r="Y256" s="23" t="str">
        <f aca="false">IF(X256="","",(LEN(X256)+1)/7)</f>
        <v/>
      </c>
      <c r="Z256" s="23" t="str">
        <f aca="false">IF(X256="","",LEFT(X256,6))</f>
        <v/>
      </c>
      <c r="AA256" s="23" t="str">
        <f aca="false">IF(X256="","",IF(Y256&gt;=3,MID(X256,8,6),""))</f>
        <v/>
      </c>
      <c r="AB256" s="23" t="str">
        <f aca="false">IF(X256="","",IF(Y256&gt;=4,MID(X256,15,6),""))</f>
        <v/>
      </c>
      <c r="AC256" s="23" t="str">
        <f aca="false">IF(X256="","",IF(Y256&gt;=5,MID(X256,22,6),""))</f>
        <v/>
      </c>
      <c r="AD256" s="23" t="str">
        <f aca="false">IF(X256="","",RIGHT(X256,6))</f>
        <v/>
      </c>
      <c r="AE256" s="23" t="str">
        <f aca="false">IF(F256="","",IF(ISNUMBER(SEARCH("-TK",UPPER(F256))),0,1))</f>
        <v/>
      </c>
      <c r="AF256" s="23" t="str">
        <f aca="false">IF(F256="","",IF(ISNUMBER(SEARCH("-LED",UPPER(F256))),1,0))</f>
        <v/>
      </c>
      <c r="AG256" s="24" t="n">
        <f aca="false">IF(Z256="",0,IFERROR(INDEX(Resep!$C$5:$C$7,MATCH(LEFT(Z256,3),Resep!$B$5:$B$7,0)),0))</f>
        <v>0</v>
      </c>
      <c r="AH256" s="24" t="n">
        <f aca="false">IF(AA256="",0,IFERROR(INDEX(Resep!$C$9:$C$13,MATCH(LEFT(AA256,3),Resep!$B$9:$B$13,0)),0))</f>
        <v>0</v>
      </c>
      <c r="AI256" s="24" t="n">
        <f aca="false">IF(AB256="",0,IFERROR(INDEX(Resep!$C$9:$C$13,MATCH(LEFT(AB256,3),Resep!$B$9:$B$13,0)),0))</f>
        <v>0</v>
      </c>
      <c r="AJ256" s="24" t="n">
        <f aca="false">IF(AC256="",0,IFERROR(INDEX(Resep!$C$9:$C$13,MATCH(LEFT(AC256,3),Resep!$B$9:$B$13,0)),0))</f>
        <v>0</v>
      </c>
      <c r="AK256" s="24" t="n">
        <f aca="false">IF(AD256="",0,IFERROR(INDEX(Resep!$C$15:$C$18,MATCH(LEFT(AD256,3),Resep!$B$15:$B$18,0)),0))</f>
        <v>0</v>
      </c>
      <c r="AL256" s="24" t="str">
        <f aca="false">IF(X256="","",AG256+AH256+AI256+AJ256+AK256)</f>
        <v/>
      </c>
      <c r="AM256" s="22" t="str">
        <f aca="false">IF(X256="","",AL256*(Pengaturan!$B$6+Pengaturan!$B$7)+Pengaturan!$B$8+AE256*Pengaturan!$B$9+AF256*Pengaturan!$B$10)</f>
        <v/>
      </c>
      <c r="AN256" s="22" t="str">
        <f aca="false">IF(X256="","",N(G256)-AM256)</f>
        <v/>
      </c>
      <c r="AO256" s="25" t="str">
        <f aca="false">IF(OR(X256="",N(G256)=0),"",AN256/G256)</f>
        <v/>
      </c>
    </row>
    <row r="257" customFormat="false" ht="15" hidden="false" customHeight="false" outlineLevel="0" collapsed="false">
      <c r="A257" s="19"/>
      <c r="B257" s="20"/>
      <c r="C257" s="19"/>
      <c r="D257" s="19"/>
      <c r="E257" s="19"/>
      <c r="F257" s="19"/>
      <c r="G257" s="21"/>
      <c r="H257" s="19"/>
      <c r="I257" s="21"/>
      <c r="J257" s="19"/>
      <c r="K257" s="20"/>
      <c r="L257" s="20"/>
      <c r="M257" s="19"/>
      <c r="N257" s="19"/>
      <c r="O257" s="20"/>
      <c r="P257" s="20"/>
      <c r="Q257" s="19"/>
      <c r="R257" s="22" t="str">
        <f aca="false">IF(A257="","",N(G257)+N(I257))</f>
        <v/>
      </c>
      <c r="S257" s="23" t="str">
        <f aca="false">IF(OR(K257="",O257=""),"",O257-K257)</f>
        <v/>
      </c>
      <c r="T257" s="23" t="str">
        <f aca="true">IF(AND(C257="Cetak",L257&lt;&gt;"",L257&lt;TODAY()),"YA","")</f>
        <v/>
      </c>
      <c r="U257" s="23" t="str">
        <f aca="false">IF(B257="","",TEXT(B257,"yyyy-mm"))</f>
        <v/>
      </c>
      <c r="V257" s="23" t="str">
        <f aca="false">IF(K257="","",TEXT(K257,"yyyy-mm"))</f>
        <v/>
      </c>
      <c r="W257" s="23" t="n">
        <f aca="false">IF(OR(C257="Cetak",C257="Dikirim",C257="Selesai"),1,0)</f>
        <v>0</v>
      </c>
      <c r="X257" s="23" t="str">
        <f aca="false">IF(F257="","",SUBSTITUTE(SUBSTITUTE(MID(UPPER(TRIM(F257)),4,99),"-LED",""),"-TK",""))</f>
        <v/>
      </c>
      <c r="Y257" s="23" t="str">
        <f aca="false">IF(X257="","",(LEN(X257)+1)/7)</f>
        <v/>
      </c>
      <c r="Z257" s="23" t="str">
        <f aca="false">IF(X257="","",LEFT(X257,6))</f>
        <v/>
      </c>
      <c r="AA257" s="23" t="str">
        <f aca="false">IF(X257="","",IF(Y257&gt;=3,MID(X257,8,6),""))</f>
        <v/>
      </c>
      <c r="AB257" s="23" t="str">
        <f aca="false">IF(X257="","",IF(Y257&gt;=4,MID(X257,15,6),""))</f>
        <v/>
      </c>
      <c r="AC257" s="23" t="str">
        <f aca="false">IF(X257="","",IF(Y257&gt;=5,MID(X257,22,6),""))</f>
        <v/>
      </c>
      <c r="AD257" s="23" t="str">
        <f aca="false">IF(X257="","",RIGHT(X257,6))</f>
        <v/>
      </c>
      <c r="AE257" s="23" t="str">
        <f aca="false">IF(F257="","",IF(ISNUMBER(SEARCH("-TK",UPPER(F257))),0,1))</f>
        <v/>
      </c>
      <c r="AF257" s="23" t="str">
        <f aca="false">IF(F257="","",IF(ISNUMBER(SEARCH("-LED",UPPER(F257))),1,0))</f>
        <v/>
      </c>
      <c r="AG257" s="24" t="n">
        <f aca="false">IF(Z257="",0,IFERROR(INDEX(Resep!$C$5:$C$7,MATCH(LEFT(Z257,3),Resep!$B$5:$B$7,0)),0))</f>
        <v>0</v>
      </c>
      <c r="AH257" s="24" t="n">
        <f aca="false">IF(AA257="",0,IFERROR(INDEX(Resep!$C$9:$C$13,MATCH(LEFT(AA257,3),Resep!$B$9:$B$13,0)),0))</f>
        <v>0</v>
      </c>
      <c r="AI257" s="24" t="n">
        <f aca="false">IF(AB257="",0,IFERROR(INDEX(Resep!$C$9:$C$13,MATCH(LEFT(AB257,3),Resep!$B$9:$B$13,0)),0))</f>
        <v>0</v>
      </c>
      <c r="AJ257" s="24" t="n">
        <f aca="false">IF(AC257="",0,IFERROR(INDEX(Resep!$C$9:$C$13,MATCH(LEFT(AC257,3),Resep!$B$9:$B$13,0)),0))</f>
        <v>0</v>
      </c>
      <c r="AK257" s="24" t="n">
        <f aca="false">IF(AD257="",0,IFERROR(INDEX(Resep!$C$15:$C$18,MATCH(LEFT(AD257,3),Resep!$B$15:$B$18,0)),0))</f>
        <v>0</v>
      </c>
      <c r="AL257" s="24" t="str">
        <f aca="false">IF(X257="","",AG257+AH257+AI257+AJ257+AK257)</f>
        <v/>
      </c>
      <c r="AM257" s="22" t="str">
        <f aca="false">IF(X257="","",AL257*(Pengaturan!$B$6+Pengaturan!$B$7)+Pengaturan!$B$8+AE257*Pengaturan!$B$9+AF257*Pengaturan!$B$10)</f>
        <v/>
      </c>
      <c r="AN257" s="22" t="str">
        <f aca="false">IF(X257="","",N(G257)-AM257)</f>
        <v/>
      </c>
      <c r="AO257" s="25" t="str">
        <f aca="false">IF(OR(X257="",N(G257)=0),"",AN257/G257)</f>
        <v/>
      </c>
    </row>
    <row r="258" customFormat="false" ht="15" hidden="false" customHeight="false" outlineLevel="0" collapsed="false">
      <c r="A258" s="19"/>
      <c r="B258" s="20"/>
      <c r="C258" s="19"/>
      <c r="D258" s="19"/>
      <c r="E258" s="19"/>
      <c r="F258" s="19"/>
      <c r="G258" s="21"/>
      <c r="H258" s="19"/>
      <c r="I258" s="21"/>
      <c r="J258" s="19"/>
      <c r="K258" s="20"/>
      <c r="L258" s="20"/>
      <c r="M258" s="19"/>
      <c r="N258" s="19"/>
      <c r="O258" s="20"/>
      <c r="P258" s="20"/>
      <c r="Q258" s="19"/>
      <c r="R258" s="22" t="str">
        <f aca="false">IF(A258="","",N(G258)+N(I258))</f>
        <v/>
      </c>
      <c r="S258" s="23" t="str">
        <f aca="false">IF(OR(K258="",O258=""),"",O258-K258)</f>
        <v/>
      </c>
      <c r="T258" s="23" t="str">
        <f aca="true">IF(AND(C258="Cetak",L258&lt;&gt;"",L258&lt;TODAY()),"YA","")</f>
        <v/>
      </c>
      <c r="U258" s="23" t="str">
        <f aca="false">IF(B258="","",TEXT(B258,"yyyy-mm"))</f>
        <v/>
      </c>
      <c r="V258" s="23" t="str">
        <f aca="false">IF(K258="","",TEXT(K258,"yyyy-mm"))</f>
        <v/>
      </c>
      <c r="W258" s="23" t="n">
        <f aca="false">IF(OR(C258="Cetak",C258="Dikirim",C258="Selesai"),1,0)</f>
        <v>0</v>
      </c>
      <c r="X258" s="23" t="str">
        <f aca="false">IF(F258="","",SUBSTITUTE(SUBSTITUTE(MID(UPPER(TRIM(F258)),4,99),"-LED",""),"-TK",""))</f>
        <v/>
      </c>
      <c r="Y258" s="23" t="str">
        <f aca="false">IF(X258="","",(LEN(X258)+1)/7)</f>
        <v/>
      </c>
      <c r="Z258" s="23" t="str">
        <f aca="false">IF(X258="","",LEFT(X258,6))</f>
        <v/>
      </c>
      <c r="AA258" s="23" t="str">
        <f aca="false">IF(X258="","",IF(Y258&gt;=3,MID(X258,8,6),""))</f>
        <v/>
      </c>
      <c r="AB258" s="23" t="str">
        <f aca="false">IF(X258="","",IF(Y258&gt;=4,MID(X258,15,6),""))</f>
        <v/>
      </c>
      <c r="AC258" s="23" t="str">
        <f aca="false">IF(X258="","",IF(Y258&gt;=5,MID(X258,22,6),""))</f>
        <v/>
      </c>
      <c r="AD258" s="23" t="str">
        <f aca="false">IF(X258="","",RIGHT(X258,6))</f>
        <v/>
      </c>
      <c r="AE258" s="23" t="str">
        <f aca="false">IF(F258="","",IF(ISNUMBER(SEARCH("-TK",UPPER(F258))),0,1))</f>
        <v/>
      </c>
      <c r="AF258" s="23" t="str">
        <f aca="false">IF(F258="","",IF(ISNUMBER(SEARCH("-LED",UPPER(F258))),1,0))</f>
        <v/>
      </c>
      <c r="AG258" s="24" t="n">
        <f aca="false">IF(Z258="",0,IFERROR(INDEX(Resep!$C$5:$C$7,MATCH(LEFT(Z258,3),Resep!$B$5:$B$7,0)),0))</f>
        <v>0</v>
      </c>
      <c r="AH258" s="24" t="n">
        <f aca="false">IF(AA258="",0,IFERROR(INDEX(Resep!$C$9:$C$13,MATCH(LEFT(AA258,3),Resep!$B$9:$B$13,0)),0))</f>
        <v>0</v>
      </c>
      <c r="AI258" s="24" t="n">
        <f aca="false">IF(AB258="",0,IFERROR(INDEX(Resep!$C$9:$C$13,MATCH(LEFT(AB258,3),Resep!$B$9:$B$13,0)),0))</f>
        <v>0</v>
      </c>
      <c r="AJ258" s="24" t="n">
        <f aca="false">IF(AC258="",0,IFERROR(INDEX(Resep!$C$9:$C$13,MATCH(LEFT(AC258,3),Resep!$B$9:$B$13,0)),0))</f>
        <v>0</v>
      </c>
      <c r="AK258" s="24" t="n">
        <f aca="false">IF(AD258="",0,IFERROR(INDEX(Resep!$C$15:$C$18,MATCH(LEFT(AD258,3),Resep!$B$15:$B$18,0)),0))</f>
        <v>0</v>
      </c>
      <c r="AL258" s="24" t="str">
        <f aca="false">IF(X258="","",AG258+AH258+AI258+AJ258+AK258)</f>
        <v/>
      </c>
      <c r="AM258" s="22" t="str">
        <f aca="false">IF(X258="","",AL258*(Pengaturan!$B$6+Pengaturan!$B$7)+Pengaturan!$B$8+AE258*Pengaturan!$B$9+AF258*Pengaturan!$B$10)</f>
        <v/>
      </c>
      <c r="AN258" s="22" t="str">
        <f aca="false">IF(X258="","",N(G258)-AM258)</f>
        <v/>
      </c>
      <c r="AO258" s="25" t="str">
        <f aca="false">IF(OR(X258="",N(G258)=0),"",AN258/G258)</f>
        <v/>
      </c>
    </row>
    <row r="259" customFormat="false" ht="15" hidden="false" customHeight="false" outlineLevel="0" collapsed="false">
      <c r="A259" s="19"/>
      <c r="B259" s="20"/>
      <c r="C259" s="19"/>
      <c r="D259" s="19"/>
      <c r="E259" s="19"/>
      <c r="F259" s="19"/>
      <c r="G259" s="21"/>
      <c r="H259" s="19"/>
      <c r="I259" s="21"/>
      <c r="J259" s="19"/>
      <c r="K259" s="20"/>
      <c r="L259" s="20"/>
      <c r="M259" s="19"/>
      <c r="N259" s="19"/>
      <c r="O259" s="20"/>
      <c r="P259" s="20"/>
      <c r="Q259" s="19"/>
      <c r="R259" s="22" t="str">
        <f aca="false">IF(A259="","",N(G259)+N(I259))</f>
        <v/>
      </c>
      <c r="S259" s="23" t="str">
        <f aca="false">IF(OR(K259="",O259=""),"",O259-K259)</f>
        <v/>
      </c>
      <c r="T259" s="23" t="str">
        <f aca="true">IF(AND(C259="Cetak",L259&lt;&gt;"",L259&lt;TODAY()),"YA","")</f>
        <v/>
      </c>
      <c r="U259" s="23" t="str">
        <f aca="false">IF(B259="","",TEXT(B259,"yyyy-mm"))</f>
        <v/>
      </c>
      <c r="V259" s="23" t="str">
        <f aca="false">IF(K259="","",TEXT(K259,"yyyy-mm"))</f>
        <v/>
      </c>
      <c r="W259" s="23" t="n">
        <f aca="false">IF(OR(C259="Cetak",C259="Dikirim",C259="Selesai"),1,0)</f>
        <v>0</v>
      </c>
      <c r="X259" s="23" t="str">
        <f aca="false">IF(F259="","",SUBSTITUTE(SUBSTITUTE(MID(UPPER(TRIM(F259)),4,99),"-LED",""),"-TK",""))</f>
        <v/>
      </c>
      <c r="Y259" s="23" t="str">
        <f aca="false">IF(X259="","",(LEN(X259)+1)/7)</f>
        <v/>
      </c>
      <c r="Z259" s="23" t="str">
        <f aca="false">IF(X259="","",LEFT(X259,6))</f>
        <v/>
      </c>
      <c r="AA259" s="23" t="str">
        <f aca="false">IF(X259="","",IF(Y259&gt;=3,MID(X259,8,6),""))</f>
        <v/>
      </c>
      <c r="AB259" s="23" t="str">
        <f aca="false">IF(X259="","",IF(Y259&gt;=4,MID(X259,15,6),""))</f>
        <v/>
      </c>
      <c r="AC259" s="23" t="str">
        <f aca="false">IF(X259="","",IF(Y259&gt;=5,MID(X259,22,6),""))</f>
        <v/>
      </c>
      <c r="AD259" s="23" t="str">
        <f aca="false">IF(X259="","",RIGHT(X259,6))</f>
        <v/>
      </c>
      <c r="AE259" s="23" t="str">
        <f aca="false">IF(F259="","",IF(ISNUMBER(SEARCH("-TK",UPPER(F259))),0,1))</f>
        <v/>
      </c>
      <c r="AF259" s="23" t="str">
        <f aca="false">IF(F259="","",IF(ISNUMBER(SEARCH("-LED",UPPER(F259))),1,0))</f>
        <v/>
      </c>
      <c r="AG259" s="24" t="n">
        <f aca="false">IF(Z259="",0,IFERROR(INDEX(Resep!$C$5:$C$7,MATCH(LEFT(Z259,3),Resep!$B$5:$B$7,0)),0))</f>
        <v>0</v>
      </c>
      <c r="AH259" s="24" t="n">
        <f aca="false">IF(AA259="",0,IFERROR(INDEX(Resep!$C$9:$C$13,MATCH(LEFT(AA259,3),Resep!$B$9:$B$13,0)),0))</f>
        <v>0</v>
      </c>
      <c r="AI259" s="24" t="n">
        <f aca="false">IF(AB259="",0,IFERROR(INDEX(Resep!$C$9:$C$13,MATCH(LEFT(AB259,3),Resep!$B$9:$B$13,0)),0))</f>
        <v>0</v>
      </c>
      <c r="AJ259" s="24" t="n">
        <f aca="false">IF(AC259="",0,IFERROR(INDEX(Resep!$C$9:$C$13,MATCH(LEFT(AC259,3),Resep!$B$9:$B$13,0)),0))</f>
        <v>0</v>
      </c>
      <c r="AK259" s="24" t="n">
        <f aca="false">IF(AD259="",0,IFERROR(INDEX(Resep!$C$15:$C$18,MATCH(LEFT(AD259,3),Resep!$B$15:$B$18,0)),0))</f>
        <v>0</v>
      </c>
      <c r="AL259" s="24" t="str">
        <f aca="false">IF(X259="","",AG259+AH259+AI259+AJ259+AK259)</f>
        <v/>
      </c>
      <c r="AM259" s="22" t="str">
        <f aca="false">IF(X259="","",AL259*(Pengaturan!$B$6+Pengaturan!$B$7)+Pengaturan!$B$8+AE259*Pengaturan!$B$9+AF259*Pengaturan!$B$10)</f>
        <v/>
      </c>
      <c r="AN259" s="22" t="str">
        <f aca="false">IF(X259="","",N(G259)-AM259)</f>
        <v/>
      </c>
      <c r="AO259" s="25" t="str">
        <f aca="false">IF(OR(X259="",N(G259)=0),"",AN259/G259)</f>
        <v/>
      </c>
    </row>
    <row r="260" customFormat="false" ht="15" hidden="false" customHeight="false" outlineLevel="0" collapsed="false">
      <c r="A260" s="19"/>
      <c r="B260" s="20"/>
      <c r="C260" s="19"/>
      <c r="D260" s="19"/>
      <c r="E260" s="19"/>
      <c r="F260" s="19"/>
      <c r="G260" s="21"/>
      <c r="H260" s="19"/>
      <c r="I260" s="21"/>
      <c r="J260" s="19"/>
      <c r="K260" s="20"/>
      <c r="L260" s="20"/>
      <c r="M260" s="19"/>
      <c r="N260" s="19"/>
      <c r="O260" s="20"/>
      <c r="P260" s="20"/>
      <c r="Q260" s="19"/>
      <c r="R260" s="22" t="str">
        <f aca="false">IF(A260="","",N(G260)+N(I260))</f>
        <v/>
      </c>
      <c r="S260" s="23" t="str">
        <f aca="false">IF(OR(K260="",O260=""),"",O260-K260)</f>
        <v/>
      </c>
      <c r="T260" s="23" t="str">
        <f aca="true">IF(AND(C260="Cetak",L260&lt;&gt;"",L260&lt;TODAY()),"YA","")</f>
        <v/>
      </c>
      <c r="U260" s="23" t="str">
        <f aca="false">IF(B260="","",TEXT(B260,"yyyy-mm"))</f>
        <v/>
      </c>
      <c r="V260" s="23" t="str">
        <f aca="false">IF(K260="","",TEXT(K260,"yyyy-mm"))</f>
        <v/>
      </c>
      <c r="W260" s="23" t="n">
        <f aca="false">IF(OR(C260="Cetak",C260="Dikirim",C260="Selesai"),1,0)</f>
        <v>0</v>
      </c>
      <c r="X260" s="23" t="str">
        <f aca="false">IF(F260="","",SUBSTITUTE(SUBSTITUTE(MID(UPPER(TRIM(F260)),4,99),"-LED",""),"-TK",""))</f>
        <v/>
      </c>
      <c r="Y260" s="23" t="str">
        <f aca="false">IF(X260="","",(LEN(X260)+1)/7)</f>
        <v/>
      </c>
      <c r="Z260" s="23" t="str">
        <f aca="false">IF(X260="","",LEFT(X260,6))</f>
        <v/>
      </c>
      <c r="AA260" s="23" t="str">
        <f aca="false">IF(X260="","",IF(Y260&gt;=3,MID(X260,8,6),""))</f>
        <v/>
      </c>
      <c r="AB260" s="23" t="str">
        <f aca="false">IF(X260="","",IF(Y260&gt;=4,MID(X260,15,6),""))</f>
        <v/>
      </c>
      <c r="AC260" s="23" t="str">
        <f aca="false">IF(X260="","",IF(Y260&gt;=5,MID(X260,22,6),""))</f>
        <v/>
      </c>
      <c r="AD260" s="23" t="str">
        <f aca="false">IF(X260="","",RIGHT(X260,6))</f>
        <v/>
      </c>
      <c r="AE260" s="23" t="str">
        <f aca="false">IF(F260="","",IF(ISNUMBER(SEARCH("-TK",UPPER(F260))),0,1))</f>
        <v/>
      </c>
      <c r="AF260" s="23" t="str">
        <f aca="false">IF(F260="","",IF(ISNUMBER(SEARCH("-LED",UPPER(F260))),1,0))</f>
        <v/>
      </c>
      <c r="AG260" s="24" t="n">
        <f aca="false">IF(Z260="",0,IFERROR(INDEX(Resep!$C$5:$C$7,MATCH(LEFT(Z260,3),Resep!$B$5:$B$7,0)),0))</f>
        <v>0</v>
      </c>
      <c r="AH260" s="24" t="n">
        <f aca="false">IF(AA260="",0,IFERROR(INDEX(Resep!$C$9:$C$13,MATCH(LEFT(AA260,3),Resep!$B$9:$B$13,0)),0))</f>
        <v>0</v>
      </c>
      <c r="AI260" s="24" t="n">
        <f aca="false">IF(AB260="",0,IFERROR(INDEX(Resep!$C$9:$C$13,MATCH(LEFT(AB260,3),Resep!$B$9:$B$13,0)),0))</f>
        <v>0</v>
      </c>
      <c r="AJ260" s="24" t="n">
        <f aca="false">IF(AC260="",0,IFERROR(INDEX(Resep!$C$9:$C$13,MATCH(LEFT(AC260,3),Resep!$B$9:$B$13,0)),0))</f>
        <v>0</v>
      </c>
      <c r="AK260" s="24" t="n">
        <f aca="false">IF(AD260="",0,IFERROR(INDEX(Resep!$C$15:$C$18,MATCH(LEFT(AD260,3),Resep!$B$15:$B$18,0)),0))</f>
        <v>0</v>
      </c>
      <c r="AL260" s="24" t="str">
        <f aca="false">IF(X260="","",AG260+AH260+AI260+AJ260+AK260)</f>
        <v/>
      </c>
      <c r="AM260" s="22" t="str">
        <f aca="false">IF(X260="","",AL260*(Pengaturan!$B$6+Pengaturan!$B$7)+Pengaturan!$B$8+AE260*Pengaturan!$B$9+AF260*Pengaturan!$B$10)</f>
        <v/>
      </c>
      <c r="AN260" s="22" t="str">
        <f aca="false">IF(X260="","",N(G260)-AM260)</f>
        <v/>
      </c>
      <c r="AO260" s="25" t="str">
        <f aca="false">IF(OR(X260="",N(G260)=0),"",AN260/G260)</f>
        <v/>
      </c>
    </row>
    <row r="261" customFormat="false" ht="15" hidden="false" customHeight="false" outlineLevel="0" collapsed="false">
      <c r="A261" s="19"/>
      <c r="B261" s="20"/>
      <c r="C261" s="19"/>
      <c r="D261" s="19"/>
      <c r="E261" s="19"/>
      <c r="F261" s="19"/>
      <c r="G261" s="21"/>
      <c r="H261" s="19"/>
      <c r="I261" s="21"/>
      <c r="J261" s="19"/>
      <c r="K261" s="20"/>
      <c r="L261" s="20"/>
      <c r="M261" s="19"/>
      <c r="N261" s="19"/>
      <c r="O261" s="20"/>
      <c r="P261" s="20"/>
      <c r="Q261" s="19"/>
      <c r="R261" s="22" t="str">
        <f aca="false">IF(A261="","",N(G261)+N(I261))</f>
        <v/>
      </c>
      <c r="S261" s="23" t="str">
        <f aca="false">IF(OR(K261="",O261=""),"",O261-K261)</f>
        <v/>
      </c>
      <c r="T261" s="23" t="str">
        <f aca="true">IF(AND(C261="Cetak",L261&lt;&gt;"",L261&lt;TODAY()),"YA","")</f>
        <v/>
      </c>
      <c r="U261" s="23" t="str">
        <f aca="false">IF(B261="","",TEXT(B261,"yyyy-mm"))</f>
        <v/>
      </c>
      <c r="V261" s="23" t="str">
        <f aca="false">IF(K261="","",TEXT(K261,"yyyy-mm"))</f>
        <v/>
      </c>
      <c r="W261" s="23" t="n">
        <f aca="false">IF(OR(C261="Cetak",C261="Dikirim",C261="Selesai"),1,0)</f>
        <v>0</v>
      </c>
      <c r="X261" s="23" t="str">
        <f aca="false">IF(F261="","",SUBSTITUTE(SUBSTITUTE(MID(UPPER(TRIM(F261)),4,99),"-LED",""),"-TK",""))</f>
        <v/>
      </c>
      <c r="Y261" s="23" t="str">
        <f aca="false">IF(X261="","",(LEN(X261)+1)/7)</f>
        <v/>
      </c>
      <c r="Z261" s="23" t="str">
        <f aca="false">IF(X261="","",LEFT(X261,6))</f>
        <v/>
      </c>
      <c r="AA261" s="23" t="str">
        <f aca="false">IF(X261="","",IF(Y261&gt;=3,MID(X261,8,6),""))</f>
        <v/>
      </c>
      <c r="AB261" s="23" t="str">
        <f aca="false">IF(X261="","",IF(Y261&gt;=4,MID(X261,15,6),""))</f>
        <v/>
      </c>
      <c r="AC261" s="23" t="str">
        <f aca="false">IF(X261="","",IF(Y261&gt;=5,MID(X261,22,6),""))</f>
        <v/>
      </c>
      <c r="AD261" s="23" t="str">
        <f aca="false">IF(X261="","",RIGHT(X261,6))</f>
        <v/>
      </c>
      <c r="AE261" s="23" t="str">
        <f aca="false">IF(F261="","",IF(ISNUMBER(SEARCH("-TK",UPPER(F261))),0,1))</f>
        <v/>
      </c>
      <c r="AF261" s="23" t="str">
        <f aca="false">IF(F261="","",IF(ISNUMBER(SEARCH("-LED",UPPER(F261))),1,0))</f>
        <v/>
      </c>
      <c r="AG261" s="24" t="n">
        <f aca="false">IF(Z261="",0,IFERROR(INDEX(Resep!$C$5:$C$7,MATCH(LEFT(Z261,3),Resep!$B$5:$B$7,0)),0))</f>
        <v>0</v>
      </c>
      <c r="AH261" s="24" t="n">
        <f aca="false">IF(AA261="",0,IFERROR(INDEX(Resep!$C$9:$C$13,MATCH(LEFT(AA261,3),Resep!$B$9:$B$13,0)),0))</f>
        <v>0</v>
      </c>
      <c r="AI261" s="24" t="n">
        <f aca="false">IF(AB261="",0,IFERROR(INDEX(Resep!$C$9:$C$13,MATCH(LEFT(AB261,3),Resep!$B$9:$B$13,0)),0))</f>
        <v>0</v>
      </c>
      <c r="AJ261" s="24" t="n">
        <f aca="false">IF(AC261="",0,IFERROR(INDEX(Resep!$C$9:$C$13,MATCH(LEFT(AC261,3),Resep!$B$9:$B$13,0)),0))</f>
        <v>0</v>
      </c>
      <c r="AK261" s="24" t="n">
        <f aca="false">IF(AD261="",0,IFERROR(INDEX(Resep!$C$15:$C$18,MATCH(LEFT(AD261,3),Resep!$B$15:$B$18,0)),0))</f>
        <v>0</v>
      </c>
      <c r="AL261" s="24" t="str">
        <f aca="false">IF(X261="","",AG261+AH261+AI261+AJ261+AK261)</f>
        <v/>
      </c>
      <c r="AM261" s="22" t="str">
        <f aca="false">IF(X261="","",AL261*(Pengaturan!$B$6+Pengaturan!$B$7)+Pengaturan!$B$8+AE261*Pengaturan!$B$9+AF261*Pengaturan!$B$10)</f>
        <v/>
      </c>
      <c r="AN261" s="22" t="str">
        <f aca="false">IF(X261="","",N(G261)-AM261)</f>
        <v/>
      </c>
      <c r="AO261" s="25" t="str">
        <f aca="false">IF(OR(X261="",N(G261)=0),"",AN261/G261)</f>
        <v/>
      </c>
    </row>
    <row r="262" customFormat="false" ht="15" hidden="false" customHeight="false" outlineLevel="0" collapsed="false">
      <c r="A262" s="19"/>
      <c r="B262" s="20"/>
      <c r="C262" s="19"/>
      <c r="D262" s="19"/>
      <c r="E262" s="19"/>
      <c r="F262" s="19"/>
      <c r="G262" s="21"/>
      <c r="H262" s="19"/>
      <c r="I262" s="21"/>
      <c r="J262" s="19"/>
      <c r="K262" s="20"/>
      <c r="L262" s="20"/>
      <c r="M262" s="19"/>
      <c r="N262" s="19"/>
      <c r="O262" s="20"/>
      <c r="P262" s="20"/>
      <c r="Q262" s="19"/>
      <c r="R262" s="22" t="str">
        <f aca="false">IF(A262="","",N(G262)+N(I262))</f>
        <v/>
      </c>
      <c r="S262" s="23" t="str">
        <f aca="false">IF(OR(K262="",O262=""),"",O262-K262)</f>
        <v/>
      </c>
      <c r="T262" s="23" t="str">
        <f aca="true">IF(AND(C262="Cetak",L262&lt;&gt;"",L262&lt;TODAY()),"YA","")</f>
        <v/>
      </c>
      <c r="U262" s="23" t="str">
        <f aca="false">IF(B262="","",TEXT(B262,"yyyy-mm"))</f>
        <v/>
      </c>
      <c r="V262" s="23" t="str">
        <f aca="false">IF(K262="","",TEXT(K262,"yyyy-mm"))</f>
        <v/>
      </c>
      <c r="W262" s="23" t="n">
        <f aca="false">IF(OR(C262="Cetak",C262="Dikirim",C262="Selesai"),1,0)</f>
        <v>0</v>
      </c>
      <c r="X262" s="23" t="str">
        <f aca="false">IF(F262="","",SUBSTITUTE(SUBSTITUTE(MID(UPPER(TRIM(F262)),4,99),"-LED",""),"-TK",""))</f>
        <v/>
      </c>
      <c r="Y262" s="23" t="str">
        <f aca="false">IF(X262="","",(LEN(X262)+1)/7)</f>
        <v/>
      </c>
      <c r="Z262" s="23" t="str">
        <f aca="false">IF(X262="","",LEFT(X262,6))</f>
        <v/>
      </c>
      <c r="AA262" s="23" t="str">
        <f aca="false">IF(X262="","",IF(Y262&gt;=3,MID(X262,8,6),""))</f>
        <v/>
      </c>
      <c r="AB262" s="23" t="str">
        <f aca="false">IF(X262="","",IF(Y262&gt;=4,MID(X262,15,6),""))</f>
        <v/>
      </c>
      <c r="AC262" s="23" t="str">
        <f aca="false">IF(X262="","",IF(Y262&gt;=5,MID(X262,22,6),""))</f>
        <v/>
      </c>
      <c r="AD262" s="23" t="str">
        <f aca="false">IF(X262="","",RIGHT(X262,6))</f>
        <v/>
      </c>
      <c r="AE262" s="23" t="str">
        <f aca="false">IF(F262="","",IF(ISNUMBER(SEARCH("-TK",UPPER(F262))),0,1))</f>
        <v/>
      </c>
      <c r="AF262" s="23" t="str">
        <f aca="false">IF(F262="","",IF(ISNUMBER(SEARCH("-LED",UPPER(F262))),1,0))</f>
        <v/>
      </c>
      <c r="AG262" s="24" t="n">
        <f aca="false">IF(Z262="",0,IFERROR(INDEX(Resep!$C$5:$C$7,MATCH(LEFT(Z262,3),Resep!$B$5:$B$7,0)),0))</f>
        <v>0</v>
      </c>
      <c r="AH262" s="24" t="n">
        <f aca="false">IF(AA262="",0,IFERROR(INDEX(Resep!$C$9:$C$13,MATCH(LEFT(AA262,3),Resep!$B$9:$B$13,0)),0))</f>
        <v>0</v>
      </c>
      <c r="AI262" s="24" t="n">
        <f aca="false">IF(AB262="",0,IFERROR(INDEX(Resep!$C$9:$C$13,MATCH(LEFT(AB262,3),Resep!$B$9:$B$13,0)),0))</f>
        <v>0</v>
      </c>
      <c r="AJ262" s="24" t="n">
        <f aca="false">IF(AC262="",0,IFERROR(INDEX(Resep!$C$9:$C$13,MATCH(LEFT(AC262,3),Resep!$B$9:$B$13,0)),0))</f>
        <v>0</v>
      </c>
      <c r="AK262" s="24" t="n">
        <f aca="false">IF(AD262="",0,IFERROR(INDEX(Resep!$C$15:$C$18,MATCH(LEFT(AD262,3),Resep!$B$15:$B$18,0)),0))</f>
        <v>0</v>
      </c>
      <c r="AL262" s="24" t="str">
        <f aca="false">IF(X262="","",AG262+AH262+AI262+AJ262+AK262)</f>
        <v/>
      </c>
      <c r="AM262" s="22" t="str">
        <f aca="false">IF(X262="","",AL262*(Pengaturan!$B$6+Pengaturan!$B$7)+Pengaturan!$B$8+AE262*Pengaturan!$B$9+AF262*Pengaturan!$B$10)</f>
        <v/>
      </c>
      <c r="AN262" s="22" t="str">
        <f aca="false">IF(X262="","",N(G262)-AM262)</f>
        <v/>
      </c>
      <c r="AO262" s="25" t="str">
        <f aca="false">IF(OR(X262="",N(G262)=0),"",AN262/G262)</f>
        <v/>
      </c>
    </row>
    <row r="263" customFormat="false" ht="15" hidden="false" customHeight="false" outlineLevel="0" collapsed="false">
      <c r="A263" s="19"/>
      <c r="B263" s="20"/>
      <c r="C263" s="19"/>
      <c r="D263" s="19"/>
      <c r="E263" s="19"/>
      <c r="F263" s="19"/>
      <c r="G263" s="21"/>
      <c r="H263" s="19"/>
      <c r="I263" s="21"/>
      <c r="J263" s="19"/>
      <c r="K263" s="20"/>
      <c r="L263" s="20"/>
      <c r="M263" s="19"/>
      <c r="N263" s="19"/>
      <c r="O263" s="20"/>
      <c r="P263" s="20"/>
      <c r="Q263" s="19"/>
      <c r="R263" s="22" t="str">
        <f aca="false">IF(A263="","",N(G263)+N(I263))</f>
        <v/>
      </c>
      <c r="S263" s="23" t="str">
        <f aca="false">IF(OR(K263="",O263=""),"",O263-K263)</f>
        <v/>
      </c>
      <c r="T263" s="23" t="str">
        <f aca="true">IF(AND(C263="Cetak",L263&lt;&gt;"",L263&lt;TODAY()),"YA","")</f>
        <v/>
      </c>
      <c r="U263" s="23" t="str">
        <f aca="false">IF(B263="","",TEXT(B263,"yyyy-mm"))</f>
        <v/>
      </c>
      <c r="V263" s="23" t="str">
        <f aca="false">IF(K263="","",TEXT(K263,"yyyy-mm"))</f>
        <v/>
      </c>
      <c r="W263" s="23" t="n">
        <f aca="false">IF(OR(C263="Cetak",C263="Dikirim",C263="Selesai"),1,0)</f>
        <v>0</v>
      </c>
      <c r="X263" s="23" t="str">
        <f aca="false">IF(F263="","",SUBSTITUTE(SUBSTITUTE(MID(UPPER(TRIM(F263)),4,99),"-LED",""),"-TK",""))</f>
        <v/>
      </c>
      <c r="Y263" s="23" t="str">
        <f aca="false">IF(X263="","",(LEN(X263)+1)/7)</f>
        <v/>
      </c>
      <c r="Z263" s="23" t="str">
        <f aca="false">IF(X263="","",LEFT(X263,6))</f>
        <v/>
      </c>
      <c r="AA263" s="23" t="str">
        <f aca="false">IF(X263="","",IF(Y263&gt;=3,MID(X263,8,6),""))</f>
        <v/>
      </c>
      <c r="AB263" s="23" t="str">
        <f aca="false">IF(X263="","",IF(Y263&gt;=4,MID(X263,15,6),""))</f>
        <v/>
      </c>
      <c r="AC263" s="23" t="str">
        <f aca="false">IF(X263="","",IF(Y263&gt;=5,MID(X263,22,6),""))</f>
        <v/>
      </c>
      <c r="AD263" s="23" t="str">
        <f aca="false">IF(X263="","",RIGHT(X263,6))</f>
        <v/>
      </c>
      <c r="AE263" s="23" t="str">
        <f aca="false">IF(F263="","",IF(ISNUMBER(SEARCH("-TK",UPPER(F263))),0,1))</f>
        <v/>
      </c>
      <c r="AF263" s="23" t="str">
        <f aca="false">IF(F263="","",IF(ISNUMBER(SEARCH("-LED",UPPER(F263))),1,0))</f>
        <v/>
      </c>
      <c r="AG263" s="24" t="n">
        <f aca="false">IF(Z263="",0,IFERROR(INDEX(Resep!$C$5:$C$7,MATCH(LEFT(Z263,3),Resep!$B$5:$B$7,0)),0))</f>
        <v>0</v>
      </c>
      <c r="AH263" s="24" t="n">
        <f aca="false">IF(AA263="",0,IFERROR(INDEX(Resep!$C$9:$C$13,MATCH(LEFT(AA263,3),Resep!$B$9:$B$13,0)),0))</f>
        <v>0</v>
      </c>
      <c r="AI263" s="24" t="n">
        <f aca="false">IF(AB263="",0,IFERROR(INDEX(Resep!$C$9:$C$13,MATCH(LEFT(AB263,3),Resep!$B$9:$B$13,0)),0))</f>
        <v>0</v>
      </c>
      <c r="AJ263" s="24" t="n">
        <f aca="false">IF(AC263="",0,IFERROR(INDEX(Resep!$C$9:$C$13,MATCH(LEFT(AC263,3),Resep!$B$9:$B$13,0)),0))</f>
        <v>0</v>
      </c>
      <c r="AK263" s="24" t="n">
        <f aca="false">IF(AD263="",0,IFERROR(INDEX(Resep!$C$15:$C$18,MATCH(LEFT(AD263,3),Resep!$B$15:$B$18,0)),0))</f>
        <v>0</v>
      </c>
      <c r="AL263" s="24" t="str">
        <f aca="false">IF(X263="","",AG263+AH263+AI263+AJ263+AK263)</f>
        <v/>
      </c>
      <c r="AM263" s="22" t="str">
        <f aca="false">IF(X263="","",AL263*(Pengaturan!$B$6+Pengaturan!$B$7)+Pengaturan!$B$8+AE263*Pengaturan!$B$9+AF263*Pengaturan!$B$10)</f>
        <v/>
      </c>
      <c r="AN263" s="22" t="str">
        <f aca="false">IF(X263="","",N(G263)-AM263)</f>
        <v/>
      </c>
      <c r="AO263" s="25" t="str">
        <f aca="false">IF(OR(X263="",N(G263)=0),"",AN263/G263)</f>
        <v/>
      </c>
    </row>
    <row r="264" customFormat="false" ht="15" hidden="false" customHeight="false" outlineLevel="0" collapsed="false">
      <c r="A264" s="19"/>
      <c r="B264" s="20"/>
      <c r="C264" s="19"/>
      <c r="D264" s="19"/>
      <c r="E264" s="19"/>
      <c r="F264" s="19"/>
      <c r="G264" s="21"/>
      <c r="H264" s="19"/>
      <c r="I264" s="21"/>
      <c r="J264" s="19"/>
      <c r="K264" s="20"/>
      <c r="L264" s="20"/>
      <c r="M264" s="19"/>
      <c r="N264" s="19"/>
      <c r="O264" s="20"/>
      <c r="P264" s="20"/>
      <c r="Q264" s="19"/>
      <c r="R264" s="22" t="str">
        <f aca="false">IF(A264="","",N(G264)+N(I264))</f>
        <v/>
      </c>
      <c r="S264" s="23" t="str">
        <f aca="false">IF(OR(K264="",O264=""),"",O264-K264)</f>
        <v/>
      </c>
      <c r="T264" s="23" t="str">
        <f aca="true">IF(AND(C264="Cetak",L264&lt;&gt;"",L264&lt;TODAY()),"YA","")</f>
        <v/>
      </c>
      <c r="U264" s="23" t="str">
        <f aca="false">IF(B264="","",TEXT(B264,"yyyy-mm"))</f>
        <v/>
      </c>
      <c r="V264" s="23" t="str">
        <f aca="false">IF(K264="","",TEXT(K264,"yyyy-mm"))</f>
        <v/>
      </c>
      <c r="W264" s="23" t="n">
        <f aca="false">IF(OR(C264="Cetak",C264="Dikirim",C264="Selesai"),1,0)</f>
        <v>0</v>
      </c>
      <c r="X264" s="23" t="str">
        <f aca="false">IF(F264="","",SUBSTITUTE(SUBSTITUTE(MID(UPPER(TRIM(F264)),4,99),"-LED",""),"-TK",""))</f>
        <v/>
      </c>
      <c r="Y264" s="23" t="str">
        <f aca="false">IF(X264="","",(LEN(X264)+1)/7)</f>
        <v/>
      </c>
      <c r="Z264" s="23" t="str">
        <f aca="false">IF(X264="","",LEFT(X264,6))</f>
        <v/>
      </c>
      <c r="AA264" s="23" t="str">
        <f aca="false">IF(X264="","",IF(Y264&gt;=3,MID(X264,8,6),""))</f>
        <v/>
      </c>
      <c r="AB264" s="23" t="str">
        <f aca="false">IF(X264="","",IF(Y264&gt;=4,MID(X264,15,6),""))</f>
        <v/>
      </c>
      <c r="AC264" s="23" t="str">
        <f aca="false">IF(X264="","",IF(Y264&gt;=5,MID(X264,22,6),""))</f>
        <v/>
      </c>
      <c r="AD264" s="23" t="str">
        <f aca="false">IF(X264="","",RIGHT(X264,6))</f>
        <v/>
      </c>
      <c r="AE264" s="23" t="str">
        <f aca="false">IF(F264="","",IF(ISNUMBER(SEARCH("-TK",UPPER(F264))),0,1))</f>
        <v/>
      </c>
      <c r="AF264" s="23" t="str">
        <f aca="false">IF(F264="","",IF(ISNUMBER(SEARCH("-LED",UPPER(F264))),1,0))</f>
        <v/>
      </c>
      <c r="AG264" s="24" t="n">
        <f aca="false">IF(Z264="",0,IFERROR(INDEX(Resep!$C$5:$C$7,MATCH(LEFT(Z264,3),Resep!$B$5:$B$7,0)),0))</f>
        <v>0</v>
      </c>
      <c r="AH264" s="24" t="n">
        <f aca="false">IF(AA264="",0,IFERROR(INDEX(Resep!$C$9:$C$13,MATCH(LEFT(AA264,3),Resep!$B$9:$B$13,0)),0))</f>
        <v>0</v>
      </c>
      <c r="AI264" s="24" t="n">
        <f aca="false">IF(AB264="",0,IFERROR(INDEX(Resep!$C$9:$C$13,MATCH(LEFT(AB264,3),Resep!$B$9:$B$13,0)),0))</f>
        <v>0</v>
      </c>
      <c r="AJ264" s="24" t="n">
        <f aca="false">IF(AC264="",0,IFERROR(INDEX(Resep!$C$9:$C$13,MATCH(LEFT(AC264,3),Resep!$B$9:$B$13,0)),0))</f>
        <v>0</v>
      </c>
      <c r="AK264" s="24" t="n">
        <f aca="false">IF(AD264="",0,IFERROR(INDEX(Resep!$C$15:$C$18,MATCH(LEFT(AD264,3),Resep!$B$15:$B$18,0)),0))</f>
        <v>0</v>
      </c>
      <c r="AL264" s="24" t="str">
        <f aca="false">IF(X264="","",AG264+AH264+AI264+AJ264+AK264)</f>
        <v/>
      </c>
      <c r="AM264" s="22" t="str">
        <f aca="false">IF(X264="","",AL264*(Pengaturan!$B$6+Pengaturan!$B$7)+Pengaturan!$B$8+AE264*Pengaturan!$B$9+AF264*Pengaturan!$B$10)</f>
        <v/>
      </c>
      <c r="AN264" s="22" t="str">
        <f aca="false">IF(X264="","",N(G264)-AM264)</f>
        <v/>
      </c>
      <c r="AO264" s="25" t="str">
        <f aca="false">IF(OR(X264="",N(G264)=0),"",AN264/G264)</f>
        <v/>
      </c>
    </row>
    <row r="265" customFormat="false" ht="15" hidden="false" customHeight="false" outlineLevel="0" collapsed="false">
      <c r="A265" s="19"/>
      <c r="B265" s="20"/>
      <c r="C265" s="19"/>
      <c r="D265" s="19"/>
      <c r="E265" s="19"/>
      <c r="F265" s="19"/>
      <c r="G265" s="21"/>
      <c r="H265" s="19"/>
      <c r="I265" s="21"/>
      <c r="J265" s="19"/>
      <c r="K265" s="20"/>
      <c r="L265" s="20"/>
      <c r="M265" s="19"/>
      <c r="N265" s="19"/>
      <c r="O265" s="20"/>
      <c r="P265" s="20"/>
      <c r="Q265" s="19"/>
      <c r="R265" s="22" t="str">
        <f aca="false">IF(A265="","",N(G265)+N(I265))</f>
        <v/>
      </c>
      <c r="S265" s="23" t="str">
        <f aca="false">IF(OR(K265="",O265=""),"",O265-K265)</f>
        <v/>
      </c>
      <c r="T265" s="23" t="str">
        <f aca="true">IF(AND(C265="Cetak",L265&lt;&gt;"",L265&lt;TODAY()),"YA","")</f>
        <v/>
      </c>
      <c r="U265" s="23" t="str">
        <f aca="false">IF(B265="","",TEXT(B265,"yyyy-mm"))</f>
        <v/>
      </c>
      <c r="V265" s="23" t="str">
        <f aca="false">IF(K265="","",TEXT(K265,"yyyy-mm"))</f>
        <v/>
      </c>
      <c r="W265" s="23" t="n">
        <f aca="false">IF(OR(C265="Cetak",C265="Dikirim",C265="Selesai"),1,0)</f>
        <v>0</v>
      </c>
      <c r="X265" s="23" t="str">
        <f aca="false">IF(F265="","",SUBSTITUTE(SUBSTITUTE(MID(UPPER(TRIM(F265)),4,99),"-LED",""),"-TK",""))</f>
        <v/>
      </c>
      <c r="Y265" s="23" t="str">
        <f aca="false">IF(X265="","",(LEN(X265)+1)/7)</f>
        <v/>
      </c>
      <c r="Z265" s="23" t="str">
        <f aca="false">IF(X265="","",LEFT(X265,6))</f>
        <v/>
      </c>
      <c r="AA265" s="23" t="str">
        <f aca="false">IF(X265="","",IF(Y265&gt;=3,MID(X265,8,6),""))</f>
        <v/>
      </c>
      <c r="AB265" s="23" t="str">
        <f aca="false">IF(X265="","",IF(Y265&gt;=4,MID(X265,15,6),""))</f>
        <v/>
      </c>
      <c r="AC265" s="23" t="str">
        <f aca="false">IF(X265="","",IF(Y265&gt;=5,MID(X265,22,6),""))</f>
        <v/>
      </c>
      <c r="AD265" s="23" t="str">
        <f aca="false">IF(X265="","",RIGHT(X265,6))</f>
        <v/>
      </c>
      <c r="AE265" s="23" t="str">
        <f aca="false">IF(F265="","",IF(ISNUMBER(SEARCH("-TK",UPPER(F265))),0,1))</f>
        <v/>
      </c>
      <c r="AF265" s="23" t="str">
        <f aca="false">IF(F265="","",IF(ISNUMBER(SEARCH("-LED",UPPER(F265))),1,0))</f>
        <v/>
      </c>
      <c r="AG265" s="24" t="n">
        <f aca="false">IF(Z265="",0,IFERROR(INDEX(Resep!$C$5:$C$7,MATCH(LEFT(Z265,3),Resep!$B$5:$B$7,0)),0))</f>
        <v>0</v>
      </c>
      <c r="AH265" s="24" t="n">
        <f aca="false">IF(AA265="",0,IFERROR(INDEX(Resep!$C$9:$C$13,MATCH(LEFT(AA265,3),Resep!$B$9:$B$13,0)),0))</f>
        <v>0</v>
      </c>
      <c r="AI265" s="24" t="n">
        <f aca="false">IF(AB265="",0,IFERROR(INDEX(Resep!$C$9:$C$13,MATCH(LEFT(AB265,3),Resep!$B$9:$B$13,0)),0))</f>
        <v>0</v>
      </c>
      <c r="AJ265" s="24" t="n">
        <f aca="false">IF(AC265="",0,IFERROR(INDEX(Resep!$C$9:$C$13,MATCH(LEFT(AC265,3),Resep!$B$9:$B$13,0)),0))</f>
        <v>0</v>
      </c>
      <c r="AK265" s="24" t="n">
        <f aca="false">IF(AD265="",0,IFERROR(INDEX(Resep!$C$15:$C$18,MATCH(LEFT(AD265,3),Resep!$B$15:$B$18,0)),0))</f>
        <v>0</v>
      </c>
      <c r="AL265" s="24" t="str">
        <f aca="false">IF(X265="","",AG265+AH265+AI265+AJ265+AK265)</f>
        <v/>
      </c>
      <c r="AM265" s="22" t="str">
        <f aca="false">IF(X265="","",AL265*(Pengaturan!$B$6+Pengaturan!$B$7)+Pengaturan!$B$8+AE265*Pengaturan!$B$9+AF265*Pengaturan!$B$10)</f>
        <v/>
      </c>
      <c r="AN265" s="22" t="str">
        <f aca="false">IF(X265="","",N(G265)-AM265)</f>
        <v/>
      </c>
      <c r="AO265" s="25" t="str">
        <f aca="false">IF(OR(X265="",N(G265)=0),"",AN265/G265)</f>
        <v/>
      </c>
    </row>
    <row r="266" customFormat="false" ht="15" hidden="false" customHeight="false" outlineLevel="0" collapsed="false">
      <c r="A266" s="19"/>
      <c r="B266" s="20"/>
      <c r="C266" s="19"/>
      <c r="D266" s="19"/>
      <c r="E266" s="19"/>
      <c r="F266" s="19"/>
      <c r="G266" s="21"/>
      <c r="H266" s="19"/>
      <c r="I266" s="21"/>
      <c r="J266" s="19"/>
      <c r="K266" s="20"/>
      <c r="L266" s="20"/>
      <c r="M266" s="19"/>
      <c r="N266" s="19"/>
      <c r="O266" s="20"/>
      <c r="P266" s="20"/>
      <c r="Q266" s="19"/>
      <c r="R266" s="22" t="str">
        <f aca="false">IF(A266="","",N(G266)+N(I266))</f>
        <v/>
      </c>
      <c r="S266" s="23" t="str">
        <f aca="false">IF(OR(K266="",O266=""),"",O266-K266)</f>
        <v/>
      </c>
      <c r="T266" s="23" t="str">
        <f aca="true">IF(AND(C266="Cetak",L266&lt;&gt;"",L266&lt;TODAY()),"YA","")</f>
        <v/>
      </c>
      <c r="U266" s="23" t="str">
        <f aca="false">IF(B266="","",TEXT(B266,"yyyy-mm"))</f>
        <v/>
      </c>
      <c r="V266" s="23" t="str">
        <f aca="false">IF(K266="","",TEXT(K266,"yyyy-mm"))</f>
        <v/>
      </c>
      <c r="W266" s="23" t="n">
        <f aca="false">IF(OR(C266="Cetak",C266="Dikirim",C266="Selesai"),1,0)</f>
        <v>0</v>
      </c>
      <c r="X266" s="23" t="str">
        <f aca="false">IF(F266="","",SUBSTITUTE(SUBSTITUTE(MID(UPPER(TRIM(F266)),4,99),"-LED",""),"-TK",""))</f>
        <v/>
      </c>
      <c r="Y266" s="23" t="str">
        <f aca="false">IF(X266="","",(LEN(X266)+1)/7)</f>
        <v/>
      </c>
      <c r="Z266" s="23" t="str">
        <f aca="false">IF(X266="","",LEFT(X266,6))</f>
        <v/>
      </c>
      <c r="AA266" s="23" t="str">
        <f aca="false">IF(X266="","",IF(Y266&gt;=3,MID(X266,8,6),""))</f>
        <v/>
      </c>
      <c r="AB266" s="23" t="str">
        <f aca="false">IF(X266="","",IF(Y266&gt;=4,MID(X266,15,6),""))</f>
        <v/>
      </c>
      <c r="AC266" s="23" t="str">
        <f aca="false">IF(X266="","",IF(Y266&gt;=5,MID(X266,22,6),""))</f>
        <v/>
      </c>
      <c r="AD266" s="23" t="str">
        <f aca="false">IF(X266="","",RIGHT(X266,6))</f>
        <v/>
      </c>
      <c r="AE266" s="23" t="str">
        <f aca="false">IF(F266="","",IF(ISNUMBER(SEARCH("-TK",UPPER(F266))),0,1))</f>
        <v/>
      </c>
      <c r="AF266" s="23" t="str">
        <f aca="false">IF(F266="","",IF(ISNUMBER(SEARCH("-LED",UPPER(F266))),1,0))</f>
        <v/>
      </c>
      <c r="AG266" s="24" t="n">
        <f aca="false">IF(Z266="",0,IFERROR(INDEX(Resep!$C$5:$C$7,MATCH(LEFT(Z266,3),Resep!$B$5:$B$7,0)),0))</f>
        <v>0</v>
      </c>
      <c r="AH266" s="24" t="n">
        <f aca="false">IF(AA266="",0,IFERROR(INDEX(Resep!$C$9:$C$13,MATCH(LEFT(AA266,3),Resep!$B$9:$B$13,0)),0))</f>
        <v>0</v>
      </c>
      <c r="AI266" s="24" t="n">
        <f aca="false">IF(AB266="",0,IFERROR(INDEX(Resep!$C$9:$C$13,MATCH(LEFT(AB266,3),Resep!$B$9:$B$13,0)),0))</f>
        <v>0</v>
      </c>
      <c r="AJ266" s="24" t="n">
        <f aca="false">IF(AC266="",0,IFERROR(INDEX(Resep!$C$9:$C$13,MATCH(LEFT(AC266,3),Resep!$B$9:$B$13,0)),0))</f>
        <v>0</v>
      </c>
      <c r="AK266" s="24" t="n">
        <f aca="false">IF(AD266="",0,IFERROR(INDEX(Resep!$C$15:$C$18,MATCH(LEFT(AD266,3),Resep!$B$15:$B$18,0)),0))</f>
        <v>0</v>
      </c>
      <c r="AL266" s="24" t="str">
        <f aca="false">IF(X266="","",AG266+AH266+AI266+AJ266+AK266)</f>
        <v/>
      </c>
      <c r="AM266" s="22" t="str">
        <f aca="false">IF(X266="","",AL266*(Pengaturan!$B$6+Pengaturan!$B$7)+Pengaturan!$B$8+AE266*Pengaturan!$B$9+AF266*Pengaturan!$B$10)</f>
        <v/>
      </c>
      <c r="AN266" s="22" t="str">
        <f aca="false">IF(X266="","",N(G266)-AM266)</f>
        <v/>
      </c>
      <c r="AO266" s="25" t="str">
        <f aca="false">IF(OR(X266="",N(G266)=0),"",AN266/G266)</f>
        <v/>
      </c>
    </row>
    <row r="267" customFormat="false" ht="15" hidden="false" customHeight="false" outlineLevel="0" collapsed="false">
      <c r="A267" s="19"/>
      <c r="B267" s="20"/>
      <c r="C267" s="19"/>
      <c r="D267" s="19"/>
      <c r="E267" s="19"/>
      <c r="F267" s="19"/>
      <c r="G267" s="21"/>
      <c r="H267" s="19"/>
      <c r="I267" s="21"/>
      <c r="J267" s="19"/>
      <c r="K267" s="20"/>
      <c r="L267" s="20"/>
      <c r="M267" s="19"/>
      <c r="N267" s="19"/>
      <c r="O267" s="20"/>
      <c r="P267" s="20"/>
      <c r="Q267" s="19"/>
      <c r="R267" s="22" t="str">
        <f aca="false">IF(A267="","",N(G267)+N(I267))</f>
        <v/>
      </c>
      <c r="S267" s="23" t="str">
        <f aca="false">IF(OR(K267="",O267=""),"",O267-K267)</f>
        <v/>
      </c>
      <c r="T267" s="23" t="str">
        <f aca="true">IF(AND(C267="Cetak",L267&lt;&gt;"",L267&lt;TODAY()),"YA","")</f>
        <v/>
      </c>
      <c r="U267" s="23" t="str">
        <f aca="false">IF(B267="","",TEXT(B267,"yyyy-mm"))</f>
        <v/>
      </c>
      <c r="V267" s="23" t="str">
        <f aca="false">IF(K267="","",TEXT(K267,"yyyy-mm"))</f>
        <v/>
      </c>
      <c r="W267" s="23" t="n">
        <f aca="false">IF(OR(C267="Cetak",C267="Dikirim",C267="Selesai"),1,0)</f>
        <v>0</v>
      </c>
      <c r="X267" s="23" t="str">
        <f aca="false">IF(F267="","",SUBSTITUTE(SUBSTITUTE(MID(UPPER(TRIM(F267)),4,99),"-LED",""),"-TK",""))</f>
        <v/>
      </c>
      <c r="Y267" s="23" t="str">
        <f aca="false">IF(X267="","",(LEN(X267)+1)/7)</f>
        <v/>
      </c>
      <c r="Z267" s="23" t="str">
        <f aca="false">IF(X267="","",LEFT(X267,6))</f>
        <v/>
      </c>
      <c r="AA267" s="23" t="str">
        <f aca="false">IF(X267="","",IF(Y267&gt;=3,MID(X267,8,6),""))</f>
        <v/>
      </c>
      <c r="AB267" s="23" t="str">
        <f aca="false">IF(X267="","",IF(Y267&gt;=4,MID(X267,15,6),""))</f>
        <v/>
      </c>
      <c r="AC267" s="23" t="str">
        <f aca="false">IF(X267="","",IF(Y267&gt;=5,MID(X267,22,6),""))</f>
        <v/>
      </c>
      <c r="AD267" s="23" t="str">
        <f aca="false">IF(X267="","",RIGHT(X267,6))</f>
        <v/>
      </c>
      <c r="AE267" s="23" t="str">
        <f aca="false">IF(F267="","",IF(ISNUMBER(SEARCH("-TK",UPPER(F267))),0,1))</f>
        <v/>
      </c>
      <c r="AF267" s="23" t="str">
        <f aca="false">IF(F267="","",IF(ISNUMBER(SEARCH("-LED",UPPER(F267))),1,0))</f>
        <v/>
      </c>
      <c r="AG267" s="24" t="n">
        <f aca="false">IF(Z267="",0,IFERROR(INDEX(Resep!$C$5:$C$7,MATCH(LEFT(Z267,3),Resep!$B$5:$B$7,0)),0))</f>
        <v>0</v>
      </c>
      <c r="AH267" s="24" t="n">
        <f aca="false">IF(AA267="",0,IFERROR(INDEX(Resep!$C$9:$C$13,MATCH(LEFT(AA267,3),Resep!$B$9:$B$13,0)),0))</f>
        <v>0</v>
      </c>
      <c r="AI267" s="24" t="n">
        <f aca="false">IF(AB267="",0,IFERROR(INDEX(Resep!$C$9:$C$13,MATCH(LEFT(AB267,3),Resep!$B$9:$B$13,0)),0))</f>
        <v>0</v>
      </c>
      <c r="AJ267" s="24" t="n">
        <f aca="false">IF(AC267="",0,IFERROR(INDEX(Resep!$C$9:$C$13,MATCH(LEFT(AC267,3),Resep!$B$9:$B$13,0)),0))</f>
        <v>0</v>
      </c>
      <c r="AK267" s="24" t="n">
        <f aca="false">IF(AD267="",0,IFERROR(INDEX(Resep!$C$15:$C$18,MATCH(LEFT(AD267,3),Resep!$B$15:$B$18,0)),0))</f>
        <v>0</v>
      </c>
      <c r="AL267" s="24" t="str">
        <f aca="false">IF(X267="","",AG267+AH267+AI267+AJ267+AK267)</f>
        <v/>
      </c>
      <c r="AM267" s="22" t="str">
        <f aca="false">IF(X267="","",AL267*(Pengaturan!$B$6+Pengaturan!$B$7)+Pengaturan!$B$8+AE267*Pengaturan!$B$9+AF267*Pengaturan!$B$10)</f>
        <v/>
      </c>
      <c r="AN267" s="22" t="str">
        <f aca="false">IF(X267="","",N(G267)-AM267)</f>
        <v/>
      </c>
      <c r="AO267" s="25" t="str">
        <f aca="false">IF(OR(X267="",N(G267)=0),"",AN267/G267)</f>
        <v/>
      </c>
    </row>
    <row r="268" customFormat="false" ht="15" hidden="false" customHeight="false" outlineLevel="0" collapsed="false">
      <c r="A268" s="19"/>
      <c r="B268" s="20"/>
      <c r="C268" s="19"/>
      <c r="D268" s="19"/>
      <c r="E268" s="19"/>
      <c r="F268" s="19"/>
      <c r="G268" s="21"/>
      <c r="H268" s="19"/>
      <c r="I268" s="21"/>
      <c r="J268" s="19"/>
      <c r="K268" s="20"/>
      <c r="L268" s="20"/>
      <c r="M268" s="19"/>
      <c r="N268" s="19"/>
      <c r="O268" s="20"/>
      <c r="P268" s="20"/>
      <c r="Q268" s="19"/>
      <c r="R268" s="22" t="str">
        <f aca="false">IF(A268="","",N(G268)+N(I268))</f>
        <v/>
      </c>
      <c r="S268" s="23" t="str">
        <f aca="false">IF(OR(K268="",O268=""),"",O268-K268)</f>
        <v/>
      </c>
      <c r="T268" s="23" t="str">
        <f aca="true">IF(AND(C268="Cetak",L268&lt;&gt;"",L268&lt;TODAY()),"YA","")</f>
        <v/>
      </c>
      <c r="U268" s="23" t="str">
        <f aca="false">IF(B268="","",TEXT(B268,"yyyy-mm"))</f>
        <v/>
      </c>
      <c r="V268" s="23" t="str">
        <f aca="false">IF(K268="","",TEXT(K268,"yyyy-mm"))</f>
        <v/>
      </c>
      <c r="W268" s="23" t="n">
        <f aca="false">IF(OR(C268="Cetak",C268="Dikirim",C268="Selesai"),1,0)</f>
        <v>0</v>
      </c>
      <c r="X268" s="23" t="str">
        <f aca="false">IF(F268="","",SUBSTITUTE(SUBSTITUTE(MID(UPPER(TRIM(F268)),4,99),"-LED",""),"-TK",""))</f>
        <v/>
      </c>
      <c r="Y268" s="23" t="str">
        <f aca="false">IF(X268="","",(LEN(X268)+1)/7)</f>
        <v/>
      </c>
      <c r="Z268" s="23" t="str">
        <f aca="false">IF(X268="","",LEFT(X268,6))</f>
        <v/>
      </c>
      <c r="AA268" s="23" t="str">
        <f aca="false">IF(X268="","",IF(Y268&gt;=3,MID(X268,8,6),""))</f>
        <v/>
      </c>
      <c r="AB268" s="23" t="str">
        <f aca="false">IF(X268="","",IF(Y268&gt;=4,MID(X268,15,6),""))</f>
        <v/>
      </c>
      <c r="AC268" s="23" t="str">
        <f aca="false">IF(X268="","",IF(Y268&gt;=5,MID(X268,22,6),""))</f>
        <v/>
      </c>
      <c r="AD268" s="23" t="str">
        <f aca="false">IF(X268="","",RIGHT(X268,6))</f>
        <v/>
      </c>
      <c r="AE268" s="23" t="str">
        <f aca="false">IF(F268="","",IF(ISNUMBER(SEARCH("-TK",UPPER(F268))),0,1))</f>
        <v/>
      </c>
      <c r="AF268" s="23" t="str">
        <f aca="false">IF(F268="","",IF(ISNUMBER(SEARCH("-LED",UPPER(F268))),1,0))</f>
        <v/>
      </c>
      <c r="AG268" s="24" t="n">
        <f aca="false">IF(Z268="",0,IFERROR(INDEX(Resep!$C$5:$C$7,MATCH(LEFT(Z268,3),Resep!$B$5:$B$7,0)),0))</f>
        <v>0</v>
      </c>
      <c r="AH268" s="24" t="n">
        <f aca="false">IF(AA268="",0,IFERROR(INDEX(Resep!$C$9:$C$13,MATCH(LEFT(AA268,3),Resep!$B$9:$B$13,0)),0))</f>
        <v>0</v>
      </c>
      <c r="AI268" s="24" t="n">
        <f aca="false">IF(AB268="",0,IFERROR(INDEX(Resep!$C$9:$C$13,MATCH(LEFT(AB268,3),Resep!$B$9:$B$13,0)),0))</f>
        <v>0</v>
      </c>
      <c r="AJ268" s="24" t="n">
        <f aca="false">IF(AC268="",0,IFERROR(INDEX(Resep!$C$9:$C$13,MATCH(LEFT(AC268,3),Resep!$B$9:$B$13,0)),0))</f>
        <v>0</v>
      </c>
      <c r="AK268" s="24" t="n">
        <f aca="false">IF(AD268="",0,IFERROR(INDEX(Resep!$C$15:$C$18,MATCH(LEFT(AD268,3),Resep!$B$15:$B$18,0)),0))</f>
        <v>0</v>
      </c>
      <c r="AL268" s="24" t="str">
        <f aca="false">IF(X268="","",AG268+AH268+AI268+AJ268+AK268)</f>
        <v/>
      </c>
      <c r="AM268" s="22" t="str">
        <f aca="false">IF(X268="","",AL268*(Pengaturan!$B$6+Pengaturan!$B$7)+Pengaturan!$B$8+AE268*Pengaturan!$B$9+AF268*Pengaturan!$B$10)</f>
        <v/>
      </c>
      <c r="AN268" s="22" t="str">
        <f aca="false">IF(X268="","",N(G268)-AM268)</f>
        <v/>
      </c>
      <c r="AO268" s="25" t="str">
        <f aca="false">IF(OR(X268="",N(G268)=0),"",AN268/G268)</f>
        <v/>
      </c>
    </row>
    <row r="269" customFormat="false" ht="15" hidden="false" customHeight="false" outlineLevel="0" collapsed="false">
      <c r="A269" s="19"/>
      <c r="B269" s="20"/>
      <c r="C269" s="19"/>
      <c r="D269" s="19"/>
      <c r="E269" s="19"/>
      <c r="F269" s="19"/>
      <c r="G269" s="21"/>
      <c r="H269" s="19"/>
      <c r="I269" s="21"/>
      <c r="J269" s="19"/>
      <c r="K269" s="20"/>
      <c r="L269" s="20"/>
      <c r="M269" s="19"/>
      <c r="N269" s="19"/>
      <c r="O269" s="20"/>
      <c r="P269" s="20"/>
      <c r="Q269" s="19"/>
      <c r="R269" s="22" t="str">
        <f aca="false">IF(A269="","",N(G269)+N(I269))</f>
        <v/>
      </c>
      <c r="S269" s="23" t="str">
        <f aca="false">IF(OR(K269="",O269=""),"",O269-K269)</f>
        <v/>
      </c>
      <c r="T269" s="23" t="str">
        <f aca="true">IF(AND(C269="Cetak",L269&lt;&gt;"",L269&lt;TODAY()),"YA","")</f>
        <v/>
      </c>
      <c r="U269" s="23" t="str">
        <f aca="false">IF(B269="","",TEXT(B269,"yyyy-mm"))</f>
        <v/>
      </c>
      <c r="V269" s="23" t="str">
        <f aca="false">IF(K269="","",TEXT(K269,"yyyy-mm"))</f>
        <v/>
      </c>
      <c r="W269" s="23" t="n">
        <f aca="false">IF(OR(C269="Cetak",C269="Dikirim",C269="Selesai"),1,0)</f>
        <v>0</v>
      </c>
      <c r="X269" s="23" t="str">
        <f aca="false">IF(F269="","",SUBSTITUTE(SUBSTITUTE(MID(UPPER(TRIM(F269)),4,99),"-LED",""),"-TK",""))</f>
        <v/>
      </c>
      <c r="Y269" s="23" t="str">
        <f aca="false">IF(X269="","",(LEN(X269)+1)/7)</f>
        <v/>
      </c>
      <c r="Z269" s="23" t="str">
        <f aca="false">IF(X269="","",LEFT(X269,6))</f>
        <v/>
      </c>
      <c r="AA269" s="23" t="str">
        <f aca="false">IF(X269="","",IF(Y269&gt;=3,MID(X269,8,6),""))</f>
        <v/>
      </c>
      <c r="AB269" s="23" t="str">
        <f aca="false">IF(X269="","",IF(Y269&gt;=4,MID(X269,15,6),""))</f>
        <v/>
      </c>
      <c r="AC269" s="23" t="str">
        <f aca="false">IF(X269="","",IF(Y269&gt;=5,MID(X269,22,6),""))</f>
        <v/>
      </c>
      <c r="AD269" s="23" t="str">
        <f aca="false">IF(X269="","",RIGHT(X269,6))</f>
        <v/>
      </c>
      <c r="AE269" s="23" t="str">
        <f aca="false">IF(F269="","",IF(ISNUMBER(SEARCH("-TK",UPPER(F269))),0,1))</f>
        <v/>
      </c>
      <c r="AF269" s="23" t="str">
        <f aca="false">IF(F269="","",IF(ISNUMBER(SEARCH("-LED",UPPER(F269))),1,0))</f>
        <v/>
      </c>
      <c r="AG269" s="24" t="n">
        <f aca="false">IF(Z269="",0,IFERROR(INDEX(Resep!$C$5:$C$7,MATCH(LEFT(Z269,3),Resep!$B$5:$B$7,0)),0))</f>
        <v>0</v>
      </c>
      <c r="AH269" s="24" t="n">
        <f aca="false">IF(AA269="",0,IFERROR(INDEX(Resep!$C$9:$C$13,MATCH(LEFT(AA269,3),Resep!$B$9:$B$13,0)),0))</f>
        <v>0</v>
      </c>
      <c r="AI269" s="24" t="n">
        <f aca="false">IF(AB269="",0,IFERROR(INDEX(Resep!$C$9:$C$13,MATCH(LEFT(AB269,3),Resep!$B$9:$B$13,0)),0))</f>
        <v>0</v>
      </c>
      <c r="AJ269" s="24" t="n">
        <f aca="false">IF(AC269="",0,IFERROR(INDEX(Resep!$C$9:$C$13,MATCH(LEFT(AC269,3),Resep!$B$9:$B$13,0)),0))</f>
        <v>0</v>
      </c>
      <c r="AK269" s="24" t="n">
        <f aca="false">IF(AD269="",0,IFERROR(INDEX(Resep!$C$15:$C$18,MATCH(LEFT(AD269,3),Resep!$B$15:$B$18,0)),0))</f>
        <v>0</v>
      </c>
      <c r="AL269" s="24" t="str">
        <f aca="false">IF(X269="","",AG269+AH269+AI269+AJ269+AK269)</f>
        <v/>
      </c>
      <c r="AM269" s="22" t="str">
        <f aca="false">IF(X269="","",AL269*(Pengaturan!$B$6+Pengaturan!$B$7)+Pengaturan!$B$8+AE269*Pengaturan!$B$9+AF269*Pengaturan!$B$10)</f>
        <v/>
      </c>
      <c r="AN269" s="22" t="str">
        <f aca="false">IF(X269="","",N(G269)-AM269)</f>
        <v/>
      </c>
      <c r="AO269" s="25" t="str">
        <f aca="false">IF(OR(X269="",N(G269)=0),"",AN269/G269)</f>
        <v/>
      </c>
    </row>
    <row r="270" customFormat="false" ht="15" hidden="false" customHeight="false" outlineLevel="0" collapsed="false">
      <c r="A270" s="19"/>
      <c r="B270" s="20"/>
      <c r="C270" s="19"/>
      <c r="D270" s="19"/>
      <c r="E270" s="19"/>
      <c r="F270" s="19"/>
      <c r="G270" s="21"/>
      <c r="H270" s="19"/>
      <c r="I270" s="21"/>
      <c r="J270" s="19"/>
      <c r="K270" s="20"/>
      <c r="L270" s="20"/>
      <c r="M270" s="19"/>
      <c r="N270" s="19"/>
      <c r="O270" s="20"/>
      <c r="P270" s="20"/>
      <c r="Q270" s="19"/>
      <c r="R270" s="22" t="str">
        <f aca="false">IF(A270="","",N(G270)+N(I270))</f>
        <v/>
      </c>
      <c r="S270" s="23" t="str">
        <f aca="false">IF(OR(K270="",O270=""),"",O270-K270)</f>
        <v/>
      </c>
      <c r="T270" s="23" t="str">
        <f aca="true">IF(AND(C270="Cetak",L270&lt;&gt;"",L270&lt;TODAY()),"YA","")</f>
        <v/>
      </c>
      <c r="U270" s="23" t="str">
        <f aca="false">IF(B270="","",TEXT(B270,"yyyy-mm"))</f>
        <v/>
      </c>
      <c r="V270" s="23" t="str">
        <f aca="false">IF(K270="","",TEXT(K270,"yyyy-mm"))</f>
        <v/>
      </c>
      <c r="W270" s="23" t="n">
        <f aca="false">IF(OR(C270="Cetak",C270="Dikirim",C270="Selesai"),1,0)</f>
        <v>0</v>
      </c>
      <c r="X270" s="23" t="str">
        <f aca="false">IF(F270="","",SUBSTITUTE(SUBSTITUTE(MID(UPPER(TRIM(F270)),4,99),"-LED",""),"-TK",""))</f>
        <v/>
      </c>
      <c r="Y270" s="23" t="str">
        <f aca="false">IF(X270="","",(LEN(X270)+1)/7)</f>
        <v/>
      </c>
      <c r="Z270" s="23" t="str">
        <f aca="false">IF(X270="","",LEFT(X270,6))</f>
        <v/>
      </c>
      <c r="AA270" s="23" t="str">
        <f aca="false">IF(X270="","",IF(Y270&gt;=3,MID(X270,8,6),""))</f>
        <v/>
      </c>
      <c r="AB270" s="23" t="str">
        <f aca="false">IF(X270="","",IF(Y270&gt;=4,MID(X270,15,6),""))</f>
        <v/>
      </c>
      <c r="AC270" s="23" t="str">
        <f aca="false">IF(X270="","",IF(Y270&gt;=5,MID(X270,22,6),""))</f>
        <v/>
      </c>
      <c r="AD270" s="23" t="str">
        <f aca="false">IF(X270="","",RIGHT(X270,6))</f>
        <v/>
      </c>
      <c r="AE270" s="23" t="str">
        <f aca="false">IF(F270="","",IF(ISNUMBER(SEARCH("-TK",UPPER(F270))),0,1))</f>
        <v/>
      </c>
      <c r="AF270" s="23" t="str">
        <f aca="false">IF(F270="","",IF(ISNUMBER(SEARCH("-LED",UPPER(F270))),1,0))</f>
        <v/>
      </c>
      <c r="AG270" s="24" t="n">
        <f aca="false">IF(Z270="",0,IFERROR(INDEX(Resep!$C$5:$C$7,MATCH(LEFT(Z270,3),Resep!$B$5:$B$7,0)),0))</f>
        <v>0</v>
      </c>
      <c r="AH270" s="24" t="n">
        <f aca="false">IF(AA270="",0,IFERROR(INDEX(Resep!$C$9:$C$13,MATCH(LEFT(AA270,3),Resep!$B$9:$B$13,0)),0))</f>
        <v>0</v>
      </c>
      <c r="AI270" s="24" t="n">
        <f aca="false">IF(AB270="",0,IFERROR(INDEX(Resep!$C$9:$C$13,MATCH(LEFT(AB270,3),Resep!$B$9:$B$13,0)),0))</f>
        <v>0</v>
      </c>
      <c r="AJ270" s="24" t="n">
        <f aca="false">IF(AC270="",0,IFERROR(INDEX(Resep!$C$9:$C$13,MATCH(LEFT(AC270,3),Resep!$B$9:$B$13,0)),0))</f>
        <v>0</v>
      </c>
      <c r="AK270" s="24" t="n">
        <f aca="false">IF(AD270="",0,IFERROR(INDEX(Resep!$C$15:$C$18,MATCH(LEFT(AD270,3),Resep!$B$15:$B$18,0)),0))</f>
        <v>0</v>
      </c>
      <c r="AL270" s="24" t="str">
        <f aca="false">IF(X270="","",AG270+AH270+AI270+AJ270+AK270)</f>
        <v/>
      </c>
      <c r="AM270" s="22" t="str">
        <f aca="false">IF(X270="","",AL270*(Pengaturan!$B$6+Pengaturan!$B$7)+Pengaturan!$B$8+AE270*Pengaturan!$B$9+AF270*Pengaturan!$B$10)</f>
        <v/>
      </c>
      <c r="AN270" s="22" t="str">
        <f aca="false">IF(X270="","",N(G270)-AM270)</f>
        <v/>
      </c>
      <c r="AO270" s="25" t="str">
        <f aca="false">IF(OR(X270="",N(G270)=0),"",AN270/G270)</f>
        <v/>
      </c>
    </row>
    <row r="271" customFormat="false" ht="15" hidden="false" customHeight="false" outlineLevel="0" collapsed="false">
      <c r="A271" s="19"/>
      <c r="B271" s="20"/>
      <c r="C271" s="19"/>
      <c r="D271" s="19"/>
      <c r="E271" s="19"/>
      <c r="F271" s="19"/>
      <c r="G271" s="21"/>
      <c r="H271" s="19"/>
      <c r="I271" s="21"/>
      <c r="J271" s="19"/>
      <c r="K271" s="20"/>
      <c r="L271" s="20"/>
      <c r="M271" s="19"/>
      <c r="N271" s="19"/>
      <c r="O271" s="20"/>
      <c r="P271" s="20"/>
      <c r="Q271" s="19"/>
      <c r="R271" s="22" t="str">
        <f aca="false">IF(A271="","",N(G271)+N(I271))</f>
        <v/>
      </c>
      <c r="S271" s="23" t="str">
        <f aca="false">IF(OR(K271="",O271=""),"",O271-K271)</f>
        <v/>
      </c>
      <c r="T271" s="23" t="str">
        <f aca="true">IF(AND(C271="Cetak",L271&lt;&gt;"",L271&lt;TODAY()),"YA","")</f>
        <v/>
      </c>
      <c r="U271" s="23" t="str">
        <f aca="false">IF(B271="","",TEXT(B271,"yyyy-mm"))</f>
        <v/>
      </c>
      <c r="V271" s="23" t="str">
        <f aca="false">IF(K271="","",TEXT(K271,"yyyy-mm"))</f>
        <v/>
      </c>
      <c r="W271" s="23" t="n">
        <f aca="false">IF(OR(C271="Cetak",C271="Dikirim",C271="Selesai"),1,0)</f>
        <v>0</v>
      </c>
      <c r="X271" s="23" t="str">
        <f aca="false">IF(F271="","",SUBSTITUTE(SUBSTITUTE(MID(UPPER(TRIM(F271)),4,99),"-LED",""),"-TK",""))</f>
        <v/>
      </c>
      <c r="Y271" s="23" t="str">
        <f aca="false">IF(X271="","",(LEN(X271)+1)/7)</f>
        <v/>
      </c>
      <c r="Z271" s="23" t="str">
        <f aca="false">IF(X271="","",LEFT(X271,6))</f>
        <v/>
      </c>
      <c r="AA271" s="23" t="str">
        <f aca="false">IF(X271="","",IF(Y271&gt;=3,MID(X271,8,6),""))</f>
        <v/>
      </c>
      <c r="AB271" s="23" t="str">
        <f aca="false">IF(X271="","",IF(Y271&gt;=4,MID(X271,15,6),""))</f>
        <v/>
      </c>
      <c r="AC271" s="23" t="str">
        <f aca="false">IF(X271="","",IF(Y271&gt;=5,MID(X271,22,6),""))</f>
        <v/>
      </c>
      <c r="AD271" s="23" t="str">
        <f aca="false">IF(X271="","",RIGHT(X271,6))</f>
        <v/>
      </c>
      <c r="AE271" s="23" t="str">
        <f aca="false">IF(F271="","",IF(ISNUMBER(SEARCH("-TK",UPPER(F271))),0,1))</f>
        <v/>
      </c>
      <c r="AF271" s="23" t="str">
        <f aca="false">IF(F271="","",IF(ISNUMBER(SEARCH("-LED",UPPER(F271))),1,0))</f>
        <v/>
      </c>
      <c r="AG271" s="24" t="n">
        <f aca="false">IF(Z271="",0,IFERROR(INDEX(Resep!$C$5:$C$7,MATCH(LEFT(Z271,3),Resep!$B$5:$B$7,0)),0))</f>
        <v>0</v>
      </c>
      <c r="AH271" s="24" t="n">
        <f aca="false">IF(AA271="",0,IFERROR(INDEX(Resep!$C$9:$C$13,MATCH(LEFT(AA271,3),Resep!$B$9:$B$13,0)),0))</f>
        <v>0</v>
      </c>
      <c r="AI271" s="24" t="n">
        <f aca="false">IF(AB271="",0,IFERROR(INDEX(Resep!$C$9:$C$13,MATCH(LEFT(AB271,3),Resep!$B$9:$B$13,0)),0))</f>
        <v>0</v>
      </c>
      <c r="AJ271" s="24" t="n">
        <f aca="false">IF(AC271="",0,IFERROR(INDEX(Resep!$C$9:$C$13,MATCH(LEFT(AC271,3),Resep!$B$9:$B$13,0)),0))</f>
        <v>0</v>
      </c>
      <c r="AK271" s="24" t="n">
        <f aca="false">IF(AD271="",0,IFERROR(INDEX(Resep!$C$15:$C$18,MATCH(LEFT(AD271,3),Resep!$B$15:$B$18,0)),0))</f>
        <v>0</v>
      </c>
      <c r="AL271" s="24" t="str">
        <f aca="false">IF(X271="","",AG271+AH271+AI271+AJ271+AK271)</f>
        <v/>
      </c>
      <c r="AM271" s="22" t="str">
        <f aca="false">IF(X271="","",AL271*(Pengaturan!$B$6+Pengaturan!$B$7)+Pengaturan!$B$8+AE271*Pengaturan!$B$9+AF271*Pengaturan!$B$10)</f>
        <v/>
      </c>
      <c r="AN271" s="22" t="str">
        <f aca="false">IF(X271="","",N(G271)-AM271)</f>
        <v/>
      </c>
      <c r="AO271" s="25" t="str">
        <f aca="false">IF(OR(X271="",N(G271)=0),"",AN271/G271)</f>
        <v/>
      </c>
    </row>
    <row r="272" customFormat="false" ht="15" hidden="false" customHeight="false" outlineLevel="0" collapsed="false">
      <c r="A272" s="19"/>
      <c r="B272" s="20"/>
      <c r="C272" s="19"/>
      <c r="D272" s="19"/>
      <c r="E272" s="19"/>
      <c r="F272" s="19"/>
      <c r="G272" s="21"/>
      <c r="H272" s="19"/>
      <c r="I272" s="21"/>
      <c r="J272" s="19"/>
      <c r="K272" s="20"/>
      <c r="L272" s="20"/>
      <c r="M272" s="19"/>
      <c r="N272" s="19"/>
      <c r="O272" s="20"/>
      <c r="P272" s="20"/>
      <c r="Q272" s="19"/>
      <c r="R272" s="22" t="str">
        <f aca="false">IF(A272="","",N(G272)+N(I272))</f>
        <v/>
      </c>
      <c r="S272" s="23" t="str">
        <f aca="false">IF(OR(K272="",O272=""),"",O272-K272)</f>
        <v/>
      </c>
      <c r="T272" s="23" t="str">
        <f aca="true">IF(AND(C272="Cetak",L272&lt;&gt;"",L272&lt;TODAY()),"YA","")</f>
        <v/>
      </c>
      <c r="U272" s="23" t="str">
        <f aca="false">IF(B272="","",TEXT(B272,"yyyy-mm"))</f>
        <v/>
      </c>
      <c r="V272" s="23" t="str">
        <f aca="false">IF(K272="","",TEXT(K272,"yyyy-mm"))</f>
        <v/>
      </c>
      <c r="W272" s="23" t="n">
        <f aca="false">IF(OR(C272="Cetak",C272="Dikirim",C272="Selesai"),1,0)</f>
        <v>0</v>
      </c>
      <c r="X272" s="23" t="str">
        <f aca="false">IF(F272="","",SUBSTITUTE(SUBSTITUTE(MID(UPPER(TRIM(F272)),4,99),"-LED",""),"-TK",""))</f>
        <v/>
      </c>
      <c r="Y272" s="23" t="str">
        <f aca="false">IF(X272="","",(LEN(X272)+1)/7)</f>
        <v/>
      </c>
      <c r="Z272" s="23" t="str">
        <f aca="false">IF(X272="","",LEFT(X272,6))</f>
        <v/>
      </c>
      <c r="AA272" s="23" t="str">
        <f aca="false">IF(X272="","",IF(Y272&gt;=3,MID(X272,8,6),""))</f>
        <v/>
      </c>
      <c r="AB272" s="23" t="str">
        <f aca="false">IF(X272="","",IF(Y272&gt;=4,MID(X272,15,6),""))</f>
        <v/>
      </c>
      <c r="AC272" s="23" t="str">
        <f aca="false">IF(X272="","",IF(Y272&gt;=5,MID(X272,22,6),""))</f>
        <v/>
      </c>
      <c r="AD272" s="23" t="str">
        <f aca="false">IF(X272="","",RIGHT(X272,6))</f>
        <v/>
      </c>
      <c r="AE272" s="23" t="str">
        <f aca="false">IF(F272="","",IF(ISNUMBER(SEARCH("-TK",UPPER(F272))),0,1))</f>
        <v/>
      </c>
      <c r="AF272" s="23" t="str">
        <f aca="false">IF(F272="","",IF(ISNUMBER(SEARCH("-LED",UPPER(F272))),1,0))</f>
        <v/>
      </c>
      <c r="AG272" s="24" t="n">
        <f aca="false">IF(Z272="",0,IFERROR(INDEX(Resep!$C$5:$C$7,MATCH(LEFT(Z272,3),Resep!$B$5:$B$7,0)),0))</f>
        <v>0</v>
      </c>
      <c r="AH272" s="24" t="n">
        <f aca="false">IF(AA272="",0,IFERROR(INDEX(Resep!$C$9:$C$13,MATCH(LEFT(AA272,3),Resep!$B$9:$B$13,0)),0))</f>
        <v>0</v>
      </c>
      <c r="AI272" s="24" t="n">
        <f aca="false">IF(AB272="",0,IFERROR(INDEX(Resep!$C$9:$C$13,MATCH(LEFT(AB272,3),Resep!$B$9:$B$13,0)),0))</f>
        <v>0</v>
      </c>
      <c r="AJ272" s="24" t="n">
        <f aca="false">IF(AC272="",0,IFERROR(INDEX(Resep!$C$9:$C$13,MATCH(LEFT(AC272,3),Resep!$B$9:$B$13,0)),0))</f>
        <v>0</v>
      </c>
      <c r="AK272" s="24" t="n">
        <f aca="false">IF(AD272="",0,IFERROR(INDEX(Resep!$C$15:$C$18,MATCH(LEFT(AD272,3),Resep!$B$15:$B$18,0)),0))</f>
        <v>0</v>
      </c>
      <c r="AL272" s="24" t="str">
        <f aca="false">IF(X272="","",AG272+AH272+AI272+AJ272+AK272)</f>
        <v/>
      </c>
      <c r="AM272" s="22" t="str">
        <f aca="false">IF(X272="","",AL272*(Pengaturan!$B$6+Pengaturan!$B$7)+Pengaturan!$B$8+AE272*Pengaturan!$B$9+AF272*Pengaturan!$B$10)</f>
        <v/>
      </c>
      <c r="AN272" s="22" t="str">
        <f aca="false">IF(X272="","",N(G272)-AM272)</f>
        <v/>
      </c>
      <c r="AO272" s="25" t="str">
        <f aca="false">IF(OR(X272="",N(G272)=0),"",AN272/G272)</f>
        <v/>
      </c>
    </row>
    <row r="273" customFormat="false" ht="15" hidden="false" customHeight="false" outlineLevel="0" collapsed="false">
      <c r="A273" s="19"/>
      <c r="B273" s="20"/>
      <c r="C273" s="19"/>
      <c r="D273" s="19"/>
      <c r="E273" s="19"/>
      <c r="F273" s="19"/>
      <c r="G273" s="21"/>
      <c r="H273" s="19"/>
      <c r="I273" s="21"/>
      <c r="J273" s="19"/>
      <c r="K273" s="20"/>
      <c r="L273" s="20"/>
      <c r="M273" s="19"/>
      <c r="N273" s="19"/>
      <c r="O273" s="20"/>
      <c r="P273" s="20"/>
      <c r="Q273" s="19"/>
      <c r="R273" s="22" t="str">
        <f aca="false">IF(A273="","",N(G273)+N(I273))</f>
        <v/>
      </c>
      <c r="S273" s="23" t="str">
        <f aca="false">IF(OR(K273="",O273=""),"",O273-K273)</f>
        <v/>
      </c>
      <c r="T273" s="23" t="str">
        <f aca="true">IF(AND(C273="Cetak",L273&lt;&gt;"",L273&lt;TODAY()),"YA","")</f>
        <v/>
      </c>
      <c r="U273" s="23" t="str">
        <f aca="false">IF(B273="","",TEXT(B273,"yyyy-mm"))</f>
        <v/>
      </c>
      <c r="V273" s="23" t="str">
        <f aca="false">IF(K273="","",TEXT(K273,"yyyy-mm"))</f>
        <v/>
      </c>
      <c r="W273" s="23" t="n">
        <f aca="false">IF(OR(C273="Cetak",C273="Dikirim",C273="Selesai"),1,0)</f>
        <v>0</v>
      </c>
      <c r="X273" s="23" t="str">
        <f aca="false">IF(F273="","",SUBSTITUTE(SUBSTITUTE(MID(UPPER(TRIM(F273)),4,99),"-LED",""),"-TK",""))</f>
        <v/>
      </c>
      <c r="Y273" s="23" t="str">
        <f aca="false">IF(X273="","",(LEN(X273)+1)/7)</f>
        <v/>
      </c>
      <c r="Z273" s="23" t="str">
        <f aca="false">IF(X273="","",LEFT(X273,6))</f>
        <v/>
      </c>
      <c r="AA273" s="23" t="str">
        <f aca="false">IF(X273="","",IF(Y273&gt;=3,MID(X273,8,6),""))</f>
        <v/>
      </c>
      <c r="AB273" s="23" t="str">
        <f aca="false">IF(X273="","",IF(Y273&gt;=4,MID(X273,15,6),""))</f>
        <v/>
      </c>
      <c r="AC273" s="23" t="str">
        <f aca="false">IF(X273="","",IF(Y273&gt;=5,MID(X273,22,6),""))</f>
        <v/>
      </c>
      <c r="AD273" s="23" t="str">
        <f aca="false">IF(X273="","",RIGHT(X273,6))</f>
        <v/>
      </c>
      <c r="AE273" s="23" t="str">
        <f aca="false">IF(F273="","",IF(ISNUMBER(SEARCH("-TK",UPPER(F273))),0,1))</f>
        <v/>
      </c>
      <c r="AF273" s="23" t="str">
        <f aca="false">IF(F273="","",IF(ISNUMBER(SEARCH("-LED",UPPER(F273))),1,0))</f>
        <v/>
      </c>
      <c r="AG273" s="24" t="n">
        <f aca="false">IF(Z273="",0,IFERROR(INDEX(Resep!$C$5:$C$7,MATCH(LEFT(Z273,3),Resep!$B$5:$B$7,0)),0))</f>
        <v>0</v>
      </c>
      <c r="AH273" s="24" t="n">
        <f aca="false">IF(AA273="",0,IFERROR(INDEX(Resep!$C$9:$C$13,MATCH(LEFT(AA273,3),Resep!$B$9:$B$13,0)),0))</f>
        <v>0</v>
      </c>
      <c r="AI273" s="24" t="n">
        <f aca="false">IF(AB273="",0,IFERROR(INDEX(Resep!$C$9:$C$13,MATCH(LEFT(AB273,3),Resep!$B$9:$B$13,0)),0))</f>
        <v>0</v>
      </c>
      <c r="AJ273" s="24" t="n">
        <f aca="false">IF(AC273="",0,IFERROR(INDEX(Resep!$C$9:$C$13,MATCH(LEFT(AC273,3),Resep!$B$9:$B$13,0)),0))</f>
        <v>0</v>
      </c>
      <c r="AK273" s="24" t="n">
        <f aca="false">IF(AD273="",0,IFERROR(INDEX(Resep!$C$15:$C$18,MATCH(LEFT(AD273,3),Resep!$B$15:$B$18,0)),0))</f>
        <v>0</v>
      </c>
      <c r="AL273" s="24" t="str">
        <f aca="false">IF(X273="","",AG273+AH273+AI273+AJ273+AK273)</f>
        <v/>
      </c>
      <c r="AM273" s="22" t="str">
        <f aca="false">IF(X273="","",AL273*(Pengaturan!$B$6+Pengaturan!$B$7)+Pengaturan!$B$8+AE273*Pengaturan!$B$9+AF273*Pengaturan!$B$10)</f>
        <v/>
      </c>
      <c r="AN273" s="22" t="str">
        <f aca="false">IF(X273="","",N(G273)-AM273)</f>
        <v/>
      </c>
      <c r="AO273" s="25" t="str">
        <f aca="false">IF(OR(X273="",N(G273)=0),"",AN273/G273)</f>
        <v/>
      </c>
    </row>
    <row r="274" customFormat="false" ht="15" hidden="false" customHeight="false" outlineLevel="0" collapsed="false">
      <c r="A274" s="19"/>
      <c r="B274" s="20"/>
      <c r="C274" s="19"/>
      <c r="D274" s="19"/>
      <c r="E274" s="19"/>
      <c r="F274" s="19"/>
      <c r="G274" s="21"/>
      <c r="H274" s="19"/>
      <c r="I274" s="21"/>
      <c r="J274" s="19"/>
      <c r="K274" s="20"/>
      <c r="L274" s="20"/>
      <c r="M274" s="19"/>
      <c r="N274" s="19"/>
      <c r="O274" s="20"/>
      <c r="P274" s="20"/>
      <c r="Q274" s="19"/>
      <c r="R274" s="22" t="str">
        <f aca="false">IF(A274="","",N(G274)+N(I274))</f>
        <v/>
      </c>
      <c r="S274" s="23" t="str">
        <f aca="false">IF(OR(K274="",O274=""),"",O274-K274)</f>
        <v/>
      </c>
      <c r="T274" s="23" t="str">
        <f aca="true">IF(AND(C274="Cetak",L274&lt;&gt;"",L274&lt;TODAY()),"YA","")</f>
        <v/>
      </c>
      <c r="U274" s="23" t="str">
        <f aca="false">IF(B274="","",TEXT(B274,"yyyy-mm"))</f>
        <v/>
      </c>
      <c r="V274" s="23" t="str">
        <f aca="false">IF(K274="","",TEXT(K274,"yyyy-mm"))</f>
        <v/>
      </c>
      <c r="W274" s="23" t="n">
        <f aca="false">IF(OR(C274="Cetak",C274="Dikirim",C274="Selesai"),1,0)</f>
        <v>0</v>
      </c>
      <c r="X274" s="23" t="str">
        <f aca="false">IF(F274="","",SUBSTITUTE(SUBSTITUTE(MID(UPPER(TRIM(F274)),4,99),"-LED",""),"-TK",""))</f>
        <v/>
      </c>
      <c r="Y274" s="23" t="str">
        <f aca="false">IF(X274="","",(LEN(X274)+1)/7)</f>
        <v/>
      </c>
      <c r="Z274" s="23" t="str">
        <f aca="false">IF(X274="","",LEFT(X274,6))</f>
        <v/>
      </c>
      <c r="AA274" s="23" t="str">
        <f aca="false">IF(X274="","",IF(Y274&gt;=3,MID(X274,8,6),""))</f>
        <v/>
      </c>
      <c r="AB274" s="23" t="str">
        <f aca="false">IF(X274="","",IF(Y274&gt;=4,MID(X274,15,6),""))</f>
        <v/>
      </c>
      <c r="AC274" s="23" t="str">
        <f aca="false">IF(X274="","",IF(Y274&gt;=5,MID(X274,22,6),""))</f>
        <v/>
      </c>
      <c r="AD274" s="23" t="str">
        <f aca="false">IF(X274="","",RIGHT(X274,6))</f>
        <v/>
      </c>
      <c r="AE274" s="23" t="str">
        <f aca="false">IF(F274="","",IF(ISNUMBER(SEARCH("-TK",UPPER(F274))),0,1))</f>
        <v/>
      </c>
      <c r="AF274" s="23" t="str">
        <f aca="false">IF(F274="","",IF(ISNUMBER(SEARCH("-LED",UPPER(F274))),1,0))</f>
        <v/>
      </c>
      <c r="AG274" s="24" t="n">
        <f aca="false">IF(Z274="",0,IFERROR(INDEX(Resep!$C$5:$C$7,MATCH(LEFT(Z274,3),Resep!$B$5:$B$7,0)),0))</f>
        <v>0</v>
      </c>
      <c r="AH274" s="24" t="n">
        <f aca="false">IF(AA274="",0,IFERROR(INDEX(Resep!$C$9:$C$13,MATCH(LEFT(AA274,3),Resep!$B$9:$B$13,0)),0))</f>
        <v>0</v>
      </c>
      <c r="AI274" s="24" t="n">
        <f aca="false">IF(AB274="",0,IFERROR(INDEX(Resep!$C$9:$C$13,MATCH(LEFT(AB274,3),Resep!$B$9:$B$13,0)),0))</f>
        <v>0</v>
      </c>
      <c r="AJ274" s="24" t="n">
        <f aca="false">IF(AC274="",0,IFERROR(INDEX(Resep!$C$9:$C$13,MATCH(LEFT(AC274,3),Resep!$B$9:$B$13,0)),0))</f>
        <v>0</v>
      </c>
      <c r="AK274" s="24" t="n">
        <f aca="false">IF(AD274="",0,IFERROR(INDEX(Resep!$C$15:$C$18,MATCH(LEFT(AD274,3),Resep!$B$15:$B$18,0)),0))</f>
        <v>0</v>
      </c>
      <c r="AL274" s="24" t="str">
        <f aca="false">IF(X274="","",AG274+AH274+AI274+AJ274+AK274)</f>
        <v/>
      </c>
      <c r="AM274" s="22" t="str">
        <f aca="false">IF(X274="","",AL274*(Pengaturan!$B$6+Pengaturan!$B$7)+Pengaturan!$B$8+AE274*Pengaturan!$B$9+AF274*Pengaturan!$B$10)</f>
        <v/>
      </c>
      <c r="AN274" s="22" t="str">
        <f aca="false">IF(X274="","",N(G274)-AM274)</f>
        <v/>
      </c>
      <c r="AO274" s="25" t="str">
        <f aca="false">IF(OR(X274="",N(G274)=0),"",AN274/G274)</f>
        <v/>
      </c>
    </row>
    <row r="275" customFormat="false" ht="15" hidden="false" customHeight="false" outlineLevel="0" collapsed="false">
      <c r="A275" s="19"/>
      <c r="B275" s="20"/>
      <c r="C275" s="19"/>
      <c r="D275" s="19"/>
      <c r="E275" s="19"/>
      <c r="F275" s="19"/>
      <c r="G275" s="21"/>
      <c r="H275" s="19"/>
      <c r="I275" s="21"/>
      <c r="J275" s="19"/>
      <c r="K275" s="20"/>
      <c r="L275" s="20"/>
      <c r="M275" s="19"/>
      <c r="N275" s="19"/>
      <c r="O275" s="20"/>
      <c r="P275" s="20"/>
      <c r="Q275" s="19"/>
      <c r="R275" s="22" t="str">
        <f aca="false">IF(A275="","",N(G275)+N(I275))</f>
        <v/>
      </c>
      <c r="S275" s="23" t="str">
        <f aca="false">IF(OR(K275="",O275=""),"",O275-K275)</f>
        <v/>
      </c>
      <c r="T275" s="23" t="str">
        <f aca="true">IF(AND(C275="Cetak",L275&lt;&gt;"",L275&lt;TODAY()),"YA","")</f>
        <v/>
      </c>
      <c r="U275" s="23" t="str">
        <f aca="false">IF(B275="","",TEXT(B275,"yyyy-mm"))</f>
        <v/>
      </c>
      <c r="V275" s="23" t="str">
        <f aca="false">IF(K275="","",TEXT(K275,"yyyy-mm"))</f>
        <v/>
      </c>
      <c r="W275" s="23" t="n">
        <f aca="false">IF(OR(C275="Cetak",C275="Dikirim",C275="Selesai"),1,0)</f>
        <v>0</v>
      </c>
      <c r="X275" s="23" t="str">
        <f aca="false">IF(F275="","",SUBSTITUTE(SUBSTITUTE(MID(UPPER(TRIM(F275)),4,99),"-LED",""),"-TK",""))</f>
        <v/>
      </c>
      <c r="Y275" s="23" t="str">
        <f aca="false">IF(X275="","",(LEN(X275)+1)/7)</f>
        <v/>
      </c>
      <c r="Z275" s="23" t="str">
        <f aca="false">IF(X275="","",LEFT(X275,6))</f>
        <v/>
      </c>
      <c r="AA275" s="23" t="str">
        <f aca="false">IF(X275="","",IF(Y275&gt;=3,MID(X275,8,6),""))</f>
        <v/>
      </c>
      <c r="AB275" s="23" t="str">
        <f aca="false">IF(X275="","",IF(Y275&gt;=4,MID(X275,15,6),""))</f>
        <v/>
      </c>
      <c r="AC275" s="23" t="str">
        <f aca="false">IF(X275="","",IF(Y275&gt;=5,MID(X275,22,6),""))</f>
        <v/>
      </c>
      <c r="AD275" s="23" t="str">
        <f aca="false">IF(X275="","",RIGHT(X275,6))</f>
        <v/>
      </c>
      <c r="AE275" s="23" t="str">
        <f aca="false">IF(F275="","",IF(ISNUMBER(SEARCH("-TK",UPPER(F275))),0,1))</f>
        <v/>
      </c>
      <c r="AF275" s="23" t="str">
        <f aca="false">IF(F275="","",IF(ISNUMBER(SEARCH("-LED",UPPER(F275))),1,0))</f>
        <v/>
      </c>
      <c r="AG275" s="24" t="n">
        <f aca="false">IF(Z275="",0,IFERROR(INDEX(Resep!$C$5:$C$7,MATCH(LEFT(Z275,3),Resep!$B$5:$B$7,0)),0))</f>
        <v>0</v>
      </c>
      <c r="AH275" s="24" t="n">
        <f aca="false">IF(AA275="",0,IFERROR(INDEX(Resep!$C$9:$C$13,MATCH(LEFT(AA275,3),Resep!$B$9:$B$13,0)),0))</f>
        <v>0</v>
      </c>
      <c r="AI275" s="24" t="n">
        <f aca="false">IF(AB275="",0,IFERROR(INDEX(Resep!$C$9:$C$13,MATCH(LEFT(AB275,3),Resep!$B$9:$B$13,0)),0))</f>
        <v>0</v>
      </c>
      <c r="AJ275" s="24" t="n">
        <f aca="false">IF(AC275="",0,IFERROR(INDEX(Resep!$C$9:$C$13,MATCH(LEFT(AC275,3),Resep!$B$9:$B$13,0)),0))</f>
        <v>0</v>
      </c>
      <c r="AK275" s="24" t="n">
        <f aca="false">IF(AD275="",0,IFERROR(INDEX(Resep!$C$15:$C$18,MATCH(LEFT(AD275,3),Resep!$B$15:$B$18,0)),0))</f>
        <v>0</v>
      </c>
      <c r="AL275" s="24" t="str">
        <f aca="false">IF(X275="","",AG275+AH275+AI275+AJ275+AK275)</f>
        <v/>
      </c>
      <c r="AM275" s="22" t="str">
        <f aca="false">IF(X275="","",AL275*(Pengaturan!$B$6+Pengaturan!$B$7)+Pengaturan!$B$8+AE275*Pengaturan!$B$9+AF275*Pengaturan!$B$10)</f>
        <v/>
      </c>
      <c r="AN275" s="22" t="str">
        <f aca="false">IF(X275="","",N(G275)-AM275)</f>
        <v/>
      </c>
      <c r="AO275" s="25" t="str">
        <f aca="false">IF(OR(X275="",N(G275)=0),"",AN275/G275)</f>
        <v/>
      </c>
    </row>
    <row r="276" customFormat="false" ht="15" hidden="false" customHeight="false" outlineLevel="0" collapsed="false">
      <c r="A276" s="19"/>
      <c r="B276" s="20"/>
      <c r="C276" s="19"/>
      <c r="D276" s="19"/>
      <c r="E276" s="19"/>
      <c r="F276" s="19"/>
      <c r="G276" s="21"/>
      <c r="H276" s="19"/>
      <c r="I276" s="21"/>
      <c r="J276" s="19"/>
      <c r="K276" s="20"/>
      <c r="L276" s="20"/>
      <c r="M276" s="19"/>
      <c r="N276" s="19"/>
      <c r="O276" s="20"/>
      <c r="P276" s="20"/>
      <c r="Q276" s="19"/>
      <c r="R276" s="22" t="str">
        <f aca="false">IF(A276="","",N(G276)+N(I276))</f>
        <v/>
      </c>
      <c r="S276" s="23" t="str">
        <f aca="false">IF(OR(K276="",O276=""),"",O276-K276)</f>
        <v/>
      </c>
      <c r="T276" s="23" t="str">
        <f aca="true">IF(AND(C276="Cetak",L276&lt;&gt;"",L276&lt;TODAY()),"YA","")</f>
        <v/>
      </c>
      <c r="U276" s="23" t="str">
        <f aca="false">IF(B276="","",TEXT(B276,"yyyy-mm"))</f>
        <v/>
      </c>
      <c r="V276" s="23" t="str">
        <f aca="false">IF(K276="","",TEXT(K276,"yyyy-mm"))</f>
        <v/>
      </c>
      <c r="W276" s="23" t="n">
        <f aca="false">IF(OR(C276="Cetak",C276="Dikirim",C276="Selesai"),1,0)</f>
        <v>0</v>
      </c>
      <c r="X276" s="23" t="str">
        <f aca="false">IF(F276="","",SUBSTITUTE(SUBSTITUTE(MID(UPPER(TRIM(F276)),4,99),"-LED",""),"-TK",""))</f>
        <v/>
      </c>
      <c r="Y276" s="23" t="str">
        <f aca="false">IF(X276="","",(LEN(X276)+1)/7)</f>
        <v/>
      </c>
      <c r="Z276" s="23" t="str">
        <f aca="false">IF(X276="","",LEFT(X276,6))</f>
        <v/>
      </c>
      <c r="AA276" s="23" t="str">
        <f aca="false">IF(X276="","",IF(Y276&gt;=3,MID(X276,8,6),""))</f>
        <v/>
      </c>
      <c r="AB276" s="23" t="str">
        <f aca="false">IF(X276="","",IF(Y276&gt;=4,MID(X276,15,6),""))</f>
        <v/>
      </c>
      <c r="AC276" s="23" t="str">
        <f aca="false">IF(X276="","",IF(Y276&gt;=5,MID(X276,22,6),""))</f>
        <v/>
      </c>
      <c r="AD276" s="23" t="str">
        <f aca="false">IF(X276="","",RIGHT(X276,6))</f>
        <v/>
      </c>
      <c r="AE276" s="23" t="str">
        <f aca="false">IF(F276="","",IF(ISNUMBER(SEARCH("-TK",UPPER(F276))),0,1))</f>
        <v/>
      </c>
      <c r="AF276" s="23" t="str">
        <f aca="false">IF(F276="","",IF(ISNUMBER(SEARCH("-LED",UPPER(F276))),1,0))</f>
        <v/>
      </c>
      <c r="AG276" s="24" t="n">
        <f aca="false">IF(Z276="",0,IFERROR(INDEX(Resep!$C$5:$C$7,MATCH(LEFT(Z276,3),Resep!$B$5:$B$7,0)),0))</f>
        <v>0</v>
      </c>
      <c r="AH276" s="24" t="n">
        <f aca="false">IF(AA276="",0,IFERROR(INDEX(Resep!$C$9:$C$13,MATCH(LEFT(AA276,3),Resep!$B$9:$B$13,0)),0))</f>
        <v>0</v>
      </c>
      <c r="AI276" s="24" t="n">
        <f aca="false">IF(AB276="",0,IFERROR(INDEX(Resep!$C$9:$C$13,MATCH(LEFT(AB276,3),Resep!$B$9:$B$13,0)),0))</f>
        <v>0</v>
      </c>
      <c r="AJ276" s="24" t="n">
        <f aca="false">IF(AC276="",0,IFERROR(INDEX(Resep!$C$9:$C$13,MATCH(LEFT(AC276,3),Resep!$B$9:$B$13,0)),0))</f>
        <v>0</v>
      </c>
      <c r="AK276" s="24" t="n">
        <f aca="false">IF(AD276="",0,IFERROR(INDEX(Resep!$C$15:$C$18,MATCH(LEFT(AD276,3),Resep!$B$15:$B$18,0)),0))</f>
        <v>0</v>
      </c>
      <c r="AL276" s="24" t="str">
        <f aca="false">IF(X276="","",AG276+AH276+AI276+AJ276+AK276)</f>
        <v/>
      </c>
      <c r="AM276" s="22" t="str">
        <f aca="false">IF(X276="","",AL276*(Pengaturan!$B$6+Pengaturan!$B$7)+Pengaturan!$B$8+AE276*Pengaturan!$B$9+AF276*Pengaturan!$B$10)</f>
        <v/>
      </c>
      <c r="AN276" s="22" t="str">
        <f aca="false">IF(X276="","",N(G276)-AM276)</f>
        <v/>
      </c>
      <c r="AO276" s="25" t="str">
        <f aca="false">IF(OR(X276="",N(G276)=0),"",AN276/G276)</f>
        <v/>
      </c>
    </row>
    <row r="277" customFormat="false" ht="15" hidden="false" customHeight="false" outlineLevel="0" collapsed="false">
      <c r="A277" s="19"/>
      <c r="B277" s="20"/>
      <c r="C277" s="19"/>
      <c r="D277" s="19"/>
      <c r="E277" s="19"/>
      <c r="F277" s="19"/>
      <c r="G277" s="21"/>
      <c r="H277" s="19"/>
      <c r="I277" s="21"/>
      <c r="J277" s="19"/>
      <c r="K277" s="20"/>
      <c r="L277" s="20"/>
      <c r="M277" s="19"/>
      <c r="N277" s="19"/>
      <c r="O277" s="20"/>
      <c r="P277" s="20"/>
      <c r="Q277" s="19"/>
      <c r="R277" s="22" t="str">
        <f aca="false">IF(A277="","",N(G277)+N(I277))</f>
        <v/>
      </c>
      <c r="S277" s="23" t="str">
        <f aca="false">IF(OR(K277="",O277=""),"",O277-K277)</f>
        <v/>
      </c>
      <c r="T277" s="23" t="str">
        <f aca="true">IF(AND(C277="Cetak",L277&lt;&gt;"",L277&lt;TODAY()),"YA","")</f>
        <v/>
      </c>
      <c r="U277" s="23" t="str">
        <f aca="false">IF(B277="","",TEXT(B277,"yyyy-mm"))</f>
        <v/>
      </c>
      <c r="V277" s="23" t="str">
        <f aca="false">IF(K277="","",TEXT(K277,"yyyy-mm"))</f>
        <v/>
      </c>
      <c r="W277" s="23" t="n">
        <f aca="false">IF(OR(C277="Cetak",C277="Dikirim",C277="Selesai"),1,0)</f>
        <v>0</v>
      </c>
      <c r="X277" s="23" t="str">
        <f aca="false">IF(F277="","",SUBSTITUTE(SUBSTITUTE(MID(UPPER(TRIM(F277)),4,99),"-LED",""),"-TK",""))</f>
        <v/>
      </c>
      <c r="Y277" s="23" t="str">
        <f aca="false">IF(X277="","",(LEN(X277)+1)/7)</f>
        <v/>
      </c>
      <c r="Z277" s="23" t="str">
        <f aca="false">IF(X277="","",LEFT(X277,6))</f>
        <v/>
      </c>
      <c r="AA277" s="23" t="str">
        <f aca="false">IF(X277="","",IF(Y277&gt;=3,MID(X277,8,6),""))</f>
        <v/>
      </c>
      <c r="AB277" s="23" t="str">
        <f aca="false">IF(X277="","",IF(Y277&gt;=4,MID(X277,15,6),""))</f>
        <v/>
      </c>
      <c r="AC277" s="23" t="str">
        <f aca="false">IF(X277="","",IF(Y277&gt;=5,MID(X277,22,6),""))</f>
        <v/>
      </c>
      <c r="AD277" s="23" t="str">
        <f aca="false">IF(X277="","",RIGHT(X277,6))</f>
        <v/>
      </c>
      <c r="AE277" s="23" t="str">
        <f aca="false">IF(F277="","",IF(ISNUMBER(SEARCH("-TK",UPPER(F277))),0,1))</f>
        <v/>
      </c>
      <c r="AF277" s="23" t="str">
        <f aca="false">IF(F277="","",IF(ISNUMBER(SEARCH("-LED",UPPER(F277))),1,0))</f>
        <v/>
      </c>
      <c r="AG277" s="24" t="n">
        <f aca="false">IF(Z277="",0,IFERROR(INDEX(Resep!$C$5:$C$7,MATCH(LEFT(Z277,3),Resep!$B$5:$B$7,0)),0))</f>
        <v>0</v>
      </c>
      <c r="AH277" s="24" t="n">
        <f aca="false">IF(AA277="",0,IFERROR(INDEX(Resep!$C$9:$C$13,MATCH(LEFT(AA277,3),Resep!$B$9:$B$13,0)),0))</f>
        <v>0</v>
      </c>
      <c r="AI277" s="24" t="n">
        <f aca="false">IF(AB277="",0,IFERROR(INDEX(Resep!$C$9:$C$13,MATCH(LEFT(AB277,3),Resep!$B$9:$B$13,0)),0))</f>
        <v>0</v>
      </c>
      <c r="AJ277" s="24" t="n">
        <f aca="false">IF(AC277="",0,IFERROR(INDEX(Resep!$C$9:$C$13,MATCH(LEFT(AC277,3),Resep!$B$9:$B$13,0)),0))</f>
        <v>0</v>
      </c>
      <c r="AK277" s="24" t="n">
        <f aca="false">IF(AD277="",0,IFERROR(INDEX(Resep!$C$15:$C$18,MATCH(LEFT(AD277,3),Resep!$B$15:$B$18,0)),0))</f>
        <v>0</v>
      </c>
      <c r="AL277" s="24" t="str">
        <f aca="false">IF(X277="","",AG277+AH277+AI277+AJ277+AK277)</f>
        <v/>
      </c>
      <c r="AM277" s="22" t="str">
        <f aca="false">IF(X277="","",AL277*(Pengaturan!$B$6+Pengaturan!$B$7)+Pengaturan!$B$8+AE277*Pengaturan!$B$9+AF277*Pengaturan!$B$10)</f>
        <v/>
      </c>
      <c r="AN277" s="22" t="str">
        <f aca="false">IF(X277="","",N(G277)-AM277)</f>
        <v/>
      </c>
      <c r="AO277" s="25" t="str">
        <f aca="false">IF(OR(X277="",N(G277)=0),"",AN277/G277)</f>
        <v/>
      </c>
    </row>
    <row r="278" customFormat="false" ht="15" hidden="false" customHeight="false" outlineLevel="0" collapsed="false">
      <c r="A278" s="19"/>
      <c r="B278" s="20"/>
      <c r="C278" s="19"/>
      <c r="D278" s="19"/>
      <c r="E278" s="19"/>
      <c r="F278" s="19"/>
      <c r="G278" s="21"/>
      <c r="H278" s="19"/>
      <c r="I278" s="21"/>
      <c r="J278" s="19"/>
      <c r="K278" s="20"/>
      <c r="L278" s="20"/>
      <c r="M278" s="19"/>
      <c r="N278" s="19"/>
      <c r="O278" s="20"/>
      <c r="P278" s="20"/>
      <c r="Q278" s="19"/>
      <c r="R278" s="22" t="str">
        <f aca="false">IF(A278="","",N(G278)+N(I278))</f>
        <v/>
      </c>
      <c r="S278" s="23" t="str">
        <f aca="false">IF(OR(K278="",O278=""),"",O278-K278)</f>
        <v/>
      </c>
      <c r="T278" s="23" t="str">
        <f aca="true">IF(AND(C278="Cetak",L278&lt;&gt;"",L278&lt;TODAY()),"YA","")</f>
        <v/>
      </c>
      <c r="U278" s="23" t="str">
        <f aca="false">IF(B278="","",TEXT(B278,"yyyy-mm"))</f>
        <v/>
      </c>
      <c r="V278" s="23" t="str">
        <f aca="false">IF(K278="","",TEXT(K278,"yyyy-mm"))</f>
        <v/>
      </c>
      <c r="W278" s="23" t="n">
        <f aca="false">IF(OR(C278="Cetak",C278="Dikirim",C278="Selesai"),1,0)</f>
        <v>0</v>
      </c>
      <c r="X278" s="23" t="str">
        <f aca="false">IF(F278="","",SUBSTITUTE(SUBSTITUTE(MID(UPPER(TRIM(F278)),4,99),"-LED",""),"-TK",""))</f>
        <v/>
      </c>
      <c r="Y278" s="23" t="str">
        <f aca="false">IF(X278="","",(LEN(X278)+1)/7)</f>
        <v/>
      </c>
      <c r="Z278" s="23" t="str">
        <f aca="false">IF(X278="","",LEFT(X278,6))</f>
        <v/>
      </c>
      <c r="AA278" s="23" t="str">
        <f aca="false">IF(X278="","",IF(Y278&gt;=3,MID(X278,8,6),""))</f>
        <v/>
      </c>
      <c r="AB278" s="23" t="str">
        <f aca="false">IF(X278="","",IF(Y278&gt;=4,MID(X278,15,6),""))</f>
        <v/>
      </c>
      <c r="AC278" s="23" t="str">
        <f aca="false">IF(X278="","",IF(Y278&gt;=5,MID(X278,22,6),""))</f>
        <v/>
      </c>
      <c r="AD278" s="23" t="str">
        <f aca="false">IF(X278="","",RIGHT(X278,6))</f>
        <v/>
      </c>
      <c r="AE278" s="23" t="str">
        <f aca="false">IF(F278="","",IF(ISNUMBER(SEARCH("-TK",UPPER(F278))),0,1))</f>
        <v/>
      </c>
      <c r="AF278" s="23" t="str">
        <f aca="false">IF(F278="","",IF(ISNUMBER(SEARCH("-LED",UPPER(F278))),1,0))</f>
        <v/>
      </c>
      <c r="AG278" s="24" t="n">
        <f aca="false">IF(Z278="",0,IFERROR(INDEX(Resep!$C$5:$C$7,MATCH(LEFT(Z278,3),Resep!$B$5:$B$7,0)),0))</f>
        <v>0</v>
      </c>
      <c r="AH278" s="24" t="n">
        <f aca="false">IF(AA278="",0,IFERROR(INDEX(Resep!$C$9:$C$13,MATCH(LEFT(AA278,3),Resep!$B$9:$B$13,0)),0))</f>
        <v>0</v>
      </c>
      <c r="AI278" s="24" t="n">
        <f aca="false">IF(AB278="",0,IFERROR(INDEX(Resep!$C$9:$C$13,MATCH(LEFT(AB278,3),Resep!$B$9:$B$13,0)),0))</f>
        <v>0</v>
      </c>
      <c r="AJ278" s="24" t="n">
        <f aca="false">IF(AC278="",0,IFERROR(INDEX(Resep!$C$9:$C$13,MATCH(LEFT(AC278,3),Resep!$B$9:$B$13,0)),0))</f>
        <v>0</v>
      </c>
      <c r="AK278" s="24" t="n">
        <f aca="false">IF(AD278="",0,IFERROR(INDEX(Resep!$C$15:$C$18,MATCH(LEFT(AD278,3),Resep!$B$15:$B$18,0)),0))</f>
        <v>0</v>
      </c>
      <c r="AL278" s="24" t="str">
        <f aca="false">IF(X278="","",AG278+AH278+AI278+AJ278+AK278)</f>
        <v/>
      </c>
      <c r="AM278" s="22" t="str">
        <f aca="false">IF(X278="","",AL278*(Pengaturan!$B$6+Pengaturan!$B$7)+Pengaturan!$B$8+AE278*Pengaturan!$B$9+AF278*Pengaturan!$B$10)</f>
        <v/>
      </c>
      <c r="AN278" s="22" t="str">
        <f aca="false">IF(X278="","",N(G278)-AM278)</f>
        <v/>
      </c>
      <c r="AO278" s="25" t="str">
        <f aca="false">IF(OR(X278="",N(G278)=0),"",AN278/G278)</f>
        <v/>
      </c>
    </row>
    <row r="279" customFormat="false" ht="15" hidden="false" customHeight="false" outlineLevel="0" collapsed="false">
      <c r="A279" s="19"/>
      <c r="B279" s="20"/>
      <c r="C279" s="19"/>
      <c r="D279" s="19"/>
      <c r="E279" s="19"/>
      <c r="F279" s="19"/>
      <c r="G279" s="21"/>
      <c r="H279" s="19"/>
      <c r="I279" s="21"/>
      <c r="J279" s="19"/>
      <c r="K279" s="20"/>
      <c r="L279" s="20"/>
      <c r="M279" s="19"/>
      <c r="N279" s="19"/>
      <c r="O279" s="20"/>
      <c r="P279" s="20"/>
      <c r="Q279" s="19"/>
      <c r="R279" s="22" t="str">
        <f aca="false">IF(A279="","",N(G279)+N(I279))</f>
        <v/>
      </c>
      <c r="S279" s="23" t="str">
        <f aca="false">IF(OR(K279="",O279=""),"",O279-K279)</f>
        <v/>
      </c>
      <c r="T279" s="23" t="str">
        <f aca="true">IF(AND(C279="Cetak",L279&lt;&gt;"",L279&lt;TODAY()),"YA","")</f>
        <v/>
      </c>
      <c r="U279" s="23" t="str">
        <f aca="false">IF(B279="","",TEXT(B279,"yyyy-mm"))</f>
        <v/>
      </c>
      <c r="V279" s="23" t="str">
        <f aca="false">IF(K279="","",TEXT(K279,"yyyy-mm"))</f>
        <v/>
      </c>
      <c r="W279" s="23" t="n">
        <f aca="false">IF(OR(C279="Cetak",C279="Dikirim",C279="Selesai"),1,0)</f>
        <v>0</v>
      </c>
      <c r="X279" s="23" t="str">
        <f aca="false">IF(F279="","",SUBSTITUTE(SUBSTITUTE(MID(UPPER(TRIM(F279)),4,99),"-LED",""),"-TK",""))</f>
        <v/>
      </c>
      <c r="Y279" s="23" t="str">
        <f aca="false">IF(X279="","",(LEN(X279)+1)/7)</f>
        <v/>
      </c>
      <c r="Z279" s="23" t="str">
        <f aca="false">IF(X279="","",LEFT(X279,6))</f>
        <v/>
      </c>
      <c r="AA279" s="23" t="str">
        <f aca="false">IF(X279="","",IF(Y279&gt;=3,MID(X279,8,6),""))</f>
        <v/>
      </c>
      <c r="AB279" s="23" t="str">
        <f aca="false">IF(X279="","",IF(Y279&gt;=4,MID(X279,15,6),""))</f>
        <v/>
      </c>
      <c r="AC279" s="23" t="str">
        <f aca="false">IF(X279="","",IF(Y279&gt;=5,MID(X279,22,6),""))</f>
        <v/>
      </c>
      <c r="AD279" s="23" t="str">
        <f aca="false">IF(X279="","",RIGHT(X279,6))</f>
        <v/>
      </c>
      <c r="AE279" s="23" t="str">
        <f aca="false">IF(F279="","",IF(ISNUMBER(SEARCH("-TK",UPPER(F279))),0,1))</f>
        <v/>
      </c>
      <c r="AF279" s="23" t="str">
        <f aca="false">IF(F279="","",IF(ISNUMBER(SEARCH("-LED",UPPER(F279))),1,0))</f>
        <v/>
      </c>
      <c r="AG279" s="24" t="n">
        <f aca="false">IF(Z279="",0,IFERROR(INDEX(Resep!$C$5:$C$7,MATCH(LEFT(Z279,3),Resep!$B$5:$B$7,0)),0))</f>
        <v>0</v>
      </c>
      <c r="AH279" s="24" t="n">
        <f aca="false">IF(AA279="",0,IFERROR(INDEX(Resep!$C$9:$C$13,MATCH(LEFT(AA279,3),Resep!$B$9:$B$13,0)),0))</f>
        <v>0</v>
      </c>
      <c r="AI279" s="24" t="n">
        <f aca="false">IF(AB279="",0,IFERROR(INDEX(Resep!$C$9:$C$13,MATCH(LEFT(AB279,3),Resep!$B$9:$B$13,0)),0))</f>
        <v>0</v>
      </c>
      <c r="AJ279" s="24" t="n">
        <f aca="false">IF(AC279="",0,IFERROR(INDEX(Resep!$C$9:$C$13,MATCH(LEFT(AC279,3),Resep!$B$9:$B$13,0)),0))</f>
        <v>0</v>
      </c>
      <c r="AK279" s="24" t="n">
        <f aca="false">IF(AD279="",0,IFERROR(INDEX(Resep!$C$15:$C$18,MATCH(LEFT(AD279,3),Resep!$B$15:$B$18,0)),0))</f>
        <v>0</v>
      </c>
      <c r="AL279" s="24" t="str">
        <f aca="false">IF(X279="","",AG279+AH279+AI279+AJ279+AK279)</f>
        <v/>
      </c>
      <c r="AM279" s="22" t="str">
        <f aca="false">IF(X279="","",AL279*(Pengaturan!$B$6+Pengaturan!$B$7)+Pengaturan!$B$8+AE279*Pengaturan!$B$9+AF279*Pengaturan!$B$10)</f>
        <v/>
      </c>
      <c r="AN279" s="22" t="str">
        <f aca="false">IF(X279="","",N(G279)-AM279)</f>
        <v/>
      </c>
      <c r="AO279" s="25" t="str">
        <f aca="false">IF(OR(X279="",N(G279)=0),"",AN279/G279)</f>
        <v/>
      </c>
    </row>
    <row r="280" customFormat="false" ht="15" hidden="false" customHeight="false" outlineLevel="0" collapsed="false">
      <c r="A280" s="19"/>
      <c r="B280" s="20"/>
      <c r="C280" s="19"/>
      <c r="D280" s="19"/>
      <c r="E280" s="19"/>
      <c r="F280" s="19"/>
      <c r="G280" s="21"/>
      <c r="H280" s="19"/>
      <c r="I280" s="21"/>
      <c r="J280" s="19"/>
      <c r="K280" s="20"/>
      <c r="L280" s="20"/>
      <c r="M280" s="19"/>
      <c r="N280" s="19"/>
      <c r="O280" s="20"/>
      <c r="P280" s="20"/>
      <c r="Q280" s="19"/>
      <c r="R280" s="22" t="str">
        <f aca="false">IF(A280="","",N(G280)+N(I280))</f>
        <v/>
      </c>
      <c r="S280" s="23" t="str">
        <f aca="false">IF(OR(K280="",O280=""),"",O280-K280)</f>
        <v/>
      </c>
      <c r="T280" s="23" t="str">
        <f aca="true">IF(AND(C280="Cetak",L280&lt;&gt;"",L280&lt;TODAY()),"YA","")</f>
        <v/>
      </c>
      <c r="U280" s="23" t="str">
        <f aca="false">IF(B280="","",TEXT(B280,"yyyy-mm"))</f>
        <v/>
      </c>
      <c r="V280" s="23" t="str">
        <f aca="false">IF(K280="","",TEXT(K280,"yyyy-mm"))</f>
        <v/>
      </c>
      <c r="W280" s="23" t="n">
        <f aca="false">IF(OR(C280="Cetak",C280="Dikirim",C280="Selesai"),1,0)</f>
        <v>0</v>
      </c>
      <c r="X280" s="23" t="str">
        <f aca="false">IF(F280="","",SUBSTITUTE(SUBSTITUTE(MID(UPPER(TRIM(F280)),4,99),"-LED",""),"-TK",""))</f>
        <v/>
      </c>
      <c r="Y280" s="23" t="str">
        <f aca="false">IF(X280="","",(LEN(X280)+1)/7)</f>
        <v/>
      </c>
      <c r="Z280" s="23" t="str">
        <f aca="false">IF(X280="","",LEFT(X280,6))</f>
        <v/>
      </c>
      <c r="AA280" s="23" t="str">
        <f aca="false">IF(X280="","",IF(Y280&gt;=3,MID(X280,8,6),""))</f>
        <v/>
      </c>
      <c r="AB280" s="23" t="str">
        <f aca="false">IF(X280="","",IF(Y280&gt;=4,MID(X280,15,6),""))</f>
        <v/>
      </c>
      <c r="AC280" s="23" t="str">
        <f aca="false">IF(X280="","",IF(Y280&gt;=5,MID(X280,22,6),""))</f>
        <v/>
      </c>
      <c r="AD280" s="23" t="str">
        <f aca="false">IF(X280="","",RIGHT(X280,6))</f>
        <v/>
      </c>
      <c r="AE280" s="23" t="str">
        <f aca="false">IF(F280="","",IF(ISNUMBER(SEARCH("-TK",UPPER(F280))),0,1))</f>
        <v/>
      </c>
      <c r="AF280" s="23" t="str">
        <f aca="false">IF(F280="","",IF(ISNUMBER(SEARCH("-LED",UPPER(F280))),1,0))</f>
        <v/>
      </c>
      <c r="AG280" s="24" t="n">
        <f aca="false">IF(Z280="",0,IFERROR(INDEX(Resep!$C$5:$C$7,MATCH(LEFT(Z280,3),Resep!$B$5:$B$7,0)),0))</f>
        <v>0</v>
      </c>
      <c r="AH280" s="24" t="n">
        <f aca="false">IF(AA280="",0,IFERROR(INDEX(Resep!$C$9:$C$13,MATCH(LEFT(AA280,3),Resep!$B$9:$B$13,0)),0))</f>
        <v>0</v>
      </c>
      <c r="AI280" s="24" t="n">
        <f aca="false">IF(AB280="",0,IFERROR(INDEX(Resep!$C$9:$C$13,MATCH(LEFT(AB280,3),Resep!$B$9:$B$13,0)),0))</f>
        <v>0</v>
      </c>
      <c r="AJ280" s="24" t="n">
        <f aca="false">IF(AC280="",0,IFERROR(INDEX(Resep!$C$9:$C$13,MATCH(LEFT(AC280,3),Resep!$B$9:$B$13,0)),0))</f>
        <v>0</v>
      </c>
      <c r="AK280" s="24" t="n">
        <f aca="false">IF(AD280="",0,IFERROR(INDEX(Resep!$C$15:$C$18,MATCH(LEFT(AD280,3),Resep!$B$15:$B$18,0)),0))</f>
        <v>0</v>
      </c>
      <c r="AL280" s="24" t="str">
        <f aca="false">IF(X280="","",AG280+AH280+AI280+AJ280+AK280)</f>
        <v/>
      </c>
      <c r="AM280" s="22" t="str">
        <f aca="false">IF(X280="","",AL280*(Pengaturan!$B$6+Pengaturan!$B$7)+Pengaturan!$B$8+AE280*Pengaturan!$B$9+AF280*Pengaturan!$B$10)</f>
        <v/>
      </c>
      <c r="AN280" s="22" t="str">
        <f aca="false">IF(X280="","",N(G280)-AM280)</f>
        <v/>
      </c>
      <c r="AO280" s="25" t="str">
        <f aca="false">IF(OR(X280="",N(G280)=0),"",AN280/G280)</f>
        <v/>
      </c>
    </row>
    <row r="281" customFormat="false" ht="15" hidden="false" customHeight="false" outlineLevel="0" collapsed="false">
      <c r="A281" s="19"/>
      <c r="B281" s="20"/>
      <c r="C281" s="19"/>
      <c r="D281" s="19"/>
      <c r="E281" s="19"/>
      <c r="F281" s="19"/>
      <c r="G281" s="21"/>
      <c r="H281" s="19"/>
      <c r="I281" s="21"/>
      <c r="J281" s="19"/>
      <c r="K281" s="20"/>
      <c r="L281" s="20"/>
      <c r="M281" s="19"/>
      <c r="N281" s="19"/>
      <c r="O281" s="20"/>
      <c r="P281" s="20"/>
      <c r="Q281" s="19"/>
      <c r="R281" s="22" t="str">
        <f aca="false">IF(A281="","",N(G281)+N(I281))</f>
        <v/>
      </c>
      <c r="S281" s="23" t="str">
        <f aca="false">IF(OR(K281="",O281=""),"",O281-K281)</f>
        <v/>
      </c>
      <c r="T281" s="23" t="str">
        <f aca="true">IF(AND(C281="Cetak",L281&lt;&gt;"",L281&lt;TODAY()),"YA","")</f>
        <v/>
      </c>
      <c r="U281" s="23" t="str">
        <f aca="false">IF(B281="","",TEXT(B281,"yyyy-mm"))</f>
        <v/>
      </c>
      <c r="V281" s="23" t="str">
        <f aca="false">IF(K281="","",TEXT(K281,"yyyy-mm"))</f>
        <v/>
      </c>
      <c r="W281" s="23" t="n">
        <f aca="false">IF(OR(C281="Cetak",C281="Dikirim",C281="Selesai"),1,0)</f>
        <v>0</v>
      </c>
      <c r="X281" s="23" t="str">
        <f aca="false">IF(F281="","",SUBSTITUTE(SUBSTITUTE(MID(UPPER(TRIM(F281)),4,99),"-LED",""),"-TK",""))</f>
        <v/>
      </c>
      <c r="Y281" s="23" t="str">
        <f aca="false">IF(X281="","",(LEN(X281)+1)/7)</f>
        <v/>
      </c>
      <c r="Z281" s="23" t="str">
        <f aca="false">IF(X281="","",LEFT(X281,6))</f>
        <v/>
      </c>
      <c r="AA281" s="23" t="str">
        <f aca="false">IF(X281="","",IF(Y281&gt;=3,MID(X281,8,6),""))</f>
        <v/>
      </c>
      <c r="AB281" s="23" t="str">
        <f aca="false">IF(X281="","",IF(Y281&gt;=4,MID(X281,15,6),""))</f>
        <v/>
      </c>
      <c r="AC281" s="23" t="str">
        <f aca="false">IF(X281="","",IF(Y281&gt;=5,MID(X281,22,6),""))</f>
        <v/>
      </c>
      <c r="AD281" s="23" t="str">
        <f aca="false">IF(X281="","",RIGHT(X281,6))</f>
        <v/>
      </c>
      <c r="AE281" s="23" t="str">
        <f aca="false">IF(F281="","",IF(ISNUMBER(SEARCH("-TK",UPPER(F281))),0,1))</f>
        <v/>
      </c>
      <c r="AF281" s="23" t="str">
        <f aca="false">IF(F281="","",IF(ISNUMBER(SEARCH("-LED",UPPER(F281))),1,0))</f>
        <v/>
      </c>
      <c r="AG281" s="24" t="n">
        <f aca="false">IF(Z281="",0,IFERROR(INDEX(Resep!$C$5:$C$7,MATCH(LEFT(Z281,3),Resep!$B$5:$B$7,0)),0))</f>
        <v>0</v>
      </c>
      <c r="AH281" s="24" t="n">
        <f aca="false">IF(AA281="",0,IFERROR(INDEX(Resep!$C$9:$C$13,MATCH(LEFT(AA281,3),Resep!$B$9:$B$13,0)),0))</f>
        <v>0</v>
      </c>
      <c r="AI281" s="24" t="n">
        <f aca="false">IF(AB281="",0,IFERROR(INDEX(Resep!$C$9:$C$13,MATCH(LEFT(AB281,3),Resep!$B$9:$B$13,0)),0))</f>
        <v>0</v>
      </c>
      <c r="AJ281" s="24" t="n">
        <f aca="false">IF(AC281="",0,IFERROR(INDEX(Resep!$C$9:$C$13,MATCH(LEFT(AC281,3),Resep!$B$9:$B$13,0)),0))</f>
        <v>0</v>
      </c>
      <c r="AK281" s="24" t="n">
        <f aca="false">IF(AD281="",0,IFERROR(INDEX(Resep!$C$15:$C$18,MATCH(LEFT(AD281,3),Resep!$B$15:$B$18,0)),0))</f>
        <v>0</v>
      </c>
      <c r="AL281" s="24" t="str">
        <f aca="false">IF(X281="","",AG281+AH281+AI281+AJ281+AK281)</f>
        <v/>
      </c>
      <c r="AM281" s="22" t="str">
        <f aca="false">IF(X281="","",AL281*(Pengaturan!$B$6+Pengaturan!$B$7)+Pengaturan!$B$8+AE281*Pengaturan!$B$9+AF281*Pengaturan!$B$10)</f>
        <v/>
      </c>
      <c r="AN281" s="22" t="str">
        <f aca="false">IF(X281="","",N(G281)-AM281)</f>
        <v/>
      </c>
      <c r="AO281" s="25" t="str">
        <f aca="false">IF(OR(X281="",N(G281)=0),"",AN281/G281)</f>
        <v/>
      </c>
    </row>
    <row r="282" customFormat="false" ht="15" hidden="false" customHeight="false" outlineLevel="0" collapsed="false">
      <c r="A282" s="19"/>
      <c r="B282" s="20"/>
      <c r="C282" s="19"/>
      <c r="D282" s="19"/>
      <c r="E282" s="19"/>
      <c r="F282" s="19"/>
      <c r="G282" s="21"/>
      <c r="H282" s="19"/>
      <c r="I282" s="21"/>
      <c r="J282" s="19"/>
      <c r="K282" s="20"/>
      <c r="L282" s="20"/>
      <c r="M282" s="19"/>
      <c r="N282" s="19"/>
      <c r="O282" s="20"/>
      <c r="P282" s="20"/>
      <c r="Q282" s="19"/>
      <c r="R282" s="22" t="str">
        <f aca="false">IF(A282="","",N(G282)+N(I282))</f>
        <v/>
      </c>
      <c r="S282" s="23" t="str">
        <f aca="false">IF(OR(K282="",O282=""),"",O282-K282)</f>
        <v/>
      </c>
      <c r="T282" s="23" t="str">
        <f aca="true">IF(AND(C282="Cetak",L282&lt;&gt;"",L282&lt;TODAY()),"YA","")</f>
        <v/>
      </c>
      <c r="U282" s="23" t="str">
        <f aca="false">IF(B282="","",TEXT(B282,"yyyy-mm"))</f>
        <v/>
      </c>
      <c r="V282" s="23" t="str">
        <f aca="false">IF(K282="","",TEXT(K282,"yyyy-mm"))</f>
        <v/>
      </c>
      <c r="W282" s="23" t="n">
        <f aca="false">IF(OR(C282="Cetak",C282="Dikirim",C282="Selesai"),1,0)</f>
        <v>0</v>
      </c>
      <c r="X282" s="23" t="str">
        <f aca="false">IF(F282="","",SUBSTITUTE(SUBSTITUTE(MID(UPPER(TRIM(F282)),4,99),"-LED",""),"-TK",""))</f>
        <v/>
      </c>
      <c r="Y282" s="23" t="str">
        <f aca="false">IF(X282="","",(LEN(X282)+1)/7)</f>
        <v/>
      </c>
      <c r="Z282" s="23" t="str">
        <f aca="false">IF(X282="","",LEFT(X282,6))</f>
        <v/>
      </c>
      <c r="AA282" s="23" t="str">
        <f aca="false">IF(X282="","",IF(Y282&gt;=3,MID(X282,8,6),""))</f>
        <v/>
      </c>
      <c r="AB282" s="23" t="str">
        <f aca="false">IF(X282="","",IF(Y282&gt;=4,MID(X282,15,6),""))</f>
        <v/>
      </c>
      <c r="AC282" s="23" t="str">
        <f aca="false">IF(X282="","",IF(Y282&gt;=5,MID(X282,22,6),""))</f>
        <v/>
      </c>
      <c r="AD282" s="23" t="str">
        <f aca="false">IF(X282="","",RIGHT(X282,6))</f>
        <v/>
      </c>
      <c r="AE282" s="23" t="str">
        <f aca="false">IF(F282="","",IF(ISNUMBER(SEARCH("-TK",UPPER(F282))),0,1))</f>
        <v/>
      </c>
      <c r="AF282" s="23" t="str">
        <f aca="false">IF(F282="","",IF(ISNUMBER(SEARCH("-LED",UPPER(F282))),1,0))</f>
        <v/>
      </c>
      <c r="AG282" s="24" t="n">
        <f aca="false">IF(Z282="",0,IFERROR(INDEX(Resep!$C$5:$C$7,MATCH(LEFT(Z282,3),Resep!$B$5:$B$7,0)),0))</f>
        <v>0</v>
      </c>
      <c r="AH282" s="24" t="n">
        <f aca="false">IF(AA282="",0,IFERROR(INDEX(Resep!$C$9:$C$13,MATCH(LEFT(AA282,3),Resep!$B$9:$B$13,0)),0))</f>
        <v>0</v>
      </c>
      <c r="AI282" s="24" t="n">
        <f aca="false">IF(AB282="",0,IFERROR(INDEX(Resep!$C$9:$C$13,MATCH(LEFT(AB282,3),Resep!$B$9:$B$13,0)),0))</f>
        <v>0</v>
      </c>
      <c r="AJ282" s="24" t="n">
        <f aca="false">IF(AC282="",0,IFERROR(INDEX(Resep!$C$9:$C$13,MATCH(LEFT(AC282,3),Resep!$B$9:$B$13,0)),0))</f>
        <v>0</v>
      </c>
      <c r="AK282" s="24" t="n">
        <f aca="false">IF(AD282="",0,IFERROR(INDEX(Resep!$C$15:$C$18,MATCH(LEFT(AD282,3),Resep!$B$15:$B$18,0)),0))</f>
        <v>0</v>
      </c>
      <c r="AL282" s="24" t="str">
        <f aca="false">IF(X282="","",AG282+AH282+AI282+AJ282+AK282)</f>
        <v/>
      </c>
      <c r="AM282" s="22" t="str">
        <f aca="false">IF(X282="","",AL282*(Pengaturan!$B$6+Pengaturan!$B$7)+Pengaturan!$B$8+AE282*Pengaturan!$B$9+AF282*Pengaturan!$B$10)</f>
        <v/>
      </c>
      <c r="AN282" s="22" t="str">
        <f aca="false">IF(X282="","",N(G282)-AM282)</f>
        <v/>
      </c>
      <c r="AO282" s="25" t="str">
        <f aca="false">IF(OR(X282="",N(G282)=0),"",AN282/G282)</f>
        <v/>
      </c>
    </row>
    <row r="283" customFormat="false" ht="15" hidden="false" customHeight="false" outlineLevel="0" collapsed="false">
      <c r="A283" s="19"/>
      <c r="B283" s="20"/>
      <c r="C283" s="19"/>
      <c r="D283" s="19"/>
      <c r="E283" s="19"/>
      <c r="F283" s="19"/>
      <c r="G283" s="21"/>
      <c r="H283" s="19"/>
      <c r="I283" s="21"/>
      <c r="J283" s="19"/>
      <c r="K283" s="20"/>
      <c r="L283" s="20"/>
      <c r="M283" s="19"/>
      <c r="N283" s="19"/>
      <c r="O283" s="20"/>
      <c r="P283" s="20"/>
      <c r="Q283" s="19"/>
      <c r="R283" s="22" t="str">
        <f aca="false">IF(A283="","",N(G283)+N(I283))</f>
        <v/>
      </c>
      <c r="S283" s="23" t="str">
        <f aca="false">IF(OR(K283="",O283=""),"",O283-K283)</f>
        <v/>
      </c>
      <c r="T283" s="23" t="str">
        <f aca="true">IF(AND(C283="Cetak",L283&lt;&gt;"",L283&lt;TODAY()),"YA","")</f>
        <v/>
      </c>
      <c r="U283" s="23" t="str">
        <f aca="false">IF(B283="","",TEXT(B283,"yyyy-mm"))</f>
        <v/>
      </c>
      <c r="V283" s="23" t="str">
        <f aca="false">IF(K283="","",TEXT(K283,"yyyy-mm"))</f>
        <v/>
      </c>
      <c r="W283" s="23" t="n">
        <f aca="false">IF(OR(C283="Cetak",C283="Dikirim",C283="Selesai"),1,0)</f>
        <v>0</v>
      </c>
      <c r="X283" s="23" t="str">
        <f aca="false">IF(F283="","",SUBSTITUTE(SUBSTITUTE(MID(UPPER(TRIM(F283)),4,99),"-LED",""),"-TK",""))</f>
        <v/>
      </c>
      <c r="Y283" s="23" t="str">
        <f aca="false">IF(X283="","",(LEN(X283)+1)/7)</f>
        <v/>
      </c>
      <c r="Z283" s="23" t="str">
        <f aca="false">IF(X283="","",LEFT(X283,6))</f>
        <v/>
      </c>
      <c r="AA283" s="23" t="str">
        <f aca="false">IF(X283="","",IF(Y283&gt;=3,MID(X283,8,6),""))</f>
        <v/>
      </c>
      <c r="AB283" s="23" t="str">
        <f aca="false">IF(X283="","",IF(Y283&gt;=4,MID(X283,15,6),""))</f>
        <v/>
      </c>
      <c r="AC283" s="23" t="str">
        <f aca="false">IF(X283="","",IF(Y283&gt;=5,MID(X283,22,6),""))</f>
        <v/>
      </c>
      <c r="AD283" s="23" t="str">
        <f aca="false">IF(X283="","",RIGHT(X283,6))</f>
        <v/>
      </c>
      <c r="AE283" s="23" t="str">
        <f aca="false">IF(F283="","",IF(ISNUMBER(SEARCH("-TK",UPPER(F283))),0,1))</f>
        <v/>
      </c>
      <c r="AF283" s="23" t="str">
        <f aca="false">IF(F283="","",IF(ISNUMBER(SEARCH("-LED",UPPER(F283))),1,0))</f>
        <v/>
      </c>
      <c r="AG283" s="24" t="n">
        <f aca="false">IF(Z283="",0,IFERROR(INDEX(Resep!$C$5:$C$7,MATCH(LEFT(Z283,3),Resep!$B$5:$B$7,0)),0))</f>
        <v>0</v>
      </c>
      <c r="AH283" s="24" t="n">
        <f aca="false">IF(AA283="",0,IFERROR(INDEX(Resep!$C$9:$C$13,MATCH(LEFT(AA283,3),Resep!$B$9:$B$13,0)),0))</f>
        <v>0</v>
      </c>
      <c r="AI283" s="24" t="n">
        <f aca="false">IF(AB283="",0,IFERROR(INDEX(Resep!$C$9:$C$13,MATCH(LEFT(AB283,3),Resep!$B$9:$B$13,0)),0))</f>
        <v>0</v>
      </c>
      <c r="AJ283" s="24" t="n">
        <f aca="false">IF(AC283="",0,IFERROR(INDEX(Resep!$C$9:$C$13,MATCH(LEFT(AC283,3),Resep!$B$9:$B$13,0)),0))</f>
        <v>0</v>
      </c>
      <c r="AK283" s="24" t="n">
        <f aca="false">IF(AD283="",0,IFERROR(INDEX(Resep!$C$15:$C$18,MATCH(LEFT(AD283,3),Resep!$B$15:$B$18,0)),0))</f>
        <v>0</v>
      </c>
      <c r="AL283" s="24" t="str">
        <f aca="false">IF(X283="","",AG283+AH283+AI283+AJ283+AK283)</f>
        <v/>
      </c>
      <c r="AM283" s="22" t="str">
        <f aca="false">IF(X283="","",AL283*(Pengaturan!$B$6+Pengaturan!$B$7)+Pengaturan!$B$8+AE283*Pengaturan!$B$9+AF283*Pengaturan!$B$10)</f>
        <v/>
      </c>
      <c r="AN283" s="22" t="str">
        <f aca="false">IF(X283="","",N(G283)-AM283)</f>
        <v/>
      </c>
      <c r="AO283" s="25" t="str">
        <f aca="false">IF(OR(X283="",N(G283)=0),"",AN283/G283)</f>
        <v/>
      </c>
    </row>
    <row r="284" customFormat="false" ht="15" hidden="false" customHeight="false" outlineLevel="0" collapsed="false">
      <c r="A284" s="19"/>
      <c r="B284" s="20"/>
      <c r="C284" s="19"/>
      <c r="D284" s="19"/>
      <c r="E284" s="19"/>
      <c r="F284" s="19"/>
      <c r="G284" s="21"/>
      <c r="H284" s="19"/>
      <c r="I284" s="21"/>
      <c r="J284" s="19"/>
      <c r="K284" s="20"/>
      <c r="L284" s="20"/>
      <c r="M284" s="19"/>
      <c r="N284" s="19"/>
      <c r="O284" s="20"/>
      <c r="P284" s="20"/>
      <c r="Q284" s="19"/>
      <c r="R284" s="22" t="str">
        <f aca="false">IF(A284="","",N(G284)+N(I284))</f>
        <v/>
      </c>
      <c r="S284" s="23" t="str">
        <f aca="false">IF(OR(K284="",O284=""),"",O284-K284)</f>
        <v/>
      </c>
      <c r="T284" s="23" t="str">
        <f aca="true">IF(AND(C284="Cetak",L284&lt;&gt;"",L284&lt;TODAY()),"YA","")</f>
        <v/>
      </c>
      <c r="U284" s="23" t="str">
        <f aca="false">IF(B284="","",TEXT(B284,"yyyy-mm"))</f>
        <v/>
      </c>
      <c r="V284" s="23" t="str">
        <f aca="false">IF(K284="","",TEXT(K284,"yyyy-mm"))</f>
        <v/>
      </c>
      <c r="W284" s="23" t="n">
        <f aca="false">IF(OR(C284="Cetak",C284="Dikirim",C284="Selesai"),1,0)</f>
        <v>0</v>
      </c>
      <c r="X284" s="23" t="str">
        <f aca="false">IF(F284="","",SUBSTITUTE(SUBSTITUTE(MID(UPPER(TRIM(F284)),4,99),"-LED",""),"-TK",""))</f>
        <v/>
      </c>
      <c r="Y284" s="23" t="str">
        <f aca="false">IF(X284="","",(LEN(X284)+1)/7)</f>
        <v/>
      </c>
      <c r="Z284" s="23" t="str">
        <f aca="false">IF(X284="","",LEFT(X284,6))</f>
        <v/>
      </c>
      <c r="AA284" s="23" t="str">
        <f aca="false">IF(X284="","",IF(Y284&gt;=3,MID(X284,8,6),""))</f>
        <v/>
      </c>
      <c r="AB284" s="23" t="str">
        <f aca="false">IF(X284="","",IF(Y284&gt;=4,MID(X284,15,6),""))</f>
        <v/>
      </c>
      <c r="AC284" s="23" t="str">
        <f aca="false">IF(X284="","",IF(Y284&gt;=5,MID(X284,22,6),""))</f>
        <v/>
      </c>
      <c r="AD284" s="23" t="str">
        <f aca="false">IF(X284="","",RIGHT(X284,6))</f>
        <v/>
      </c>
      <c r="AE284" s="23" t="str">
        <f aca="false">IF(F284="","",IF(ISNUMBER(SEARCH("-TK",UPPER(F284))),0,1))</f>
        <v/>
      </c>
      <c r="AF284" s="23" t="str">
        <f aca="false">IF(F284="","",IF(ISNUMBER(SEARCH("-LED",UPPER(F284))),1,0))</f>
        <v/>
      </c>
      <c r="AG284" s="24" t="n">
        <f aca="false">IF(Z284="",0,IFERROR(INDEX(Resep!$C$5:$C$7,MATCH(LEFT(Z284,3),Resep!$B$5:$B$7,0)),0))</f>
        <v>0</v>
      </c>
      <c r="AH284" s="24" t="n">
        <f aca="false">IF(AA284="",0,IFERROR(INDEX(Resep!$C$9:$C$13,MATCH(LEFT(AA284,3),Resep!$B$9:$B$13,0)),0))</f>
        <v>0</v>
      </c>
      <c r="AI284" s="24" t="n">
        <f aca="false">IF(AB284="",0,IFERROR(INDEX(Resep!$C$9:$C$13,MATCH(LEFT(AB284,3),Resep!$B$9:$B$13,0)),0))</f>
        <v>0</v>
      </c>
      <c r="AJ284" s="24" t="n">
        <f aca="false">IF(AC284="",0,IFERROR(INDEX(Resep!$C$9:$C$13,MATCH(LEFT(AC284,3),Resep!$B$9:$B$13,0)),0))</f>
        <v>0</v>
      </c>
      <c r="AK284" s="24" t="n">
        <f aca="false">IF(AD284="",0,IFERROR(INDEX(Resep!$C$15:$C$18,MATCH(LEFT(AD284,3),Resep!$B$15:$B$18,0)),0))</f>
        <v>0</v>
      </c>
      <c r="AL284" s="24" t="str">
        <f aca="false">IF(X284="","",AG284+AH284+AI284+AJ284+AK284)</f>
        <v/>
      </c>
      <c r="AM284" s="22" t="str">
        <f aca="false">IF(X284="","",AL284*(Pengaturan!$B$6+Pengaturan!$B$7)+Pengaturan!$B$8+AE284*Pengaturan!$B$9+AF284*Pengaturan!$B$10)</f>
        <v/>
      </c>
      <c r="AN284" s="22" t="str">
        <f aca="false">IF(X284="","",N(G284)-AM284)</f>
        <v/>
      </c>
      <c r="AO284" s="25" t="str">
        <f aca="false">IF(OR(X284="",N(G284)=0),"",AN284/G284)</f>
        <v/>
      </c>
    </row>
    <row r="285" customFormat="false" ht="15" hidden="false" customHeight="false" outlineLevel="0" collapsed="false">
      <c r="A285" s="19"/>
      <c r="B285" s="20"/>
      <c r="C285" s="19"/>
      <c r="D285" s="19"/>
      <c r="E285" s="19"/>
      <c r="F285" s="19"/>
      <c r="G285" s="21"/>
      <c r="H285" s="19"/>
      <c r="I285" s="21"/>
      <c r="J285" s="19"/>
      <c r="K285" s="20"/>
      <c r="L285" s="20"/>
      <c r="M285" s="19"/>
      <c r="N285" s="19"/>
      <c r="O285" s="20"/>
      <c r="P285" s="20"/>
      <c r="Q285" s="19"/>
      <c r="R285" s="22" t="str">
        <f aca="false">IF(A285="","",N(G285)+N(I285))</f>
        <v/>
      </c>
      <c r="S285" s="23" t="str">
        <f aca="false">IF(OR(K285="",O285=""),"",O285-K285)</f>
        <v/>
      </c>
      <c r="T285" s="23" t="str">
        <f aca="true">IF(AND(C285="Cetak",L285&lt;&gt;"",L285&lt;TODAY()),"YA","")</f>
        <v/>
      </c>
      <c r="U285" s="23" t="str">
        <f aca="false">IF(B285="","",TEXT(B285,"yyyy-mm"))</f>
        <v/>
      </c>
      <c r="V285" s="23" t="str">
        <f aca="false">IF(K285="","",TEXT(K285,"yyyy-mm"))</f>
        <v/>
      </c>
      <c r="W285" s="23" t="n">
        <f aca="false">IF(OR(C285="Cetak",C285="Dikirim",C285="Selesai"),1,0)</f>
        <v>0</v>
      </c>
      <c r="X285" s="23" t="str">
        <f aca="false">IF(F285="","",SUBSTITUTE(SUBSTITUTE(MID(UPPER(TRIM(F285)),4,99),"-LED",""),"-TK",""))</f>
        <v/>
      </c>
      <c r="Y285" s="23" t="str">
        <f aca="false">IF(X285="","",(LEN(X285)+1)/7)</f>
        <v/>
      </c>
      <c r="Z285" s="23" t="str">
        <f aca="false">IF(X285="","",LEFT(X285,6))</f>
        <v/>
      </c>
      <c r="AA285" s="23" t="str">
        <f aca="false">IF(X285="","",IF(Y285&gt;=3,MID(X285,8,6),""))</f>
        <v/>
      </c>
      <c r="AB285" s="23" t="str">
        <f aca="false">IF(X285="","",IF(Y285&gt;=4,MID(X285,15,6),""))</f>
        <v/>
      </c>
      <c r="AC285" s="23" t="str">
        <f aca="false">IF(X285="","",IF(Y285&gt;=5,MID(X285,22,6),""))</f>
        <v/>
      </c>
      <c r="AD285" s="23" t="str">
        <f aca="false">IF(X285="","",RIGHT(X285,6))</f>
        <v/>
      </c>
      <c r="AE285" s="23" t="str">
        <f aca="false">IF(F285="","",IF(ISNUMBER(SEARCH("-TK",UPPER(F285))),0,1))</f>
        <v/>
      </c>
      <c r="AF285" s="23" t="str">
        <f aca="false">IF(F285="","",IF(ISNUMBER(SEARCH("-LED",UPPER(F285))),1,0))</f>
        <v/>
      </c>
      <c r="AG285" s="24" t="n">
        <f aca="false">IF(Z285="",0,IFERROR(INDEX(Resep!$C$5:$C$7,MATCH(LEFT(Z285,3),Resep!$B$5:$B$7,0)),0))</f>
        <v>0</v>
      </c>
      <c r="AH285" s="24" t="n">
        <f aca="false">IF(AA285="",0,IFERROR(INDEX(Resep!$C$9:$C$13,MATCH(LEFT(AA285,3),Resep!$B$9:$B$13,0)),0))</f>
        <v>0</v>
      </c>
      <c r="AI285" s="24" t="n">
        <f aca="false">IF(AB285="",0,IFERROR(INDEX(Resep!$C$9:$C$13,MATCH(LEFT(AB285,3),Resep!$B$9:$B$13,0)),0))</f>
        <v>0</v>
      </c>
      <c r="AJ285" s="24" t="n">
        <f aca="false">IF(AC285="",0,IFERROR(INDEX(Resep!$C$9:$C$13,MATCH(LEFT(AC285,3),Resep!$B$9:$B$13,0)),0))</f>
        <v>0</v>
      </c>
      <c r="AK285" s="24" t="n">
        <f aca="false">IF(AD285="",0,IFERROR(INDEX(Resep!$C$15:$C$18,MATCH(LEFT(AD285,3),Resep!$B$15:$B$18,0)),0))</f>
        <v>0</v>
      </c>
      <c r="AL285" s="24" t="str">
        <f aca="false">IF(X285="","",AG285+AH285+AI285+AJ285+AK285)</f>
        <v/>
      </c>
      <c r="AM285" s="22" t="str">
        <f aca="false">IF(X285="","",AL285*(Pengaturan!$B$6+Pengaturan!$B$7)+Pengaturan!$B$8+AE285*Pengaturan!$B$9+AF285*Pengaturan!$B$10)</f>
        <v/>
      </c>
      <c r="AN285" s="22" t="str">
        <f aca="false">IF(X285="","",N(G285)-AM285)</f>
        <v/>
      </c>
      <c r="AO285" s="25" t="str">
        <f aca="false">IF(OR(X285="",N(G285)=0),"",AN285/G285)</f>
        <v/>
      </c>
    </row>
    <row r="286" customFormat="false" ht="15" hidden="false" customHeight="false" outlineLevel="0" collapsed="false">
      <c r="A286" s="19"/>
      <c r="B286" s="20"/>
      <c r="C286" s="19"/>
      <c r="D286" s="19"/>
      <c r="E286" s="19"/>
      <c r="F286" s="19"/>
      <c r="G286" s="21"/>
      <c r="H286" s="19"/>
      <c r="I286" s="21"/>
      <c r="J286" s="19"/>
      <c r="K286" s="20"/>
      <c r="L286" s="20"/>
      <c r="M286" s="19"/>
      <c r="N286" s="19"/>
      <c r="O286" s="20"/>
      <c r="P286" s="20"/>
      <c r="Q286" s="19"/>
      <c r="R286" s="22" t="str">
        <f aca="false">IF(A286="","",N(G286)+N(I286))</f>
        <v/>
      </c>
      <c r="S286" s="23" t="str">
        <f aca="false">IF(OR(K286="",O286=""),"",O286-K286)</f>
        <v/>
      </c>
      <c r="T286" s="23" t="str">
        <f aca="true">IF(AND(C286="Cetak",L286&lt;&gt;"",L286&lt;TODAY()),"YA","")</f>
        <v/>
      </c>
      <c r="U286" s="23" t="str">
        <f aca="false">IF(B286="","",TEXT(B286,"yyyy-mm"))</f>
        <v/>
      </c>
      <c r="V286" s="23" t="str">
        <f aca="false">IF(K286="","",TEXT(K286,"yyyy-mm"))</f>
        <v/>
      </c>
      <c r="W286" s="23" t="n">
        <f aca="false">IF(OR(C286="Cetak",C286="Dikirim",C286="Selesai"),1,0)</f>
        <v>0</v>
      </c>
      <c r="X286" s="23" t="str">
        <f aca="false">IF(F286="","",SUBSTITUTE(SUBSTITUTE(MID(UPPER(TRIM(F286)),4,99),"-LED",""),"-TK",""))</f>
        <v/>
      </c>
      <c r="Y286" s="23" t="str">
        <f aca="false">IF(X286="","",(LEN(X286)+1)/7)</f>
        <v/>
      </c>
      <c r="Z286" s="23" t="str">
        <f aca="false">IF(X286="","",LEFT(X286,6))</f>
        <v/>
      </c>
      <c r="AA286" s="23" t="str">
        <f aca="false">IF(X286="","",IF(Y286&gt;=3,MID(X286,8,6),""))</f>
        <v/>
      </c>
      <c r="AB286" s="23" t="str">
        <f aca="false">IF(X286="","",IF(Y286&gt;=4,MID(X286,15,6),""))</f>
        <v/>
      </c>
      <c r="AC286" s="23" t="str">
        <f aca="false">IF(X286="","",IF(Y286&gt;=5,MID(X286,22,6),""))</f>
        <v/>
      </c>
      <c r="AD286" s="23" t="str">
        <f aca="false">IF(X286="","",RIGHT(X286,6))</f>
        <v/>
      </c>
      <c r="AE286" s="23" t="str">
        <f aca="false">IF(F286="","",IF(ISNUMBER(SEARCH("-TK",UPPER(F286))),0,1))</f>
        <v/>
      </c>
      <c r="AF286" s="23" t="str">
        <f aca="false">IF(F286="","",IF(ISNUMBER(SEARCH("-LED",UPPER(F286))),1,0))</f>
        <v/>
      </c>
      <c r="AG286" s="24" t="n">
        <f aca="false">IF(Z286="",0,IFERROR(INDEX(Resep!$C$5:$C$7,MATCH(LEFT(Z286,3),Resep!$B$5:$B$7,0)),0))</f>
        <v>0</v>
      </c>
      <c r="AH286" s="24" t="n">
        <f aca="false">IF(AA286="",0,IFERROR(INDEX(Resep!$C$9:$C$13,MATCH(LEFT(AA286,3),Resep!$B$9:$B$13,0)),0))</f>
        <v>0</v>
      </c>
      <c r="AI286" s="24" t="n">
        <f aca="false">IF(AB286="",0,IFERROR(INDEX(Resep!$C$9:$C$13,MATCH(LEFT(AB286,3),Resep!$B$9:$B$13,0)),0))</f>
        <v>0</v>
      </c>
      <c r="AJ286" s="24" t="n">
        <f aca="false">IF(AC286="",0,IFERROR(INDEX(Resep!$C$9:$C$13,MATCH(LEFT(AC286,3),Resep!$B$9:$B$13,0)),0))</f>
        <v>0</v>
      </c>
      <c r="AK286" s="24" t="n">
        <f aca="false">IF(AD286="",0,IFERROR(INDEX(Resep!$C$15:$C$18,MATCH(LEFT(AD286,3),Resep!$B$15:$B$18,0)),0))</f>
        <v>0</v>
      </c>
      <c r="AL286" s="24" t="str">
        <f aca="false">IF(X286="","",AG286+AH286+AI286+AJ286+AK286)</f>
        <v/>
      </c>
      <c r="AM286" s="22" t="str">
        <f aca="false">IF(X286="","",AL286*(Pengaturan!$B$6+Pengaturan!$B$7)+Pengaturan!$B$8+AE286*Pengaturan!$B$9+AF286*Pengaturan!$B$10)</f>
        <v/>
      </c>
      <c r="AN286" s="22" t="str">
        <f aca="false">IF(X286="","",N(G286)-AM286)</f>
        <v/>
      </c>
      <c r="AO286" s="25" t="str">
        <f aca="false">IF(OR(X286="",N(G286)=0),"",AN286/G286)</f>
        <v/>
      </c>
    </row>
    <row r="287" customFormat="false" ht="15" hidden="false" customHeight="false" outlineLevel="0" collapsed="false">
      <c r="A287" s="19"/>
      <c r="B287" s="20"/>
      <c r="C287" s="19"/>
      <c r="D287" s="19"/>
      <c r="E287" s="19"/>
      <c r="F287" s="19"/>
      <c r="G287" s="21"/>
      <c r="H287" s="19"/>
      <c r="I287" s="21"/>
      <c r="J287" s="19"/>
      <c r="K287" s="20"/>
      <c r="L287" s="20"/>
      <c r="M287" s="19"/>
      <c r="N287" s="19"/>
      <c r="O287" s="20"/>
      <c r="P287" s="20"/>
      <c r="Q287" s="19"/>
      <c r="R287" s="22" t="str">
        <f aca="false">IF(A287="","",N(G287)+N(I287))</f>
        <v/>
      </c>
      <c r="S287" s="23" t="str">
        <f aca="false">IF(OR(K287="",O287=""),"",O287-K287)</f>
        <v/>
      </c>
      <c r="T287" s="23" t="str">
        <f aca="true">IF(AND(C287="Cetak",L287&lt;&gt;"",L287&lt;TODAY()),"YA","")</f>
        <v/>
      </c>
      <c r="U287" s="23" t="str">
        <f aca="false">IF(B287="","",TEXT(B287,"yyyy-mm"))</f>
        <v/>
      </c>
      <c r="V287" s="23" t="str">
        <f aca="false">IF(K287="","",TEXT(K287,"yyyy-mm"))</f>
        <v/>
      </c>
      <c r="W287" s="23" t="n">
        <f aca="false">IF(OR(C287="Cetak",C287="Dikirim",C287="Selesai"),1,0)</f>
        <v>0</v>
      </c>
      <c r="X287" s="23" t="str">
        <f aca="false">IF(F287="","",SUBSTITUTE(SUBSTITUTE(MID(UPPER(TRIM(F287)),4,99),"-LED",""),"-TK",""))</f>
        <v/>
      </c>
      <c r="Y287" s="23" t="str">
        <f aca="false">IF(X287="","",(LEN(X287)+1)/7)</f>
        <v/>
      </c>
      <c r="Z287" s="23" t="str">
        <f aca="false">IF(X287="","",LEFT(X287,6))</f>
        <v/>
      </c>
      <c r="AA287" s="23" t="str">
        <f aca="false">IF(X287="","",IF(Y287&gt;=3,MID(X287,8,6),""))</f>
        <v/>
      </c>
      <c r="AB287" s="23" t="str">
        <f aca="false">IF(X287="","",IF(Y287&gt;=4,MID(X287,15,6),""))</f>
        <v/>
      </c>
      <c r="AC287" s="23" t="str">
        <f aca="false">IF(X287="","",IF(Y287&gt;=5,MID(X287,22,6),""))</f>
        <v/>
      </c>
      <c r="AD287" s="23" t="str">
        <f aca="false">IF(X287="","",RIGHT(X287,6))</f>
        <v/>
      </c>
      <c r="AE287" s="23" t="str">
        <f aca="false">IF(F287="","",IF(ISNUMBER(SEARCH("-TK",UPPER(F287))),0,1))</f>
        <v/>
      </c>
      <c r="AF287" s="23" t="str">
        <f aca="false">IF(F287="","",IF(ISNUMBER(SEARCH("-LED",UPPER(F287))),1,0))</f>
        <v/>
      </c>
      <c r="AG287" s="24" t="n">
        <f aca="false">IF(Z287="",0,IFERROR(INDEX(Resep!$C$5:$C$7,MATCH(LEFT(Z287,3),Resep!$B$5:$B$7,0)),0))</f>
        <v>0</v>
      </c>
      <c r="AH287" s="24" t="n">
        <f aca="false">IF(AA287="",0,IFERROR(INDEX(Resep!$C$9:$C$13,MATCH(LEFT(AA287,3),Resep!$B$9:$B$13,0)),0))</f>
        <v>0</v>
      </c>
      <c r="AI287" s="24" t="n">
        <f aca="false">IF(AB287="",0,IFERROR(INDEX(Resep!$C$9:$C$13,MATCH(LEFT(AB287,3),Resep!$B$9:$B$13,0)),0))</f>
        <v>0</v>
      </c>
      <c r="AJ287" s="24" t="n">
        <f aca="false">IF(AC287="",0,IFERROR(INDEX(Resep!$C$9:$C$13,MATCH(LEFT(AC287,3),Resep!$B$9:$B$13,0)),0))</f>
        <v>0</v>
      </c>
      <c r="AK287" s="24" t="n">
        <f aca="false">IF(AD287="",0,IFERROR(INDEX(Resep!$C$15:$C$18,MATCH(LEFT(AD287,3),Resep!$B$15:$B$18,0)),0))</f>
        <v>0</v>
      </c>
      <c r="AL287" s="24" t="str">
        <f aca="false">IF(X287="","",AG287+AH287+AI287+AJ287+AK287)</f>
        <v/>
      </c>
      <c r="AM287" s="22" t="str">
        <f aca="false">IF(X287="","",AL287*(Pengaturan!$B$6+Pengaturan!$B$7)+Pengaturan!$B$8+AE287*Pengaturan!$B$9+AF287*Pengaturan!$B$10)</f>
        <v/>
      </c>
      <c r="AN287" s="22" t="str">
        <f aca="false">IF(X287="","",N(G287)-AM287)</f>
        <v/>
      </c>
      <c r="AO287" s="25" t="str">
        <f aca="false">IF(OR(X287="",N(G287)=0),"",AN287/G287)</f>
        <v/>
      </c>
    </row>
    <row r="288" customFormat="false" ht="15" hidden="false" customHeight="false" outlineLevel="0" collapsed="false">
      <c r="A288" s="19"/>
      <c r="B288" s="20"/>
      <c r="C288" s="19"/>
      <c r="D288" s="19"/>
      <c r="E288" s="19"/>
      <c r="F288" s="19"/>
      <c r="G288" s="21"/>
      <c r="H288" s="19"/>
      <c r="I288" s="21"/>
      <c r="J288" s="19"/>
      <c r="K288" s="20"/>
      <c r="L288" s="20"/>
      <c r="M288" s="19"/>
      <c r="N288" s="19"/>
      <c r="O288" s="20"/>
      <c r="P288" s="20"/>
      <c r="Q288" s="19"/>
      <c r="R288" s="22" t="str">
        <f aca="false">IF(A288="","",N(G288)+N(I288))</f>
        <v/>
      </c>
      <c r="S288" s="23" t="str">
        <f aca="false">IF(OR(K288="",O288=""),"",O288-K288)</f>
        <v/>
      </c>
      <c r="T288" s="23" t="str">
        <f aca="true">IF(AND(C288="Cetak",L288&lt;&gt;"",L288&lt;TODAY()),"YA","")</f>
        <v/>
      </c>
      <c r="U288" s="23" t="str">
        <f aca="false">IF(B288="","",TEXT(B288,"yyyy-mm"))</f>
        <v/>
      </c>
      <c r="V288" s="23" t="str">
        <f aca="false">IF(K288="","",TEXT(K288,"yyyy-mm"))</f>
        <v/>
      </c>
      <c r="W288" s="23" t="n">
        <f aca="false">IF(OR(C288="Cetak",C288="Dikirim",C288="Selesai"),1,0)</f>
        <v>0</v>
      </c>
      <c r="X288" s="23" t="str">
        <f aca="false">IF(F288="","",SUBSTITUTE(SUBSTITUTE(MID(UPPER(TRIM(F288)),4,99),"-LED",""),"-TK",""))</f>
        <v/>
      </c>
      <c r="Y288" s="23" t="str">
        <f aca="false">IF(X288="","",(LEN(X288)+1)/7)</f>
        <v/>
      </c>
      <c r="Z288" s="23" t="str">
        <f aca="false">IF(X288="","",LEFT(X288,6))</f>
        <v/>
      </c>
      <c r="AA288" s="23" t="str">
        <f aca="false">IF(X288="","",IF(Y288&gt;=3,MID(X288,8,6),""))</f>
        <v/>
      </c>
      <c r="AB288" s="23" t="str">
        <f aca="false">IF(X288="","",IF(Y288&gt;=4,MID(X288,15,6),""))</f>
        <v/>
      </c>
      <c r="AC288" s="23" t="str">
        <f aca="false">IF(X288="","",IF(Y288&gt;=5,MID(X288,22,6),""))</f>
        <v/>
      </c>
      <c r="AD288" s="23" t="str">
        <f aca="false">IF(X288="","",RIGHT(X288,6))</f>
        <v/>
      </c>
      <c r="AE288" s="23" t="str">
        <f aca="false">IF(F288="","",IF(ISNUMBER(SEARCH("-TK",UPPER(F288))),0,1))</f>
        <v/>
      </c>
      <c r="AF288" s="23" t="str">
        <f aca="false">IF(F288="","",IF(ISNUMBER(SEARCH("-LED",UPPER(F288))),1,0))</f>
        <v/>
      </c>
      <c r="AG288" s="24" t="n">
        <f aca="false">IF(Z288="",0,IFERROR(INDEX(Resep!$C$5:$C$7,MATCH(LEFT(Z288,3),Resep!$B$5:$B$7,0)),0))</f>
        <v>0</v>
      </c>
      <c r="AH288" s="24" t="n">
        <f aca="false">IF(AA288="",0,IFERROR(INDEX(Resep!$C$9:$C$13,MATCH(LEFT(AA288,3),Resep!$B$9:$B$13,0)),0))</f>
        <v>0</v>
      </c>
      <c r="AI288" s="24" t="n">
        <f aca="false">IF(AB288="",0,IFERROR(INDEX(Resep!$C$9:$C$13,MATCH(LEFT(AB288,3),Resep!$B$9:$B$13,0)),0))</f>
        <v>0</v>
      </c>
      <c r="AJ288" s="24" t="n">
        <f aca="false">IF(AC288="",0,IFERROR(INDEX(Resep!$C$9:$C$13,MATCH(LEFT(AC288,3),Resep!$B$9:$B$13,0)),0))</f>
        <v>0</v>
      </c>
      <c r="AK288" s="24" t="n">
        <f aca="false">IF(AD288="",0,IFERROR(INDEX(Resep!$C$15:$C$18,MATCH(LEFT(AD288,3),Resep!$B$15:$B$18,0)),0))</f>
        <v>0</v>
      </c>
      <c r="AL288" s="24" t="str">
        <f aca="false">IF(X288="","",AG288+AH288+AI288+AJ288+AK288)</f>
        <v/>
      </c>
      <c r="AM288" s="22" t="str">
        <f aca="false">IF(X288="","",AL288*(Pengaturan!$B$6+Pengaturan!$B$7)+Pengaturan!$B$8+AE288*Pengaturan!$B$9+AF288*Pengaturan!$B$10)</f>
        <v/>
      </c>
      <c r="AN288" s="22" t="str">
        <f aca="false">IF(X288="","",N(G288)-AM288)</f>
        <v/>
      </c>
      <c r="AO288" s="25" t="str">
        <f aca="false">IF(OR(X288="",N(G288)=0),"",AN288/G288)</f>
        <v/>
      </c>
    </row>
    <row r="289" customFormat="false" ht="15" hidden="false" customHeight="false" outlineLevel="0" collapsed="false">
      <c r="A289" s="19"/>
      <c r="B289" s="20"/>
      <c r="C289" s="19"/>
      <c r="D289" s="19"/>
      <c r="E289" s="19"/>
      <c r="F289" s="19"/>
      <c r="G289" s="21"/>
      <c r="H289" s="19"/>
      <c r="I289" s="21"/>
      <c r="J289" s="19"/>
      <c r="K289" s="20"/>
      <c r="L289" s="20"/>
      <c r="M289" s="19"/>
      <c r="N289" s="19"/>
      <c r="O289" s="20"/>
      <c r="P289" s="20"/>
      <c r="Q289" s="19"/>
      <c r="R289" s="22" t="str">
        <f aca="false">IF(A289="","",N(G289)+N(I289))</f>
        <v/>
      </c>
      <c r="S289" s="23" t="str">
        <f aca="false">IF(OR(K289="",O289=""),"",O289-K289)</f>
        <v/>
      </c>
      <c r="T289" s="23" t="str">
        <f aca="true">IF(AND(C289="Cetak",L289&lt;&gt;"",L289&lt;TODAY()),"YA","")</f>
        <v/>
      </c>
      <c r="U289" s="23" t="str">
        <f aca="false">IF(B289="","",TEXT(B289,"yyyy-mm"))</f>
        <v/>
      </c>
      <c r="V289" s="23" t="str">
        <f aca="false">IF(K289="","",TEXT(K289,"yyyy-mm"))</f>
        <v/>
      </c>
      <c r="W289" s="23" t="n">
        <f aca="false">IF(OR(C289="Cetak",C289="Dikirim",C289="Selesai"),1,0)</f>
        <v>0</v>
      </c>
      <c r="X289" s="23" t="str">
        <f aca="false">IF(F289="","",SUBSTITUTE(SUBSTITUTE(MID(UPPER(TRIM(F289)),4,99),"-LED",""),"-TK",""))</f>
        <v/>
      </c>
      <c r="Y289" s="23" t="str">
        <f aca="false">IF(X289="","",(LEN(X289)+1)/7)</f>
        <v/>
      </c>
      <c r="Z289" s="23" t="str">
        <f aca="false">IF(X289="","",LEFT(X289,6))</f>
        <v/>
      </c>
      <c r="AA289" s="23" t="str">
        <f aca="false">IF(X289="","",IF(Y289&gt;=3,MID(X289,8,6),""))</f>
        <v/>
      </c>
      <c r="AB289" s="23" t="str">
        <f aca="false">IF(X289="","",IF(Y289&gt;=4,MID(X289,15,6),""))</f>
        <v/>
      </c>
      <c r="AC289" s="23" t="str">
        <f aca="false">IF(X289="","",IF(Y289&gt;=5,MID(X289,22,6),""))</f>
        <v/>
      </c>
      <c r="AD289" s="23" t="str">
        <f aca="false">IF(X289="","",RIGHT(X289,6))</f>
        <v/>
      </c>
      <c r="AE289" s="23" t="str">
        <f aca="false">IF(F289="","",IF(ISNUMBER(SEARCH("-TK",UPPER(F289))),0,1))</f>
        <v/>
      </c>
      <c r="AF289" s="23" t="str">
        <f aca="false">IF(F289="","",IF(ISNUMBER(SEARCH("-LED",UPPER(F289))),1,0))</f>
        <v/>
      </c>
      <c r="AG289" s="24" t="n">
        <f aca="false">IF(Z289="",0,IFERROR(INDEX(Resep!$C$5:$C$7,MATCH(LEFT(Z289,3),Resep!$B$5:$B$7,0)),0))</f>
        <v>0</v>
      </c>
      <c r="AH289" s="24" t="n">
        <f aca="false">IF(AA289="",0,IFERROR(INDEX(Resep!$C$9:$C$13,MATCH(LEFT(AA289,3),Resep!$B$9:$B$13,0)),0))</f>
        <v>0</v>
      </c>
      <c r="AI289" s="24" t="n">
        <f aca="false">IF(AB289="",0,IFERROR(INDEX(Resep!$C$9:$C$13,MATCH(LEFT(AB289,3),Resep!$B$9:$B$13,0)),0))</f>
        <v>0</v>
      </c>
      <c r="AJ289" s="24" t="n">
        <f aca="false">IF(AC289="",0,IFERROR(INDEX(Resep!$C$9:$C$13,MATCH(LEFT(AC289,3),Resep!$B$9:$B$13,0)),0))</f>
        <v>0</v>
      </c>
      <c r="AK289" s="24" t="n">
        <f aca="false">IF(AD289="",0,IFERROR(INDEX(Resep!$C$15:$C$18,MATCH(LEFT(AD289,3),Resep!$B$15:$B$18,0)),0))</f>
        <v>0</v>
      </c>
      <c r="AL289" s="24" t="str">
        <f aca="false">IF(X289="","",AG289+AH289+AI289+AJ289+AK289)</f>
        <v/>
      </c>
      <c r="AM289" s="22" t="str">
        <f aca="false">IF(X289="","",AL289*(Pengaturan!$B$6+Pengaturan!$B$7)+Pengaturan!$B$8+AE289*Pengaturan!$B$9+AF289*Pengaturan!$B$10)</f>
        <v/>
      </c>
      <c r="AN289" s="22" t="str">
        <f aca="false">IF(X289="","",N(G289)-AM289)</f>
        <v/>
      </c>
      <c r="AO289" s="25" t="str">
        <f aca="false">IF(OR(X289="",N(G289)=0),"",AN289/G289)</f>
        <v/>
      </c>
    </row>
    <row r="290" customFormat="false" ht="15" hidden="false" customHeight="false" outlineLevel="0" collapsed="false">
      <c r="A290" s="19"/>
      <c r="B290" s="20"/>
      <c r="C290" s="19"/>
      <c r="D290" s="19"/>
      <c r="E290" s="19"/>
      <c r="F290" s="19"/>
      <c r="G290" s="21"/>
      <c r="H290" s="19"/>
      <c r="I290" s="21"/>
      <c r="J290" s="19"/>
      <c r="K290" s="20"/>
      <c r="L290" s="20"/>
      <c r="M290" s="19"/>
      <c r="N290" s="19"/>
      <c r="O290" s="20"/>
      <c r="P290" s="20"/>
      <c r="Q290" s="19"/>
      <c r="R290" s="22" t="str">
        <f aca="false">IF(A290="","",N(G290)+N(I290))</f>
        <v/>
      </c>
      <c r="S290" s="23" t="str">
        <f aca="false">IF(OR(K290="",O290=""),"",O290-K290)</f>
        <v/>
      </c>
      <c r="T290" s="23" t="str">
        <f aca="true">IF(AND(C290="Cetak",L290&lt;&gt;"",L290&lt;TODAY()),"YA","")</f>
        <v/>
      </c>
      <c r="U290" s="23" t="str">
        <f aca="false">IF(B290="","",TEXT(B290,"yyyy-mm"))</f>
        <v/>
      </c>
      <c r="V290" s="23" t="str">
        <f aca="false">IF(K290="","",TEXT(K290,"yyyy-mm"))</f>
        <v/>
      </c>
      <c r="W290" s="23" t="n">
        <f aca="false">IF(OR(C290="Cetak",C290="Dikirim",C290="Selesai"),1,0)</f>
        <v>0</v>
      </c>
      <c r="X290" s="23" t="str">
        <f aca="false">IF(F290="","",SUBSTITUTE(SUBSTITUTE(MID(UPPER(TRIM(F290)),4,99),"-LED",""),"-TK",""))</f>
        <v/>
      </c>
      <c r="Y290" s="23" t="str">
        <f aca="false">IF(X290="","",(LEN(X290)+1)/7)</f>
        <v/>
      </c>
      <c r="Z290" s="23" t="str">
        <f aca="false">IF(X290="","",LEFT(X290,6))</f>
        <v/>
      </c>
      <c r="AA290" s="23" t="str">
        <f aca="false">IF(X290="","",IF(Y290&gt;=3,MID(X290,8,6),""))</f>
        <v/>
      </c>
      <c r="AB290" s="23" t="str">
        <f aca="false">IF(X290="","",IF(Y290&gt;=4,MID(X290,15,6),""))</f>
        <v/>
      </c>
      <c r="AC290" s="23" t="str">
        <f aca="false">IF(X290="","",IF(Y290&gt;=5,MID(X290,22,6),""))</f>
        <v/>
      </c>
      <c r="AD290" s="23" t="str">
        <f aca="false">IF(X290="","",RIGHT(X290,6))</f>
        <v/>
      </c>
      <c r="AE290" s="23" t="str">
        <f aca="false">IF(F290="","",IF(ISNUMBER(SEARCH("-TK",UPPER(F290))),0,1))</f>
        <v/>
      </c>
      <c r="AF290" s="23" t="str">
        <f aca="false">IF(F290="","",IF(ISNUMBER(SEARCH("-LED",UPPER(F290))),1,0))</f>
        <v/>
      </c>
      <c r="AG290" s="24" t="n">
        <f aca="false">IF(Z290="",0,IFERROR(INDEX(Resep!$C$5:$C$7,MATCH(LEFT(Z290,3),Resep!$B$5:$B$7,0)),0))</f>
        <v>0</v>
      </c>
      <c r="AH290" s="24" t="n">
        <f aca="false">IF(AA290="",0,IFERROR(INDEX(Resep!$C$9:$C$13,MATCH(LEFT(AA290,3),Resep!$B$9:$B$13,0)),0))</f>
        <v>0</v>
      </c>
      <c r="AI290" s="24" t="n">
        <f aca="false">IF(AB290="",0,IFERROR(INDEX(Resep!$C$9:$C$13,MATCH(LEFT(AB290,3),Resep!$B$9:$B$13,0)),0))</f>
        <v>0</v>
      </c>
      <c r="AJ290" s="24" t="n">
        <f aca="false">IF(AC290="",0,IFERROR(INDEX(Resep!$C$9:$C$13,MATCH(LEFT(AC290,3),Resep!$B$9:$B$13,0)),0))</f>
        <v>0</v>
      </c>
      <c r="AK290" s="24" t="n">
        <f aca="false">IF(AD290="",0,IFERROR(INDEX(Resep!$C$15:$C$18,MATCH(LEFT(AD290,3),Resep!$B$15:$B$18,0)),0))</f>
        <v>0</v>
      </c>
      <c r="AL290" s="24" t="str">
        <f aca="false">IF(X290="","",AG290+AH290+AI290+AJ290+AK290)</f>
        <v/>
      </c>
      <c r="AM290" s="22" t="str">
        <f aca="false">IF(X290="","",AL290*(Pengaturan!$B$6+Pengaturan!$B$7)+Pengaturan!$B$8+AE290*Pengaturan!$B$9+AF290*Pengaturan!$B$10)</f>
        <v/>
      </c>
      <c r="AN290" s="22" t="str">
        <f aca="false">IF(X290="","",N(G290)-AM290)</f>
        <v/>
      </c>
      <c r="AO290" s="25" t="str">
        <f aca="false">IF(OR(X290="",N(G290)=0),"",AN290/G290)</f>
        <v/>
      </c>
    </row>
    <row r="291" customFormat="false" ht="15" hidden="false" customHeight="false" outlineLevel="0" collapsed="false">
      <c r="A291" s="19"/>
      <c r="B291" s="20"/>
      <c r="C291" s="19"/>
      <c r="D291" s="19"/>
      <c r="E291" s="19"/>
      <c r="F291" s="19"/>
      <c r="G291" s="21"/>
      <c r="H291" s="19"/>
      <c r="I291" s="21"/>
      <c r="J291" s="19"/>
      <c r="K291" s="20"/>
      <c r="L291" s="20"/>
      <c r="M291" s="19"/>
      <c r="N291" s="19"/>
      <c r="O291" s="20"/>
      <c r="P291" s="20"/>
      <c r="Q291" s="19"/>
      <c r="R291" s="22" t="str">
        <f aca="false">IF(A291="","",N(G291)+N(I291))</f>
        <v/>
      </c>
      <c r="S291" s="23" t="str">
        <f aca="false">IF(OR(K291="",O291=""),"",O291-K291)</f>
        <v/>
      </c>
      <c r="T291" s="23" t="str">
        <f aca="true">IF(AND(C291="Cetak",L291&lt;&gt;"",L291&lt;TODAY()),"YA","")</f>
        <v/>
      </c>
      <c r="U291" s="23" t="str">
        <f aca="false">IF(B291="","",TEXT(B291,"yyyy-mm"))</f>
        <v/>
      </c>
      <c r="V291" s="23" t="str">
        <f aca="false">IF(K291="","",TEXT(K291,"yyyy-mm"))</f>
        <v/>
      </c>
      <c r="W291" s="23" t="n">
        <f aca="false">IF(OR(C291="Cetak",C291="Dikirim",C291="Selesai"),1,0)</f>
        <v>0</v>
      </c>
      <c r="X291" s="23" t="str">
        <f aca="false">IF(F291="","",SUBSTITUTE(SUBSTITUTE(MID(UPPER(TRIM(F291)),4,99),"-LED",""),"-TK",""))</f>
        <v/>
      </c>
      <c r="Y291" s="23" t="str">
        <f aca="false">IF(X291="","",(LEN(X291)+1)/7)</f>
        <v/>
      </c>
      <c r="Z291" s="23" t="str">
        <f aca="false">IF(X291="","",LEFT(X291,6))</f>
        <v/>
      </c>
      <c r="AA291" s="23" t="str">
        <f aca="false">IF(X291="","",IF(Y291&gt;=3,MID(X291,8,6),""))</f>
        <v/>
      </c>
      <c r="AB291" s="23" t="str">
        <f aca="false">IF(X291="","",IF(Y291&gt;=4,MID(X291,15,6),""))</f>
        <v/>
      </c>
      <c r="AC291" s="23" t="str">
        <f aca="false">IF(X291="","",IF(Y291&gt;=5,MID(X291,22,6),""))</f>
        <v/>
      </c>
      <c r="AD291" s="23" t="str">
        <f aca="false">IF(X291="","",RIGHT(X291,6))</f>
        <v/>
      </c>
      <c r="AE291" s="23" t="str">
        <f aca="false">IF(F291="","",IF(ISNUMBER(SEARCH("-TK",UPPER(F291))),0,1))</f>
        <v/>
      </c>
      <c r="AF291" s="23" t="str">
        <f aca="false">IF(F291="","",IF(ISNUMBER(SEARCH("-LED",UPPER(F291))),1,0))</f>
        <v/>
      </c>
      <c r="AG291" s="24" t="n">
        <f aca="false">IF(Z291="",0,IFERROR(INDEX(Resep!$C$5:$C$7,MATCH(LEFT(Z291,3),Resep!$B$5:$B$7,0)),0))</f>
        <v>0</v>
      </c>
      <c r="AH291" s="24" t="n">
        <f aca="false">IF(AA291="",0,IFERROR(INDEX(Resep!$C$9:$C$13,MATCH(LEFT(AA291,3),Resep!$B$9:$B$13,0)),0))</f>
        <v>0</v>
      </c>
      <c r="AI291" s="24" t="n">
        <f aca="false">IF(AB291="",0,IFERROR(INDEX(Resep!$C$9:$C$13,MATCH(LEFT(AB291,3),Resep!$B$9:$B$13,0)),0))</f>
        <v>0</v>
      </c>
      <c r="AJ291" s="24" t="n">
        <f aca="false">IF(AC291="",0,IFERROR(INDEX(Resep!$C$9:$C$13,MATCH(LEFT(AC291,3),Resep!$B$9:$B$13,0)),0))</f>
        <v>0</v>
      </c>
      <c r="AK291" s="24" t="n">
        <f aca="false">IF(AD291="",0,IFERROR(INDEX(Resep!$C$15:$C$18,MATCH(LEFT(AD291,3),Resep!$B$15:$B$18,0)),0))</f>
        <v>0</v>
      </c>
      <c r="AL291" s="24" t="str">
        <f aca="false">IF(X291="","",AG291+AH291+AI291+AJ291+AK291)</f>
        <v/>
      </c>
      <c r="AM291" s="22" t="str">
        <f aca="false">IF(X291="","",AL291*(Pengaturan!$B$6+Pengaturan!$B$7)+Pengaturan!$B$8+AE291*Pengaturan!$B$9+AF291*Pengaturan!$B$10)</f>
        <v/>
      </c>
      <c r="AN291" s="22" t="str">
        <f aca="false">IF(X291="","",N(G291)-AM291)</f>
        <v/>
      </c>
      <c r="AO291" s="25" t="str">
        <f aca="false">IF(OR(X291="",N(G291)=0),"",AN291/G291)</f>
        <v/>
      </c>
    </row>
    <row r="292" customFormat="false" ht="15" hidden="false" customHeight="false" outlineLevel="0" collapsed="false">
      <c r="A292" s="19"/>
      <c r="B292" s="20"/>
      <c r="C292" s="19"/>
      <c r="D292" s="19"/>
      <c r="E292" s="19"/>
      <c r="F292" s="19"/>
      <c r="G292" s="21"/>
      <c r="H292" s="19"/>
      <c r="I292" s="21"/>
      <c r="J292" s="19"/>
      <c r="K292" s="20"/>
      <c r="L292" s="20"/>
      <c r="M292" s="19"/>
      <c r="N292" s="19"/>
      <c r="O292" s="20"/>
      <c r="P292" s="20"/>
      <c r="Q292" s="19"/>
      <c r="R292" s="22" t="str">
        <f aca="false">IF(A292="","",N(G292)+N(I292))</f>
        <v/>
      </c>
      <c r="S292" s="23" t="str">
        <f aca="false">IF(OR(K292="",O292=""),"",O292-K292)</f>
        <v/>
      </c>
      <c r="T292" s="23" t="str">
        <f aca="true">IF(AND(C292="Cetak",L292&lt;&gt;"",L292&lt;TODAY()),"YA","")</f>
        <v/>
      </c>
      <c r="U292" s="23" t="str">
        <f aca="false">IF(B292="","",TEXT(B292,"yyyy-mm"))</f>
        <v/>
      </c>
      <c r="V292" s="23" t="str">
        <f aca="false">IF(K292="","",TEXT(K292,"yyyy-mm"))</f>
        <v/>
      </c>
      <c r="W292" s="23" t="n">
        <f aca="false">IF(OR(C292="Cetak",C292="Dikirim",C292="Selesai"),1,0)</f>
        <v>0</v>
      </c>
      <c r="X292" s="23" t="str">
        <f aca="false">IF(F292="","",SUBSTITUTE(SUBSTITUTE(MID(UPPER(TRIM(F292)),4,99),"-LED",""),"-TK",""))</f>
        <v/>
      </c>
      <c r="Y292" s="23" t="str">
        <f aca="false">IF(X292="","",(LEN(X292)+1)/7)</f>
        <v/>
      </c>
      <c r="Z292" s="23" t="str">
        <f aca="false">IF(X292="","",LEFT(X292,6))</f>
        <v/>
      </c>
      <c r="AA292" s="23" t="str">
        <f aca="false">IF(X292="","",IF(Y292&gt;=3,MID(X292,8,6),""))</f>
        <v/>
      </c>
      <c r="AB292" s="23" t="str">
        <f aca="false">IF(X292="","",IF(Y292&gt;=4,MID(X292,15,6),""))</f>
        <v/>
      </c>
      <c r="AC292" s="23" t="str">
        <f aca="false">IF(X292="","",IF(Y292&gt;=5,MID(X292,22,6),""))</f>
        <v/>
      </c>
      <c r="AD292" s="23" t="str">
        <f aca="false">IF(X292="","",RIGHT(X292,6))</f>
        <v/>
      </c>
      <c r="AE292" s="23" t="str">
        <f aca="false">IF(F292="","",IF(ISNUMBER(SEARCH("-TK",UPPER(F292))),0,1))</f>
        <v/>
      </c>
      <c r="AF292" s="23" t="str">
        <f aca="false">IF(F292="","",IF(ISNUMBER(SEARCH("-LED",UPPER(F292))),1,0))</f>
        <v/>
      </c>
      <c r="AG292" s="24" t="n">
        <f aca="false">IF(Z292="",0,IFERROR(INDEX(Resep!$C$5:$C$7,MATCH(LEFT(Z292,3),Resep!$B$5:$B$7,0)),0))</f>
        <v>0</v>
      </c>
      <c r="AH292" s="24" t="n">
        <f aca="false">IF(AA292="",0,IFERROR(INDEX(Resep!$C$9:$C$13,MATCH(LEFT(AA292,3),Resep!$B$9:$B$13,0)),0))</f>
        <v>0</v>
      </c>
      <c r="AI292" s="24" t="n">
        <f aca="false">IF(AB292="",0,IFERROR(INDEX(Resep!$C$9:$C$13,MATCH(LEFT(AB292,3),Resep!$B$9:$B$13,0)),0))</f>
        <v>0</v>
      </c>
      <c r="AJ292" s="24" t="n">
        <f aca="false">IF(AC292="",0,IFERROR(INDEX(Resep!$C$9:$C$13,MATCH(LEFT(AC292,3),Resep!$B$9:$B$13,0)),0))</f>
        <v>0</v>
      </c>
      <c r="AK292" s="24" t="n">
        <f aca="false">IF(AD292="",0,IFERROR(INDEX(Resep!$C$15:$C$18,MATCH(LEFT(AD292,3),Resep!$B$15:$B$18,0)),0))</f>
        <v>0</v>
      </c>
      <c r="AL292" s="24" t="str">
        <f aca="false">IF(X292="","",AG292+AH292+AI292+AJ292+AK292)</f>
        <v/>
      </c>
      <c r="AM292" s="22" t="str">
        <f aca="false">IF(X292="","",AL292*(Pengaturan!$B$6+Pengaturan!$B$7)+Pengaturan!$B$8+AE292*Pengaturan!$B$9+AF292*Pengaturan!$B$10)</f>
        <v/>
      </c>
      <c r="AN292" s="22" t="str">
        <f aca="false">IF(X292="","",N(G292)-AM292)</f>
        <v/>
      </c>
      <c r="AO292" s="25" t="str">
        <f aca="false">IF(OR(X292="",N(G292)=0),"",AN292/G292)</f>
        <v/>
      </c>
    </row>
    <row r="293" customFormat="false" ht="15" hidden="false" customHeight="false" outlineLevel="0" collapsed="false">
      <c r="A293" s="19"/>
      <c r="B293" s="20"/>
      <c r="C293" s="19"/>
      <c r="D293" s="19"/>
      <c r="E293" s="19"/>
      <c r="F293" s="19"/>
      <c r="G293" s="21"/>
      <c r="H293" s="19"/>
      <c r="I293" s="21"/>
      <c r="J293" s="19"/>
      <c r="K293" s="20"/>
      <c r="L293" s="20"/>
      <c r="M293" s="19"/>
      <c r="N293" s="19"/>
      <c r="O293" s="20"/>
      <c r="P293" s="20"/>
      <c r="Q293" s="19"/>
      <c r="R293" s="22" t="str">
        <f aca="false">IF(A293="","",N(G293)+N(I293))</f>
        <v/>
      </c>
      <c r="S293" s="23" t="str">
        <f aca="false">IF(OR(K293="",O293=""),"",O293-K293)</f>
        <v/>
      </c>
      <c r="T293" s="23" t="str">
        <f aca="true">IF(AND(C293="Cetak",L293&lt;&gt;"",L293&lt;TODAY()),"YA","")</f>
        <v/>
      </c>
      <c r="U293" s="23" t="str">
        <f aca="false">IF(B293="","",TEXT(B293,"yyyy-mm"))</f>
        <v/>
      </c>
      <c r="V293" s="23" t="str">
        <f aca="false">IF(K293="","",TEXT(K293,"yyyy-mm"))</f>
        <v/>
      </c>
      <c r="W293" s="23" t="n">
        <f aca="false">IF(OR(C293="Cetak",C293="Dikirim",C293="Selesai"),1,0)</f>
        <v>0</v>
      </c>
      <c r="X293" s="23" t="str">
        <f aca="false">IF(F293="","",SUBSTITUTE(SUBSTITUTE(MID(UPPER(TRIM(F293)),4,99),"-LED",""),"-TK",""))</f>
        <v/>
      </c>
      <c r="Y293" s="23" t="str">
        <f aca="false">IF(X293="","",(LEN(X293)+1)/7)</f>
        <v/>
      </c>
      <c r="Z293" s="23" t="str">
        <f aca="false">IF(X293="","",LEFT(X293,6))</f>
        <v/>
      </c>
      <c r="AA293" s="23" t="str">
        <f aca="false">IF(X293="","",IF(Y293&gt;=3,MID(X293,8,6),""))</f>
        <v/>
      </c>
      <c r="AB293" s="23" t="str">
        <f aca="false">IF(X293="","",IF(Y293&gt;=4,MID(X293,15,6),""))</f>
        <v/>
      </c>
      <c r="AC293" s="23" t="str">
        <f aca="false">IF(X293="","",IF(Y293&gt;=5,MID(X293,22,6),""))</f>
        <v/>
      </c>
      <c r="AD293" s="23" t="str">
        <f aca="false">IF(X293="","",RIGHT(X293,6))</f>
        <v/>
      </c>
      <c r="AE293" s="23" t="str">
        <f aca="false">IF(F293="","",IF(ISNUMBER(SEARCH("-TK",UPPER(F293))),0,1))</f>
        <v/>
      </c>
      <c r="AF293" s="23" t="str">
        <f aca="false">IF(F293="","",IF(ISNUMBER(SEARCH("-LED",UPPER(F293))),1,0))</f>
        <v/>
      </c>
      <c r="AG293" s="24" t="n">
        <f aca="false">IF(Z293="",0,IFERROR(INDEX(Resep!$C$5:$C$7,MATCH(LEFT(Z293,3),Resep!$B$5:$B$7,0)),0))</f>
        <v>0</v>
      </c>
      <c r="AH293" s="24" t="n">
        <f aca="false">IF(AA293="",0,IFERROR(INDEX(Resep!$C$9:$C$13,MATCH(LEFT(AA293,3),Resep!$B$9:$B$13,0)),0))</f>
        <v>0</v>
      </c>
      <c r="AI293" s="24" t="n">
        <f aca="false">IF(AB293="",0,IFERROR(INDEX(Resep!$C$9:$C$13,MATCH(LEFT(AB293,3),Resep!$B$9:$B$13,0)),0))</f>
        <v>0</v>
      </c>
      <c r="AJ293" s="24" t="n">
        <f aca="false">IF(AC293="",0,IFERROR(INDEX(Resep!$C$9:$C$13,MATCH(LEFT(AC293,3),Resep!$B$9:$B$13,0)),0))</f>
        <v>0</v>
      </c>
      <c r="AK293" s="24" t="n">
        <f aca="false">IF(AD293="",0,IFERROR(INDEX(Resep!$C$15:$C$18,MATCH(LEFT(AD293,3),Resep!$B$15:$B$18,0)),0))</f>
        <v>0</v>
      </c>
      <c r="AL293" s="24" t="str">
        <f aca="false">IF(X293="","",AG293+AH293+AI293+AJ293+AK293)</f>
        <v/>
      </c>
      <c r="AM293" s="22" t="str">
        <f aca="false">IF(X293="","",AL293*(Pengaturan!$B$6+Pengaturan!$B$7)+Pengaturan!$B$8+AE293*Pengaturan!$B$9+AF293*Pengaturan!$B$10)</f>
        <v/>
      </c>
      <c r="AN293" s="22" t="str">
        <f aca="false">IF(X293="","",N(G293)-AM293)</f>
        <v/>
      </c>
      <c r="AO293" s="25" t="str">
        <f aca="false">IF(OR(X293="",N(G293)=0),"",AN293/G293)</f>
        <v/>
      </c>
    </row>
    <row r="294" customFormat="false" ht="15" hidden="false" customHeight="false" outlineLevel="0" collapsed="false">
      <c r="A294" s="19"/>
      <c r="B294" s="20"/>
      <c r="C294" s="19"/>
      <c r="D294" s="19"/>
      <c r="E294" s="19"/>
      <c r="F294" s="19"/>
      <c r="G294" s="21"/>
      <c r="H294" s="19"/>
      <c r="I294" s="21"/>
      <c r="J294" s="19"/>
      <c r="K294" s="20"/>
      <c r="L294" s="20"/>
      <c r="M294" s="19"/>
      <c r="N294" s="19"/>
      <c r="O294" s="20"/>
      <c r="P294" s="20"/>
      <c r="Q294" s="19"/>
      <c r="R294" s="22" t="str">
        <f aca="false">IF(A294="","",N(G294)+N(I294))</f>
        <v/>
      </c>
      <c r="S294" s="23" t="str">
        <f aca="false">IF(OR(K294="",O294=""),"",O294-K294)</f>
        <v/>
      </c>
      <c r="T294" s="23" t="str">
        <f aca="true">IF(AND(C294="Cetak",L294&lt;&gt;"",L294&lt;TODAY()),"YA","")</f>
        <v/>
      </c>
      <c r="U294" s="23" t="str">
        <f aca="false">IF(B294="","",TEXT(B294,"yyyy-mm"))</f>
        <v/>
      </c>
      <c r="V294" s="23" t="str">
        <f aca="false">IF(K294="","",TEXT(K294,"yyyy-mm"))</f>
        <v/>
      </c>
      <c r="W294" s="23" t="n">
        <f aca="false">IF(OR(C294="Cetak",C294="Dikirim",C294="Selesai"),1,0)</f>
        <v>0</v>
      </c>
      <c r="X294" s="23" t="str">
        <f aca="false">IF(F294="","",SUBSTITUTE(SUBSTITUTE(MID(UPPER(TRIM(F294)),4,99),"-LED",""),"-TK",""))</f>
        <v/>
      </c>
      <c r="Y294" s="23" t="str">
        <f aca="false">IF(X294="","",(LEN(X294)+1)/7)</f>
        <v/>
      </c>
      <c r="Z294" s="23" t="str">
        <f aca="false">IF(X294="","",LEFT(X294,6))</f>
        <v/>
      </c>
      <c r="AA294" s="23" t="str">
        <f aca="false">IF(X294="","",IF(Y294&gt;=3,MID(X294,8,6),""))</f>
        <v/>
      </c>
      <c r="AB294" s="23" t="str">
        <f aca="false">IF(X294="","",IF(Y294&gt;=4,MID(X294,15,6),""))</f>
        <v/>
      </c>
      <c r="AC294" s="23" t="str">
        <f aca="false">IF(X294="","",IF(Y294&gt;=5,MID(X294,22,6),""))</f>
        <v/>
      </c>
      <c r="AD294" s="23" t="str">
        <f aca="false">IF(X294="","",RIGHT(X294,6))</f>
        <v/>
      </c>
      <c r="AE294" s="23" t="str">
        <f aca="false">IF(F294="","",IF(ISNUMBER(SEARCH("-TK",UPPER(F294))),0,1))</f>
        <v/>
      </c>
      <c r="AF294" s="23" t="str">
        <f aca="false">IF(F294="","",IF(ISNUMBER(SEARCH("-LED",UPPER(F294))),1,0))</f>
        <v/>
      </c>
      <c r="AG294" s="24" t="n">
        <f aca="false">IF(Z294="",0,IFERROR(INDEX(Resep!$C$5:$C$7,MATCH(LEFT(Z294,3),Resep!$B$5:$B$7,0)),0))</f>
        <v>0</v>
      </c>
      <c r="AH294" s="24" t="n">
        <f aca="false">IF(AA294="",0,IFERROR(INDEX(Resep!$C$9:$C$13,MATCH(LEFT(AA294,3),Resep!$B$9:$B$13,0)),0))</f>
        <v>0</v>
      </c>
      <c r="AI294" s="24" t="n">
        <f aca="false">IF(AB294="",0,IFERROR(INDEX(Resep!$C$9:$C$13,MATCH(LEFT(AB294,3),Resep!$B$9:$B$13,0)),0))</f>
        <v>0</v>
      </c>
      <c r="AJ294" s="24" t="n">
        <f aca="false">IF(AC294="",0,IFERROR(INDEX(Resep!$C$9:$C$13,MATCH(LEFT(AC294,3),Resep!$B$9:$B$13,0)),0))</f>
        <v>0</v>
      </c>
      <c r="AK294" s="24" t="n">
        <f aca="false">IF(AD294="",0,IFERROR(INDEX(Resep!$C$15:$C$18,MATCH(LEFT(AD294,3),Resep!$B$15:$B$18,0)),0))</f>
        <v>0</v>
      </c>
      <c r="AL294" s="24" t="str">
        <f aca="false">IF(X294="","",AG294+AH294+AI294+AJ294+AK294)</f>
        <v/>
      </c>
      <c r="AM294" s="22" t="str">
        <f aca="false">IF(X294="","",AL294*(Pengaturan!$B$6+Pengaturan!$B$7)+Pengaturan!$B$8+AE294*Pengaturan!$B$9+AF294*Pengaturan!$B$10)</f>
        <v/>
      </c>
      <c r="AN294" s="22" t="str">
        <f aca="false">IF(X294="","",N(G294)-AM294)</f>
        <v/>
      </c>
      <c r="AO294" s="25" t="str">
        <f aca="false">IF(OR(X294="",N(G294)=0),"",AN294/G294)</f>
        <v/>
      </c>
    </row>
    <row r="295" customFormat="false" ht="15" hidden="false" customHeight="false" outlineLevel="0" collapsed="false">
      <c r="A295" s="19"/>
      <c r="B295" s="20"/>
      <c r="C295" s="19"/>
      <c r="D295" s="19"/>
      <c r="E295" s="19"/>
      <c r="F295" s="19"/>
      <c r="G295" s="21"/>
      <c r="H295" s="19"/>
      <c r="I295" s="21"/>
      <c r="J295" s="19"/>
      <c r="K295" s="20"/>
      <c r="L295" s="20"/>
      <c r="M295" s="19"/>
      <c r="N295" s="19"/>
      <c r="O295" s="20"/>
      <c r="P295" s="20"/>
      <c r="Q295" s="19"/>
      <c r="R295" s="22" t="str">
        <f aca="false">IF(A295="","",N(G295)+N(I295))</f>
        <v/>
      </c>
      <c r="S295" s="23" t="str">
        <f aca="false">IF(OR(K295="",O295=""),"",O295-K295)</f>
        <v/>
      </c>
      <c r="T295" s="23" t="str">
        <f aca="true">IF(AND(C295="Cetak",L295&lt;&gt;"",L295&lt;TODAY()),"YA","")</f>
        <v/>
      </c>
      <c r="U295" s="23" t="str">
        <f aca="false">IF(B295="","",TEXT(B295,"yyyy-mm"))</f>
        <v/>
      </c>
      <c r="V295" s="23" t="str">
        <f aca="false">IF(K295="","",TEXT(K295,"yyyy-mm"))</f>
        <v/>
      </c>
      <c r="W295" s="23" t="n">
        <f aca="false">IF(OR(C295="Cetak",C295="Dikirim",C295="Selesai"),1,0)</f>
        <v>0</v>
      </c>
      <c r="X295" s="23" t="str">
        <f aca="false">IF(F295="","",SUBSTITUTE(SUBSTITUTE(MID(UPPER(TRIM(F295)),4,99),"-LED",""),"-TK",""))</f>
        <v/>
      </c>
      <c r="Y295" s="23" t="str">
        <f aca="false">IF(X295="","",(LEN(X295)+1)/7)</f>
        <v/>
      </c>
      <c r="Z295" s="23" t="str">
        <f aca="false">IF(X295="","",LEFT(X295,6))</f>
        <v/>
      </c>
      <c r="AA295" s="23" t="str">
        <f aca="false">IF(X295="","",IF(Y295&gt;=3,MID(X295,8,6),""))</f>
        <v/>
      </c>
      <c r="AB295" s="23" t="str">
        <f aca="false">IF(X295="","",IF(Y295&gt;=4,MID(X295,15,6),""))</f>
        <v/>
      </c>
      <c r="AC295" s="23" t="str">
        <f aca="false">IF(X295="","",IF(Y295&gt;=5,MID(X295,22,6),""))</f>
        <v/>
      </c>
      <c r="AD295" s="23" t="str">
        <f aca="false">IF(X295="","",RIGHT(X295,6))</f>
        <v/>
      </c>
      <c r="AE295" s="23" t="str">
        <f aca="false">IF(F295="","",IF(ISNUMBER(SEARCH("-TK",UPPER(F295))),0,1))</f>
        <v/>
      </c>
      <c r="AF295" s="23" t="str">
        <f aca="false">IF(F295="","",IF(ISNUMBER(SEARCH("-LED",UPPER(F295))),1,0))</f>
        <v/>
      </c>
      <c r="AG295" s="24" t="n">
        <f aca="false">IF(Z295="",0,IFERROR(INDEX(Resep!$C$5:$C$7,MATCH(LEFT(Z295,3),Resep!$B$5:$B$7,0)),0))</f>
        <v>0</v>
      </c>
      <c r="AH295" s="24" t="n">
        <f aca="false">IF(AA295="",0,IFERROR(INDEX(Resep!$C$9:$C$13,MATCH(LEFT(AA295,3),Resep!$B$9:$B$13,0)),0))</f>
        <v>0</v>
      </c>
      <c r="AI295" s="24" t="n">
        <f aca="false">IF(AB295="",0,IFERROR(INDEX(Resep!$C$9:$C$13,MATCH(LEFT(AB295,3),Resep!$B$9:$B$13,0)),0))</f>
        <v>0</v>
      </c>
      <c r="AJ295" s="24" t="n">
        <f aca="false">IF(AC295="",0,IFERROR(INDEX(Resep!$C$9:$C$13,MATCH(LEFT(AC295,3),Resep!$B$9:$B$13,0)),0))</f>
        <v>0</v>
      </c>
      <c r="AK295" s="24" t="n">
        <f aca="false">IF(AD295="",0,IFERROR(INDEX(Resep!$C$15:$C$18,MATCH(LEFT(AD295,3),Resep!$B$15:$B$18,0)),0))</f>
        <v>0</v>
      </c>
      <c r="AL295" s="24" t="str">
        <f aca="false">IF(X295="","",AG295+AH295+AI295+AJ295+AK295)</f>
        <v/>
      </c>
      <c r="AM295" s="22" t="str">
        <f aca="false">IF(X295="","",AL295*(Pengaturan!$B$6+Pengaturan!$B$7)+Pengaturan!$B$8+AE295*Pengaturan!$B$9+AF295*Pengaturan!$B$10)</f>
        <v/>
      </c>
      <c r="AN295" s="22" t="str">
        <f aca="false">IF(X295="","",N(G295)-AM295)</f>
        <v/>
      </c>
      <c r="AO295" s="25" t="str">
        <f aca="false">IF(OR(X295="",N(G295)=0),"",AN295/G295)</f>
        <v/>
      </c>
    </row>
    <row r="296" customFormat="false" ht="15" hidden="false" customHeight="false" outlineLevel="0" collapsed="false">
      <c r="A296" s="19"/>
      <c r="B296" s="20"/>
      <c r="C296" s="19"/>
      <c r="D296" s="19"/>
      <c r="E296" s="19"/>
      <c r="F296" s="19"/>
      <c r="G296" s="21"/>
      <c r="H296" s="19"/>
      <c r="I296" s="21"/>
      <c r="J296" s="19"/>
      <c r="K296" s="20"/>
      <c r="L296" s="20"/>
      <c r="M296" s="19"/>
      <c r="N296" s="19"/>
      <c r="O296" s="20"/>
      <c r="P296" s="20"/>
      <c r="Q296" s="19"/>
      <c r="R296" s="22" t="str">
        <f aca="false">IF(A296="","",N(G296)+N(I296))</f>
        <v/>
      </c>
      <c r="S296" s="23" t="str">
        <f aca="false">IF(OR(K296="",O296=""),"",O296-K296)</f>
        <v/>
      </c>
      <c r="T296" s="23" t="str">
        <f aca="true">IF(AND(C296="Cetak",L296&lt;&gt;"",L296&lt;TODAY()),"YA","")</f>
        <v/>
      </c>
      <c r="U296" s="23" t="str">
        <f aca="false">IF(B296="","",TEXT(B296,"yyyy-mm"))</f>
        <v/>
      </c>
      <c r="V296" s="23" t="str">
        <f aca="false">IF(K296="","",TEXT(K296,"yyyy-mm"))</f>
        <v/>
      </c>
      <c r="W296" s="23" t="n">
        <f aca="false">IF(OR(C296="Cetak",C296="Dikirim",C296="Selesai"),1,0)</f>
        <v>0</v>
      </c>
      <c r="X296" s="23" t="str">
        <f aca="false">IF(F296="","",SUBSTITUTE(SUBSTITUTE(MID(UPPER(TRIM(F296)),4,99),"-LED",""),"-TK",""))</f>
        <v/>
      </c>
      <c r="Y296" s="23" t="str">
        <f aca="false">IF(X296="","",(LEN(X296)+1)/7)</f>
        <v/>
      </c>
      <c r="Z296" s="23" t="str">
        <f aca="false">IF(X296="","",LEFT(X296,6))</f>
        <v/>
      </c>
      <c r="AA296" s="23" t="str">
        <f aca="false">IF(X296="","",IF(Y296&gt;=3,MID(X296,8,6),""))</f>
        <v/>
      </c>
      <c r="AB296" s="23" t="str">
        <f aca="false">IF(X296="","",IF(Y296&gt;=4,MID(X296,15,6),""))</f>
        <v/>
      </c>
      <c r="AC296" s="23" t="str">
        <f aca="false">IF(X296="","",IF(Y296&gt;=5,MID(X296,22,6),""))</f>
        <v/>
      </c>
      <c r="AD296" s="23" t="str">
        <f aca="false">IF(X296="","",RIGHT(X296,6))</f>
        <v/>
      </c>
      <c r="AE296" s="23" t="str">
        <f aca="false">IF(F296="","",IF(ISNUMBER(SEARCH("-TK",UPPER(F296))),0,1))</f>
        <v/>
      </c>
      <c r="AF296" s="23" t="str">
        <f aca="false">IF(F296="","",IF(ISNUMBER(SEARCH("-LED",UPPER(F296))),1,0))</f>
        <v/>
      </c>
      <c r="AG296" s="24" t="n">
        <f aca="false">IF(Z296="",0,IFERROR(INDEX(Resep!$C$5:$C$7,MATCH(LEFT(Z296,3),Resep!$B$5:$B$7,0)),0))</f>
        <v>0</v>
      </c>
      <c r="AH296" s="24" t="n">
        <f aca="false">IF(AA296="",0,IFERROR(INDEX(Resep!$C$9:$C$13,MATCH(LEFT(AA296,3),Resep!$B$9:$B$13,0)),0))</f>
        <v>0</v>
      </c>
      <c r="AI296" s="24" t="n">
        <f aca="false">IF(AB296="",0,IFERROR(INDEX(Resep!$C$9:$C$13,MATCH(LEFT(AB296,3),Resep!$B$9:$B$13,0)),0))</f>
        <v>0</v>
      </c>
      <c r="AJ296" s="24" t="n">
        <f aca="false">IF(AC296="",0,IFERROR(INDEX(Resep!$C$9:$C$13,MATCH(LEFT(AC296,3),Resep!$B$9:$B$13,0)),0))</f>
        <v>0</v>
      </c>
      <c r="AK296" s="24" t="n">
        <f aca="false">IF(AD296="",0,IFERROR(INDEX(Resep!$C$15:$C$18,MATCH(LEFT(AD296,3),Resep!$B$15:$B$18,0)),0))</f>
        <v>0</v>
      </c>
      <c r="AL296" s="24" t="str">
        <f aca="false">IF(X296="","",AG296+AH296+AI296+AJ296+AK296)</f>
        <v/>
      </c>
      <c r="AM296" s="22" t="str">
        <f aca="false">IF(X296="","",AL296*(Pengaturan!$B$6+Pengaturan!$B$7)+Pengaturan!$B$8+AE296*Pengaturan!$B$9+AF296*Pengaturan!$B$10)</f>
        <v/>
      </c>
      <c r="AN296" s="22" t="str">
        <f aca="false">IF(X296="","",N(G296)-AM296)</f>
        <v/>
      </c>
      <c r="AO296" s="25" t="str">
        <f aca="false">IF(OR(X296="",N(G296)=0),"",AN296/G296)</f>
        <v/>
      </c>
    </row>
    <row r="297" customFormat="false" ht="15" hidden="false" customHeight="false" outlineLevel="0" collapsed="false">
      <c r="A297" s="19"/>
      <c r="B297" s="20"/>
      <c r="C297" s="19"/>
      <c r="D297" s="19"/>
      <c r="E297" s="19"/>
      <c r="F297" s="19"/>
      <c r="G297" s="21"/>
      <c r="H297" s="19"/>
      <c r="I297" s="21"/>
      <c r="J297" s="19"/>
      <c r="K297" s="20"/>
      <c r="L297" s="20"/>
      <c r="M297" s="19"/>
      <c r="N297" s="19"/>
      <c r="O297" s="20"/>
      <c r="P297" s="20"/>
      <c r="Q297" s="19"/>
      <c r="R297" s="22" t="str">
        <f aca="false">IF(A297="","",N(G297)+N(I297))</f>
        <v/>
      </c>
      <c r="S297" s="23" t="str">
        <f aca="false">IF(OR(K297="",O297=""),"",O297-K297)</f>
        <v/>
      </c>
      <c r="T297" s="23" t="str">
        <f aca="true">IF(AND(C297="Cetak",L297&lt;&gt;"",L297&lt;TODAY()),"YA","")</f>
        <v/>
      </c>
      <c r="U297" s="23" t="str">
        <f aca="false">IF(B297="","",TEXT(B297,"yyyy-mm"))</f>
        <v/>
      </c>
      <c r="V297" s="23" t="str">
        <f aca="false">IF(K297="","",TEXT(K297,"yyyy-mm"))</f>
        <v/>
      </c>
      <c r="W297" s="23" t="n">
        <f aca="false">IF(OR(C297="Cetak",C297="Dikirim",C297="Selesai"),1,0)</f>
        <v>0</v>
      </c>
      <c r="X297" s="23" t="str">
        <f aca="false">IF(F297="","",SUBSTITUTE(SUBSTITUTE(MID(UPPER(TRIM(F297)),4,99),"-LED",""),"-TK",""))</f>
        <v/>
      </c>
      <c r="Y297" s="23" t="str">
        <f aca="false">IF(X297="","",(LEN(X297)+1)/7)</f>
        <v/>
      </c>
      <c r="Z297" s="23" t="str">
        <f aca="false">IF(X297="","",LEFT(X297,6))</f>
        <v/>
      </c>
      <c r="AA297" s="23" t="str">
        <f aca="false">IF(X297="","",IF(Y297&gt;=3,MID(X297,8,6),""))</f>
        <v/>
      </c>
      <c r="AB297" s="23" t="str">
        <f aca="false">IF(X297="","",IF(Y297&gt;=4,MID(X297,15,6),""))</f>
        <v/>
      </c>
      <c r="AC297" s="23" t="str">
        <f aca="false">IF(X297="","",IF(Y297&gt;=5,MID(X297,22,6),""))</f>
        <v/>
      </c>
      <c r="AD297" s="23" t="str">
        <f aca="false">IF(X297="","",RIGHT(X297,6))</f>
        <v/>
      </c>
      <c r="AE297" s="23" t="str">
        <f aca="false">IF(F297="","",IF(ISNUMBER(SEARCH("-TK",UPPER(F297))),0,1))</f>
        <v/>
      </c>
      <c r="AF297" s="23" t="str">
        <f aca="false">IF(F297="","",IF(ISNUMBER(SEARCH("-LED",UPPER(F297))),1,0))</f>
        <v/>
      </c>
      <c r="AG297" s="24" t="n">
        <f aca="false">IF(Z297="",0,IFERROR(INDEX(Resep!$C$5:$C$7,MATCH(LEFT(Z297,3),Resep!$B$5:$B$7,0)),0))</f>
        <v>0</v>
      </c>
      <c r="AH297" s="24" t="n">
        <f aca="false">IF(AA297="",0,IFERROR(INDEX(Resep!$C$9:$C$13,MATCH(LEFT(AA297,3),Resep!$B$9:$B$13,0)),0))</f>
        <v>0</v>
      </c>
      <c r="AI297" s="24" t="n">
        <f aca="false">IF(AB297="",0,IFERROR(INDEX(Resep!$C$9:$C$13,MATCH(LEFT(AB297,3),Resep!$B$9:$B$13,0)),0))</f>
        <v>0</v>
      </c>
      <c r="AJ297" s="24" t="n">
        <f aca="false">IF(AC297="",0,IFERROR(INDEX(Resep!$C$9:$C$13,MATCH(LEFT(AC297,3),Resep!$B$9:$B$13,0)),0))</f>
        <v>0</v>
      </c>
      <c r="AK297" s="24" t="n">
        <f aca="false">IF(AD297="",0,IFERROR(INDEX(Resep!$C$15:$C$18,MATCH(LEFT(AD297,3),Resep!$B$15:$B$18,0)),0))</f>
        <v>0</v>
      </c>
      <c r="AL297" s="24" t="str">
        <f aca="false">IF(X297="","",AG297+AH297+AI297+AJ297+AK297)</f>
        <v/>
      </c>
      <c r="AM297" s="22" t="str">
        <f aca="false">IF(X297="","",AL297*(Pengaturan!$B$6+Pengaturan!$B$7)+Pengaturan!$B$8+AE297*Pengaturan!$B$9+AF297*Pengaturan!$B$10)</f>
        <v/>
      </c>
      <c r="AN297" s="22" t="str">
        <f aca="false">IF(X297="","",N(G297)-AM297)</f>
        <v/>
      </c>
      <c r="AO297" s="25" t="str">
        <f aca="false">IF(OR(X297="",N(G297)=0),"",AN297/G297)</f>
        <v/>
      </c>
    </row>
    <row r="298" customFormat="false" ht="15" hidden="false" customHeight="false" outlineLevel="0" collapsed="false">
      <c r="A298" s="19"/>
      <c r="B298" s="20"/>
      <c r="C298" s="19"/>
      <c r="D298" s="19"/>
      <c r="E298" s="19"/>
      <c r="F298" s="19"/>
      <c r="G298" s="21"/>
      <c r="H298" s="19"/>
      <c r="I298" s="21"/>
      <c r="J298" s="19"/>
      <c r="K298" s="20"/>
      <c r="L298" s="20"/>
      <c r="M298" s="19"/>
      <c r="N298" s="19"/>
      <c r="O298" s="20"/>
      <c r="P298" s="20"/>
      <c r="Q298" s="19"/>
      <c r="R298" s="22" t="str">
        <f aca="false">IF(A298="","",N(G298)+N(I298))</f>
        <v/>
      </c>
      <c r="S298" s="23" t="str">
        <f aca="false">IF(OR(K298="",O298=""),"",O298-K298)</f>
        <v/>
      </c>
      <c r="T298" s="23" t="str">
        <f aca="true">IF(AND(C298="Cetak",L298&lt;&gt;"",L298&lt;TODAY()),"YA","")</f>
        <v/>
      </c>
      <c r="U298" s="23" t="str">
        <f aca="false">IF(B298="","",TEXT(B298,"yyyy-mm"))</f>
        <v/>
      </c>
      <c r="V298" s="23" t="str">
        <f aca="false">IF(K298="","",TEXT(K298,"yyyy-mm"))</f>
        <v/>
      </c>
      <c r="W298" s="23" t="n">
        <f aca="false">IF(OR(C298="Cetak",C298="Dikirim",C298="Selesai"),1,0)</f>
        <v>0</v>
      </c>
      <c r="X298" s="23" t="str">
        <f aca="false">IF(F298="","",SUBSTITUTE(SUBSTITUTE(MID(UPPER(TRIM(F298)),4,99),"-LED",""),"-TK",""))</f>
        <v/>
      </c>
      <c r="Y298" s="23" t="str">
        <f aca="false">IF(X298="","",(LEN(X298)+1)/7)</f>
        <v/>
      </c>
      <c r="Z298" s="23" t="str">
        <f aca="false">IF(X298="","",LEFT(X298,6))</f>
        <v/>
      </c>
      <c r="AA298" s="23" t="str">
        <f aca="false">IF(X298="","",IF(Y298&gt;=3,MID(X298,8,6),""))</f>
        <v/>
      </c>
      <c r="AB298" s="23" t="str">
        <f aca="false">IF(X298="","",IF(Y298&gt;=4,MID(X298,15,6),""))</f>
        <v/>
      </c>
      <c r="AC298" s="23" t="str">
        <f aca="false">IF(X298="","",IF(Y298&gt;=5,MID(X298,22,6),""))</f>
        <v/>
      </c>
      <c r="AD298" s="23" t="str">
        <f aca="false">IF(X298="","",RIGHT(X298,6))</f>
        <v/>
      </c>
      <c r="AE298" s="23" t="str">
        <f aca="false">IF(F298="","",IF(ISNUMBER(SEARCH("-TK",UPPER(F298))),0,1))</f>
        <v/>
      </c>
      <c r="AF298" s="23" t="str">
        <f aca="false">IF(F298="","",IF(ISNUMBER(SEARCH("-LED",UPPER(F298))),1,0))</f>
        <v/>
      </c>
      <c r="AG298" s="24" t="n">
        <f aca="false">IF(Z298="",0,IFERROR(INDEX(Resep!$C$5:$C$7,MATCH(LEFT(Z298,3),Resep!$B$5:$B$7,0)),0))</f>
        <v>0</v>
      </c>
      <c r="AH298" s="24" t="n">
        <f aca="false">IF(AA298="",0,IFERROR(INDEX(Resep!$C$9:$C$13,MATCH(LEFT(AA298,3),Resep!$B$9:$B$13,0)),0))</f>
        <v>0</v>
      </c>
      <c r="AI298" s="24" t="n">
        <f aca="false">IF(AB298="",0,IFERROR(INDEX(Resep!$C$9:$C$13,MATCH(LEFT(AB298,3),Resep!$B$9:$B$13,0)),0))</f>
        <v>0</v>
      </c>
      <c r="AJ298" s="24" t="n">
        <f aca="false">IF(AC298="",0,IFERROR(INDEX(Resep!$C$9:$C$13,MATCH(LEFT(AC298,3),Resep!$B$9:$B$13,0)),0))</f>
        <v>0</v>
      </c>
      <c r="AK298" s="24" t="n">
        <f aca="false">IF(AD298="",0,IFERROR(INDEX(Resep!$C$15:$C$18,MATCH(LEFT(AD298,3),Resep!$B$15:$B$18,0)),0))</f>
        <v>0</v>
      </c>
      <c r="AL298" s="24" t="str">
        <f aca="false">IF(X298="","",AG298+AH298+AI298+AJ298+AK298)</f>
        <v/>
      </c>
      <c r="AM298" s="22" t="str">
        <f aca="false">IF(X298="","",AL298*(Pengaturan!$B$6+Pengaturan!$B$7)+Pengaturan!$B$8+AE298*Pengaturan!$B$9+AF298*Pengaturan!$B$10)</f>
        <v/>
      </c>
      <c r="AN298" s="22" t="str">
        <f aca="false">IF(X298="","",N(G298)-AM298)</f>
        <v/>
      </c>
      <c r="AO298" s="25" t="str">
        <f aca="false">IF(OR(X298="",N(G298)=0),"",AN298/G298)</f>
        <v/>
      </c>
    </row>
    <row r="299" customFormat="false" ht="15" hidden="false" customHeight="false" outlineLevel="0" collapsed="false">
      <c r="A299" s="19"/>
      <c r="B299" s="20"/>
      <c r="C299" s="19"/>
      <c r="D299" s="19"/>
      <c r="E299" s="19"/>
      <c r="F299" s="19"/>
      <c r="G299" s="21"/>
      <c r="H299" s="19"/>
      <c r="I299" s="21"/>
      <c r="J299" s="19"/>
      <c r="K299" s="20"/>
      <c r="L299" s="20"/>
      <c r="M299" s="19"/>
      <c r="N299" s="19"/>
      <c r="O299" s="20"/>
      <c r="P299" s="20"/>
      <c r="Q299" s="19"/>
      <c r="R299" s="22" t="str">
        <f aca="false">IF(A299="","",N(G299)+N(I299))</f>
        <v/>
      </c>
      <c r="S299" s="23" t="str">
        <f aca="false">IF(OR(K299="",O299=""),"",O299-K299)</f>
        <v/>
      </c>
      <c r="T299" s="23" t="str">
        <f aca="true">IF(AND(C299="Cetak",L299&lt;&gt;"",L299&lt;TODAY()),"YA","")</f>
        <v/>
      </c>
      <c r="U299" s="23" t="str">
        <f aca="false">IF(B299="","",TEXT(B299,"yyyy-mm"))</f>
        <v/>
      </c>
      <c r="V299" s="23" t="str">
        <f aca="false">IF(K299="","",TEXT(K299,"yyyy-mm"))</f>
        <v/>
      </c>
      <c r="W299" s="23" t="n">
        <f aca="false">IF(OR(C299="Cetak",C299="Dikirim",C299="Selesai"),1,0)</f>
        <v>0</v>
      </c>
      <c r="X299" s="23" t="str">
        <f aca="false">IF(F299="","",SUBSTITUTE(SUBSTITUTE(MID(UPPER(TRIM(F299)),4,99),"-LED",""),"-TK",""))</f>
        <v/>
      </c>
      <c r="Y299" s="23" t="str">
        <f aca="false">IF(X299="","",(LEN(X299)+1)/7)</f>
        <v/>
      </c>
      <c r="Z299" s="23" t="str">
        <f aca="false">IF(X299="","",LEFT(X299,6))</f>
        <v/>
      </c>
      <c r="AA299" s="23" t="str">
        <f aca="false">IF(X299="","",IF(Y299&gt;=3,MID(X299,8,6),""))</f>
        <v/>
      </c>
      <c r="AB299" s="23" t="str">
        <f aca="false">IF(X299="","",IF(Y299&gt;=4,MID(X299,15,6),""))</f>
        <v/>
      </c>
      <c r="AC299" s="23" t="str">
        <f aca="false">IF(X299="","",IF(Y299&gt;=5,MID(X299,22,6),""))</f>
        <v/>
      </c>
      <c r="AD299" s="23" t="str">
        <f aca="false">IF(X299="","",RIGHT(X299,6))</f>
        <v/>
      </c>
      <c r="AE299" s="23" t="str">
        <f aca="false">IF(F299="","",IF(ISNUMBER(SEARCH("-TK",UPPER(F299))),0,1))</f>
        <v/>
      </c>
      <c r="AF299" s="23" t="str">
        <f aca="false">IF(F299="","",IF(ISNUMBER(SEARCH("-LED",UPPER(F299))),1,0))</f>
        <v/>
      </c>
      <c r="AG299" s="24" t="n">
        <f aca="false">IF(Z299="",0,IFERROR(INDEX(Resep!$C$5:$C$7,MATCH(LEFT(Z299,3),Resep!$B$5:$B$7,0)),0))</f>
        <v>0</v>
      </c>
      <c r="AH299" s="24" t="n">
        <f aca="false">IF(AA299="",0,IFERROR(INDEX(Resep!$C$9:$C$13,MATCH(LEFT(AA299,3),Resep!$B$9:$B$13,0)),0))</f>
        <v>0</v>
      </c>
      <c r="AI299" s="24" t="n">
        <f aca="false">IF(AB299="",0,IFERROR(INDEX(Resep!$C$9:$C$13,MATCH(LEFT(AB299,3),Resep!$B$9:$B$13,0)),0))</f>
        <v>0</v>
      </c>
      <c r="AJ299" s="24" t="n">
        <f aca="false">IF(AC299="",0,IFERROR(INDEX(Resep!$C$9:$C$13,MATCH(LEFT(AC299,3),Resep!$B$9:$B$13,0)),0))</f>
        <v>0</v>
      </c>
      <c r="AK299" s="24" t="n">
        <f aca="false">IF(AD299="",0,IFERROR(INDEX(Resep!$C$15:$C$18,MATCH(LEFT(AD299,3),Resep!$B$15:$B$18,0)),0))</f>
        <v>0</v>
      </c>
      <c r="AL299" s="24" t="str">
        <f aca="false">IF(X299="","",AG299+AH299+AI299+AJ299+AK299)</f>
        <v/>
      </c>
      <c r="AM299" s="22" t="str">
        <f aca="false">IF(X299="","",AL299*(Pengaturan!$B$6+Pengaturan!$B$7)+Pengaturan!$B$8+AE299*Pengaturan!$B$9+AF299*Pengaturan!$B$10)</f>
        <v/>
      </c>
      <c r="AN299" s="22" t="str">
        <f aca="false">IF(X299="","",N(G299)-AM299)</f>
        <v/>
      </c>
      <c r="AO299" s="25" t="str">
        <f aca="false">IF(OR(X299="",N(G299)=0),"",AN299/G299)</f>
        <v/>
      </c>
    </row>
    <row r="300" customFormat="false" ht="15" hidden="false" customHeight="false" outlineLevel="0" collapsed="false">
      <c r="A300" s="19"/>
      <c r="B300" s="20"/>
      <c r="C300" s="19"/>
      <c r="D300" s="19"/>
      <c r="E300" s="19"/>
      <c r="F300" s="19"/>
      <c r="G300" s="21"/>
      <c r="H300" s="19"/>
      <c r="I300" s="21"/>
      <c r="J300" s="19"/>
      <c r="K300" s="20"/>
      <c r="L300" s="20"/>
      <c r="M300" s="19"/>
      <c r="N300" s="19"/>
      <c r="O300" s="20"/>
      <c r="P300" s="20"/>
      <c r="Q300" s="19"/>
      <c r="R300" s="22" t="str">
        <f aca="false">IF(A300="","",N(G300)+N(I300))</f>
        <v/>
      </c>
      <c r="S300" s="23" t="str">
        <f aca="false">IF(OR(K300="",O300=""),"",O300-K300)</f>
        <v/>
      </c>
      <c r="T300" s="23" t="str">
        <f aca="true">IF(AND(C300="Cetak",L300&lt;&gt;"",L300&lt;TODAY()),"YA","")</f>
        <v/>
      </c>
      <c r="U300" s="23" t="str">
        <f aca="false">IF(B300="","",TEXT(B300,"yyyy-mm"))</f>
        <v/>
      </c>
      <c r="V300" s="23" t="str">
        <f aca="false">IF(K300="","",TEXT(K300,"yyyy-mm"))</f>
        <v/>
      </c>
      <c r="W300" s="23" t="n">
        <f aca="false">IF(OR(C300="Cetak",C300="Dikirim",C300="Selesai"),1,0)</f>
        <v>0</v>
      </c>
      <c r="X300" s="23" t="str">
        <f aca="false">IF(F300="","",SUBSTITUTE(SUBSTITUTE(MID(UPPER(TRIM(F300)),4,99),"-LED",""),"-TK",""))</f>
        <v/>
      </c>
      <c r="Y300" s="23" t="str">
        <f aca="false">IF(X300="","",(LEN(X300)+1)/7)</f>
        <v/>
      </c>
      <c r="Z300" s="23" t="str">
        <f aca="false">IF(X300="","",LEFT(X300,6))</f>
        <v/>
      </c>
      <c r="AA300" s="23" t="str">
        <f aca="false">IF(X300="","",IF(Y300&gt;=3,MID(X300,8,6),""))</f>
        <v/>
      </c>
      <c r="AB300" s="23" t="str">
        <f aca="false">IF(X300="","",IF(Y300&gt;=4,MID(X300,15,6),""))</f>
        <v/>
      </c>
      <c r="AC300" s="23" t="str">
        <f aca="false">IF(X300="","",IF(Y300&gt;=5,MID(X300,22,6),""))</f>
        <v/>
      </c>
      <c r="AD300" s="23" t="str">
        <f aca="false">IF(X300="","",RIGHT(X300,6))</f>
        <v/>
      </c>
      <c r="AE300" s="23" t="str">
        <f aca="false">IF(F300="","",IF(ISNUMBER(SEARCH("-TK",UPPER(F300))),0,1))</f>
        <v/>
      </c>
      <c r="AF300" s="23" t="str">
        <f aca="false">IF(F300="","",IF(ISNUMBER(SEARCH("-LED",UPPER(F300))),1,0))</f>
        <v/>
      </c>
      <c r="AG300" s="24" t="n">
        <f aca="false">IF(Z300="",0,IFERROR(INDEX(Resep!$C$5:$C$7,MATCH(LEFT(Z300,3),Resep!$B$5:$B$7,0)),0))</f>
        <v>0</v>
      </c>
      <c r="AH300" s="24" t="n">
        <f aca="false">IF(AA300="",0,IFERROR(INDEX(Resep!$C$9:$C$13,MATCH(LEFT(AA300,3),Resep!$B$9:$B$13,0)),0))</f>
        <v>0</v>
      </c>
      <c r="AI300" s="24" t="n">
        <f aca="false">IF(AB300="",0,IFERROR(INDEX(Resep!$C$9:$C$13,MATCH(LEFT(AB300,3),Resep!$B$9:$B$13,0)),0))</f>
        <v>0</v>
      </c>
      <c r="AJ300" s="24" t="n">
        <f aca="false">IF(AC300="",0,IFERROR(INDEX(Resep!$C$9:$C$13,MATCH(LEFT(AC300,3),Resep!$B$9:$B$13,0)),0))</f>
        <v>0</v>
      </c>
      <c r="AK300" s="24" t="n">
        <f aca="false">IF(AD300="",0,IFERROR(INDEX(Resep!$C$15:$C$18,MATCH(LEFT(AD300,3),Resep!$B$15:$B$18,0)),0))</f>
        <v>0</v>
      </c>
      <c r="AL300" s="24" t="str">
        <f aca="false">IF(X300="","",AG300+AH300+AI300+AJ300+AK300)</f>
        <v/>
      </c>
      <c r="AM300" s="22" t="str">
        <f aca="false">IF(X300="","",AL300*(Pengaturan!$B$6+Pengaturan!$B$7)+Pengaturan!$B$8+AE300*Pengaturan!$B$9+AF300*Pengaturan!$B$10)</f>
        <v/>
      </c>
      <c r="AN300" s="22" t="str">
        <f aca="false">IF(X300="","",N(G300)-AM300)</f>
        <v/>
      </c>
      <c r="AO300" s="25" t="str">
        <f aca="false">IF(OR(X300="",N(G300)=0),"",AN300/G300)</f>
        <v/>
      </c>
    </row>
    <row r="301" customFormat="false" ht="15" hidden="false" customHeight="false" outlineLevel="0" collapsed="false">
      <c r="A301" s="19"/>
      <c r="B301" s="20"/>
      <c r="C301" s="19"/>
      <c r="D301" s="19"/>
      <c r="E301" s="19"/>
      <c r="F301" s="19"/>
      <c r="G301" s="21"/>
      <c r="H301" s="19"/>
      <c r="I301" s="21"/>
      <c r="J301" s="19"/>
      <c r="K301" s="20"/>
      <c r="L301" s="20"/>
      <c r="M301" s="19"/>
      <c r="N301" s="19"/>
      <c r="O301" s="20"/>
      <c r="P301" s="20"/>
      <c r="Q301" s="19"/>
      <c r="R301" s="22" t="str">
        <f aca="false">IF(A301="","",N(G301)+N(I301))</f>
        <v/>
      </c>
      <c r="S301" s="23" t="str">
        <f aca="false">IF(OR(K301="",O301=""),"",O301-K301)</f>
        <v/>
      </c>
      <c r="T301" s="23" t="str">
        <f aca="true">IF(AND(C301="Cetak",L301&lt;&gt;"",L301&lt;TODAY()),"YA","")</f>
        <v/>
      </c>
      <c r="U301" s="23" t="str">
        <f aca="false">IF(B301="","",TEXT(B301,"yyyy-mm"))</f>
        <v/>
      </c>
      <c r="V301" s="23" t="str">
        <f aca="false">IF(K301="","",TEXT(K301,"yyyy-mm"))</f>
        <v/>
      </c>
      <c r="W301" s="23" t="n">
        <f aca="false">IF(OR(C301="Cetak",C301="Dikirim",C301="Selesai"),1,0)</f>
        <v>0</v>
      </c>
      <c r="X301" s="23" t="str">
        <f aca="false">IF(F301="","",SUBSTITUTE(SUBSTITUTE(MID(UPPER(TRIM(F301)),4,99),"-LED",""),"-TK",""))</f>
        <v/>
      </c>
      <c r="Y301" s="23" t="str">
        <f aca="false">IF(X301="","",(LEN(X301)+1)/7)</f>
        <v/>
      </c>
      <c r="Z301" s="23" t="str">
        <f aca="false">IF(X301="","",LEFT(X301,6))</f>
        <v/>
      </c>
      <c r="AA301" s="23" t="str">
        <f aca="false">IF(X301="","",IF(Y301&gt;=3,MID(X301,8,6),""))</f>
        <v/>
      </c>
      <c r="AB301" s="23" t="str">
        <f aca="false">IF(X301="","",IF(Y301&gt;=4,MID(X301,15,6),""))</f>
        <v/>
      </c>
      <c r="AC301" s="23" t="str">
        <f aca="false">IF(X301="","",IF(Y301&gt;=5,MID(X301,22,6),""))</f>
        <v/>
      </c>
      <c r="AD301" s="23" t="str">
        <f aca="false">IF(X301="","",RIGHT(X301,6))</f>
        <v/>
      </c>
      <c r="AE301" s="23" t="str">
        <f aca="false">IF(F301="","",IF(ISNUMBER(SEARCH("-TK",UPPER(F301))),0,1))</f>
        <v/>
      </c>
      <c r="AF301" s="23" t="str">
        <f aca="false">IF(F301="","",IF(ISNUMBER(SEARCH("-LED",UPPER(F301))),1,0))</f>
        <v/>
      </c>
      <c r="AG301" s="24" t="n">
        <f aca="false">IF(Z301="",0,IFERROR(INDEX(Resep!$C$5:$C$7,MATCH(LEFT(Z301,3),Resep!$B$5:$B$7,0)),0))</f>
        <v>0</v>
      </c>
      <c r="AH301" s="24" t="n">
        <f aca="false">IF(AA301="",0,IFERROR(INDEX(Resep!$C$9:$C$13,MATCH(LEFT(AA301,3),Resep!$B$9:$B$13,0)),0))</f>
        <v>0</v>
      </c>
      <c r="AI301" s="24" t="n">
        <f aca="false">IF(AB301="",0,IFERROR(INDEX(Resep!$C$9:$C$13,MATCH(LEFT(AB301,3),Resep!$B$9:$B$13,0)),0))</f>
        <v>0</v>
      </c>
      <c r="AJ301" s="24" t="n">
        <f aca="false">IF(AC301="",0,IFERROR(INDEX(Resep!$C$9:$C$13,MATCH(LEFT(AC301,3),Resep!$B$9:$B$13,0)),0))</f>
        <v>0</v>
      </c>
      <c r="AK301" s="24" t="n">
        <f aca="false">IF(AD301="",0,IFERROR(INDEX(Resep!$C$15:$C$18,MATCH(LEFT(AD301,3),Resep!$B$15:$B$18,0)),0))</f>
        <v>0</v>
      </c>
      <c r="AL301" s="24" t="str">
        <f aca="false">IF(X301="","",AG301+AH301+AI301+AJ301+AK301)</f>
        <v/>
      </c>
      <c r="AM301" s="22" t="str">
        <f aca="false">IF(X301="","",AL301*(Pengaturan!$B$6+Pengaturan!$B$7)+Pengaturan!$B$8+AE301*Pengaturan!$B$9+AF301*Pengaturan!$B$10)</f>
        <v/>
      </c>
      <c r="AN301" s="22" t="str">
        <f aca="false">IF(X301="","",N(G301)-AM301)</f>
        <v/>
      </c>
      <c r="AO301" s="25" t="str">
        <f aca="false">IF(OR(X301="",N(G301)=0),"",AN301/G301)</f>
        <v/>
      </c>
    </row>
    <row r="302" customFormat="false" ht="15" hidden="false" customHeight="false" outlineLevel="0" collapsed="false">
      <c r="A302" s="19"/>
      <c r="B302" s="20"/>
      <c r="C302" s="19"/>
      <c r="D302" s="19"/>
      <c r="E302" s="19"/>
      <c r="F302" s="19"/>
      <c r="G302" s="21"/>
      <c r="H302" s="19"/>
      <c r="I302" s="21"/>
      <c r="J302" s="19"/>
      <c r="K302" s="20"/>
      <c r="L302" s="20"/>
      <c r="M302" s="19"/>
      <c r="N302" s="19"/>
      <c r="O302" s="20"/>
      <c r="P302" s="20"/>
      <c r="Q302" s="19"/>
      <c r="R302" s="22" t="str">
        <f aca="false">IF(A302="","",N(G302)+N(I302))</f>
        <v/>
      </c>
      <c r="S302" s="23" t="str">
        <f aca="false">IF(OR(K302="",O302=""),"",O302-K302)</f>
        <v/>
      </c>
      <c r="T302" s="23" t="str">
        <f aca="true">IF(AND(C302="Cetak",L302&lt;&gt;"",L302&lt;TODAY()),"YA","")</f>
        <v/>
      </c>
      <c r="U302" s="23" t="str">
        <f aca="false">IF(B302="","",TEXT(B302,"yyyy-mm"))</f>
        <v/>
      </c>
      <c r="V302" s="23" t="str">
        <f aca="false">IF(K302="","",TEXT(K302,"yyyy-mm"))</f>
        <v/>
      </c>
      <c r="W302" s="23" t="n">
        <f aca="false">IF(OR(C302="Cetak",C302="Dikirim",C302="Selesai"),1,0)</f>
        <v>0</v>
      </c>
      <c r="X302" s="23" t="str">
        <f aca="false">IF(F302="","",SUBSTITUTE(SUBSTITUTE(MID(UPPER(TRIM(F302)),4,99),"-LED",""),"-TK",""))</f>
        <v/>
      </c>
      <c r="Y302" s="23" t="str">
        <f aca="false">IF(X302="","",(LEN(X302)+1)/7)</f>
        <v/>
      </c>
      <c r="Z302" s="23" t="str">
        <f aca="false">IF(X302="","",LEFT(X302,6))</f>
        <v/>
      </c>
      <c r="AA302" s="23" t="str">
        <f aca="false">IF(X302="","",IF(Y302&gt;=3,MID(X302,8,6),""))</f>
        <v/>
      </c>
      <c r="AB302" s="23" t="str">
        <f aca="false">IF(X302="","",IF(Y302&gt;=4,MID(X302,15,6),""))</f>
        <v/>
      </c>
      <c r="AC302" s="23" t="str">
        <f aca="false">IF(X302="","",IF(Y302&gt;=5,MID(X302,22,6),""))</f>
        <v/>
      </c>
      <c r="AD302" s="23" t="str">
        <f aca="false">IF(X302="","",RIGHT(X302,6))</f>
        <v/>
      </c>
      <c r="AE302" s="23" t="str">
        <f aca="false">IF(F302="","",IF(ISNUMBER(SEARCH("-TK",UPPER(F302))),0,1))</f>
        <v/>
      </c>
      <c r="AF302" s="23" t="str">
        <f aca="false">IF(F302="","",IF(ISNUMBER(SEARCH("-LED",UPPER(F302))),1,0))</f>
        <v/>
      </c>
      <c r="AG302" s="24" t="n">
        <f aca="false">IF(Z302="",0,IFERROR(INDEX(Resep!$C$5:$C$7,MATCH(LEFT(Z302,3),Resep!$B$5:$B$7,0)),0))</f>
        <v>0</v>
      </c>
      <c r="AH302" s="24" t="n">
        <f aca="false">IF(AA302="",0,IFERROR(INDEX(Resep!$C$9:$C$13,MATCH(LEFT(AA302,3),Resep!$B$9:$B$13,0)),0))</f>
        <v>0</v>
      </c>
      <c r="AI302" s="24" t="n">
        <f aca="false">IF(AB302="",0,IFERROR(INDEX(Resep!$C$9:$C$13,MATCH(LEFT(AB302,3),Resep!$B$9:$B$13,0)),0))</f>
        <v>0</v>
      </c>
      <c r="AJ302" s="24" t="n">
        <f aca="false">IF(AC302="",0,IFERROR(INDEX(Resep!$C$9:$C$13,MATCH(LEFT(AC302,3),Resep!$B$9:$B$13,0)),0))</f>
        <v>0</v>
      </c>
      <c r="AK302" s="24" t="n">
        <f aca="false">IF(AD302="",0,IFERROR(INDEX(Resep!$C$15:$C$18,MATCH(LEFT(AD302,3),Resep!$B$15:$B$18,0)),0))</f>
        <v>0</v>
      </c>
      <c r="AL302" s="24" t="str">
        <f aca="false">IF(X302="","",AG302+AH302+AI302+AJ302+AK302)</f>
        <v/>
      </c>
      <c r="AM302" s="22" t="str">
        <f aca="false">IF(X302="","",AL302*(Pengaturan!$B$6+Pengaturan!$B$7)+Pengaturan!$B$8+AE302*Pengaturan!$B$9+AF302*Pengaturan!$B$10)</f>
        <v/>
      </c>
      <c r="AN302" s="22" t="str">
        <f aca="false">IF(X302="","",N(G302)-AM302)</f>
        <v/>
      </c>
      <c r="AO302" s="25" t="str">
        <f aca="false">IF(OR(X302="",N(G302)=0),"",AN302/G302)</f>
        <v/>
      </c>
    </row>
    <row r="303" customFormat="false" ht="15" hidden="false" customHeight="false" outlineLevel="0" collapsed="false">
      <c r="A303" s="19"/>
      <c r="B303" s="20"/>
      <c r="C303" s="19"/>
      <c r="D303" s="19"/>
      <c r="E303" s="19"/>
      <c r="F303" s="19"/>
      <c r="G303" s="21"/>
      <c r="H303" s="19"/>
      <c r="I303" s="21"/>
      <c r="J303" s="19"/>
      <c r="K303" s="20"/>
      <c r="L303" s="20"/>
      <c r="M303" s="19"/>
      <c r="N303" s="19"/>
      <c r="O303" s="20"/>
      <c r="P303" s="20"/>
      <c r="Q303" s="19"/>
      <c r="R303" s="22" t="str">
        <f aca="false">IF(A303="","",N(G303)+N(I303))</f>
        <v/>
      </c>
      <c r="S303" s="23" t="str">
        <f aca="false">IF(OR(K303="",O303=""),"",O303-K303)</f>
        <v/>
      </c>
      <c r="T303" s="23" t="str">
        <f aca="true">IF(AND(C303="Cetak",L303&lt;&gt;"",L303&lt;TODAY()),"YA","")</f>
        <v/>
      </c>
      <c r="U303" s="23" t="str">
        <f aca="false">IF(B303="","",TEXT(B303,"yyyy-mm"))</f>
        <v/>
      </c>
      <c r="V303" s="23" t="str">
        <f aca="false">IF(K303="","",TEXT(K303,"yyyy-mm"))</f>
        <v/>
      </c>
      <c r="W303" s="23" t="n">
        <f aca="false">IF(OR(C303="Cetak",C303="Dikirim",C303="Selesai"),1,0)</f>
        <v>0</v>
      </c>
      <c r="X303" s="23" t="str">
        <f aca="false">IF(F303="","",SUBSTITUTE(SUBSTITUTE(MID(UPPER(TRIM(F303)),4,99),"-LED",""),"-TK",""))</f>
        <v/>
      </c>
      <c r="Y303" s="23" t="str">
        <f aca="false">IF(X303="","",(LEN(X303)+1)/7)</f>
        <v/>
      </c>
      <c r="Z303" s="23" t="str">
        <f aca="false">IF(X303="","",LEFT(X303,6))</f>
        <v/>
      </c>
      <c r="AA303" s="23" t="str">
        <f aca="false">IF(X303="","",IF(Y303&gt;=3,MID(X303,8,6),""))</f>
        <v/>
      </c>
      <c r="AB303" s="23" t="str">
        <f aca="false">IF(X303="","",IF(Y303&gt;=4,MID(X303,15,6),""))</f>
        <v/>
      </c>
      <c r="AC303" s="23" t="str">
        <f aca="false">IF(X303="","",IF(Y303&gt;=5,MID(X303,22,6),""))</f>
        <v/>
      </c>
      <c r="AD303" s="23" t="str">
        <f aca="false">IF(X303="","",RIGHT(X303,6))</f>
        <v/>
      </c>
      <c r="AE303" s="23" t="str">
        <f aca="false">IF(F303="","",IF(ISNUMBER(SEARCH("-TK",UPPER(F303))),0,1))</f>
        <v/>
      </c>
      <c r="AF303" s="23" t="str">
        <f aca="false">IF(F303="","",IF(ISNUMBER(SEARCH("-LED",UPPER(F303))),1,0))</f>
        <v/>
      </c>
      <c r="AG303" s="24" t="n">
        <f aca="false">IF(Z303="",0,IFERROR(INDEX(Resep!$C$5:$C$7,MATCH(LEFT(Z303,3),Resep!$B$5:$B$7,0)),0))</f>
        <v>0</v>
      </c>
      <c r="AH303" s="24" t="n">
        <f aca="false">IF(AA303="",0,IFERROR(INDEX(Resep!$C$9:$C$13,MATCH(LEFT(AA303,3),Resep!$B$9:$B$13,0)),0))</f>
        <v>0</v>
      </c>
      <c r="AI303" s="24" t="n">
        <f aca="false">IF(AB303="",0,IFERROR(INDEX(Resep!$C$9:$C$13,MATCH(LEFT(AB303,3),Resep!$B$9:$B$13,0)),0))</f>
        <v>0</v>
      </c>
      <c r="AJ303" s="24" t="n">
        <f aca="false">IF(AC303="",0,IFERROR(INDEX(Resep!$C$9:$C$13,MATCH(LEFT(AC303,3),Resep!$B$9:$B$13,0)),0))</f>
        <v>0</v>
      </c>
      <c r="AK303" s="24" t="n">
        <f aca="false">IF(AD303="",0,IFERROR(INDEX(Resep!$C$15:$C$18,MATCH(LEFT(AD303,3),Resep!$B$15:$B$18,0)),0))</f>
        <v>0</v>
      </c>
      <c r="AL303" s="24" t="str">
        <f aca="false">IF(X303="","",AG303+AH303+AI303+AJ303+AK303)</f>
        <v/>
      </c>
      <c r="AM303" s="22" t="str">
        <f aca="false">IF(X303="","",AL303*(Pengaturan!$B$6+Pengaturan!$B$7)+Pengaturan!$B$8+AE303*Pengaturan!$B$9+AF303*Pengaturan!$B$10)</f>
        <v/>
      </c>
      <c r="AN303" s="22" t="str">
        <f aca="false">IF(X303="","",N(G303)-AM303)</f>
        <v/>
      </c>
      <c r="AO303" s="25" t="str">
        <f aca="false">IF(OR(X303="",N(G303)=0),"",AN303/G303)</f>
        <v/>
      </c>
    </row>
    <row r="304" customFormat="false" ht="15" hidden="false" customHeight="false" outlineLevel="0" collapsed="false">
      <c r="A304" s="19"/>
      <c r="B304" s="20"/>
      <c r="C304" s="19"/>
      <c r="D304" s="19"/>
      <c r="E304" s="19"/>
      <c r="F304" s="19"/>
      <c r="G304" s="21"/>
      <c r="H304" s="19"/>
      <c r="I304" s="21"/>
      <c r="J304" s="19"/>
      <c r="K304" s="20"/>
      <c r="L304" s="20"/>
      <c r="M304" s="19"/>
      <c r="N304" s="19"/>
      <c r="O304" s="20"/>
      <c r="P304" s="20"/>
      <c r="Q304" s="19"/>
      <c r="R304" s="22" t="str">
        <f aca="false">IF(A304="","",N(G304)+N(I304))</f>
        <v/>
      </c>
      <c r="S304" s="23" t="str">
        <f aca="false">IF(OR(K304="",O304=""),"",O304-K304)</f>
        <v/>
      </c>
      <c r="T304" s="23" t="str">
        <f aca="true">IF(AND(C304="Cetak",L304&lt;&gt;"",L304&lt;TODAY()),"YA","")</f>
        <v/>
      </c>
      <c r="U304" s="23" t="str">
        <f aca="false">IF(B304="","",TEXT(B304,"yyyy-mm"))</f>
        <v/>
      </c>
      <c r="V304" s="23" t="str">
        <f aca="false">IF(K304="","",TEXT(K304,"yyyy-mm"))</f>
        <v/>
      </c>
      <c r="W304" s="23" t="n">
        <f aca="false">IF(OR(C304="Cetak",C304="Dikirim",C304="Selesai"),1,0)</f>
        <v>0</v>
      </c>
      <c r="X304" s="23" t="str">
        <f aca="false">IF(F304="","",SUBSTITUTE(SUBSTITUTE(MID(UPPER(TRIM(F304)),4,99),"-LED",""),"-TK",""))</f>
        <v/>
      </c>
      <c r="Y304" s="23" t="str">
        <f aca="false">IF(X304="","",(LEN(X304)+1)/7)</f>
        <v/>
      </c>
      <c r="Z304" s="23" t="str">
        <f aca="false">IF(X304="","",LEFT(X304,6))</f>
        <v/>
      </c>
      <c r="AA304" s="23" t="str">
        <f aca="false">IF(X304="","",IF(Y304&gt;=3,MID(X304,8,6),""))</f>
        <v/>
      </c>
      <c r="AB304" s="23" t="str">
        <f aca="false">IF(X304="","",IF(Y304&gt;=4,MID(X304,15,6),""))</f>
        <v/>
      </c>
      <c r="AC304" s="23" t="str">
        <f aca="false">IF(X304="","",IF(Y304&gt;=5,MID(X304,22,6),""))</f>
        <v/>
      </c>
      <c r="AD304" s="23" t="str">
        <f aca="false">IF(X304="","",RIGHT(X304,6))</f>
        <v/>
      </c>
      <c r="AE304" s="23" t="str">
        <f aca="false">IF(F304="","",IF(ISNUMBER(SEARCH("-TK",UPPER(F304))),0,1))</f>
        <v/>
      </c>
      <c r="AF304" s="23" t="str">
        <f aca="false">IF(F304="","",IF(ISNUMBER(SEARCH("-LED",UPPER(F304))),1,0))</f>
        <v/>
      </c>
      <c r="AG304" s="24" t="n">
        <f aca="false">IF(Z304="",0,IFERROR(INDEX(Resep!$C$5:$C$7,MATCH(LEFT(Z304,3),Resep!$B$5:$B$7,0)),0))</f>
        <v>0</v>
      </c>
      <c r="AH304" s="24" t="n">
        <f aca="false">IF(AA304="",0,IFERROR(INDEX(Resep!$C$9:$C$13,MATCH(LEFT(AA304,3),Resep!$B$9:$B$13,0)),0))</f>
        <v>0</v>
      </c>
      <c r="AI304" s="24" t="n">
        <f aca="false">IF(AB304="",0,IFERROR(INDEX(Resep!$C$9:$C$13,MATCH(LEFT(AB304,3),Resep!$B$9:$B$13,0)),0))</f>
        <v>0</v>
      </c>
      <c r="AJ304" s="24" t="n">
        <f aca="false">IF(AC304="",0,IFERROR(INDEX(Resep!$C$9:$C$13,MATCH(LEFT(AC304,3),Resep!$B$9:$B$13,0)),0))</f>
        <v>0</v>
      </c>
      <c r="AK304" s="24" t="n">
        <f aca="false">IF(AD304="",0,IFERROR(INDEX(Resep!$C$15:$C$18,MATCH(LEFT(AD304,3),Resep!$B$15:$B$18,0)),0))</f>
        <v>0</v>
      </c>
      <c r="AL304" s="24" t="str">
        <f aca="false">IF(X304="","",AG304+AH304+AI304+AJ304+AK304)</f>
        <v/>
      </c>
      <c r="AM304" s="22" t="str">
        <f aca="false">IF(X304="","",AL304*(Pengaturan!$B$6+Pengaturan!$B$7)+Pengaturan!$B$8+AE304*Pengaturan!$B$9+AF304*Pengaturan!$B$10)</f>
        <v/>
      </c>
      <c r="AN304" s="22" t="str">
        <f aca="false">IF(X304="","",N(G304)-AM304)</f>
        <v/>
      </c>
      <c r="AO304" s="25" t="str">
        <f aca="false">IF(OR(X304="",N(G304)=0),"",AN304/G304)</f>
        <v/>
      </c>
    </row>
    <row r="305" customFormat="false" ht="15" hidden="false" customHeight="false" outlineLevel="0" collapsed="false">
      <c r="A305" s="19"/>
      <c r="B305" s="20"/>
      <c r="C305" s="19"/>
      <c r="D305" s="19"/>
      <c r="E305" s="19"/>
      <c r="F305" s="19"/>
      <c r="G305" s="21"/>
      <c r="H305" s="19"/>
      <c r="I305" s="21"/>
      <c r="J305" s="19"/>
      <c r="K305" s="20"/>
      <c r="L305" s="20"/>
      <c r="M305" s="19"/>
      <c r="N305" s="19"/>
      <c r="O305" s="20"/>
      <c r="P305" s="20"/>
      <c r="Q305" s="19"/>
      <c r="R305" s="22" t="str">
        <f aca="false">IF(A305="","",N(G305)+N(I305))</f>
        <v/>
      </c>
      <c r="S305" s="23" t="str">
        <f aca="false">IF(OR(K305="",O305=""),"",O305-K305)</f>
        <v/>
      </c>
      <c r="T305" s="23" t="str">
        <f aca="true">IF(AND(C305="Cetak",L305&lt;&gt;"",L305&lt;TODAY()),"YA","")</f>
        <v/>
      </c>
      <c r="U305" s="23" t="str">
        <f aca="false">IF(B305="","",TEXT(B305,"yyyy-mm"))</f>
        <v/>
      </c>
      <c r="V305" s="23" t="str">
        <f aca="false">IF(K305="","",TEXT(K305,"yyyy-mm"))</f>
        <v/>
      </c>
      <c r="W305" s="23" t="n">
        <f aca="false">IF(OR(C305="Cetak",C305="Dikirim",C305="Selesai"),1,0)</f>
        <v>0</v>
      </c>
      <c r="X305" s="23" t="str">
        <f aca="false">IF(F305="","",SUBSTITUTE(SUBSTITUTE(MID(UPPER(TRIM(F305)),4,99),"-LED",""),"-TK",""))</f>
        <v/>
      </c>
      <c r="Y305" s="23" t="str">
        <f aca="false">IF(X305="","",(LEN(X305)+1)/7)</f>
        <v/>
      </c>
      <c r="Z305" s="23" t="str">
        <f aca="false">IF(X305="","",LEFT(X305,6))</f>
        <v/>
      </c>
      <c r="AA305" s="23" t="str">
        <f aca="false">IF(X305="","",IF(Y305&gt;=3,MID(X305,8,6),""))</f>
        <v/>
      </c>
      <c r="AB305" s="23" t="str">
        <f aca="false">IF(X305="","",IF(Y305&gt;=4,MID(X305,15,6),""))</f>
        <v/>
      </c>
      <c r="AC305" s="23" t="str">
        <f aca="false">IF(X305="","",IF(Y305&gt;=5,MID(X305,22,6),""))</f>
        <v/>
      </c>
      <c r="AD305" s="23" t="str">
        <f aca="false">IF(X305="","",RIGHT(X305,6))</f>
        <v/>
      </c>
      <c r="AE305" s="23" t="str">
        <f aca="false">IF(F305="","",IF(ISNUMBER(SEARCH("-TK",UPPER(F305))),0,1))</f>
        <v/>
      </c>
      <c r="AF305" s="23" t="str">
        <f aca="false">IF(F305="","",IF(ISNUMBER(SEARCH("-LED",UPPER(F305))),1,0))</f>
        <v/>
      </c>
      <c r="AG305" s="24" t="n">
        <f aca="false">IF(Z305="",0,IFERROR(INDEX(Resep!$C$5:$C$7,MATCH(LEFT(Z305,3),Resep!$B$5:$B$7,0)),0))</f>
        <v>0</v>
      </c>
      <c r="AH305" s="24" t="n">
        <f aca="false">IF(AA305="",0,IFERROR(INDEX(Resep!$C$9:$C$13,MATCH(LEFT(AA305,3),Resep!$B$9:$B$13,0)),0))</f>
        <v>0</v>
      </c>
      <c r="AI305" s="24" t="n">
        <f aca="false">IF(AB305="",0,IFERROR(INDEX(Resep!$C$9:$C$13,MATCH(LEFT(AB305,3),Resep!$B$9:$B$13,0)),0))</f>
        <v>0</v>
      </c>
      <c r="AJ305" s="24" t="n">
        <f aca="false">IF(AC305="",0,IFERROR(INDEX(Resep!$C$9:$C$13,MATCH(LEFT(AC305,3),Resep!$B$9:$B$13,0)),0))</f>
        <v>0</v>
      </c>
      <c r="AK305" s="24" t="n">
        <f aca="false">IF(AD305="",0,IFERROR(INDEX(Resep!$C$15:$C$18,MATCH(LEFT(AD305,3),Resep!$B$15:$B$18,0)),0))</f>
        <v>0</v>
      </c>
      <c r="AL305" s="24" t="str">
        <f aca="false">IF(X305="","",AG305+AH305+AI305+AJ305+AK305)</f>
        <v/>
      </c>
      <c r="AM305" s="22" t="str">
        <f aca="false">IF(X305="","",AL305*(Pengaturan!$B$6+Pengaturan!$B$7)+Pengaturan!$B$8+AE305*Pengaturan!$B$9+AF305*Pengaturan!$B$10)</f>
        <v/>
      </c>
      <c r="AN305" s="22" t="str">
        <f aca="false">IF(X305="","",N(G305)-AM305)</f>
        <v/>
      </c>
      <c r="AO305" s="25" t="str">
        <f aca="false">IF(OR(X305="",N(G305)=0),"",AN305/G305)</f>
        <v/>
      </c>
    </row>
    <row r="306" customFormat="false" ht="15" hidden="false" customHeight="false" outlineLevel="0" collapsed="false">
      <c r="A306" s="19"/>
      <c r="B306" s="20"/>
      <c r="C306" s="19"/>
      <c r="D306" s="19"/>
      <c r="E306" s="19"/>
      <c r="F306" s="19"/>
      <c r="G306" s="21"/>
      <c r="H306" s="19"/>
      <c r="I306" s="21"/>
      <c r="J306" s="19"/>
      <c r="K306" s="20"/>
      <c r="L306" s="20"/>
      <c r="M306" s="19"/>
      <c r="N306" s="19"/>
      <c r="O306" s="20"/>
      <c r="P306" s="20"/>
      <c r="Q306" s="19"/>
      <c r="R306" s="22" t="str">
        <f aca="false">IF(A306="","",N(G306)+N(I306))</f>
        <v/>
      </c>
      <c r="S306" s="23" t="str">
        <f aca="false">IF(OR(K306="",O306=""),"",O306-K306)</f>
        <v/>
      </c>
      <c r="T306" s="23" t="str">
        <f aca="true">IF(AND(C306="Cetak",L306&lt;&gt;"",L306&lt;TODAY()),"YA","")</f>
        <v/>
      </c>
      <c r="U306" s="23" t="str">
        <f aca="false">IF(B306="","",TEXT(B306,"yyyy-mm"))</f>
        <v/>
      </c>
      <c r="V306" s="23" t="str">
        <f aca="false">IF(K306="","",TEXT(K306,"yyyy-mm"))</f>
        <v/>
      </c>
      <c r="W306" s="23" t="n">
        <f aca="false">IF(OR(C306="Cetak",C306="Dikirim",C306="Selesai"),1,0)</f>
        <v>0</v>
      </c>
      <c r="X306" s="23" t="str">
        <f aca="false">IF(F306="","",SUBSTITUTE(SUBSTITUTE(MID(UPPER(TRIM(F306)),4,99),"-LED",""),"-TK",""))</f>
        <v/>
      </c>
      <c r="Y306" s="23" t="str">
        <f aca="false">IF(X306="","",(LEN(X306)+1)/7)</f>
        <v/>
      </c>
      <c r="Z306" s="23" t="str">
        <f aca="false">IF(X306="","",LEFT(X306,6))</f>
        <v/>
      </c>
      <c r="AA306" s="23" t="str">
        <f aca="false">IF(X306="","",IF(Y306&gt;=3,MID(X306,8,6),""))</f>
        <v/>
      </c>
      <c r="AB306" s="23" t="str">
        <f aca="false">IF(X306="","",IF(Y306&gt;=4,MID(X306,15,6),""))</f>
        <v/>
      </c>
      <c r="AC306" s="23" t="str">
        <f aca="false">IF(X306="","",IF(Y306&gt;=5,MID(X306,22,6),""))</f>
        <v/>
      </c>
      <c r="AD306" s="23" t="str">
        <f aca="false">IF(X306="","",RIGHT(X306,6))</f>
        <v/>
      </c>
      <c r="AE306" s="23" t="str">
        <f aca="false">IF(F306="","",IF(ISNUMBER(SEARCH("-TK",UPPER(F306))),0,1))</f>
        <v/>
      </c>
      <c r="AF306" s="23" t="str">
        <f aca="false">IF(F306="","",IF(ISNUMBER(SEARCH("-LED",UPPER(F306))),1,0))</f>
        <v/>
      </c>
      <c r="AG306" s="24" t="n">
        <f aca="false">IF(Z306="",0,IFERROR(INDEX(Resep!$C$5:$C$7,MATCH(LEFT(Z306,3),Resep!$B$5:$B$7,0)),0))</f>
        <v>0</v>
      </c>
      <c r="AH306" s="24" t="n">
        <f aca="false">IF(AA306="",0,IFERROR(INDEX(Resep!$C$9:$C$13,MATCH(LEFT(AA306,3),Resep!$B$9:$B$13,0)),0))</f>
        <v>0</v>
      </c>
      <c r="AI306" s="24" t="n">
        <f aca="false">IF(AB306="",0,IFERROR(INDEX(Resep!$C$9:$C$13,MATCH(LEFT(AB306,3),Resep!$B$9:$B$13,0)),0))</f>
        <v>0</v>
      </c>
      <c r="AJ306" s="24" t="n">
        <f aca="false">IF(AC306="",0,IFERROR(INDEX(Resep!$C$9:$C$13,MATCH(LEFT(AC306,3),Resep!$B$9:$B$13,0)),0))</f>
        <v>0</v>
      </c>
      <c r="AK306" s="24" t="n">
        <f aca="false">IF(AD306="",0,IFERROR(INDEX(Resep!$C$15:$C$18,MATCH(LEFT(AD306,3),Resep!$B$15:$B$18,0)),0))</f>
        <v>0</v>
      </c>
      <c r="AL306" s="24" t="str">
        <f aca="false">IF(X306="","",AG306+AH306+AI306+AJ306+AK306)</f>
        <v/>
      </c>
      <c r="AM306" s="22" t="str">
        <f aca="false">IF(X306="","",AL306*(Pengaturan!$B$6+Pengaturan!$B$7)+Pengaturan!$B$8+AE306*Pengaturan!$B$9+AF306*Pengaturan!$B$10)</f>
        <v/>
      </c>
      <c r="AN306" s="22" t="str">
        <f aca="false">IF(X306="","",N(G306)-AM306)</f>
        <v/>
      </c>
      <c r="AO306" s="25" t="str">
        <f aca="false">IF(OR(X306="",N(G306)=0),"",AN306/G306)</f>
        <v/>
      </c>
    </row>
    <row r="307" customFormat="false" ht="15" hidden="false" customHeight="false" outlineLevel="0" collapsed="false">
      <c r="A307" s="19"/>
      <c r="B307" s="20"/>
      <c r="C307" s="19"/>
      <c r="D307" s="19"/>
      <c r="E307" s="19"/>
      <c r="F307" s="19"/>
      <c r="G307" s="21"/>
      <c r="H307" s="19"/>
      <c r="I307" s="21"/>
      <c r="J307" s="19"/>
      <c r="K307" s="20"/>
      <c r="L307" s="20"/>
      <c r="M307" s="19"/>
      <c r="N307" s="19"/>
      <c r="O307" s="20"/>
      <c r="P307" s="20"/>
      <c r="Q307" s="19"/>
      <c r="R307" s="22" t="str">
        <f aca="false">IF(A307="","",N(G307)+N(I307))</f>
        <v/>
      </c>
      <c r="S307" s="23" t="str">
        <f aca="false">IF(OR(K307="",O307=""),"",O307-K307)</f>
        <v/>
      </c>
      <c r="T307" s="23" t="str">
        <f aca="true">IF(AND(C307="Cetak",L307&lt;&gt;"",L307&lt;TODAY()),"YA","")</f>
        <v/>
      </c>
      <c r="U307" s="23" t="str">
        <f aca="false">IF(B307="","",TEXT(B307,"yyyy-mm"))</f>
        <v/>
      </c>
      <c r="V307" s="23" t="str">
        <f aca="false">IF(K307="","",TEXT(K307,"yyyy-mm"))</f>
        <v/>
      </c>
      <c r="W307" s="23" t="n">
        <f aca="false">IF(OR(C307="Cetak",C307="Dikirim",C307="Selesai"),1,0)</f>
        <v>0</v>
      </c>
      <c r="X307" s="23" t="str">
        <f aca="false">IF(F307="","",SUBSTITUTE(SUBSTITUTE(MID(UPPER(TRIM(F307)),4,99),"-LED",""),"-TK",""))</f>
        <v/>
      </c>
      <c r="Y307" s="23" t="str">
        <f aca="false">IF(X307="","",(LEN(X307)+1)/7)</f>
        <v/>
      </c>
      <c r="Z307" s="23" t="str">
        <f aca="false">IF(X307="","",LEFT(X307,6))</f>
        <v/>
      </c>
      <c r="AA307" s="23" t="str">
        <f aca="false">IF(X307="","",IF(Y307&gt;=3,MID(X307,8,6),""))</f>
        <v/>
      </c>
      <c r="AB307" s="23" t="str">
        <f aca="false">IF(X307="","",IF(Y307&gt;=4,MID(X307,15,6),""))</f>
        <v/>
      </c>
      <c r="AC307" s="23" t="str">
        <f aca="false">IF(X307="","",IF(Y307&gt;=5,MID(X307,22,6),""))</f>
        <v/>
      </c>
      <c r="AD307" s="23" t="str">
        <f aca="false">IF(X307="","",RIGHT(X307,6))</f>
        <v/>
      </c>
      <c r="AE307" s="23" t="str">
        <f aca="false">IF(F307="","",IF(ISNUMBER(SEARCH("-TK",UPPER(F307))),0,1))</f>
        <v/>
      </c>
      <c r="AF307" s="23" t="str">
        <f aca="false">IF(F307="","",IF(ISNUMBER(SEARCH("-LED",UPPER(F307))),1,0))</f>
        <v/>
      </c>
      <c r="AG307" s="24" t="n">
        <f aca="false">IF(Z307="",0,IFERROR(INDEX(Resep!$C$5:$C$7,MATCH(LEFT(Z307,3),Resep!$B$5:$B$7,0)),0))</f>
        <v>0</v>
      </c>
      <c r="AH307" s="24" t="n">
        <f aca="false">IF(AA307="",0,IFERROR(INDEX(Resep!$C$9:$C$13,MATCH(LEFT(AA307,3),Resep!$B$9:$B$13,0)),0))</f>
        <v>0</v>
      </c>
      <c r="AI307" s="24" t="n">
        <f aca="false">IF(AB307="",0,IFERROR(INDEX(Resep!$C$9:$C$13,MATCH(LEFT(AB307,3),Resep!$B$9:$B$13,0)),0))</f>
        <v>0</v>
      </c>
      <c r="AJ307" s="24" t="n">
        <f aca="false">IF(AC307="",0,IFERROR(INDEX(Resep!$C$9:$C$13,MATCH(LEFT(AC307,3),Resep!$B$9:$B$13,0)),0))</f>
        <v>0</v>
      </c>
      <c r="AK307" s="24" t="n">
        <f aca="false">IF(AD307="",0,IFERROR(INDEX(Resep!$C$15:$C$18,MATCH(LEFT(AD307,3),Resep!$B$15:$B$18,0)),0))</f>
        <v>0</v>
      </c>
      <c r="AL307" s="24" t="str">
        <f aca="false">IF(X307="","",AG307+AH307+AI307+AJ307+AK307)</f>
        <v/>
      </c>
      <c r="AM307" s="22" t="str">
        <f aca="false">IF(X307="","",AL307*(Pengaturan!$B$6+Pengaturan!$B$7)+Pengaturan!$B$8+AE307*Pengaturan!$B$9+AF307*Pengaturan!$B$10)</f>
        <v/>
      </c>
      <c r="AN307" s="22" t="str">
        <f aca="false">IF(X307="","",N(G307)-AM307)</f>
        <v/>
      </c>
      <c r="AO307" s="25" t="str">
        <f aca="false">IF(OR(X307="",N(G307)=0),"",AN307/G307)</f>
        <v/>
      </c>
    </row>
    <row r="308" customFormat="false" ht="15" hidden="false" customHeight="false" outlineLevel="0" collapsed="false">
      <c r="A308" s="19"/>
      <c r="B308" s="20"/>
      <c r="C308" s="19"/>
      <c r="D308" s="19"/>
      <c r="E308" s="19"/>
      <c r="F308" s="19"/>
      <c r="G308" s="21"/>
      <c r="H308" s="19"/>
      <c r="I308" s="21"/>
      <c r="J308" s="19"/>
      <c r="K308" s="20"/>
      <c r="L308" s="20"/>
      <c r="M308" s="19"/>
      <c r="N308" s="19"/>
      <c r="O308" s="20"/>
      <c r="P308" s="20"/>
      <c r="Q308" s="19"/>
      <c r="R308" s="22" t="str">
        <f aca="false">IF(A308="","",N(G308)+N(I308))</f>
        <v/>
      </c>
      <c r="S308" s="23" t="str">
        <f aca="false">IF(OR(K308="",O308=""),"",O308-K308)</f>
        <v/>
      </c>
      <c r="T308" s="23" t="str">
        <f aca="true">IF(AND(C308="Cetak",L308&lt;&gt;"",L308&lt;TODAY()),"YA","")</f>
        <v/>
      </c>
      <c r="U308" s="23" t="str">
        <f aca="false">IF(B308="","",TEXT(B308,"yyyy-mm"))</f>
        <v/>
      </c>
      <c r="V308" s="23" t="str">
        <f aca="false">IF(K308="","",TEXT(K308,"yyyy-mm"))</f>
        <v/>
      </c>
      <c r="W308" s="23" t="n">
        <f aca="false">IF(OR(C308="Cetak",C308="Dikirim",C308="Selesai"),1,0)</f>
        <v>0</v>
      </c>
      <c r="X308" s="23" t="str">
        <f aca="false">IF(F308="","",SUBSTITUTE(SUBSTITUTE(MID(UPPER(TRIM(F308)),4,99),"-LED",""),"-TK",""))</f>
        <v/>
      </c>
      <c r="Y308" s="23" t="str">
        <f aca="false">IF(X308="","",(LEN(X308)+1)/7)</f>
        <v/>
      </c>
      <c r="Z308" s="23" t="str">
        <f aca="false">IF(X308="","",LEFT(X308,6))</f>
        <v/>
      </c>
      <c r="AA308" s="23" t="str">
        <f aca="false">IF(X308="","",IF(Y308&gt;=3,MID(X308,8,6),""))</f>
        <v/>
      </c>
      <c r="AB308" s="23" t="str">
        <f aca="false">IF(X308="","",IF(Y308&gt;=4,MID(X308,15,6),""))</f>
        <v/>
      </c>
      <c r="AC308" s="23" t="str">
        <f aca="false">IF(X308="","",IF(Y308&gt;=5,MID(X308,22,6),""))</f>
        <v/>
      </c>
      <c r="AD308" s="23" t="str">
        <f aca="false">IF(X308="","",RIGHT(X308,6))</f>
        <v/>
      </c>
      <c r="AE308" s="23" t="str">
        <f aca="false">IF(F308="","",IF(ISNUMBER(SEARCH("-TK",UPPER(F308))),0,1))</f>
        <v/>
      </c>
      <c r="AF308" s="23" t="str">
        <f aca="false">IF(F308="","",IF(ISNUMBER(SEARCH("-LED",UPPER(F308))),1,0))</f>
        <v/>
      </c>
      <c r="AG308" s="24" t="n">
        <f aca="false">IF(Z308="",0,IFERROR(INDEX(Resep!$C$5:$C$7,MATCH(LEFT(Z308,3),Resep!$B$5:$B$7,0)),0))</f>
        <v>0</v>
      </c>
      <c r="AH308" s="24" t="n">
        <f aca="false">IF(AA308="",0,IFERROR(INDEX(Resep!$C$9:$C$13,MATCH(LEFT(AA308,3),Resep!$B$9:$B$13,0)),0))</f>
        <v>0</v>
      </c>
      <c r="AI308" s="24" t="n">
        <f aca="false">IF(AB308="",0,IFERROR(INDEX(Resep!$C$9:$C$13,MATCH(LEFT(AB308,3),Resep!$B$9:$B$13,0)),0))</f>
        <v>0</v>
      </c>
      <c r="AJ308" s="24" t="n">
        <f aca="false">IF(AC308="",0,IFERROR(INDEX(Resep!$C$9:$C$13,MATCH(LEFT(AC308,3),Resep!$B$9:$B$13,0)),0))</f>
        <v>0</v>
      </c>
      <c r="AK308" s="24" t="n">
        <f aca="false">IF(AD308="",0,IFERROR(INDEX(Resep!$C$15:$C$18,MATCH(LEFT(AD308,3),Resep!$B$15:$B$18,0)),0))</f>
        <v>0</v>
      </c>
      <c r="AL308" s="24" t="str">
        <f aca="false">IF(X308="","",AG308+AH308+AI308+AJ308+AK308)</f>
        <v/>
      </c>
      <c r="AM308" s="22" t="str">
        <f aca="false">IF(X308="","",AL308*(Pengaturan!$B$6+Pengaturan!$B$7)+Pengaturan!$B$8+AE308*Pengaturan!$B$9+AF308*Pengaturan!$B$10)</f>
        <v/>
      </c>
      <c r="AN308" s="22" t="str">
        <f aca="false">IF(X308="","",N(G308)-AM308)</f>
        <v/>
      </c>
      <c r="AO308" s="25" t="str">
        <f aca="false">IF(OR(X308="",N(G308)=0),"",AN308/G308)</f>
        <v/>
      </c>
    </row>
    <row r="309" customFormat="false" ht="15" hidden="false" customHeight="false" outlineLevel="0" collapsed="false">
      <c r="A309" s="19"/>
      <c r="B309" s="20"/>
      <c r="C309" s="19"/>
      <c r="D309" s="19"/>
      <c r="E309" s="19"/>
      <c r="F309" s="19"/>
      <c r="G309" s="21"/>
      <c r="H309" s="19"/>
      <c r="I309" s="21"/>
      <c r="J309" s="19"/>
      <c r="K309" s="20"/>
      <c r="L309" s="20"/>
      <c r="M309" s="19"/>
      <c r="N309" s="19"/>
      <c r="O309" s="20"/>
      <c r="P309" s="20"/>
      <c r="Q309" s="19"/>
      <c r="R309" s="22" t="str">
        <f aca="false">IF(A309="","",N(G309)+N(I309))</f>
        <v/>
      </c>
      <c r="S309" s="23" t="str">
        <f aca="false">IF(OR(K309="",O309=""),"",O309-K309)</f>
        <v/>
      </c>
      <c r="T309" s="23" t="str">
        <f aca="true">IF(AND(C309="Cetak",L309&lt;&gt;"",L309&lt;TODAY()),"YA","")</f>
        <v/>
      </c>
      <c r="U309" s="23" t="str">
        <f aca="false">IF(B309="","",TEXT(B309,"yyyy-mm"))</f>
        <v/>
      </c>
      <c r="V309" s="23" t="str">
        <f aca="false">IF(K309="","",TEXT(K309,"yyyy-mm"))</f>
        <v/>
      </c>
      <c r="W309" s="23" t="n">
        <f aca="false">IF(OR(C309="Cetak",C309="Dikirim",C309="Selesai"),1,0)</f>
        <v>0</v>
      </c>
      <c r="X309" s="23" t="str">
        <f aca="false">IF(F309="","",SUBSTITUTE(SUBSTITUTE(MID(UPPER(TRIM(F309)),4,99),"-LED",""),"-TK",""))</f>
        <v/>
      </c>
      <c r="Y309" s="23" t="str">
        <f aca="false">IF(X309="","",(LEN(X309)+1)/7)</f>
        <v/>
      </c>
      <c r="Z309" s="23" t="str">
        <f aca="false">IF(X309="","",LEFT(X309,6))</f>
        <v/>
      </c>
      <c r="AA309" s="23" t="str">
        <f aca="false">IF(X309="","",IF(Y309&gt;=3,MID(X309,8,6),""))</f>
        <v/>
      </c>
      <c r="AB309" s="23" t="str">
        <f aca="false">IF(X309="","",IF(Y309&gt;=4,MID(X309,15,6),""))</f>
        <v/>
      </c>
      <c r="AC309" s="23" t="str">
        <f aca="false">IF(X309="","",IF(Y309&gt;=5,MID(X309,22,6),""))</f>
        <v/>
      </c>
      <c r="AD309" s="23" t="str">
        <f aca="false">IF(X309="","",RIGHT(X309,6))</f>
        <v/>
      </c>
      <c r="AE309" s="23" t="str">
        <f aca="false">IF(F309="","",IF(ISNUMBER(SEARCH("-TK",UPPER(F309))),0,1))</f>
        <v/>
      </c>
      <c r="AF309" s="23" t="str">
        <f aca="false">IF(F309="","",IF(ISNUMBER(SEARCH("-LED",UPPER(F309))),1,0))</f>
        <v/>
      </c>
      <c r="AG309" s="24" t="n">
        <f aca="false">IF(Z309="",0,IFERROR(INDEX(Resep!$C$5:$C$7,MATCH(LEFT(Z309,3),Resep!$B$5:$B$7,0)),0))</f>
        <v>0</v>
      </c>
      <c r="AH309" s="24" t="n">
        <f aca="false">IF(AA309="",0,IFERROR(INDEX(Resep!$C$9:$C$13,MATCH(LEFT(AA309,3),Resep!$B$9:$B$13,0)),0))</f>
        <v>0</v>
      </c>
      <c r="AI309" s="24" t="n">
        <f aca="false">IF(AB309="",0,IFERROR(INDEX(Resep!$C$9:$C$13,MATCH(LEFT(AB309,3),Resep!$B$9:$B$13,0)),0))</f>
        <v>0</v>
      </c>
      <c r="AJ309" s="24" t="n">
        <f aca="false">IF(AC309="",0,IFERROR(INDEX(Resep!$C$9:$C$13,MATCH(LEFT(AC309,3),Resep!$B$9:$B$13,0)),0))</f>
        <v>0</v>
      </c>
      <c r="AK309" s="24" t="n">
        <f aca="false">IF(AD309="",0,IFERROR(INDEX(Resep!$C$15:$C$18,MATCH(LEFT(AD309,3),Resep!$B$15:$B$18,0)),0))</f>
        <v>0</v>
      </c>
      <c r="AL309" s="24" t="str">
        <f aca="false">IF(X309="","",AG309+AH309+AI309+AJ309+AK309)</f>
        <v/>
      </c>
      <c r="AM309" s="22" t="str">
        <f aca="false">IF(X309="","",AL309*(Pengaturan!$B$6+Pengaturan!$B$7)+Pengaturan!$B$8+AE309*Pengaturan!$B$9+AF309*Pengaturan!$B$10)</f>
        <v/>
      </c>
      <c r="AN309" s="22" t="str">
        <f aca="false">IF(X309="","",N(G309)-AM309)</f>
        <v/>
      </c>
      <c r="AO309" s="25" t="str">
        <f aca="false">IF(OR(X309="",N(G309)=0),"",AN309/G309)</f>
        <v/>
      </c>
    </row>
    <row r="310" customFormat="false" ht="15" hidden="false" customHeight="false" outlineLevel="0" collapsed="false">
      <c r="A310" s="19"/>
      <c r="B310" s="20"/>
      <c r="C310" s="19"/>
      <c r="D310" s="19"/>
      <c r="E310" s="19"/>
      <c r="F310" s="19"/>
      <c r="G310" s="21"/>
      <c r="H310" s="19"/>
      <c r="I310" s="21"/>
      <c r="J310" s="19"/>
      <c r="K310" s="20"/>
      <c r="L310" s="20"/>
      <c r="M310" s="19"/>
      <c r="N310" s="19"/>
      <c r="O310" s="20"/>
      <c r="P310" s="20"/>
      <c r="Q310" s="19"/>
      <c r="R310" s="22" t="str">
        <f aca="false">IF(A310="","",N(G310)+N(I310))</f>
        <v/>
      </c>
      <c r="S310" s="23" t="str">
        <f aca="false">IF(OR(K310="",O310=""),"",O310-K310)</f>
        <v/>
      </c>
      <c r="T310" s="23" t="str">
        <f aca="true">IF(AND(C310="Cetak",L310&lt;&gt;"",L310&lt;TODAY()),"YA","")</f>
        <v/>
      </c>
      <c r="U310" s="23" t="str">
        <f aca="false">IF(B310="","",TEXT(B310,"yyyy-mm"))</f>
        <v/>
      </c>
      <c r="V310" s="23" t="str">
        <f aca="false">IF(K310="","",TEXT(K310,"yyyy-mm"))</f>
        <v/>
      </c>
      <c r="W310" s="23" t="n">
        <f aca="false">IF(OR(C310="Cetak",C310="Dikirim",C310="Selesai"),1,0)</f>
        <v>0</v>
      </c>
      <c r="X310" s="23" t="str">
        <f aca="false">IF(F310="","",SUBSTITUTE(SUBSTITUTE(MID(UPPER(TRIM(F310)),4,99),"-LED",""),"-TK",""))</f>
        <v/>
      </c>
      <c r="Y310" s="23" t="str">
        <f aca="false">IF(X310="","",(LEN(X310)+1)/7)</f>
        <v/>
      </c>
      <c r="Z310" s="23" t="str">
        <f aca="false">IF(X310="","",LEFT(X310,6))</f>
        <v/>
      </c>
      <c r="AA310" s="23" t="str">
        <f aca="false">IF(X310="","",IF(Y310&gt;=3,MID(X310,8,6),""))</f>
        <v/>
      </c>
      <c r="AB310" s="23" t="str">
        <f aca="false">IF(X310="","",IF(Y310&gt;=4,MID(X310,15,6),""))</f>
        <v/>
      </c>
      <c r="AC310" s="23" t="str">
        <f aca="false">IF(X310="","",IF(Y310&gt;=5,MID(X310,22,6),""))</f>
        <v/>
      </c>
      <c r="AD310" s="23" t="str">
        <f aca="false">IF(X310="","",RIGHT(X310,6))</f>
        <v/>
      </c>
      <c r="AE310" s="23" t="str">
        <f aca="false">IF(F310="","",IF(ISNUMBER(SEARCH("-TK",UPPER(F310))),0,1))</f>
        <v/>
      </c>
      <c r="AF310" s="23" t="str">
        <f aca="false">IF(F310="","",IF(ISNUMBER(SEARCH("-LED",UPPER(F310))),1,0))</f>
        <v/>
      </c>
      <c r="AG310" s="24" t="n">
        <f aca="false">IF(Z310="",0,IFERROR(INDEX(Resep!$C$5:$C$7,MATCH(LEFT(Z310,3),Resep!$B$5:$B$7,0)),0))</f>
        <v>0</v>
      </c>
      <c r="AH310" s="24" t="n">
        <f aca="false">IF(AA310="",0,IFERROR(INDEX(Resep!$C$9:$C$13,MATCH(LEFT(AA310,3),Resep!$B$9:$B$13,0)),0))</f>
        <v>0</v>
      </c>
      <c r="AI310" s="24" t="n">
        <f aca="false">IF(AB310="",0,IFERROR(INDEX(Resep!$C$9:$C$13,MATCH(LEFT(AB310,3),Resep!$B$9:$B$13,0)),0))</f>
        <v>0</v>
      </c>
      <c r="AJ310" s="24" t="n">
        <f aca="false">IF(AC310="",0,IFERROR(INDEX(Resep!$C$9:$C$13,MATCH(LEFT(AC310,3),Resep!$B$9:$B$13,0)),0))</f>
        <v>0</v>
      </c>
      <c r="AK310" s="24" t="n">
        <f aca="false">IF(AD310="",0,IFERROR(INDEX(Resep!$C$15:$C$18,MATCH(LEFT(AD310,3),Resep!$B$15:$B$18,0)),0))</f>
        <v>0</v>
      </c>
      <c r="AL310" s="24" t="str">
        <f aca="false">IF(X310="","",AG310+AH310+AI310+AJ310+AK310)</f>
        <v/>
      </c>
      <c r="AM310" s="22" t="str">
        <f aca="false">IF(X310="","",AL310*(Pengaturan!$B$6+Pengaturan!$B$7)+Pengaturan!$B$8+AE310*Pengaturan!$B$9+AF310*Pengaturan!$B$10)</f>
        <v/>
      </c>
      <c r="AN310" s="22" t="str">
        <f aca="false">IF(X310="","",N(G310)-AM310)</f>
        <v/>
      </c>
      <c r="AO310" s="25" t="str">
        <f aca="false">IF(OR(X310="",N(G310)=0),"",AN310/G310)</f>
        <v/>
      </c>
    </row>
    <row r="311" customFormat="false" ht="15" hidden="false" customHeight="false" outlineLevel="0" collapsed="false">
      <c r="A311" s="19"/>
      <c r="B311" s="20"/>
      <c r="C311" s="19"/>
      <c r="D311" s="19"/>
      <c r="E311" s="19"/>
      <c r="F311" s="19"/>
      <c r="G311" s="21"/>
      <c r="H311" s="19"/>
      <c r="I311" s="21"/>
      <c r="J311" s="19"/>
      <c r="K311" s="20"/>
      <c r="L311" s="20"/>
      <c r="M311" s="19"/>
      <c r="N311" s="19"/>
      <c r="O311" s="20"/>
      <c r="P311" s="20"/>
      <c r="Q311" s="19"/>
      <c r="R311" s="22" t="str">
        <f aca="false">IF(A311="","",N(G311)+N(I311))</f>
        <v/>
      </c>
      <c r="S311" s="23" t="str">
        <f aca="false">IF(OR(K311="",O311=""),"",O311-K311)</f>
        <v/>
      </c>
      <c r="T311" s="23" t="str">
        <f aca="true">IF(AND(C311="Cetak",L311&lt;&gt;"",L311&lt;TODAY()),"YA","")</f>
        <v/>
      </c>
      <c r="U311" s="23" t="str">
        <f aca="false">IF(B311="","",TEXT(B311,"yyyy-mm"))</f>
        <v/>
      </c>
      <c r="V311" s="23" t="str">
        <f aca="false">IF(K311="","",TEXT(K311,"yyyy-mm"))</f>
        <v/>
      </c>
      <c r="W311" s="23" t="n">
        <f aca="false">IF(OR(C311="Cetak",C311="Dikirim",C311="Selesai"),1,0)</f>
        <v>0</v>
      </c>
      <c r="X311" s="23" t="str">
        <f aca="false">IF(F311="","",SUBSTITUTE(SUBSTITUTE(MID(UPPER(TRIM(F311)),4,99),"-LED",""),"-TK",""))</f>
        <v/>
      </c>
      <c r="Y311" s="23" t="str">
        <f aca="false">IF(X311="","",(LEN(X311)+1)/7)</f>
        <v/>
      </c>
      <c r="Z311" s="23" t="str">
        <f aca="false">IF(X311="","",LEFT(X311,6))</f>
        <v/>
      </c>
      <c r="AA311" s="23" t="str">
        <f aca="false">IF(X311="","",IF(Y311&gt;=3,MID(X311,8,6),""))</f>
        <v/>
      </c>
      <c r="AB311" s="23" t="str">
        <f aca="false">IF(X311="","",IF(Y311&gt;=4,MID(X311,15,6),""))</f>
        <v/>
      </c>
      <c r="AC311" s="23" t="str">
        <f aca="false">IF(X311="","",IF(Y311&gt;=5,MID(X311,22,6),""))</f>
        <v/>
      </c>
      <c r="AD311" s="23" t="str">
        <f aca="false">IF(X311="","",RIGHT(X311,6))</f>
        <v/>
      </c>
      <c r="AE311" s="23" t="str">
        <f aca="false">IF(F311="","",IF(ISNUMBER(SEARCH("-TK",UPPER(F311))),0,1))</f>
        <v/>
      </c>
      <c r="AF311" s="23" t="str">
        <f aca="false">IF(F311="","",IF(ISNUMBER(SEARCH("-LED",UPPER(F311))),1,0))</f>
        <v/>
      </c>
      <c r="AG311" s="24" t="n">
        <f aca="false">IF(Z311="",0,IFERROR(INDEX(Resep!$C$5:$C$7,MATCH(LEFT(Z311,3),Resep!$B$5:$B$7,0)),0))</f>
        <v>0</v>
      </c>
      <c r="AH311" s="24" t="n">
        <f aca="false">IF(AA311="",0,IFERROR(INDEX(Resep!$C$9:$C$13,MATCH(LEFT(AA311,3),Resep!$B$9:$B$13,0)),0))</f>
        <v>0</v>
      </c>
      <c r="AI311" s="24" t="n">
        <f aca="false">IF(AB311="",0,IFERROR(INDEX(Resep!$C$9:$C$13,MATCH(LEFT(AB311,3),Resep!$B$9:$B$13,0)),0))</f>
        <v>0</v>
      </c>
      <c r="AJ311" s="24" t="n">
        <f aca="false">IF(AC311="",0,IFERROR(INDEX(Resep!$C$9:$C$13,MATCH(LEFT(AC311,3),Resep!$B$9:$B$13,0)),0))</f>
        <v>0</v>
      </c>
      <c r="AK311" s="24" t="n">
        <f aca="false">IF(AD311="",0,IFERROR(INDEX(Resep!$C$15:$C$18,MATCH(LEFT(AD311,3),Resep!$B$15:$B$18,0)),0))</f>
        <v>0</v>
      </c>
      <c r="AL311" s="24" t="str">
        <f aca="false">IF(X311="","",AG311+AH311+AI311+AJ311+AK311)</f>
        <v/>
      </c>
      <c r="AM311" s="22" t="str">
        <f aca="false">IF(X311="","",AL311*(Pengaturan!$B$6+Pengaturan!$B$7)+Pengaturan!$B$8+AE311*Pengaturan!$B$9+AF311*Pengaturan!$B$10)</f>
        <v/>
      </c>
      <c r="AN311" s="22" t="str">
        <f aca="false">IF(X311="","",N(G311)-AM311)</f>
        <v/>
      </c>
      <c r="AO311" s="25" t="str">
        <f aca="false">IF(OR(X311="",N(G311)=0),"",AN311/G311)</f>
        <v/>
      </c>
    </row>
    <row r="312" customFormat="false" ht="15" hidden="false" customHeight="false" outlineLevel="0" collapsed="false">
      <c r="A312" s="19"/>
      <c r="B312" s="20"/>
      <c r="C312" s="19"/>
      <c r="D312" s="19"/>
      <c r="E312" s="19"/>
      <c r="F312" s="19"/>
      <c r="G312" s="21"/>
      <c r="H312" s="19"/>
      <c r="I312" s="21"/>
      <c r="J312" s="19"/>
      <c r="K312" s="20"/>
      <c r="L312" s="20"/>
      <c r="M312" s="19"/>
      <c r="N312" s="19"/>
      <c r="O312" s="20"/>
      <c r="P312" s="20"/>
      <c r="Q312" s="19"/>
      <c r="R312" s="22" t="str">
        <f aca="false">IF(A312="","",N(G312)+N(I312))</f>
        <v/>
      </c>
      <c r="S312" s="23" t="str">
        <f aca="false">IF(OR(K312="",O312=""),"",O312-K312)</f>
        <v/>
      </c>
      <c r="T312" s="23" t="str">
        <f aca="true">IF(AND(C312="Cetak",L312&lt;&gt;"",L312&lt;TODAY()),"YA","")</f>
        <v/>
      </c>
      <c r="U312" s="23" t="str">
        <f aca="false">IF(B312="","",TEXT(B312,"yyyy-mm"))</f>
        <v/>
      </c>
      <c r="V312" s="23" t="str">
        <f aca="false">IF(K312="","",TEXT(K312,"yyyy-mm"))</f>
        <v/>
      </c>
      <c r="W312" s="23" t="n">
        <f aca="false">IF(OR(C312="Cetak",C312="Dikirim",C312="Selesai"),1,0)</f>
        <v>0</v>
      </c>
      <c r="X312" s="23" t="str">
        <f aca="false">IF(F312="","",SUBSTITUTE(SUBSTITUTE(MID(UPPER(TRIM(F312)),4,99),"-LED",""),"-TK",""))</f>
        <v/>
      </c>
      <c r="Y312" s="23" t="str">
        <f aca="false">IF(X312="","",(LEN(X312)+1)/7)</f>
        <v/>
      </c>
      <c r="Z312" s="23" t="str">
        <f aca="false">IF(X312="","",LEFT(X312,6))</f>
        <v/>
      </c>
      <c r="AA312" s="23" t="str">
        <f aca="false">IF(X312="","",IF(Y312&gt;=3,MID(X312,8,6),""))</f>
        <v/>
      </c>
      <c r="AB312" s="23" t="str">
        <f aca="false">IF(X312="","",IF(Y312&gt;=4,MID(X312,15,6),""))</f>
        <v/>
      </c>
      <c r="AC312" s="23" t="str">
        <f aca="false">IF(X312="","",IF(Y312&gt;=5,MID(X312,22,6),""))</f>
        <v/>
      </c>
      <c r="AD312" s="23" t="str">
        <f aca="false">IF(X312="","",RIGHT(X312,6))</f>
        <v/>
      </c>
      <c r="AE312" s="23" t="str">
        <f aca="false">IF(F312="","",IF(ISNUMBER(SEARCH("-TK",UPPER(F312))),0,1))</f>
        <v/>
      </c>
      <c r="AF312" s="23" t="str">
        <f aca="false">IF(F312="","",IF(ISNUMBER(SEARCH("-LED",UPPER(F312))),1,0))</f>
        <v/>
      </c>
      <c r="AG312" s="24" t="n">
        <f aca="false">IF(Z312="",0,IFERROR(INDEX(Resep!$C$5:$C$7,MATCH(LEFT(Z312,3),Resep!$B$5:$B$7,0)),0))</f>
        <v>0</v>
      </c>
      <c r="AH312" s="24" t="n">
        <f aca="false">IF(AA312="",0,IFERROR(INDEX(Resep!$C$9:$C$13,MATCH(LEFT(AA312,3),Resep!$B$9:$B$13,0)),0))</f>
        <v>0</v>
      </c>
      <c r="AI312" s="24" t="n">
        <f aca="false">IF(AB312="",0,IFERROR(INDEX(Resep!$C$9:$C$13,MATCH(LEFT(AB312,3),Resep!$B$9:$B$13,0)),0))</f>
        <v>0</v>
      </c>
      <c r="AJ312" s="24" t="n">
        <f aca="false">IF(AC312="",0,IFERROR(INDEX(Resep!$C$9:$C$13,MATCH(LEFT(AC312,3),Resep!$B$9:$B$13,0)),0))</f>
        <v>0</v>
      </c>
      <c r="AK312" s="24" t="n">
        <f aca="false">IF(AD312="",0,IFERROR(INDEX(Resep!$C$15:$C$18,MATCH(LEFT(AD312,3),Resep!$B$15:$B$18,0)),0))</f>
        <v>0</v>
      </c>
      <c r="AL312" s="24" t="str">
        <f aca="false">IF(X312="","",AG312+AH312+AI312+AJ312+AK312)</f>
        <v/>
      </c>
      <c r="AM312" s="22" t="str">
        <f aca="false">IF(X312="","",AL312*(Pengaturan!$B$6+Pengaturan!$B$7)+Pengaturan!$B$8+AE312*Pengaturan!$B$9+AF312*Pengaturan!$B$10)</f>
        <v/>
      </c>
      <c r="AN312" s="22" t="str">
        <f aca="false">IF(X312="","",N(G312)-AM312)</f>
        <v/>
      </c>
      <c r="AO312" s="25" t="str">
        <f aca="false">IF(OR(X312="",N(G312)=0),"",AN312/G312)</f>
        <v/>
      </c>
    </row>
    <row r="313" customFormat="false" ht="15" hidden="false" customHeight="false" outlineLevel="0" collapsed="false">
      <c r="A313" s="19"/>
      <c r="B313" s="20"/>
      <c r="C313" s="19"/>
      <c r="D313" s="19"/>
      <c r="E313" s="19"/>
      <c r="F313" s="19"/>
      <c r="G313" s="21"/>
      <c r="H313" s="19"/>
      <c r="I313" s="21"/>
      <c r="J313" s="19"/>
      <c r="K313" s="20"/>
      <c r="L313" s="20"/>
      <c r="M313" s="19"/>
      <c r="N313" s="19"/>
      <c r="O313" s="20"/>
      <c r="P313" s="20"/>
      <c r="Q313" s="19"/>
      <c r="R313" s="22" t="str">
        <f aca="false">IF(A313="","",N(G313)+N(I313))</f>
        <v/>
      </c>
      <c r="S313" s="23" t="str">
        <f aca="false">IF(OR(K313="",O313=""),"",O313-K313)</f>
        <v/>
      </c>
      <c r="T313" s="23" t="str">
        <f aca="true">IF(AND(C313="Cetak",L313&lt;&gt;"",L313&lt;TODAY()),"YA","")</f>
        <v/>
      </c>
      <c r="U313" s="23" t="str">
        <f aca="false">IF(B313="","",TEXT(B313,"yyyy-mm"))</f>
        <v/>
      </c>
      <c r="V313" s="23" t="str">
        <f aca="false">IF(K313="","",TEXT(K313,"yyyy-mm"))</f>
        <v/>
      </c>
      <c r="W313" s="23" t="n">
        <f aca="false">IF(OR(C313="Cetak",C313="Dikirim",C313="Selesai"),1,0)</f>
        <v>0</v>
      </c>
      <c r="X313" s="23" t="str">
        <f aca="false">IF(F313="","",SUBSTITUTE(SUBSTITUTE(MID(UPPER(TRIM(F313)),4,99),"-LED",""),"-TK",""))</f>
        <v/>
      </c>
      <c r="Y313" s="23" t="str">
        <f aca="false">IF(X313="","",(LEN(X313)+1)/7)</f>
        <v/>
      </c>
      <c r="Z313" s="23" t="str">
        <f aca="false">IF(X313="","",LEFT(X313,6))</f>
        <v/>
      </c>
      <c r="AA313" s="23" t="str">
        <f aca="false">IF(X313="","",IF(Y313&gt;=3,MID(X313,8,6),""))</f>
        <v/>
      </c>
      <c r="AB313" s="23" t="str">
        <f aca="false">IF(X313="","",IF(Y313&gt;=4,MID(X313,15,6),""))</f>
        <v/>
      </c>
      <c r="AC313" s="23" t="str">
        <f aca="false">IF(X313="","",IF(Y313&gt;=5,MID(X313,22,6),""))</f>
        <v/>
      </c>
      <c r="AD313" s="23" t="str">
        <f aca="false">IF(X313="","",RIGHT(X313,6))</f>
        <v/>
      </c>
      <c r="AE313" s="23" t="str">
        <f aca="false">IF(F313="","",IF(ISNUMBER(SEARCH("-TK",UPPER(F313))),0,1))</f>
        <v/>
      </c>
      <c r="AF313" s="23" t="str">
        <f aca="false">IF(F313="","",IF(ISNUMBER(SEARCH("-LED",UPPER(F313))),1,0))</f>
        <v/>
      </c>
      <c r="AG313" s="24" t="n">
        <f aca="false">IF(Z313="",0,IFERROR(INDEX(Resep!$C$5:$C$7,MATCH(LEFT(Z313,3),Resep!$B$5:$B$7,0)),0))</f>
        <v>0</v>
      </c>
      <c r="AH313" s="24" t="n">
        <f aca="false">IF(AA313="",0,IFERROR(INDEX(Resep!$C$9:$C$13,MATCH(LEFT(AA313,3),Resep!$B$9:$B$13,0)),0))</f>
        <v>0</v>
      </c>
      <c r="AI313" s="24" t="n">
        <f aca="false">IF(AB313="",0,IFERROR(INDEX(Resep!$C$9:$C$13,MATCH(LEFT(AB313,3),Resep!$B$9:$B$13,0)),0))</f>
        <v>0</v>
      </c>
      <c r="AJ313" s="24" t="n">
        <f aca="false">IF(AC313="",0,IFERROR(INDEX(Resep!$C$9:$C$13,MATCH(LEFT(AC313,3),Resep!$B$9:$B$13,0)),0))</f>
        <v>0</v>
      </c>
      <c r="AK313" s="24" t="n">
        <f aca="false">IF(AD313="",0,IFERROR(INDEX(Resep!$C$15:$C$18,MATCH(LEFT(AD313,3),Resep!$B$15:$B$18,0)),0))</f>
        <v>0</v>
      </c>
      <c r="AL313" s="24" t="str">
        <f aca="false">IF(X313="","",AG313+AH313+AI313+AJ313+AK313)</f>
        <v/>
      </c>
      <c r="AM313" s="22" t="str">
        <f aca="false">IF(X313="","",AL313*(Pengaturan!$B$6+Pengaturan!$B$7)+Pengaturan!$B$8+AE313*Pengaturan!$B$9+AF313*Pengaturan!$B$10)</f>
        <v/>
      </c>
      <c r="AN313" s="22" t="str">
        <f aca="false">IF(X313="","",N(G313)-AM313)</f>
        <v/>
      </c>
      <c r="AO313" s="25" t="str">
        <f aca="false">IF(OR(X313="",N(G313)=0),"",AN313/G313)</f>
        <v/>
      </c>
    </row>
    <row r="314" customFormat="false" ht="15" hidden="false" customHeight="false" outlineLevel="0" collapsed="false">
      <c r="A314" s="19"/>
      <c r="B314" s="20"/>
      <c r="C314" s="19"/>
      <c r="D314" s="19"/>
      <c r="E314" s="19"/>
      <c r="F314" s="19"/>
      <c r="G314" s="21"/>
      <c r="H314" s="19"/>
      <c r="I314" s="21"/>
      <c r="J314" s="19"/>
      <c r="K314" s="20"/>
      <c r="L314" s="20"/>
      <c r="M314" s="19"/>
      <c r="N314" s="19"/>
      <c r="O314" s="20"/>
      <c r="P314" s="20"/>
      <c r="Q314" s="19"/>
      <c r="R314" s="22" t="str">
        <f aca="false">IF(A314="","",N(G314)+N(I314))</f>
        <v/>
      </c>
      <c r="S314" s="23" t="str">
        <f aca="false">IF(OR(K314="",O314=""),"",O314-K314)</f>
        <v/>
      </c>
      <c r="T314" s="23" t="str">
        <f aca="true">IF(AND(C314="Cetak",L314&lt;&gt;"",L314&lt;TODAY()),"YA","")</f>
        <v/>
      </c>
      <c r="U314" s="23" t="str">
        <f aca="false">IF(B314="","",TEXT(B314,"yyyy-mm"))</f>
        <v/>
      </c>
      <c r="V314" s="23" t="str">
        <f aca="false">IF(K314="","",TEXT(K314,"yyyy-mm"))</f>
        <v/>
      </c>
      <c r="W314" s="23" t="n">
        <f aca="false">IF(OR(C314="Cetak",C314="Dikirim",C314="Selesai"),1,0)</f>
        <v>0</v>
      </c>
      <c r="X314" s="23" t="str">
        <f aca="false">IF(F314="","",SUBSTITUTE(SUBSTITUTE(MID(UPPER(TRIM(F314)),4,99),"-LED",""),"-TK",""))</f>
        <v/>
      </c>
      <c r="Y314" s="23" t="str">
        <f aca="false">IF(X314="","",(LEN(X314)+1)/7)</f>
        <v/>
      </c>
      <c r="Z314" s="23" t="str">
        <f aca="false">IF(X314="","",LEFT(X314,6))</f>
        <v/>
      </c>
      <c r="AA314" s="23" t="str">
        <f aca="false">IF(X314="","",IF(Y314&gt;=3,MID(X314,8,6),""))</f>
        <v/>
      </c>
      <c r="AB314" s="23" t="str">
        <f aca="false">IF(X314="","",IF(Y314&gt;=4,MID(X314,15,6),""))</f>
        <v/>
      </c>
      <c r="AC314" s="23" t="str">
        <f aca="false">IF(X314="","",IF(Y314&gt;=5,MID(X314,22,6),""))</f>
        <v/>
      </c>
      <c r="AD314" s="23" t="str">
        <f aca="false">IF(X314="","",RIGHT(X314,6))</f>
        <v/>
      </c>
      <c r="AE314" s="23" t="str">
        <f aca="false">IF(F314="","",IF(ISNUMBER(SEARCH("-TK",UPPER(F314))),0,1))</f>
        <v/>
      </c>
      <c r="AF314" s="23" t="str">
        <f aca="false">IF(F314="","",IF(ISNUMBER(SEARCH("-LED",UPPER(F314))),1,0))</f>
        <v/>
      </c>
      <c r="AG314" s="24" t="n">
        <f aca="false">IF(Z314="",0,IFERROR(INDEX(Resep!$C$5:$C$7,MATCH(LEFT(Z314,3),Resep!$B$5:$B$7,0)),0))</f>
        <v>0</v>
      </c>
      <c r="AH314" s="24" t="n">
        <f aca="false">IF(AA314="",0,IFERROR(INDEX(Resep!$C$9:$C$13,MATCH(LEFT(AA314,3),Resep!$B$9:$B$13,0)),0))</f>
        <v>0</v>
      </c>
      <c r="AI314" s="24" t="n">
        <f aca="false">IF(AB314="",0,IFERROR(INDEX(Resep!$C$9:$C$13,MATCH(LEFT(AB314,3),Resep!$B$9:$B$13,0)),0))</f>
        <v>0</v>
      </c>
      <c r="AJ314" s="24" t="n">
        <f aca="false">IF(AC314="",0,IFERROR(INDEX(Resep!$C$9:$C$13,MATCH(LEFT(AC314,3),Resep!$B$9:$B$13,0)),0))</f>
        <v>0</v>
      </c>
      <c r="AK314" s="24" t="n">
        <f aca="false">IF(AD314="",0,IFERROR(INDEX(Resep!$C$15:$C$18,MATCH(LEFT(AD314,3),Resep!$B$15:$B$18,0)),0))</f>
        <v>0</v>
      </c>
      <c r="AL314" s="24" t="str">
        <f aca="false">IF(X314="","",AG314+AH314+AI314+AJ314+AK314)</f>
        <v/>
      </c>
      <c r="AM314" s="22" t="str">
        <f aca="false">IF(X314="","",AL314*(Pengaturan!$B$6+Pengaturan!$B$7)+Pengaturan!$B$8+AE314*Pengaturan!$B$9+AF314*Pengaturan!$B$10)</f>
        <v/>
      </c>
      <c r="AN314" s="22" t="str">
        <f aca="false">IF(X314="","",N(G314)-AM314)</f>
        <v/>
      </c>
      <c r="AO314" s="25" t="str">
        <f aca="false">IF(OR(X314="",N(G314)=0),"",AN314/G314)</f>
        <v/>
      </c>
    </row>
    <row r="315" customFormat="false" ht="15" hidden="false" customHeight="false" outlineLevel="0" collapsed="false">
      <c r="A315" s="19"/>
      <c r="B315" s="20"/>
      <c r="C315" s="19"/>
      <c r="D315" s="19"/>
      <c r="E315" s="19"/>
      <c r="F315" s="19"/>
      <c r="G315" s="21"/>
      <c r="H315" s="19"/>
      <c r="I315" s="21"/>
      <c r="J315" s="19"/>
      <c r="K315" s="20"/>
      <c r="L315" s="20"/>
      <c r="M315" s="19"/>
      <c r="N315" s="19"/>
      <c r="O315" s="20"/>
      <c r="P315" s="20"/>
      <c r="Q315" s="19"/>
      <c r="R315" s="22" t="str">
        <f aca="false">IF(A315="","",N(G315)+N(I315))</f>
        <v/>
      </c>
      <c r="S315" s="23" t="str">
        <f aca="false">IF(OR(K315="",O315=""),"",O315-K315)</f>
        <v/>
      </c>
      <c r="T315" s="23" t="str">
        <f aca="true">IF(AND(C315="Cetak",L315&lt;&gt;"",L315&lt;TODAY()),"YA","")</f>
        <v/>
      </c>
      <c r="U315" s="23" t="str">
        <f aca="false">IF(B315="","",TEXT(B315,"yyyy-mm"))</f>
        <v/>
      </c>
      <c r="V315" s="23" t="str">
        <f aca="false">IF(K315="","",TEXT(K315,"yyyy-mm"))</f>
        <v/>
      </c>
      <c r="W315" s="23" t="n">
        <f aca="false">IF(OR(C315="Cetak",C315="Dikirim",C315="Selesai"),1,0)</f>
        <v>0</v>
      </c>
      <c r="X315" s="23" t="str">
        <f aca="false">IF(F315="","",SUBSTITUTE(SUBSTITUTE(MID(UPPER(TRIM(F315)),4,99),"-LED",""),"-TK",""))</f>
        <v/>
      </c>
      <c r="Y315" s="23" t="str">
        <f aca="false">IF(X315="","",(LEN(X315)+1)/7)</f>
        <v/>
      </c>
      <c r="Z315" s="23" t="str">
        <f aca="false">IF(X315="","",LEFT(X315,6))</f>
        <v/>
      </c>
      <c r="AA315" s="23" t="str">
        <f aca="false">IF(X315="","",IF(Y315&gt;=3,MID(X315,8,6),""))</f>
        <v/>
      </c>
      <c r="AB315" s="23" t="str">
        <f aca="false">IF(X315="","",IF(Y315&gt;=4,MID(X315,15,6),""))</f>
        <v/>
      </c>
      <c r="AC315" s="23" t="str">
        <f aca="false">IF(X315="","",IF(Y315&gt;=5,MID(X315,22,6),""))</f>
        <v/>
      </c>
      <c r="AD315" s="23" t="str">
        <f aca="false">IF(X315="","",RIGHT(X315,6))</f>
        <v/>
      </c>
      <c r="AE315" s="23" t="str">
        <f aca="false">IF(F315="","",IF(ISNUMBER(SEARCH("-TK",UPPER(F315))),0,1))</f>
        <v/>
      </c>
      <c r="AF315" s="23" t="str">
        <f aca="false">IF(F315="","",IF(ISNUMBER(SEARCH("-LED",UPPER(F315))),1,0))</f>
        <v/>
      </c>
      <c r="AG315" s="24" t="n">
        <f aca="false">IF(Z315="",0,IFERROR(INDEX(Resep!$C$5:$C$7,MATCH(LEFT(Z315,3),Resep!$B$5:$B$7,0)),0))</f>
        <v>0</v>
      </c>
      <c r="AH315" s="24" t="n">
        <f aca="false">IF(AA315="",0,IFERROR(INDEX(Resep!$C$9:$C$13,MATCH(LEFT(AA315,3),Resep!$B$9:$B$13,0)),0))</f>
        <v>0</v>
      </c>
      <c r="AI315" s="24" t="n">
        <f aca="false">IF(AB315="",0,IFERROR(INDEX(Resep!$C$9:$C$13,MATCH(LEFT(AB315,3),Resep!$B$9:$B$13,0)),0))</f>
        <v>0</v>
      </c>
      <c r="AJ315" s="24" t="n">
        <f aca="false">IF(AC315="",0,IFERROR(INDEX(Resep!$C$9:$C$13,MATCH(LEFT(AC315,3),Resep!$B$9:$B$13,0)),0))</f>
        <v>0</v>
      </c>
      <c r="AK315" s="24" t="n">
        <f aca="false">IF(AD315="",0,IFERROR(INDEX(Resep!$C$15:$C$18,MATCH(LEFT(AD315,3),Resep!$B$15:$B$18,0)),0))</f>
        <v>0</v>
      </c>
      <c r="AL315" s="24" t="str">
        <f aca="false">IF(X315="","",AG315+AH315+AI315+AJ315+AK315)</f>
        <v/>
      </c>
      <c r="AM315" s="22" t="str">
        <f aca="false">IF(X315="","",AL315*(Pengaturan!$B$6+Pengaturan!$B$7)+Pengaturan!$B$8+AE315*Pengaturan!$B$9+AF315*Pengaturan!$B$10)</f>
        <v/>
      </c>
      <c r="AN315" s="22" t="str">
        <f aca="false">IF(X315="","",N(G315)-AM315)</f>
        <v/>
      </c>
      <c r="AO315" s="25" t="str">
        <f aca="false">IF(OR(X315="",N(G315)=0),"",AN315/G315)</f>
        <v/>
      </c>
    </row>
    <row r="316" customFormat="false" ht="15" hidden="false" customHeight="false" outlineLevel="0" collapsed="false">
      <c r="A316" s="19"/>
      <c r="B316" s="20"/>
      <c r="C316" s="19"/>
      <c r="D316" s="19"/>
      <c r="E316" s="19"/>
      <c r="F316" s="19"/>
      <c r="G316" s="21"/>
      <c r="H316" s="19"/>
      <c r="I316" s="21"/>
      <c r="J316" s="19"/>
      <c r="K316" s="20"/>
      <c r="L316" s="20"/>
      <c r="M316" s="19"/>
      <c r="N316" s="19"/>
      <c r="O316" s="20"/>
      <c r="P316" s="20"/>
      <c r="Q316" s="19"/>
      <c r="R316" s="22" t="str">
        <f aca="false">IF(A316="","",N(G316)+N(I316))</f>
        <v/>
      </c>
      <c r="S316" s="23" t="str">
        <f aca="false">IF(OR(K316="",O316=""),"",O316-K316)</f>
        <v/>
      </c>
      <c r="T316" s="23" t="str">
        <f aca="true">IF(AND(C316="Cetak",L316&lt;&gt;"",L316&lt;TODAY()),"YA","")</f>
        <v/>
      </c>
      <c r="U316" s="23" t="str">
        <f aca="false">IF(B316="","",TEXT(B316,"yyyy-mm"))</f>
        <v/>
      </c>
      <c r="V316" s="23" t="str">
        <f aca="false">IF(K316="","",TEXT(K316,"yyyy-mm"))</f>
        <v/>
      </c>
      <c r="W316" s="23" t="n">
        <f aca="false">IF(OR(C316="Cetak",C316="Dikirim",C316="Selesai"),1,0)</f>
        <v>0</v>
      </c>
      <c r="X316" s="23" t="str">
        <f aca="false">IF(F316="","",SUBSTITUTE(SUBSTITUTE(MID(UPPER(TRIM(F316)),4,99),"-LED",""),"-TK",""))</f>
        <v/>
      </c>
      <c r="Y316" s="23" t="str">
        <f aca="false">IF(X316="","",(LEN(X316)+1)/7)</f>
        <v/>
      </c>
      <c r="Z316" s="23" t="str">
        <f aca="false">IF(X316="","",LEFT(X316,6))</f>
        <v/>
      </c>
      <c r="AA316" s="23" t="str">
        <f aca="false">IF(X316="","",IF(Y316&gt;=3,MID(X316,8,6),""))</f>
        <v/>
      </c>
      <c r="AB316" s="23" t="str">
        <f aca="false">IF(X316="","",IF(Y316&gt;=4,MID(X316,15,6),""))</f>
        <v/>
      </c>
      <c r="AC316" s="23" t="str">
        <f aca="false">IF(X316="","",IF(Y316&gt;=5,MID(X316,22,6),""))</f>
        <v/>
      </c>
      <c r="AD316" s="23" t="str">
        <f aca="false">IF(X316="","",RIGHT(X316,6))</f>
        <v/>
      </c>
      <c r="AE316" s="23" t="str">
        <f aca="false">IF(F316="","",IF(ISNUMBER(SEARCH("-TK",UPPER(F316))),0,1))</f>
        <v/>
      </c>
      <c r="AF316" s="23" t="str">
        <f aca="false">IF(F316="","",IF(ISNUMBER(SEARCH("-LED",UPPER(F316))),1,0))</f>
        <v/>
      </c>
      <c r="AG316" s="24" t="n">
        <f aca="false">IF(Z316="",0,IFERROR(INDEX(Resep!$C$5:$C$7,MATCH(LEFT(Z316,3),Resep!$B$5:$B$7,0)),0))</f>
        <v>0</v>
      </c>
      <c r="AH316" s="24" t="n">
        <f aca="false">IF(AA316="",0,IFERROR(INDEX(Resep!$C$9:$C$13,MATCH(LEFT(AA316,3),Resep!$B$9:$B$13,0)),0))</f>
        <v>0</v>
      </c>
      <c r="AI316" s="24" t="n">
        <f aca="false">IF(AB316="",0,IFERROR(INDEX(Resep!$C$9:$C$13,MATCH(LEFT(AB316,3),Resep!$B$9:$B$13,0)),0))</f>
        <v>0</v>
      </c>
      <c r="AJ316" s="24" t="n">
        <f aca="false">IF(AC316="",0,IFERROR(INDEX(Resep!$C$9:$C$13,MATCH(LEFT(AC316,3),Resep!$B$9:$B$13,0)),0))</f>
        <v>0</v>
      </c>
      <c r="AK316" s="24" t="n">
        <f aca="false">IF(AD316="",0,IFERROR(INDEX(Resep!$C$15:$C$18,MATCH(LEFT(AD316,3),Resep!$B$15:$B$18,0)),0))</f>
        <v>0</v>
      </c>
      <c r="AL316" s="24" t="str">
        <f aca="false">IF(X316="","",AG316+AH316+AI316+AJ316+AK316)</f>
        <v/>
      </c>
      <c r="AM316" s="22" t="str">
        <f aca="false">IF(X316="","",AL316*(Pengaturan!$B$6+Pengaturan!$B$7)+Pengaturan!$B$8+AE316*Pengaturan!$B$9+AF316*Pengaturan!$B$10)</f>
        <v/>
      </c>
      <c r="AN316" s="22" t="str">
        <f aca="false">IF(X316="","",N(G316)-AM316)</f>
        <v/>
      </c>
      <c r="AO316" s="25" t="str">
        <f aca="false">IF(OR(X316="",N(G316)=0),"",AN316/G316)</f>
        <v/>
      </c>
    </row>
    <row r="317" customFormat="false" ht="15" hidden="false" customHeight="false" outlineLevel="0" collapsed="false">
      <c r="A317" s="19"/>
      <c r="B317" s="20"/>
      <c r="C317" s="19"/>
      <c r="D317" s="19"/>
      <c r="E317" s="19"/>
      <c r="F317" s="19"/>
      <c r="G317" s="21"/>
      <c r="H317" s="19"/>
      <c r="I317" s="21"/>
      <c r="J317" s="19"/>
      <c r="K317" s="20"/>
      <c r="L317" s="20"/>
      <c r="M317" s="19"/>
      <c r="N317" s="19"/>
      <c r="O317" s="20"/>
      <c r="P317" s="20"/>
      <c r="Q317" s="19"/>
      <c r="R317" s="22" t="str">
        <f aca="false">IF(A317="","",N(G317)+N(I317))</f>
        <v/>
      </c>
      <c r="S317" s="23" t="str">
        <f aca="false">IF(OR(K317="",O317=""),"",O317-K317)</f>
        <v/>
      </c>
      <c r="T317" s="23" t="str">
        <f aca="true">IF(AND(C317="Cetak",L317&lt;&gt;"",L317&lt;TODAY()),"YA","")</f>
        <v/>
      </c>
      <c r="U317" s="23" t="str">
        <f aca="false">IF(B317="","",TEXT(B317,"yyyy-mm"))</f>
        <v/>
      </c>
      <c r="V317" s="23" t="str">
        <f aca="false">IF(K317="","",TEXT(K317,"yyyy-mm"))</f>
        <v/>
      </c>
      <c r="W317" s="23" t="n">
        <f aca="false">IF(OR(C317="Cetak",C317="Dikirim",C317="Selesai"),1,0)</f>
        <v>0</v>
      </c>
      <c r="X317" s="23" t="str">
        <f aca="false">IF(F317="","",SUBSTITUTE(SUBSTITUTE(MID(UPPER(TRIM(F317)),4,99),"-LED",""),"-TK",""))</f>
        <v/>
      </c>
      <c r="Y317" s="23" t="str">
        <f aca="false">IF(X317="","",(LEN(X317)+1)/7)</f>
        <v/>
      </c>
      <c r="Z317" s="23" t="str">
        <f aca="false">IF(X317="","",LEFT(X317,6))</f>
        <v/>
      </c>
      <c r="AA317" s="23" t="str">
        <f aca="false">IF(X317="","",IF(Y317&gt;=3,MID(X317,8,6),""))</f>
        <v/>
      </c>
      <c r="AB317" s="23" t="str">
        <f aca="false">IF(X317="","",IF(Y317&gt;=4,MID(X317,15,6),""))</f>
        <v/>
      </c>
      <c r="AC317" s="23" t="str">
        <f aca="false">IF(X317="","",IF(Y317&gt;=5,MID(X317,22,6),""))</f>
        <v/>
      </c>
      <c r="AD317" s="23" t="str">
        <f aca="false">IF(X317="","",RIGHT(X317,6))</f>
        <v/>
      </c>
      <c r="AE317" s="23" t="str">
        <f aca="false">IF(F317="","",IF(ISNUMBER(SEARCH("-TK",UPPER(F317))),0,1))</f>
        <v/>
      </c>
      <c r="AF317" s="23" t="str">
        <f aca="false">IF(F317="","",IF(ISNUMBER(SEARCH("-LED",UPPER(F317))),1,0))</f>
        <v/>
      </c>
      <c r="AG317" s="24" t="n">
        <f aca="false">IF(Z317="",0,IFERROR(INDEX(Resep!$C$5:$C$7,MATCH(LEFT(Z317,3),Resep!$B$5:$B$7,0)),0))</f>
        <v>0</v>
      </c>
      <c r="AH317" s="24" t="n">
        <f aca="false">IF(AA317="",0,IFERROR(INDEX(Resep!$C$9:$C$13,MATCH(LEFT(AA317,3),Resep!$B$9:$B$13,0)),0))</f>
        <v>0</v>
      </c>
      <c r="AI317" s="24" t="n">
        <f aca="false">IF(AB317="",0,IFERROR(INDEX(Resep!$C$9:$C$13,MATCH(LEFT(AB317,3),Resep!$B$9:$B$13,0)),0))</f>
        <v>0</v>
      </c>
      <c r="AJ317" s="24" t="n">
        <f aca="false">IF(AC317="",0,IFERROR(INDEX(Resep!$C$9:$C$13,MATCH(LEFT(AC317,3),Resep!$B$9:$B$13,0)),0))</f>
        <v>0</v>
      </c>
      <c r="AK317" s="24" t="n">
        <f aca="false">IF(AD317="",0,IFERROR(INDEX(Resep!$C$15:$C$18,MATCH(LEFT(AD317,3),Resep!$B$15:$B$18,0)),0))</f>
        <v>0</v>
      </c>
      <c r="AL317" s="24" t="str">
        <f aca="false">IF(X317="","",AG317+AH317+AI317+AJ317+AK317)</f>
        <v/>
      </c>
      <c r="AM317" s="22" t="str">
        <f aca="false">IF(X317="","",AL317*(Pengaturan!$B$6+Pengaturan!$B$7)+Pengaturan!$B$8+AE317*Pengaturan!$B$9+AF317*Pengaturan!$B$10)</f>
        <v/>
      </c>
      <c r="AN317" s="22" t="str">
        <f aca="false">IF(X317="","",N(G317)-AM317)</f>
        <v/>
      </c>
      <c r="AO317" s="25" t="str">
        <f aca="false">IF(OR(X317="",N(G317)=0),"",AN317/G317)</f>
        <v/>
      </c>
    </row>
    <row r="318" customFormat="false" ht="15" hidden="false" customHeight="false" outlineLevel="0" collapsed="false">
      <c r="A318" s="19"/>
      <c r="B318" s="20"/>
      <c r="C318" s="19"/>
      <c r="D318" s="19"/>
      <c r="E318" s="19"/>
      <c r="F318" s="19"/>
      <c r="G318" s="21"/>
      <c r="H318" s="19"/>
      <c r="I318" s="21"/>
      <c r="J318" s="19"/>
      <c r="K318" s="20"/>
      <c r="L318" s="20"/>
      <c r="M318" s="19"/>
      <c r="N318" s="19"/>
      <c r="O318" s="20"/>
      <c r="P318" s="20"/>
      <c r="Q318" s="19"/>
      <c r="R318" s="22" t="str">
        <f aca="false">IF(A318="","",N(G318)+N(I318))</f>
        <v/>
      </c>
      <c r="S318" s="23" t="str">
        <f aca="false">IF(OR(K318="",O318=""),"",O318-K318)</f>
        <v/>
      </c>
      <c r="T318" s="23" t="str">
        <f aca="true">IF(AND(C318="Cetak",L318&lt;&gt;"",L318&lt;TODAY()),"YA","")</f>
        <v/>
      </c>
      <c r="U318" s="23" t="str">
        <f aca="false">IF(B318="","",TEXT(B318,"yyyy-mm"))</f>
        <v/>
      </c>
      <c r="V318" s="23" t="str">
        <f aca="false">IF(K318="","",TEXT(K318,"yyyy-mm"))</f>
        <v/>
      </c>
      <c r="W318" s="23" t="n">
        <f aca="false">IF(OR(C318="Cetak",C318="Dikirim",C318="Selesai"),1,0)</f>
        <v>0</v>
      </c>
      <c r="X318" s="23" t="str">
        <f aca="false">IF(F318="","",SUBSTITUTE(SUBSTITUTE(MID(UPPER(TRIM(F318)),4,99),"-LED",""),"-TK",""))</f>
        <v/>
      </c>
      <c r="Y318" s="23" t="str">
        <f aca="false">IF(X318="","",(LEN(X318)+1)/7)</f>
        <v/>
      </c>
      <c r="Z318" s="23" t="str">
        <f aca="false">IF(X318="","",LEFT(X318,6))</f>
        <v/>
      </c>
      <c r="AA318" s="23" t="str">
        <f aca="false">IF(X318="","",IF(Y318&gt;=3,MID(X318,8,6),""))</f>
        <v/>
      </c>
      <c r="AB318" s="23" t="str">
        <f aca="false">IF(X318="","",IF(Y318&gt;=4,MID(X318,15,6),""))</f>
        <v/>
      </c>
      <c r="AC318" s="23" t="str">
        <f aca="false">IF(X318="","",IF(Y318&gt;=5,MID(X318,22,6),""))</f>
        <v/>
      </c>
      <c r="AD318" s="23" t="str">
        <f aca="false">IF(X318="","",RIGHT(X318,6))</f>
        <v/>
      </c>
      <c r="AE318" s="23" t="str">
        <f aca="false">IF(F318="","",IF(ISNUMBER(SEARCH("-TK",UPPER(F318))),0,1))</f>
        <v/>
      </c>
      <c r="AF318" s="23" t="str">
        <f aca="false">IF(F318="","",IF(ISNUMBER(SEARCH("-LED",UPPER(F318))),1,0))</f>
        <v/>
      </c>
      <c r="AG318" s="24" t="n">
        <f aca="false">IF(Z318="",0,IFERROR(INDEX(Resep!$C$5:$C$7,MATCH(LEFT(Z318,3),Resep!$B$5:$B$7,0)),0))</f>
        <v>0</v>
      </c>
      <c r="AH318" s="24" t="n">
        <f aca="false">IF(AA318="",0,IFERROR(INDEX(Resep!$C$9:$C$13,MATCH(LEFT(AA318,3),Resep!$B$9:$B$13,0)),0))</f>
        <v>0</v>
      </c>
      <c r="AI318" s="24" t="n">
        <f aca="false">IF(AB318="",0,IFERROR(INDEX(Resep!$C$9:$C$13,MATCH(LEFT(AB318,3),Resep!$B$9:$B$13,0)),0))</f>
        <v>0</v>
      </c>
      <c r="AJ318" s="24" t="n">
        <f aca="false">IF(AC318="",0,IFERROR(INDEX(Resep!$C$9:$C$13,MATCH(LEFT(AC318,3),Resep!$B$9:$B$13,0)),0))</f>
        <v>0</v>
      </c>
      <c r="AK318" s="24" t="n">
        <f aca="false">IF(AD318="",0,IFERROR(INDEX(Resep!$C$15:$C$18,MATCH(LEFT(AD318,3),Resep!$B$15:$B$18,0)),0))</f>
        <v>0</v>
      </c>
      <c r="AL318" s="24" t="str">
        <f aca="false">IF(X318="","",AG318+AH318+AI318+AJ318+AK318)</f>
        <v/>
      </c>
      <c r="AM318" s="22" t="str">
        <f aca="false">IF(X318="","",AL318*(Pengaturan!$B$6+Pengaturan!$B$7)+Pengaturan!$B$8+AE318*Pengaturan!$B$9+AF318*Pengaturan!$B$10)</f>
        <v/>
      </c>
      <c r="AN318" s="22" t="str">
        <f aca="false">IF(X318="","",N(G318)-AM318)</f>
        <v/>
      </c>
      <c r="AO318" s="25" t="str">
        <f aca="false">IF(OR(X318="",N(G318)=0),"",AN318/G318)</f>
        <v/>
      </c>
    </row>
    <row r="319" customFormat="false" ht="15" hidden="false" customHeight="false" outlineLevel="0" collapsed="false">
      <c r="A319" s="19"/>
      <c r="B319" s="20"/>
      <c r="C319" s="19"/>
      <c r="D319" s="19"/>
      <c r="E319" s="19"/>
      <c r="F319" s="19"/>
      <c r="G319" s="21"/>
      <c r="H319" s="19"/>
      <c r="I319" s="21"/>
      <c r="J319" s="19"/>
      <c r="K319" s="20"/>
      <c r="L319" s="20"/>
      <c r="M319" s="19"/>
      <c r="N319" s="19"/>
      <c r="O319" s="20"/>
      <c r="P319" s="20"/>
      <c r="Q319" s="19"/>
      <c r="R319" s="22" t="str">
        <f aca="false">IF(A319="","",N(G319)+N(I319))</f>
        <v/>
      </c>
      <c r="S319" s="23" t="str">
        <f aca="false">IF(OR(K319="",O319=""),"",O319-K319)</f>
        <v/>
      </c>
      <c r="T319" s="23" t="str">
        <f aca="true">IF(AND(C319="Cetak",L319&lt;&gt;"",L319&lt;TODAY()),"YA","")</f>
        <v/>
      </c>
      <c r="U319" s="23" t="str">
        <f aca="false">IF(B319="","",TEXT(B319,"yyyy-mm"))</f>
        <v/>
      </c>
      <c r="V319" s="23" t="str">
        <f aca="false">IF(K319="","",TEXT(K319,"yyyy-mm"))</f>
        <v/>
      </c>
      <c r="W319" s="23" t="n">
        <f aca="false">IF(OR(C319="Cetak",C319="Dikirim",C319="Selesai"),1,0)</f>
        <v>0</v>
      </c>
      <c r="X319" s="23" t="str">
        <f aca="false">IF(F319="","",SUBSTITUTE(SUBSTITUTE(MID(UPPER(TRIM(F319)),4,99),"-LED",""),"-TK",""))</f>
        <v/>
      </c>
      <c r="Y319" s="23" t="str">
        <f aca="false">IF(X319="","",(LEN(X319)+1)/7)</f>
        <v/>
      </c>
      <c r="Z319" s="23" t="str">
        <f aca="false">IF(X319="","",LEFT(X319,6))</f>
        <v/>
      </c>
      <c r="AA319" s="23" t="str">
        <f aca="false">IF(X319="","",IF(Y319&gt;=3,MID(X319,8,6),""))</f>
        <v/>
      </c>
      <c r="AB319" s="23" t="str">
        <f aca="false">IF(X319="","",IF(Y319&gt;=4,MID(X319,15,6),""))</f>
        <v/>
      </c>
      <c r="AC319" s="23" t="str">
        <f aca="false">IF(X319="","",IF(Y319&gt;=5,MID(X319,22,6),""))</f>
        <v/>
      </c>
      <c r="AD319" s="23" t="str">
        <f aca="false">IF(X319="","",RIGHT(X319,6))</f>
        <v/>
      </c>
      <c r="AE319" s="23" t="str">
        <f aca="false">IF(F319="","",IF(ISNUMBER(SEARCH("-TK",UPPER(F319))),0,1))</f>
        <v/>
      </c>
      <c r="AF319" s="23" t="str">
        <f aca="false">IF(F319="","",IF(ISNUMBER(SEARCH("-LED",UPPER(F319))),1,0))</f>
        <v/>
      </c>
      <c r="AG319" s="24" t="n">
        <f aca="false">IF(Z319="",0,IFERROR(INDEX(Resep!$C$5:$C$7,MATCH(LEFT(Z319,3),Resep!$B$5:$B$7,0)),0))</f>
        <v>0</v>
      </c>
      <c r="AH319" s="24" t="n">
        <f aca="false">IF(AA319="",0,IFERROR(INDEX(Resep!$C$9:$C$13,MATCH(LEFT(AA319,3),Resep!$B$9:$B$13,0)),0))</f>
        <v>0</v>
      </c>
      <c r="AI319" s="24" t="n">
        <f aca="false">IF(AB319="",0,IFERROR(INDEX(Resep!$C$9:$C$13,MATCH(LEFT(AB319,3),Resep!$B$9:$B$13,0)),0))</f>
        <v>0</v>
      </c>
      <c r="AJ319" s="24" t="n">
        <f aca="false">IF(AC319="",0,IFERROR(INDEX(Resep!$C$9:$C$13,MATCH(LEFT(AC319,3),Resep!$B$9:$B$13,0)),0))</f>
        <v>0</v>
      </c>
      <c r="AK319" s="24" t="n">
        <f aca="false">IF(AD319="",0,IFERROR(INDEX(Resep!$C$15:$C$18,MATCH(LEFT(AD319,3),Resep!$B$15:$B$18,0)),0))</f>
        <v>0</v>
      </c>
      <c r="AL319" s="24" t="str">
        <f aca="false">IF(X319="","",AG319+AH319+AI319+AJ319+AK319)</f>
        <v/>
      </c>
      <c r="AM319" s="22" t="str">
        <f aca="false">IF(X319="","",AL319*(Pengaturan!$B$6+Pengaturan!$B$7)+Pengaturan!$B$8+AE319*Pengaturan!$B$9+AF319*Pengaturan!$B$10)</f>
        <v/>
      </c>
      <c r="AN319" s="22" t="str">
        <f aca="false">IF(X319="","",N(G319)-AM319)</f>
        <v/>
      </c>
      <c r="AO319" s="25" t="str">
        <f aca="false">IF(OR(X319="",N(G319)=0),"",AN319/G319)</f>
        <v/>
      </c>
    </row>
    <row r="320" customFormat="false" ht="15" hidden="false" customHeight="false" outlineLevel="0" collapsed="false">
      <c r="A320" s="19"/>
      <c r="B320" s="20"/>
      <c r="C320" s="19"/>
      <c r="D320" s="19"/>
      <c r="E320" s="19"/>
      <c r="F320" s="19"/>
      <c r="G320" s="21"/>
      <c r="H320" s="19"/>
      <c r="I320" s="21"/>
      <c r="J320" s="19"/>
      <c r="K320" s="20"/>
      <c r="L320" s="20"/>
      <c r="M320" s="19"/>
      <c r="N320" s="19"/>
      <c r="O320" s="20"/>
      <c r="P320" s="20"/>
      <c r="Q320" s="19"/>
      <c r="R320" s="22" t="str">
        <f aca="false">IF(A320="","",N(G320)+N(I320))</f>
        <v/>
      </c>
      <c r="S320" s="23" t="str">
        <f aca="false">IF(OR(K320="",O320=""),"",O320-K320)</f>
        <v/>
      </c>
      <c r="T320" s="23" t="str">
        <f aca="true">IF(AND(C320="Cetak",L320&lt;&gt;"",L320&lt;TODAY()),"YA","")</f>
        <v/>
      </c>
      <c r="U320" s="23" t="str">
        <f aca="false">IF(B320="","",TEXT(B320,"yyyy-mm"))</f>
        <v/>
      </c>
      <c r="V320" s="23" t="str">
        <f aca="false">IF(K320="","",TEXT(K320,"yyyy-mm"))</f>
        <v/>
      </c>
      <c r="W320" s="23" t="n">
        <f aca="false">IF(OR(C320="Cetak",C320="Dikirim",C320="Selesai"),1,0)</f>
        <v>0</v>
      </c>
      <c r="X320" s="23" t="str">
        <f aca="false">IF(F320="","",SUBSTITUTE(SUBSTITUTE(MID(UPPER(TRIM(F320)),4,99),"-LED",""),"-TK",""))</f>
        <v/>
      </c>
      <c r="Y320" s="23" t="str">
        <f aca="false">IF(X320="","",(LEN(X320)+1)/7)</f>
        <v/>
      </c>
      <c r="Z320" s="23" t="str">
        <f aca="false">IF(X320="","",LEFT(X320,6))</f>
        <v/>
      </c>
      <c r="AA320" s="23" t="str">
        <f aca="false">IF(X320="","",IF(Y320&gt;=3,MID(X320,8,6),""))</f>
        <v/>
      </c>
      <c r="AB320" s="23" t="str">
        <f aca="false">IF(X320="","",IF(Y320&gt;=4,MID(X320,15,6),""))</f>
        <v/>
      </c>
      <c r="AC320" s="23" t="str">
        <f aca="false">IF(X320="","",IF(Y320&gt;=5,MID(X320,22,6),""))</f>
        <v/>
      </c>
      <c r="AD320" s="23" t="str">
        <f aca="false">IF(X320="","",RIGHT(X320,6))</f>
        <v/>
      </c>
      <c r="AE320" s="23" t="str">
        <f aca="false">IF(F320="","",IF(ISNUMBER(SEARCH("-TK",UPPER(F320))),0,1))</f>
        <v/>
      </c>
      <c r="AF320" s="23" t="str">
        <f aca="false">IF(F320="","",IF(ISNUMBER(SEARCH("-LED",UPPER(F320))),1,0))</f>
        <v/>
      </c>
      <c r="AG320" s="24" t="n">
        <f aca="false">IF(Z320="",0,IFERROR(INDEX(Resep!$C$5:$C$7,MATCH(LEFT(Z320,3),Resep!$B$5:$B$7,0)),0))</f>
        <v>0</v>
      </c>
      <c r="AH320" s="24" t="n">
        <f aca="false">IF(AA320="",0,IFERROR(INDEX(Resep!$C$9:$C$13,MATCH(LEFT(AA320,3),Resep!$B$9:$B$13,0)),0))</f>
        <v>0</v>
      </c>
      <c r="AI320" s="24" t="n">
        <f aca="false">IF(AB320="",0,IFERROR(INDEX(Resep!$C$9:$C$13,MATCH(LEFT(AB320,3),Resep!$B$9:$B$13,0)),0))</f>
        <v>0</v>
      </c>
      <c r="AJ320" s="24" t="n">
        <f aca="false">IF(AC320="",0,IFERROR(INDEX(Resep!$C$9:$C$13,MATCH(LEFT(AC320,3),Resep!$B$9:$B$13,0)),0))</f>
        <v>0</v>
      </c>
      <c r="AK320" s="24" t="n">
        <f aca="false">IF(AD320="",0,IFERROR(INDEX(Resep!$C$15:$C$18,MATCH(LEFT(AD320,3),Resep!$B$15:$B$18,0)),0))</f>
        <v>0</v>
      </c>
      <c r="AL320" s="24" t="str">
        <f aca="false">IF(X320="","",AG320+AH320+AI320+AJ320+AK320)</f>
        <v/>
      </c>
      <c r="AM320" s="22" t="str">
        <f aca="false">IF(X320="","",AL320*(Pengaturan!$B$6+Pengaturan!$B$7)+Pengaturan!$B$8+AE320*Pengaturan!$B$9+AF320*Pengaturan!$B$10)</f>
        <v/>
      </c>
      <c r="AN320" s="22" t="str">
        <f aca="false">IF(X320="","",N(G320)-AM320)</f>
        <v/>
      </c>
      <c r="AO320" s="25" t="str">
        <f aca="false">IF(OR(X320="",N(G320)=0),"",AN320/G320)</f>
        <v/>
      </c>
    </row>
    <row r="321" customFormat="false" ht="15" hidden="false" customHeight="false" outlineLevel="0" collapsed="false">
      <c r="A321" s="19"/>
      <c r="B321" s="20"/>
      <c r="C321" s="19"/>
      <c r="D321" s="19"/>
      <c r="E321" s="19"/>
      <c r="F321" s="19"/>
      <c r="G321" s="21"/>
      <c r="H321" s="19"/>
      <c r="I321" s="21"/>
      <c r="J321" s="19"/>
      <c r="K321" s="20"/>
      <c r="L321" s="20"/>
      <c r="M321" s="19"/>
      <c r="N321" s="19"/>
      <c r="O321" s="20"/>
      <c r="P321" s="20"/>
      <c r="Q321" s="19"/>
      <c r="R321" s="22" t="str">
        <f aca="false">IF(A321="","",N(G321)+N(I321))</f>
        <v/>
      </c>
      <c r="S321" s="23" t="str">
        <f aca="false">IF(OR(K321="",O321=""),"",O321-K321)</f>
        <v/>
      </c>
      <c r="T321" s="23" t="str">
        <f aca="true">IF(AND(C321="Cetak",L321&lt;&gt;"",L321&lt;TODAY()),"YA","")</f>
        <v/>
      </c>
      <c r="U321" s="23" t="str">
        <f aca="false">IF(B321="","",TEXT(B321,"yyyy-mm"))</f>
        <v/>
      </c>
      <c r="V321" s="23" t="str">
        <f aca="false">IF(K321="","",TEXT(K321,"yyyy-mm"))</f>
        <v/>
      </c>
      <c r="W321" s="23" t="n">
        <f aca="false">IF(OR(C321="Cetak",C321="Dikirim",C321="Selesai"),1,0)</f>
        <v>0</v>
      </c>
      <c r="X321" s="23" t="str">
        <f aca="false">IF(F321="","",SUBSTITUTE(SUBSTITUTE(MID(UPPER(TRIM(F321)),4,99),"-LED",""),"-TK",""))</f>
        <v/>
      </c>
      <c r="Y321" s="23" t="str">
        <f aca="false">IF(X321="","",(LEN(X321)+1)/7)</f>
        <v/>
      </c>
      <c r="Z321" s="23" t="str">
        <f aca="false">IF(X321="","",LEFT(X321,6))</f>
        <v/>
      </c>
      <c r="AA321" s="23" t="str">
        <f aca="false">IF(X321="","",IF(Y321&gt;=3,MID(X321,8,6),""))</f>
        <v/>
      </c>
      <c r="AB321" s="23" t="str">
        <f aca="false">IF(X321="","",IF(Y321&gt;=4,MID(X321,15,6),""))</f>
        <v/>
      </c>
      <c r="AC321" s="23" t="str">
        <f aca="false">IF(X321="","",IF(Y321&gt;=5,MID(X321,22,6),""))</f>
        <v/>
      </c>
      <c r="AD321" s="23" t="str">
        <f aca="false">IF(X321="","",RIGHT(X321,6))</f>
        <v/>
      </c>
      <c r="AE321" s="23" t="str">
        <f aca="false">IF(F321="","",IF(ISNUMBER(SEARCH("-TK",UPPER(F321))),0,1))</f>
        <v/>
      </c>
      <c r="AF321" s="23" t="str">
        <f aca="false">IF(F321="","",IF(ISNUMBER(SEARCH("-LED",UPPER(F321))),1,0))</f>
        <v/>
      </c>
      <c r="AG321" s="24" t="n">
        <f aca="false">IF(Z321="",0,IFERROR(INDEX(Resep!$C$5:$C$7,MATCH(LEFT(Z321,3),Resep!$B$5:$B$7,0)),0))</f>
        <v>0</v>
      </c>
      <c r="AH321" s="24" t="n">
        <f aca="false">IF(AA321="",0,IFERROR(INDEX(Resep!$C$9:$C$13,MATCH(LEFT(AA321,3),Resep!$B$9:$B$13,0)),0))</f>
        <v>0</v>
      </c>
      <c r="AI321" s="24" t="n">
        <f aca="false">IF(AB321="",0,IFERROR(INDEX(Resep!$C$9:$C$13,MATCH(LEFT(AB321,3),Resep!$B$9:$B$13,0)),0))</f>
        <v>0</v>
      </c>
      <c r="AJ321" s="24" t="n">
        <f aca="false">IF(AC321="",0,IFERROR(INDEX(Resep!$C$9:$C$13,MATCH(LEFT(AC321,3),Resep!$B$9:$B$13,0)),0))</f>
        <v>0</v>
      </c>
      <c r="AK321" s="24" t="n">
        <f aca="false">IF(AD321="",0,IFERROR(INDEX(Resep!$C$15:$C$18,MATCH(LEFT(AD321,3),Resep!$B$15:$B$18,0)),0))</f>
        <v>0</v>
      </c>
      <c r="AL321" s="24" t="str">
        <f aca="false">IF(X321="","",AG321+AH321+AI321+AJ321+AK321)</f>
        <v/>
      </c>
      <c r="AM321" s="22" t="str">
        <f aca="false">IF(X321="","",AL321*(Pengaturan!$B$6+Pengaturan!$B$7)+Pengaturan!$B$8+AE321*Pengaturan!$B$9+AF321*Pengaturan!$B$10)</f>
        <v/>
      </c>
      <c r="AN321" s="22" t="str">
        <f aca="false">IF(X321="","",N(G321)-AM321)</f>
        <v/>
      </c>
      <c r="AO321" s="25" t="str">
        <f aca="false">IF(OR(X321="",N(G321)=0),"",AN321/G321)</f>
        <v/>
      </c>
    </row>
    <row r="322" customFormat="false" ht="15" hidden="false" customHeight="false" outlineLevel="0" collapsed="false">
      <c r="A322" s="19"/>
      <c r="B322" s="20"/>
      <c r="C322" s="19"/>
      <c r="D322" s="19"/>
      <c r="E322" s="19"/>
      <c r="F322" s="19"/>
      <c r="G322" s="21"/>
      <c r="H322" s="19"/>
      <c r="I322" s="21"/>
      <c r="J322" s="19"/>
      <c r="K322" s="20"/>
      <c r="L322" s="20"/>
      <c r="M322" s="19"/>
      <c r="N322" s="19"/>
      <c r="O322" s="20"/>
      <c r="P322" s="20"/>
      <c r="Q322" s="19"/>
      <c r="R322" s="22" t="str">
        <f aca="false">IF(A322="","",N(G322)+N(I322))</f>
        <v/>
      </c>
      <c r="S322" s="23" t="str">
        <f aca="false">IF(OR(K322="",O322=""),"",O322-K322)</f>
        <v/>
      </c>
      <c r="T322" s="23" t="str">
        <f aca="true">IF(AND(C322="Cetak",L322&lt;&gt;"",L322&lt;TODAY()),"YA","")</f>
        <v/>
      </c>
      <c r="U322" s="23" t="str">
        <f aca="false">IF(B322="","",TEXT(B322,"yyyy-mm"))</f>
        <v/>
      </c>
      <c r="V322" s="23" t="str">
        <f aca="false">IF(K322="","",TEXT(K322,"yyyy-mm"))</f>
        <v/>
      </c>
      <c r="W322" s="23" t="n">
        <f aca="false">IF(OR(C322="Cetak",C322="Dikirim",C322="Selesai"),1,0)</f>
        <v>0</v>
      </c>
      <c r="X322" s="23" t="str">
        <f aca="false">IF(F322="","",SUBSTITUTE(SUBSTITUTE(MID(UPPER(TRIM(F322)),4,99),"-LED",""),"-TK",""))</f>
        <v/>
      </c>
      <c r="Y322" s="23" t="str">
        <f aca="false">IF(X322="","",(LEN(X322)+1)/7)</f>
        <v/>
      </c>
      <c r="Z322" s="23" t="str">
        <f aca="false">IF(X322="","",LEFT(X322,6))</f>
        <v/>
      </c>
      <c r="AA322" s="23" t="str">
        <f aca="false">IF(X322="","",IF(Y322&gt;=3,MID(X322,8,6),""))</f>
        <v/>
      </c>
      <c r="AB322" s="23" t="str">
        <f aca="false">IF(X322="","",IF(Y322&gt;=4,MID(X322,15,6),""))</f>
        <v/>
      </c>
      <c r="AC322" s="23" t="str">
        <f aca="false">IF(X322="","",IF(Y322&gt;=5,MID(X322,22,6),""))</f>
        <v/>
      </c>
      <c r="AD322" s="23" t="str">
        <f aca="false">IF(X322="","",RIGHT(X322,6))</f>
        <v/>
      </c>
      <c r="AE322" s="23" t="str">
        <f aca="false">IF(F322="","",IF(ISNUMBER(SEARCH("-TK",UPPER(F322))),0,1))</f>
        <v/>
      </c>
      <c r="AF322" s="23" t="str">
        <f aca="false">IF(F322="","",IF(ISNUMBER(SEARCH("-LED",UPPER(F322))),1,0))</f>
        <v/>
      </c>
      <c r="AG322" s="24" t="n">
        <f aca="false">IF(Z322="",0,IFERROR(INDEX(Resep!$C$5:$C$7,MATCH(LEFT(Z322,3),Resep!$B$5:$B$7,0)),0))</f>
        <v>0</v>
      </c>
      <c r="AH322" s="24" t="n">
        <f aca="false">IF(AA322="",0,IFERROR(INDEX(Resep!$C$9:$C$13,MATCH(LEFT(AA322,3),Resep!$B$9:$B$13,0)),0))</f>
        <v>0</v>
      </c>
      <c r="AI322" s="24" t="n">
        <f aca="false">IF(AB322="",0,IFERROR(INDEX(Resep!$C$9:$C$13,MATCH(LEFT(AB322,3),Resep!$B$9:$B$13,0)),0))</f>
        <v>0</v>
      </c>
      <c r="AJ322" s="24" t="n">
        <f aca="false">IF(AC322="",0,IFERROR(INDEX(Resep!$C$9:$C$13,MATCH(LEFT(AC322,3),Resep!$B$9:$B$13,0)),0))</f>
        <v>0</v>
      </c>
      <c r="AK322" s="24" t="n">
        <f aca="false">IF(AD322="",0,IFERROR(INDEX(Resep!$C$15:$C$18,MATCH(LEFT(AD322,3),Resep!$B$15:$B$18,0)),0))</f>
        <v>0</v>
      </c>
      <c r="AL322" s="24" t="str">
        <f aca="false">IF(X322="","",AG322+AH322+AI322+AJ322+AK322)</f>
        <v/>
      </c>
      <c r="AM322" s="22" t="str">
        <f aca="false">IF(X322="","",AL322*(Pengaturan!$B$6+Pengaturan!$B$7)+Pengaturan!$B$8+AE322*Pengaturan!$B$9+AF322*Pengaturan!$B$10)</f>
        <v/>
      </c>
      <c r="AN322" s="22" t="str">
        <f aca="false">IF(X322="","",N(G322)-AM322)</f>
        <v/>
      </c>
      <c r="AO322" s="25" t="str">
        <f aca="false">IF(OR(X322="",N(G322)=0),"",AN322/G322)</f>
        <v/>
      </c>
    </row>
    <row r="323" customFormat="false" ht="15" hidden="false" customHeight="false" outlineLevel="0" collapsed="false">
      <c r="A323" s="19"/>
      <c r="B323" s="20"/>
      <c r="C323" s="19"/>
      <c r="D323" s="19"/>
      <c r="E323" s="19"/>
      <c r="F323" s="19"/>
      <c r="G323" s="21"/>
      <c r="H323" s="19"/>
      <c r="I323" s="21"/>
      <c r="J323" s="19"/>
      <c r="K323" s="20"/>
      <c r="L323" s="20"/>
      <c r="M323" s="19"/>
      <c r="N323" s="19"/>
      <c r="O323" s="20"/>
      <c r="P323" s="20"/>
      <c r="Q323" s="19"/>
      <c r="R323" s="22" t="str">
        <f aca="false">IF(A323="","",N(G323)+N(I323))</f>
        <v/>
      </c>
      <c r="S323" s="23" t="str">
        <f aca="false">IF(OR(K323="",O323=""),"",O323-K323)</f>
        <v/>
      </c>
      <c r="T323" s="23" t="str">
        <f aca="true">IF(AND(C323="Cetak",L323&lt;&gt;"",L323&lt;TODAY()),"YA","")</f>
        <v/>
      </c>
      <c r="U323" s="23" t="str">
        <f aca="false">IF(B323="","",TEXT(B323,"yyyy-mm"))</f>
        <v/>
      </c>
      <c r="V323" s="23" t="str">
        <f aca="false">IF(K323="","",TEXT(K323,"yyyy-mm"))</f>
        <v/>
      </c>
      <c r="W323" s="23" t="n">
        <f aca="false">IF(OR(C323="Cetak",C323="Dikirim",C323="Selesai"),1,0)</f>
        <v>0</v>
      </c>
      <c r="X323" s="23" t="str">
        <f aca="false">IF(F323="","",SUBSTITUTE(SUBSTITUTE(MID(UPPER(TRIM(F323)),4,99),"-LED",""),"-TK",""))</f>
        <v/>
      </c>
      <c r="Y323" s="23" t="str">
        <f aca="false">IF(X323="","",(LEN(X323)+1)/7)</f>
        <v/>
      </c>
      <c r="Z323" s="23" t="str">
        <f aca="false">IF(X323="","",LEFT(X323,6))</f>
        <v/>
      </c>
      <c r="AA323" s="23" t="str">
        <f aca="false">IF(X323="","",IF(Y323&gt;=3,MID(X323,8,6),""))</f>
        <v/>
      </c>
      <c r="AB323" s="23" t="str">
        <f aca="false">IF(X323="","",IF(Y323&gt;=4,MID(X323,15,6),""))</f>
        <v/>
      </c>
      <c r="AC323" s="23" t="str">
        <f aca="false">IF(X323="","",IF(Y323&gt;=5,MID(X323,22,6),""))</f>
        <v/>
      </c>
      <c r="AD323" s="23" t="str">
        <f aca="false">IF(X323="","",RIGHT(X323,6))</f>
        <v/>
      </c>
      <c r="AE323" s="23" t="str">
        <f aca="false">IF(F323="","",IF(ISNUMBER(SEARCH("-TK",UPPER(F323))),0,1))</f>
        <v/>
      </c>
      <c r="AF323" s="23" t="str">
        <f aca="false">IF(F323="","",IF(ISNUMBER(SEARCH("-LED",UPPER(F323))),1,0))</f>
        <v/>
      </c>
      <c r="AG323" s="24" t="n">
        <f aca="false">IF(Z323="",0,IFERROR(INDEX(Resep!$C$5:$C$7,MATCH(LEFT(Z323,3),Resep!$B$5:$B$7,0)),0))</f>
        <v>0</v>
      </c>
      <c r="AH323" s="24" t="n">
        <f aca="false">IF(AA323="",0,IFERROR(INDEX(Resep!$C$9:$C$13,MATCH(LEFT(AA323,3),Resep!$B$9:$B$13,0)),0))</f>
        <v>0</v>
      </c>
      <c r="AI323" s="24" t="n">
        <f aca="false">IF(AB323="",0,IFERROR(INDEX(Resep!$C$9:$C$13,MATCH(LEFT(AB323,3),Resep!$B$9:$B$13,0)),0))</f>
        <v>0</v>
      </c>
      <c r="AJ323" s="24" t="n">
        <f aca="false">IF(AC323="",0,IFERROR(INDEX(Resep!$C$9:$C$13,MATCH(LEFT(AC323,3),Resep!$B$9:$B$13,0)),0))</f>
        <v>0</v>
      </c>
      <c r="AK323" s="24" t="n">
        <f aca="false">IF(AD323="",0,IFERROR(INDEX(Resep!$C$15:$C$18,MATCH(LEFT(AD323,3),Resep!$B$15:$B$18,0)),0))</f>
        <v>0</v>
      </c>
      <c r="AL323" s="24" t="str">
        <f aca="false">IF(X323="","",AG323+AH323+AI323+AJ323+AK323)</f>
        <v/>
      </c>
      <c r="AM323" s="22" t="str">
        <f aca="false">IF(X323="","",AL323*(Pengaturan!$B$6+Pengaturan!$B$7)+Pengaturan!$B$8+AE323*Pengaturan!$B$9+AF323*Pengaturan!$B$10)</f>
        <v/>
      </c>
      <c r="AN323" s="22" t="str">
        <f aca="false">IF(X323="","",N(G323)-AM323)</f>
        <v/>
      </c>
      <c r="AO323" s="25" t="str">
        <f aca="false">IF(OR(X323="",N(G323)=0),"",AN323/G323)</f>
        <v/>
      </c>
    </row>
    <row r="324" customFormat="false" ht="15" hidden="false" customHeight="false" outlineLevel="0" collapsed="false">
      <c r="A324" s="19"/>
      <c r="B324" s="20"/>
      <c r="C324" s="19"/>
      <c r="D324" s="19"/>
      <c r="E324" s="19"/>
      <c r="F324" s="19"/>
      <c r="G324" s="21"/>
      <c r="H324" s="19"/>
      <c r="I324" s="21"/>
      <c r="J324" s="19"/>
      <c r="K324" s="20"/>
      <c r="L324" s="20"/>
      <c r="M324" s="19"/>
      <c r="N324" s="19"/>
      <c r="O324" s="20"/>
      <c r="P324" s="20"/>
      <c r="Q324" s="19"/>
      <c r="R324" s="22" t="str">
        <f aca="false">IF(A324="","",N(G324)+N(I324))</f>
        <v/>
      </c>
      <c r="S324" s="23" t="str">
        <f aca="false">IF(OR(K324="",O324=""),"",O324-K324)</f>
        <v/>
      </c>
      <c r="T324" s="23" t="str">
        <f aca="true">IF(AND(C324="Cetak",L324&lt;&gt;"",L324&lt;TODAY()),"YA","")</f>
        <v/>
      </c>
      <c r="U324" s="23" t="str">
        <f aca="false">IF(B324="","",TEXT(B324,"yyyy-mm"))</f>
        <v/>
      </c>
      <c r="V324" s="23" t="str">
        <f aca="false">IF(K324="","",TEXT(K324,"yyyy-mm"))</f>
        <v/>
      </c>
      <c r="W324" s="23" t="n">
        <f aca="false">IF(OR(C324="Cetak",C324="Dikirim",C324="Selesai"),1,0)</f>
        <v>0</v>
      </c>
      <c r="X324" s="23" t="str">
        <f aca="false">IF(F324="","",SUBSTITUTE(SUBSTITUTE(MID(UPPER(TRIM(F324)),4,99),"-LED",""),"-TK",""))</f>
        <v/>
      </c>
      <c r="Y324" s="23" t="str">
        <f aca="false">IF(X324="","",(LEN(X324)+1)/7)</f>
        <v/>
      </c>
      <c r="Z324" s="23" t="str">
        <f aca="false">IF(X324="","",LEFT(X324,6))</f>
        <v/>
      </c>
      <c r="AA324" s="23" t="str">
        <f aca="false">IF(X324="","",IF(Y324&gt;=3,MID(X324,8,6),""))</f>
        <v/>
      </c>
      <c r="AB324" s="23" t="str">
        <f aca="false">IF(X324="","",IF(Y324&gt;=4,MID(X324,15,6),""))</f>
        <v/>
      </c>
      <c r="AC324" s="23" t="str">
        <f aca="false">IF(X324="","",IF(Y324&gt;=5,MID(X324,22,6),""))</f>
        <v/>
      </c>
      <c r="AD324" s="23" t="str">
        <f aca="false">IF(X324="","",RIGHT(X324,6))</f>
        <v/>
      </c>
      <c r="AE324" s="23" t="str">
        <f aca="false">IF(F324="","",IF(ISNUMBER(SEARCH("-TK",UPPER(F324))),0,1))</f>
        <v/>
      </c>
      <c r="AF324" s="23" t="str">
        <f aca="false">IF(F324="","",IF(ISNUMBER(SEARCH("-LED",UPPER(F324))),1,0))</f>
        <v/>
      </c>
      <c r="AG324" s="24" t="n">
        <f aca="false">IF(Z324="",0,IFERROR(INDEX(Resep!$C$5:$C$7,MATCH(LEFT(Z324,3),Resep!$B$5:$B$7,0)),0))</f>
        <v>0</v>
      </c>
      <c r="AH324" s="24" t="n">
        <f aca="false">IF(AA324="",0,IFERROR(INDEX(Resep!$C$9:$C$13,MATCH(LEFT(AA324,3),Resep!$B$9:$B$13,0)),0))</f>
        <v>0</v>
      </c>
      <c r="AI324" s="24" t="n">
        <f aca="false">IF(AB324="",0,IFERROR(INDEX(Resep!$C$9:$C$13,MATCH(LEFT(AB324,3),Resep!$B$9:$B$13,0)),0))</f>
        <v>0</v>
      </c>
      <c r="AJ324" s="24" t="n">
        <f aca="false">IF(AC324="",0,IFERROR(INDEX(Resep!$C$9:$C$13,MATCH(LEFT(AC324,3),Resep!$B$9:$B$13,0)),0))</f>
        <v>0</v>
      </c>
      <c r="AK324" s="24" t="n">
        <f aca="false">IF(AD324="",0,IFERROR(INDEX(Resep!$C$15:$C$18,MATCH(LEFT(AD324,3),Resep!$B$15:$B$18,0)),0))</f>
        <v>0</v>
      </c>
      <c r="AL324" s="24" t="str">
        <f aca="false">IF(X324="","",AG324+AH324+AI324+AJ324+AK324)</f>
        <v/>
      </c>
      <c r="AM324" s="22" t="str">
        <f aca="false">IF(X324="","",AL324*(Pengaturan!$B$6+Pengaturan!$B$7)+Pengaturan!$B$8+AE324*Pengaturan!$B$9+AF324*Pengaturan!$B$10)</f>
        <v/>
      </c>
      <c r="AN324" s="22" t="str">
        <f aca="false">IF(X324="","",N(G324)-AM324)</f>
        <v/>
      </c>
      <c r="AO324" s="25" t="str">
        <f aca="false">IF(OR(X324="",N(G324)=0),"",AN324/G324)</f>
        <v/>
      </c>
    </row>
    <row r="325" customFormat="false" ht="15" hidden="false" customHeight="false" outlineLevel="0" collapsed="false">
      <c r="A325" s="19"/>
      <c r="B325" s="20"/>
      <c r="C325" s="19"/>
      <c r="D325" s="19"/>
      <c r="E325" s="19"/>
      <c r="F325" s="19"/>
      <c r="G325" s="21"/>
      <c r="H325" s="19"/>
      <c r="I325" s="21"/>
      <c r="J325" s="19"/>
      <c r="K325" s="20"/>
      <c r="L325" s="20"/>
      <c r="M325" s="19"/>
      <c r="N325" s="19"/>
      <c r="O325" s="20"/>
      <c r="P325" s="20"/>
      <c r="Q325" s="19"/>
      <c r="R325" s="22" t="str">
        <f aca="false">IF(A325="","",N(G325)+N(I325))</f>
        <v/>
      </c>
      <c r="S325" s="23" t="str">
        <f aca="false">IF(OR(K325="",O325=""),"",O325-K325)</f>
        <v/>
      </c>
      <c r="T325" s="23" t="str">
        <f aca="true">IF(AND(C325="Cetak",L325&lt;&gt;"",L325&lt;TODAY()),"YA","")</f>
        <v/>
      </c>
      <c r="U325" s="23" t="str">
        <f aca="false">IF(B325="","",TEXT(B325,"yyyy-mm"))</f>
        <v/>
      </c>
      <c r="V325" s="23" t="str">
        <f aca="false">IF(K325="","",TEXT(K325,"yyyy-mm"))</f>
        <v/>
      </c>
      <c r="W325" s="23" t="n">
        <f aca="false">IF(OR(C325="Cetak",C325="Dikirim",C325="Selesai"),1,0)</f>
        <v>0</v>
      </c>
      <c r="X325" s="23" t="str">
        <f aca="false">IF(F325="","",SUBSTITUTE(SUBSTITUTE(MID(UPPER(TRIM(F325)),4,99),"-LED",""),"-TK",""))</f>
        <v/>
      </c>
      <c r="Y325" s="23" t="str">
        <f aca="false">IF(X325="","",(LEN(X325)+1)/7)</f>
        <v/>
      </c>
      <c r="Z325" s="23" t="str">
        <f aca="false">IF(X325="","",LEFT(X325,6))</f>
        <v/>
      </c>
      <c r="AA325" s="23" t="str">
        <f aca="false">IF(X325="","",IF(Y325&gt;=3,MID(X325,8,6),""))</f>
        <v/>
      </c>
      <c r="AB325" s="23" t="str">
        <f aca="false">IF(X325="","",IF(Y325&gt;=4,MID(X325,15,6),""))</f>
        <v/>
      </c>
      <c r="AC325" s="23" t="str">
        <f aca="false">IF(X325="","",IF(Y325&gt;=5,MID(X325,22,6),""))</f>
        <v/>
      </c>
      <c r="AD325" s="23" t="str">
        <f aca="false">IF(X325="","",RIGHT(X325,6))</f>
        <v/>
      </c>
      <c r="AE325" s="23" t="str">
        <f aca="false">IF(F325="","",IF(ISNUMBER(SEARCH("-TK",UPPER(F325))),0,1))</f>
        <v/>
      </c>
      <c r="AF325" s="23" t="str">
        <f aca="false">IF(F325="","",IF(ISNUMBER(SEARCH("-LED",UPPER(F325))),1,0))</f>
        <v/>
      </c>
      <c r="AG325" s="24" t="n">
        <f aca="false">IF(Z325="",0,IFERROR(INDEX(Resep!$C$5:$C$7,MATCH(LEFT(Z325,3),Resep!$B$5:$B$7,0)),0))</f>
        <v>0</v>
      </c>
      <c r="AH325" s="24" t="n">
        <f aca="false">IF(AA325="",0,IFERROR(INDEX(Resep!$C$9:$C$13,MATCH(LEFT(AA325,3),Resep!$B$9:$B$13,0)),0))</f>
        <v>0</v>
      </c>
      <c r="AI325" s="24" t="n">
        <f aca="false">IF(AB325="",0,IFERROR(INDEX(Resep!$C$9:$C$13,MATCH(LEFT(AB325,3),Resep!$B$9:$B$13,0)),0))</f>
        <v>0</v>
      </c>
      <c r="AJ325" s="24" t="n">
        <f aca="false">IF(AC325="",0,IFERROR(INDEX(Resep!$C$9:$C$13,MATCH(LEFT(AC325,3),Resep!$B$9:$B$13,0)),0))</f>
        <v>0</v>
      </c>
      <c r="AK325" s="24" t="n">
        <f aca="false">IF(AD325="",0,IFERROR(INDEX(Resep!$C$15:$C$18,MATCH(LEFT(AD325,3),Resep!$B$15:$B$18,0)),0))</f>
        <v>0</v>
      </c>
      <c r="AL325" s="24" t="str">
        <f aca="false">IF(X325="","",AG325+AH325+AI325+AJ325+AK325)</f>
        <v/>
      </c>
      <c r="AM325" s="22" t="str">
        <f aca="false">IF(X325="","",AL325*(Pengaturan!$B$6+Pengaturan!$B$7)+Pengaturan!$B$8+AE325*Pengaturan!$B$9+AF325*Pengaturan!$B$10)</f>
        <v/>
      </c>
      <c r="AN325" s="22" t="str">
        <f aca="false">IF(X325="","",N(G325)-AM325)</f>
        <v/>
      </c>
      <c r="AO325" s="25" t="str">
        <f aca="false">IF(OR(X325="",N(G325)=0),"",AN325/G325)</f>
        <v/>
      </c>
    </row>
    <row r="326" customFormat="false" ht="15" hidden="false" customHeight="false" outlineLevel="0" collapsed="false">
      <c r="A326" s="19"/>
      <c r="B326" s="20"/>
      <c r="C326" s="19"/>
      <c r="D326" s="19"/>
      <c r="E326" s="19"/>
      <c r="F326" s="19"/>
      <c r="G326" s="21"/>
      <c r="H326" s="19"/>
      <c r="I326" s="21"/>
      <c r="J326" s="19"/>
      <c r="K326" s="20"/>
      <c r="L326" s="20"/>
      <c r="M326" s="19"/>
      <c r="N326" s="19"/>
      <c r="O326" s="20"/>
      <c r="P326" s="20"/>
      <c r="Q326" s="19"/>
      <c r="R326" s="22" t="str">
        <f aca="false">IF(A326="","",N(G326)+N(I326))</f>
        <v/>
      </c>
      <c r="S326" s="23" t="str">
        <f aca="false">IF(OR(K326="",O326=""),"",O326-K326)</f>
        <v/>
      </c>
      <c r="T326" s="23" t="str">
        <f aca="true">IF(AND(C326="Cetak",L326&lt;&gt;"",L326&lt;TODAY()),"YA","")</f>
        <v/>
      </c>
      <c r="U326" s="23" t="str">
        <f aca="false">IF(B326="","",TEXT(B326,"yyyy-mm"))</f>
        <v/>
      </c>
      <c r="V326" s="23" t="str">
        <f aca="false">IF(K326="","",TEXT(K326,"yyyy-mm"))</f>
        <v/>
      </c>
      <c r="W326" s="23" t="n">
        <f aca="false">IF(OR(C326="Cetak",C326="Dikirim",C326="Selesai"),1,0)</f>
        <v>0</v>
      </c>
      <c r="X326" s="23" t="str">
        <f aca="false">IF(F326="","",SUBSTITUTE(SUBSTITUTE(MID(UPPER(TRIM(F326)),4,99),"-LED",""),"-TK",""))</f>
        <v/>
      </c>
      <c r="Y326" s="23" t="str">
        <f aca="false">IF(X326="","",(LEN(X326)+1)/7)</f>
        <v/>
      </c>
      <c r="Z326" s="23" t="str">
        <f aca="false">IF(X326="","",LEFT(X326,6))</f>
        <v/>
      </c>
      <c r="AA326" s="23" t="str">
        <f aca="false">IF(X326="","",IF(Y326&gt;=3,MID(X326,8,6),""))</f>
        <v/>
      </c>
      <c r="AB326" s="23" t="str">
        <f aca="false">IF(X326="","",IF(Y326&gt;=4,MID(X326,15,6),""))</f>
        <v/>
      </c>
      <c r="AC326" s="23" t="str">
        <f aca="false">IF(X326="","",IF(Y326&gt;=5,MID(X326,22,6),""))</f>
        <v/>
      </c>
      <c r="AD326" s="23" t="str">
        <f aca="false">IF(X326="","",RIGHT(X326,6))</f>
        <v/>
      </c>
      <c r="AE326" s="23" t="str">
        <f aca="false">IF(F326="","",IF(ISNUMBER(SEARCH("-TK",UPPER(F326))),0,1))</f>
        <v/>
      </c>
      <c r="AF326" s="23" t="str">
        <f aca="false">IF(F326="","",IF(ISNUMBER(SEARCH("-LED",UPPER(F326))),1,0))</f>
        <v/>
      </c>
      <c r="AG326" s="24" t="n">
        <f aca="false">IF(Z326="",0,IFERROR(INDEX(Resep!$C$5:$C$7,MATCH(LEFT(Z326,3),Resep!$B$5:$B$7,0)),0))</f>
        <v>0</v>
      </c>
      <c r="AH326" s="24" t="n">
        <f aca="false">IF(AA326="",0,IFERROR(INDEX(Resep!$C$9:$C$13,MATCH(LEFT(AA326,3),Resep!$B$9:$B$13,0)),0))</f>
        <v>0</v>
      </c>
      <c r="AI326" s="24" t="n">
        <f aca="false">IF(AB326="",0,IFERROR(INDEX(Resep!$C$9:$C$13,MATCH(LEFT(AB326,3),Resep!$B$9:$B$13,0)),0))</f>
        <v>0</v>
      </c>
      <c r="AJ326" s="24" t="n">
        <f aca="false">IF(AC326="",0,IFERROR(INDEX(Resep!$C$9:$C$13,MATCH(LEFT(AC326,3),Resep!$B$9:$B$13,0)),0))</f>
        <v>0</v>
      </c>
      <c r="AK326" s="24" t="n">
        <f aca="false">IF(AD326="",0,IFERROR(INDEX(Resep!$C$15:$C$18,MATCH(LEFT(AD326,3),Resep!$B$15:$B$18,0)),0))</f>
        <v>0</v>
      </c>
      <c r="AL326" s="24" t="str">
        <f aca="false">IF(X326="","",AG326+AH326+AI326+AJ326+AK326)</f>
        <v/>
      </c>
      <c r="AM326" s="22" t="str">
        <f aca="false">IF(X326="","",AL326*(Pengaturan!$B$6+Pengaturan!$B$7)+Pengaturan!$B$8+AE326*Pengaturan!$B$9+AF326*Pengaturan!$B$10)</f>
        <v/>
      </c>
      <c r="AN326" s="22" t="str">
        <f aca="false">IF(X326="","",N(G326)-AM326)</f>
        <v/>
      </c>
      <c r="AO326" s="25" t="str">
        <f aca="false">IF(OR(X326="",N(G326)=0),"",AN326/G326)</f>
        <v/>
      </c>
    </row>
    <row r="327" customFormat="false" ht="15" hidden="false" customHeight="false" outlineLevel="0" collapsed="false">
      <c r="A327" s="19"/>
      <c r="B327" s="20"/>
      <c r="C327" s="19"/>
      <c r="D327" s="19"/>
      <c r="E327" s="19"/>
      <c r="F327" s="19"/>
      <c r="G327" s="21"/>
      <c r="H327" s="19"/>
      <c r="I327" s="21"/>
      <c r="J327" s="19"/>
      <c r="K327" s="20"/>
      <c r="L327" s="20"/>
      <c r="M327" s="19"/>
      <c r="N327" s="19"/>
      <c r="O327" s="20"/>
      <c r="P327" s="20"/>
      <c r="Q327" s="19"/>
      <c r="R327" s="22" t="str">
        <f aca="false">IF(A327="","",N(G327)+N(I327))</f>
        <v/>
      </c>
      <c r="S327" s="23" t="str">
        <f aca="false">IF(OR(K327="",O327=""),"",O327-K327)</f>
        <v/>
      </c>
      <c r="T327" s="23" t="str">
        <f aca="true">IF(AND(C327="Cetak",L327&lt;&gt;"",L327&lt;TODAY()),"YA","")</f>
        <v/>
      </c>
      <c r="U327" s="23" t="str">
        <f aca="false">IF(B327="","",TEXT(B327,"yyyy-mm"))</f>
        <v/>
      </c>
      <c r="V327" s="23" t="str">
        <f aca="false">IF(K327="","",TEXT(K327,"yyyy-mm"))</f>
        <v/>
      </c>
      <c r="W327" s="23" t="n">
        <f aca="false">IF(OR(C327="Cetak",C327="Dikirim",C327="Selesai"),1,0)</f>
        <v>0</v>
      </c>
      <c r="X327" s="23" t="str">
        <f aca="false">IF(F327="","",SUBSTITUTE(SUBSTITUTE(MID(UPPER(TRIM(F327)),4,99),"-LED",""),"-TK",""))</f>
        <v/>
      </c>
      <c r="Y327" s="23" t="str">
        <f aca="false">IF(X327="","",(LEN(X327)+1)/7)</f>
        <v/>
      </c>
      <c r="Z327" s="23" t="str">
        <f aca="false">IF(X327="","",LEFT(X327,6))</f>
        <v/>
      </c>
      <c r="AA327" s="23" t="str">
        <f aca="false">IF(X327="","",IF(Y327&gt;=3,MID(X327,8,6),""))</f>
        <v/>
      </c>
      <c r="AB327" s="23" t="str">
        <f aca="false">IF(X327="","",IF(Y327&gt;=4,MID(X327,15,6),""))</f>
        <v/>
      </c>
      <c r="AC327" s="23" t="str">
        <f aca="false">IF(X327="","",IF(Y327&gt;=5,MID(X327,22,6),""))</f>
        <v/>
      </c>
      <c r="AD327" s="23" t="str">
        <f aca="false">IF(X327="","",RIGHT(X327,6))</f>
        <v/>
      </c>
      <c r="AE327" s="23" t="str">
        <f aca="false">IF(F327="","",IF(ISNUMBER(SEARCH("-TK",UPPER(F327))),0,1))</f>
        <v/>
      </c>
      <c r="AF327" s="23" t="str">
        <f aca="false">IF(F327="","",IF(ISNUMBER(SEARCH("-LED",UPPER(F327))),1,0))</f>
        <v/>
      </c>
      <c r="AG327" s="24" t="n">
        <f aca="false">IF(Z327="",0,IFERROR(INDEX(Resep!$C$5:$C$7,MATCH(LEFT(Z327,3),Resep!$B$5:$B$7,0)),0))</f>
        <v>0</v>
      </c>
      <c r="AH327" s="24" t="n">
        <f aca="false">IF(AA327="",0,IFERROR(INDEX(Resep!$C$9:$C$13,MATCH(LEFT(AA327,3),Resep!$B$9:$B$13,0)),0))</f>
        <v>0</v>
      </c>
      <c r="AI327" s="24" t="n">
        <f aca="false">IF(AB327="",0,IFERROR(INDEX(Resep!$C$9:$C$13,MATCH(LEFT(AB327,3),Resep!$B$9:$B$13,0)),0))</f>
        <v>0</v>
      </c>
      <c r="AJ327" s="24" t="n">
        <f aca="false">IF(AC327="",0,IFERROR(INDEX(Resep!$C$9:$C$13,MATCH(LEFT(AC327,3),Resep!$B$9:$B$13,0)),0))</f>
        <v>0</v>
      </c>
      <c r="AK327" s="24" t="n">
        <f aca="false">IF(AD327="",0,IFERROR(INDEX(Resep!$C$15:$C$18,MATCH(LEFT(AD327,3),Resep!$B$15:$B$18,0)),0))</f>
        <v>0</v>
      </c>
      <c r="AL327" s="24" t="str">
        <f aca="false">IF(X327="","",AG327+AH327+AI327+AJ327+AK327)</f>
        <v/>
      </c>
      <c r="AM327" s="22" t="str">
        <f aca="false">IF(X327="","",AL327*(Pengaturan!$B$6+Pengaturan!$B$7)+Pengaturan!$B$8+AE327*Pengaturan!$B$9+AF327*Pengaturan!$B$10)</f>
        <v/>
      </c>
      <c r="AN327" s="22" t="str">
        <f aca="false">IF(X327="","",N(G327)-AM327)</f>
        <v/>
      </c>
      <c r="AO327" s="25" t="str">
        <f aca="false">IF(OR(X327="",N(G327)=0),"",AN327/G327)</f>
        <v/>
      </c>
    </row>
    <row r="328" customFormat="false" ht="15" hidden="false" customHeight="false" outlineLevel="0" collapsed="false">
      <c r="A328" s="19"/>
      <c r="B328" s="20"/>
      <c r="C328" s="19"/>
      <c r="D328" s="19"/>
      <c r="E328" s="19"/>
      <c r="F328" s="19"/>
      <c r="G328" s="21"/>
      <c r="H328" s="19"/>
      <c r="I328" s="21"/>
      <c r="J328" s="19"/>
      <c r="K328" s="20"/>
      <c r="L328" s="20"/>
      <c r="M328" s="19"/>
      <c r="N328" s="19"/>
      <c r="O328" s="20"/>
      <c r="P328" s="20"/>
      <c r="Q328" s="19"/>
      <c r="R328" s="22" t="str">
        <f aca="false">IF(A328="","",N(G328)+N(I328))</f>
        <v/>
      </c>
      <c r="S328" s="23" t="str">
        <f aca="false">IF(OR(K328="",O328=""),"",O328-K328)</f>
        <v/>
      </c>
      <c r="T328" s="23" t="str">
        <f aca="true">IF(AND(C328="Cetak",L328&lt;&gt;"",L328&lt;TODAY()),"YA","")</f>
        <v/>
      </c>
      <c r="U328" s="23" t="str">
        <f aca="false">IF(B328="","",TEXT(B328,"yyyy-mm"))</f>
        <v/>
      </c>
      <c r="V328" s="23" t="str">
        <f aca="false">IF(K328="","",TEXT(K328,"yyyy-mm"))</f>
        <v/>
      </c>
      <c r="W328" s="23" t="n">
        <f aca="false">IF(OR(C328="Cetak",C328="Dikirim",C328="Selesai"),1,0)</f>
        <v>0</v>
      </c>
      <c r="X328" s="23" t="str">
        <f aca="false">IF(F328="","",SUBSTITUTE(SUBSTITUTE(MID(UPPER(TRIM(F328)),4,99),"-LED",""),"-TK",""))</f>
        <v/>
      </c>
      <c r="Y328" s="23" t="str">
        <f aca="false">IF(X328="","",(LEN(X328)+1)/7)</f>
        <v/>
      </c>
      <c r="Z328" s="23" t="str">
        <f aca="false">IF(X328="","",LEFT(X328,6))</f>
        <v/>
      </c>
      <c r="AA328" s="23" t="str">
        <f aca="false">IF(X328="","",IF(Y328&gt;=3,MID(X328,8,6),""))</f>
        <v/>
      </c>
      <c r="AB328" s="23" t="str">
        <f aca="false">IF(X328="","",IF(Y328&gt;=4,MID(X328,15,6),""))</f>
        <v/>
      </c>
      <c r="AC328" s="23" t="str">
        <f aca="false">IF(X328="","",IF(Y328&gt;=5,MID(X328,22,6),""))</f>
        <v/>
      </c>
      <c r="AD328" s="23" t="str">
        <f aca="false">IF(X328="","",RIGHT(X328,6))</f>
        <v/>
      </c>
      <c r="AE328" s="23" t="str">
        <f aca="false">IF(F328="","",IF(ISNUMBER(SEARCH("-TK",UPPER(F328))),0,1))</f>
        <v/>
      </c>
      <c r="AF328" s="23" t="str">
        <f aca="false">IF(F328="","",IF(ISNUMBER(SEARCH("-LED",UPPER(F328))),1,0))</f>
        <v/>
      </c>
      <c r="AG328" s="24" t="n">
        <f aca="false">IF(Z328="",0,IFERROR(INDEX(Resep!$C$5:$C$7,MATCH(LEFT(Z328,3),Resep!$B$5:$B$7,0)),0))</f>
        <v>0</v>
      </c>
      <c r="AH328" s="24" t="n">
        <f aca="false">IF(AA328="",0,IFERROR(INDEX(Resep!$C$9:$C$13,MATCH(LEFT(AA328,3),Resep!$B$9:$B$13,0)),0))</f>
        <v>0</v>
      </c>
      <c r="AI328" s="24" t="n">
        <f aca="false">IF(AB328="",0,IFERROR(INDEX(Resep!$C$9:$C$13,MATCH(LEFT(AB328,3),Resep!$B$9:$B$13,0)),0))</f>
        <v>0</v>
      </c>
      <c r="AJ328" s="24" t="n">
        <f aca="false">IF(AC328="",0,IFERROR(INDEX(Resep!$C$9:$C$13,MATCH(LEFT(AC328,3),Resep!$B$9:$B$13,0)),0))</f>
        <v>0</v>
      </c>
      <c r="AK328" s="24" t="n">
        <f aca="false">IF(AD328="",0,IFERROR(INDEX(Resep!$C$15:$C$18,MATCH(LEFT(AD328,3),Resep!$B$15:$B$18,0)),0))</f>
        <v>0</v>
      </c>
      <c r="AL328" s="24" t="str">
        <f aca="false">IF(X328="","",AG328+AH328+AI328+AJ328+AK328)</f>
        <v/>
      </c>
      <c r="AM328" s="22" t="str">
        <f aca="false">IF(X328="","",AL328*(Pengaturan!$B$6+Pengaturan!$B$7)+Pengaturan!$B$8+AE328*Pengaturan!$B$9+AF328*Pengaturan!$B$10)</f>
        <v/>
      </c>
      <c r="AN328" s="22" t="str">
        <f aca="false">IF(X328="","",N(G328)-AM328)</f>
        <v/>
      </c>
      <c r="AO328" s="25" t="str">
        <f aca="false">IF(OR(X328="",N(G328)=0),"",AN328/G328)</f>
        <v/>
      </c>
    </row>
    <row r="329" customFormat="false" ht="15" hidden="false" customHeight="false" outlineLevel="0" collapsed="false">
      <c r="A329" s="19"/>
      <c r="B329" s="20"/>
      <c r="C329" s="19"/>
      <c r="D329" s="19"/>
      <c r="E329" s="19"/>
      <c r="F329" s="19"/>
      <c r="G329" s="21"/>
      <c r="H329" s="19"/>
      <c r="I329" s="21"/>
      <c r="J329" s="19"/>
      <c r="K329" s="20"/>
      <c r="L329" s="20"/>
      <c r="M329" s="19"/>
      <c r="N329" s="19"/>
      <c r="O329" s="20"/>
      <c r="P329" s="20"/>
      <c r="Q329" s="19"/>
      <c r="R329" s="22" t="str">
        <f aca="false">IF(A329="","",N(G329)+N(I329))</f>
        <v/>
      </c>
      <c r="S329" s="23" t="str">
        <f aca="false">IF(OR(K329="",O329=""),"",O329-K329)</f>
        <v/>
      </c>
      <c r="T329" s="23" t="str">
        <f aca="true">IF(AND(C329="Cetak",L329&lt;&gt;"",L329&lt;TODAY()),"YA","")</f>
        <v/>
      </c>
      <c r="U329" s="23" t="str">
        <f aca="false">IF(B329="","",TEXT(B329,"yyyy-mm"))</f>
        <v/>
      </c>
      <c r="V329" s="23" t="str">
        <f aca="false">IF(K329="","",TEXT(K329,"yyyy-mm"))</f>
        <v/>
      </c>
      <c r="W329" s="23" t="n">
        <f aca="false">IF(OR(C329="Cetak",C329="Dikirim",C329="Selesai"),1,0)</f>
        <v>0</v>
      </c>
      <c r="X329" s="23" t="str">
        <f aca="false">IF(F329="","",SUBSTITUTE(SUBSTITUTE(MID(UPPER(TRIM(F329)),4,99),"-LED",""),"-TK",""))</f>
        <v/>
      </c>
      <c r="Y329" s="23" t="str">
        <f aca="false">IF(X329="","",(LEN(X329)+1)/7)</f>
        <v/>
      </c>
      <c r="Z329" s="23" t="str">
        <f aca="false">IF(X329="","",LEFT(X329,6))</f>
        <v/>
      </c>
      <c r="AA329" s="23" t="str">
        <f aca="false">IF(X329="","",IF(Y329&gt;=3,MID(X329,8,6),""))</f>
        <v/>
      </c>
      <c r="AB329" s="23" t="str">
        <f aca="false">IF(X329="","",IF(Y329&gt;=4,MID(X329,15,6),""))</f>
        <v/>
      </c>
      <c r="AC329" s="23" t="str">
        <f aca="false">IF(X329="","",IF(Y329&gt;=5,MID(X329,22,6),""))</f>
        <v/>
      </c>
      <c r="AD329" s="23" t="str">
        <f aca="false">IF(X329="","",RIGHT(X329,6))</f>
        <v/>
      </c>
      <c r="AE329" s="23" t="str">
        <f aca="false">IF(F329="","",IF(ISNUMBER(SEARCH("-TK",UPPER(F329))),0,1))</f>
        <v/>
      </c>
      <c r="AF329" s="23" t="str">
        <f aca="false">IF(F329="","",IF(ISNUMBER(SEARCH("-LED",UPPER(F329))),1,0))</f>
        <v/>
      </c>
      <c r="AG329" s="24" t="n">
        <f aca="false">IF(Z329="",0,IFERROR(INDEX(Resep!$C$5:$C$7,MATCH(LEFT(Z329,3),Resep!$B$5:$B$7,0)),0))</f>
        <v>0</v>
      </c>
      <c r="AH329" s="24" t="n">
        <f aca="false">IF(AA329="",0,IFERROR(INDEX(Resep!$C$9:$C$13,MATCH(LEFT(AA329,3),Resep!$B$9:$B$13,0)),0))</f>
        <v>0</v>
      </c>
      <c r="AI329" s="24" t="n">
        <f aca="false">IF(AB329="",0,IFERROR(INDEX(Resep!$C$9:$C$13,MATCH(LEFT(AB329,3),Resep!$B$9:$B$13,0)),0))</f>
        <v>0</v>
      </c>
      <c r="AJ329" s="24" t="n">
        <f aca="false">IF(AC329="",0,IFERROR(INDEX(Resep!$C$9:$C$13,MATCH(LEFT(AC329,3),Resep!$B$9:$B$13,0)),0))</f>
        <v>0</v>
      </c>
      <c r="AK329" s="24" t="n">
        <f aca="false">IF(AD329="",0,IFERROR(INDEX(Resep!$C$15:$C$18,MATCH(LEFT(AD329,3),Resep!$B$15:$B$18,0)),0))</f>
        <v>0</v>
      </c>
      <c r="AL329" s="24" t="str">
        <f aca="false">IF(X329="","",AG329+AH329+AI329+AJ329+AK329)</f>
        <v/>
      </c>
      <c r="AM329" s="22" t="str">
        <f aca="false">IF(X329="","",AL329*(Pengaturan!$B$6+Pengaturan!$B$7)+Pengaturan!$B$8+AE329*Pengaturan!$B$9+AF329*Pengaturan!$B$10)</f>
        <v/>
      </c>
      <c r="AN329" s="22" t="str">
        <f aca="false">IF(X329="","",N(G329)-AM329)</f>
        <v/>
      </c>
      <c r="AO329" s="25" t="str">
        <f aca="false">IF(OR(X329="",N(G329)=0),"",AN329/G329)</f>
        <v/>
      </c>
    </row>
    <row r="330" customFormat="false" ht="15" hidden="false" customHeight="false" outlineLevel="0" collapsed="false">
      <c r="A330" s="19"/>
      <c r="B330" s="20"/>
      <c r="C330" s="19"/>
      <c r="D330" s="19"/>
      <c r="E330" s="19"/>
      <c r="F330" s="19"/>
      <c r="G330" s="21"/>
      <c r="H330" s="19"/>
      <c r="I330" s="21"/>
      <c r="J330" s="19"/>
      <c r="K330" s="20"/>
      <c r="L330" s="20"/>
      <c r="M330" s="19"/>
      <c r="N330" s="19"/>
      <c r="O330" s="20"/>
      <c r="P330" s="20"/>
      <c r="Q330" s="19"/>
      <c r="R330" s="22" t="str">
        <f aca="false">IF(A330="","",N(G330)+N(I330))</f>
        <v/>
      </c>
      <c r="S330" s="23" t="str">
        <f aca="false">IF(OR(K330="",O330=""),"",O330-K330)</f>
        <v/>
      </c>
      <c r="T330" s="23" t="str">
        <f aca="true">IF(AND(C330="Cetak",L330&lt;&gt;"",L330&lt;TODAY()),"YA","")</f>
        <v/>
      </c>
      <c r="U330" s="23" t="str">
        <f aca="false">IF(B330="","",TEXT(B330,"yyyy-mm"))</f>
        <v/>
      </c>
      <c r="V330" s="23" t="str">
        <f aca="false">IF(K330="","",TEXT(K330,"yyyy-mm"))</f>
        <v/>
      </c>
      <c r="W330" s="23" t="n">
        <f aca="false">IF(OR(C330="Cetak",C330="Dikirim",C330="Selesai"),1,0)</f>
        <v>0</v>
      </c>
      <c r="X330" s="23" t="str">
        <f aca="false">IF(F330="","",SUBSTITUTE(SUBSTITUTE(MID(UPPER(TRIM(F330)),4,99),"-LED",""),"-TK",""))</f>
        <v/>
      </c>
      <c r="Y330" s="23" t="str">
        <f aca="false">IF(X330="","",(LEN(X330)+1)/7)</f>
        <v/>
      </c>
      <c r="Z330" s="23" t="str">
        <f aca="false">IF(X330="","",LEFT(X330,6))</f>
        <v/>
      </c>
      <c r="AA330" s="23" t="str">
        <f aca="false">IF(X330="","",IF(Y330&gt;=3,MID(X330,8,6),""))</f>
        <v/>
      </c>
      <c r="AB330" s="23" t="str">
        <f aca="false">IF(X330="","",IF(Y330&gt;=4,MID(X330,15,6),""))</f>
        <v/>
      </c>
      <c r="AC330" s="23" t="str">
        <f aca="false">IF(X330="","",IF(Y330&gt;=5,MID(X330,22,6),""))</f>
        <v/>
      </c>
      <c r="AD330" s="23" t="str">
        <f aca="false">IF(X330="","",RIGHT(X330,6))</f>
        <v/>
      </c>
      <c r="AE330" s="23" t="str">
        <f aca="false">IF(F330="","",IF(ISNUMBER(SEARCH("-TK",UPPER(F330))),0,1))</f>
        <v/>
      </c>
      <c r="AF330" s="23" t="str">
        <f aca="false">IF(F330="","",IF(ISNUMBER(SEARCH("-LED",UPPER(F330))),1,0))</f>
        <v/>
      </c>
      <c r="AG330" s="24" t="n">
        <f aca="false">IF(Z330="",0,IFERROR(INDEX(Resep!$C$5:$C$7,MATCH(LEFT(Z330,3),Resep!$B$5:$B$7,0)),0))</f>
        <v>0</v>
      </c>
      <c r="AH330" s="24" t="n">
        <f aca="false">IF(AA330="",0,IFERROR(INDEX(Resep!$C$9:$C$13,MATCH(LEFT(AA330,3),Resep!$B$9:$B$13,0)),0))</f>
        <v>0</v>
      </c>
      <c r="AI330" s="24" t="n">
        <f aca="false">IF(AB330="",0,IFERROR(INDEX(Resep!$C$9:$C$13,MATCH(LEFT(AB330,3),Resep!$B$9:$B$13,0)),0))</f>
        <v>0</v>
      </c>
      <c r="AJ330" s="24" t="n">
        <f aca="false">IF(AC330="",0,IFERROR(INDEX(Resep!$C$9:$C$13,MATCH(LEFT(AC330,3),Resep!$B$9:$B$13,0)),0))</f>
        <v>0</v>
      </c>
      <c r="AK330" s="24" t="n">
        <f aca="false">IF(AD330="",0,IFERROR(INDEX(Resep!$C$15:$C$18,MATCH(LEFT(AD330,3),Resep!$B$15:$B$18,0)),0))</f>
        <v>0</v>
      </c>
      <c r="AL330" s="24" t="str">
        <f aca="false">IF(X330="","",AG330+AH330+AI330+AJ330+AK330)</f>
        <v/>
      </c>
      <c r="AM330" s="22" t="str">
        <f aca="false">IF(X330="","",AL330*(Pengaturan!$B$6+Pengaturan!$B$7)+Pengaturan!$B$8+AE330*Pengaturan!$B$9+AF330*Pengaturan!$B$10)</f>
        <v/>
      </c>
      <c r="AN330" s="22" t="str">
        <f aca="false">IF(X330="","",N(G330)-AM330)</f>
        <v/>
      </c>
      <c r="AO330" s="25" t="str">
        <f aca="false">IF(OR(X330="",N(G330)=0),"",AN330/G330)</f>
        <v/>
      </c>
    </row>
    <row r="331" customFormat="false" ht="15" hidden="false" customHeight="false" outlineLevel="0" collapsed="false">
      <c r="A331" s="19"/>
      <c r="B331" s="20"/>
      <c r="C331" s="19"/>
      <c r="D331" s="19"/>
      <c r="E331" s="19"/>
      <c r="F331" s="19"/>
      <c r="G331" s="21"/>
      <c r="H331" s="19"/>
      <c r="I331" s="21"/>
      <c r="J331" s="19"/>
      <c r="K331" s="20"/>
      <c r="L331" s="20"/>
      <c r="M331" s="19"/>
      <c r="N331" s="19"/>
      <c r="O331" s="20"/>
      <c r="P331" s="20"/>
      <c r="Q331" s="19"/>
      <c r="R331" s="22" t="str">
        <f aca="false">IF(A331="","",N(G331)+N(I331))</f>
        <v/>
      </c>
      <c r="S331" s="23" t="str">
        <f aca="false">IF(OR(K331="",O331=""),"",O331-K331)</f>
        <v/>
      </c>
      <c r="T331" s="23" t="str">
        <f aca="true">IF(AND(C331="Cetak",L331&lt;&gt;"",L331&lt;TODAY()),"YA","")</f>
        <v/>
      </c>
      <c r="U331" s="23" t="str">
        <f aca="false">IF(B331="","",TEXT(B331,"yyyy-mm"))</f>
        <v/>
      </c>
      <c r="V331" s="23" t="str">
        <f aca="false">IF(K331="","",TEXT(K331,"yyyy-mm"))</f>
        <v/>
      </c>
      <c r="W331" s="23" t="n">
        <f aca="false">IF(OR(C331="Cetak",C331="Dikirim",C331="Selesai"),1,0)</f>
        <v>0</v>
      </c>
      <c r="X331" s="23" t="str">
        <f aca="false">IF(F331="","",SUBSTITUTE(SUBSTITUTE(MID(UPPER(TRIM(F331)),4,99),"-LED",""),"-TK",""))</f>
        <v/>
      </c>
      <c r="Y331" s="23" t="str">
        <f aca="false">IF(X331="","",(LEN(X331)+1)/7)</f>
        <v/>
      </c>
      <c r="Z331" s="23" t="str">
        <f aca="false">IF(X331="","",LEFT(X331,6))</f>
        <v/>
      </c>
      <c r="AA331" s="23" t="str">
        <f aca="false">IF(X331="","",IF(Y331&gt;=3,MID(X331,8,6),""))</f>
        <v/>
      </c>
      <c r="AB331" s="23" t="str">
        <f aca="false">IF(X331="","",IF(Y331&gt;=4,MID(X331,15,6),""))</f>
        <v/>
      </c>
      <c r="AC331" s="23" t="str">
        <f aca="false">IF(X331="","",IF(Y331&gt;=5,MID(X331,22,6),""))</f>
        <v/>
      </c>
      <c r="AD331" s="23" t="str">
        <f aca="false">IF(X331="","",RIGHT(X331,6))</f>
        <v/>
      </c>
      <c r="AE331" s="23" t="str">
        <f aca="false">IF(F331="","",IF(ISNUMBER(SEARCH("-TK",UPPER(F331))),0,1))</f>
        <v/>
      </c>
      <c r="AF331" s="23" t="str">
        <f aca="false">IF(F331="","",IF(ISNUMBER(SEARCH("-LED",UPPER(F331))),1,0))</f>
        <v/>
      </c>
      <c r="AG331" s="24" t="n">
        <f aca="false">IF(Z331="",0,IFERROR(INDEX(Resep!$C$5:$C$7,MATCH(LEFT(Z331,3),Resep!$B$5:$B$7,0)),0))</f>
        <v>0</v>
      </c>
      <c r="AH331" s="24" t="n">
        <f aca="false">IF(AA331="",0,IFERROR(INDEX(Resep!$C$9:$C$13,MATCH(LEFT(AA331,3),Resep!$B$9:$B$13,0)),0))</f>
        <v>0</v>
      </c>
      <c r="AI331" s="24" t="n">
        <f aca="false">IF(AB331="",0,IFERROR(INDEX(Resep!$C$9:$C$13,MATCH(LEFT(AB331,3),Resep!$B$9:$B$13,0)),0))</f>
        <v>0</v>
      </c>
      <c r="AJ331" s="24" t="n">
        <f aca="false">IF(AC331="",0,IFERROR(INDEX(Resep!$C$9:$C$13,MATCH(LEFT(AC331,3),Resep!$B$9:$B$13,0)),0))</f>
        <v>0</v>
      </c>
      <c r="AK331" s="24" t="n">
        <f aca="false">IF(AD331="",0,IFERROR(INDEX(Resep!$C$15:$C$18,MATCH(LEFT(AD331,3),Resep!$B$15:$B$18,0)),0))</f>
        <v>0</v>
      </c>
      <c r="AL331" s="24" t="str">
        <f aca="false">IF(X331="","",AG331+AH331+AI331+AJ331+AK331)</f>
        <v/>
      </c>
      <c r="AM331" s="22" t="str">
        <f aca="false">IF(X331="","",AL331*(Pengaturan!$B$6+Pengaturan!$B$7)+Pengaturan!$B$8+AE331*Pengaturan!$B$9+AF331*Pengaturan!$B$10)</f>
        <v/>
      </c>
      <c r="AN331" s="22" t="str">
        <f aca="false">IF(X331="","",N(G331)-AM331)</f>
        <v/>
      </c>
      <c r="AO331" s="25" t="str">
        <f aca="false">IF(OR(X331="",N(G331)=0),"",AN331/G331)</f>
        <v/>
      </c>
    </row>
    <row r="332" customFormat="false" ht="15" hidden="false" customHeight="false" outlineLevel="0" collapsed="false">
      <c r="A332" s="19"/>
      <c r="B332" s="20"/>
      <c r="C332" s="19"/>
      <c r="D332" s="19"/>
      <c r="E332" s="19"/>
      <c r="F332" s="19"/>
      <c r="G332" s="21"/>
      <c r="H332" s="19"/>
      <c r="I332" s="21"/>
      <c r="J332" s="19"/>
      <c r="K332" s="20"/>
      <c r="L332" s="20"/>
      <c r="M332" s="19"/>
      <c r="N332" s="19"/>
      <c r="O332" s="20"/>
      <c r="P332" s="20"/>
      <c r="Q332" s="19"/>
      <c r="R332" s="22" t="str">
        <f aca="false">IF(A332="","",N(G332)+N(I332))</f>
        <v/>
      </c>
      <c r="S332" s="23" t="str">
        <f aca="false">IF(OR(K332="",O332=""),"",O332-K332)</f>
        <v/>
      </c>
      <c r="T332" s="23" t="str">
        <f aca="true">IF(AND(C332="Cetak",L332&lt;&gt;"",L332&lt;TODAY()),"YA","")</f>
        <v/>
      </c>
      <c r="U332" s="23" t="str">
        <f aca="false">IF(B332="","",TEXT(B332,"yyyy-mm"))</f>
        <v/>
      </c>
      <c r="V332" s="23" t="str">
        <f aca="false">IF(K332="","",TEXT(K332,"yyyy-mm"))</f>
        <v/>
      </c>
      <c r="W332" s="23" t="n">
        <f aca="false">IF(OR(C332="Cetak",C332="Dikirim",C332="Selesai"),1,0)</f>
        <v>0</v>
      </c>
      <c r="X332" s="23" t="str">
        <f aca="false">IF(F332="","",SUBSTITUTE(SUBSTITUTE(MID(UPPER(TRIM(F332)),4,99),"-LED",""),"-TK",""))</f>
        <v/>
      </c>
      <c r="Y332" s="23" t="str">
        <f aca="false">IF(X332="","",(LEN(X332)+1)/7)</f>
        <v/>
      </c>
      <c r="Z332" s="23" t="str">
        <f aca="false">IF(X332="","",LEFT(X332,6))</f>
        <v/>
      </c>
      <c r="AA332" s="23" t="str">
        <f aca="false">IF(X332="","",IF(Y332&gt;=3,MID(X332,8,6),""))</f>
        <v/>
      </c>
      <c r="AB332" s="23" t="str">
        <f aca="false">IF(X332="","",IF(Y332&gt;=4,MID(X332,15,6),""))</f>
        <v/>
      </c>
      <c r="AC332" s="23" t="str">
        <f aca="false">IF(X332="","",IF(Y332&gt;=5,MID(X332,22,6),""))</f>
        <v/>
      </c>
      <c r="AD332" s="23" t="str">
        <f aca="false">IF(X332="","",RIGHT(X332,6))</f>
        <v/>
      </c>
      <c r="AE332" s="23" t="str">
        <f aca="false">IF(F332="","",IF(ISNUMBER(SEARCH("-TK",UPPER(F332))),0,1))</f>
        <v/>
      </c>
      <c r="AF332" s="23" t="str">
        <f aca="false">IF(F332="","",IF(ISNUMBER(SEARCH("-LED",UPPER(F332))),1,0))</f>
        <v/>
      </c>
      <c r="AG332" s="24" t="n">
        <f aca="false">IF(Z332="",0,IFERROR(INDEX(Resep!$C$5:$C$7,MATCH(LEFT(Z332,3),Resep!$B$5:$B$7,0)),0))</f>
        <v>0</v>
      </c>
      <c r="AH332" s="24" t="n">
        <f aca="false">IF(AA332="",0,IFERROR(INDEX(Resep!$C$9:$C$13,MATCH(LEFT(AA332,3),Resep!$B$9:$B$13,0)),0))</f>
        <v>0</v>
      </c>
      <c r="AI332" s="24" t="n">
        <f aca="false">IF(AB332="",0,IFERROR(INDEX(Resep!$C$9:$C$13,MATCH(LEFT(AB332,3),Resep!$B$9:$B$13,0)),0))</f>
        <v>0</v>
      </c>
      <c r="AJ332" s="24" t="n">
        <f aca="false">IF(AC332="",0,IFERROR(INDEX(Resep!$C$9:$C$13,MATCH(LEFT(AC332,3),Resep!$B$9:$B$13,0)),0))</f>
        <v>0</v>
      </c>
      <c r="AK332" s="24" t="n">
        <f aca="false">IF(AD332="",0,IFERROR(INDEX(Resep!$C$15:$C$18,MATCH(LEFT(AD332,3),Resep!$B$15:$B$18,0)),0))</f>
        <v>0</v>
      </c>
      <c r="AL332" s="24" t="str">
        <f aca="false">IF(X332="","",AG332+AH332+AI332+AJ332+AK332)</f>
        <v/>
      </c>
      <c r="AM332" s="22" t="str">
        <f aca="false">IF(X332="","",AL332*(Pengaturan!$B$6+Pengaturan!$B$7)+Pengaturan!$B$8+AE332*Pengaturan!$B$9+AF332*Pengaturan!$B$10)</f>
        <v/>
      </c>
      <c r="AN332" s="22" t="str">
        <f aca="false">IF(X332="","",N(G332)-AM332)</f>
        <v/>
      </c>
      <c r="AO332" s="25" t="str">
        <f aca="false">IF(OR(X332="",N(G332)=0),"",AN332/G332)</f>
        <v/>
      </c>
    </row>
    <row r="333" customFormat="false" ht="15" hidden="false" customHeight="false" outlineLevel="0" collapsed="false">
      <c r="A333" s="19"/>
      <c r="B333" s="20"/>
      <c r="C333" s="19"/>
      <c r="D333" s="19"/>
      <c r="E333" s="19"/>
      <c r="F333" s="19"/>
      <c r="G333" s="21"/>
      <c r="H333" s="19"/>
      <c r="I333" s="21"/>
      <c r="J333" s="19"/>
      <c r="K333" s="20"/>
      <c r="L333" s="20"/>
      <c r="M333" s="19"/>
      <c r="N333" s="19"/>
      <c r="O333" s="20"/>
      <c r="P333" s="20"/>
      <c r="Q333" s="19"/>
      <c r="R333" s="22" t="str">
        <f aca="false">IF(A333="","",N(G333)+N(I333))</f>
        <v/>
      </c>
      <c r="S333" s="23" t="str">
        <f aca="false">IF(OR(K333="",O333=""),"",O333-K333)</f>
        <v/>
      </c>
      <c r="T333" s="23" t="str">
        <f aca="true">IF(AND(C333="Cetak",L333&lt;&gt;"",L333&lt;TODAY()),"YA","")</f>
        <v/>
      </c>
      <c r="U333" s="23" t="str">
        <f aca="false">IF(B333="","",TEXT(B333,"yyyy-mm"))</f>
        <v/>
      </c>
      <c r="V333" s="23" t="str">
        <f aca="false">IF(K333="","",TEXT(K333,"yyyy-mm"))</f>
        <v/>
      </c>
      <c r="W333" s="23" t="n">
        <f aca="false">IF(OR(C333="Cetak",C333="Dikirim",C333="Selesai"),1,0)</f>
        <v>0</v>
      </c>
      <c r="X333" s="23" t="str">
        <f aca="false">IF(F333="","",SUBSTITUTE(SUBSTITUTE(MID(UPPER(TRIM(F333)),4,99),"-LED",""),"-TK",""))</f>
        <v/>
      </c>
      <c r="Y333" s="23" t="str">
        <f aca="false">IF(X333="","",(LEN(X333)+1)/7)</f>
        <v/>
      </c>
      <c r="Z333" s="23" t="str">
        <f aca="false">IF(X333="","",LEFT(X333,6))</f>
        <v/>
      </c>
      <c r="AA333" s="23" t="str">
        <f aca="false">IF(X333="","",IF(Y333&gt;=3,MID(X333,8,6),""))</f>
        <v/>
      </c>
      <c r="AB333" s="23" t="str">
        <f aca="false">IF(X333="","",IF(Y333&gt;=4,MID(X333,15,6),""))</f>
        <v/>
      </c>
      <c r="AC333" s="23" t="str">
        <f aca="false">IF(X333="","",IF(Y333&gt;=5,MID(X333,22,6),""))</f>
        <v/>
      </c>
      <c r="AD333" s="23" t="str">
        <f aca="false">IF(X333="","",RIGHT(X333,6))</f>
        <v/>
      </c>
      <c r="AE333" s="23" t="str">
        <f aca="false">IF(F333="","",IF(ISNUMBER(SEARCH("-TK",UPPER(F333))),0,1))</f>
        <v/>
      </c>
      <c r="AF333" s="23" t="str">
        <f aca="false">IF(F333="","",IF(ISNUMBER(SEARCH("-LED",UPPER(F333))),1,0))</f>
        <v/>
      </c>
      <c r="AG333" s="24" t="n">
        <f aca="false">IF(Z333="",0,IFERROR(INDEX(Resep!$C$5:$C$7,MATCH(LEFT(Z333,3),Resep!$B$5:$B$7,0)),0))</f>
        <v>0</v>
      </c>
      <c r="AH333" s="24" t="n">
        <f aca="false">IF(AA333="",0,IFERROR(INDEX(Resep!$C$9:$C$13,MATCH(LEFT(AA333,3),Resep!$B$9:$B$13,0)),0))</f>
        <v>0</v>
      </c>
      <c r="AI333" s="24" t="n">
        <f aca="false">IF(AB333="",0,IFERROR(INDEX(Resep!$C$9:$C$13,MATCH(LEFT(AB333,3),Resep!$B$9:$B$13,0)),0))</f>
        <v>0</v>
      </c>
      <c r="AJ333" s="24" t="n">
        <f aca="false">IF(AC333="",0,IFERROR(INDEX(Resep!$C$9:$C$13,MATCH(LEFT(AC333,3),Resep!$B$9:$B$13,0)),0))</f>
        <v>0</v>
      </c>
      <c r="AK333" s="24" t="n">
        <f aca="false">IF(AD333="",0,IFERROR(INDEX(Resep!$C$15:$C$18,MATCH(LEFT(AD333,3),Resep!$B$15:$B$18,0)),0))</f>
        <v>0</v>
      </c>
      <c r="AL333" s="24" t="str">
        <f aca="false">IF(X333="","",AG333+AH333+AI333+AJ333+AK333)</f>
        <v/>
      </c>
      <c r="AM333" s="22" t="str">
        <f aca="false">IF(X333="","",AL333*(Pengaturan!$B$6+Pengaturan!$B$7)+Pengaturan!$B$8+AE333*Pengaturan!$B$9+AF333*Pengaturan!$B$10)</f>
        <v/>
      </c>
      <c r="AN333" s="22" t="str">
        <f aca="false">IF(X333="","",N(G333)-AM333)</f>
        <v/>
      </c>
      <c r="AO333" s="25" t="str">
        <f aca="false">IF(OR(X333="",N(G333)=0),"",AN333/G333)</f>
        <v/>
      </c>
    </row>
    <row r="334" customFormat="false" ht="15" hidden="false" customHeight="false" outlineLevel="0" collapsed="false">
      <c r="A334" s="19"/>
      <c r="B334" s="20"/>
      <c r="C334" s="19"/>
      <c r="D334" s="19"/>
      <c r="E334" s="19"/>
      <c r="F334" s="19"/>
      <c r="G334" s="21"/>
      <c r="H334" s="19"/>
      <c r="I334" s="21"/>
      <c r="J334" s="19"/>
      <c r="K334" s="20"/>
      <c r="L334" s="20"/>
      <c r="M334" s="19"/>
      <c r="N334" s="19"/>
      <c r="O334" s="20"/>
      <c r="P334" s="20"/>
      <c r="Q334" s="19"/>
      <c r="R334" s="22" t="str">
        <f aca="false">IF(A334="","",N(G334)+N(I334))</f>
        <v/>
      </c>
      <c r="S334" s="23" t="str">
        <f aca="false">IF(OR(K334="",O334=""),"",O334-K334)</f>
        <v/>
      </c>
      <c r="T334" s="23" t="str">
        <f aca="true">IF(AND(C334="Cetak",L334&lt;&gt;"",L334&lt;TODAY()),"YA","")</f>
        <v/>
      </c>
      <c r="U334" s="23" t="str">
        <f aca="false">IF(B334="","",TEXT(B334,"yyyy-mm"))</f>
        <v/>
      </c>
      <c r="V334" s="23" t="str">
        <f aca="false">IF(K334="","",TEXT(K334,"yyyy-mm"))</f>
        <v/>
      </c>
      <c r="W334" s="23" t="n">
        <f aca="false">IF(OR(C334="Cetak",C334="Dikirim",C334="Selesai"),1,0)</f>
        <v>0</v>
      </c>
      <c r="X334" s="23" t="str">
        <f aca="false">IF(F334="","",SUBSTITUTE(SUBSTITUTE(MID(UPPER(TRIM(F334)),4,99),"-LED",""),"-TK",""))</f>
        <v/>
      </c>
      <c r="Y334" s="23" t="str">
        <f aca="false">IF(X334="","",(LEN(X334)+1)/7)</f>
        <v/>
      </c>
      <c r="Z334" s="23" t="str">
        <f aca="false">IF(X334="","",LEFT(X334,6))</f>
        <v/>
      </c>
      <c r="AA334" s="23" t="str">
        <f aca="false">IF(X334="","",IF(Y334&gt;=3,MID(X334,8,6),""))</f>
        <v/>
      </c>
      <c r="AB334" s="23" t="str">
        <f aca="false">IF(X334="","",IF(Y334&gt;=4,MID(X334,15,6),""))</f>
        <v/>
      </c>
      <c r="AC334" s="23" t="str">
        <f aca="false">IF(X334="","",IF(Y334&gt;=5,MID(X334,22,6),""))</f>
        <v/>
      </c>
      <c r="AD334" s="23" t="str">
        <f aca="false">IF(X334="","",RIGHT(X334,6))</f>
        <v/>
      </c>
      <c r="AE334" s="23" t="str">
        <f aca="false">IF(F334="","",IF(ISNUMBER(SEARCH("-TK",UPPER(F334))),0,1))</f>
        <v/>
      </c>
      <c r="AF334" s="23" t="str">
        <f aca="false">IF(F334="","",IF(ISNUMBER(SEARCH("-LED",UPPER(F334))),1,0))</f>
        <v/>
      </c>
      <c r="AG334" s="24" t="n">
        <f aca="false">IF(Z334="",0,IFERROR(INDEX(Resep!$C$5:$C$7,MATCH(LEFT(Z334,3),Resep!$B$5:$B$7,0)),0))</f>
        <v>0</v>
      </c>
      <c r="AH334" s="24" t="n">
        <f aca="false">IF(AA334="",0,IFERROR(INDEX(Resep!$C$9:$C$13,MATCH(LEFT(AA334,3),Resep!$B$9:$B$13,0)),0))</f>
        <v>0</v>
      </c>
      <c r="AI334" s="24" t="n">
        <f aca="false">IF(AB334="",0,IFERROR(INDEX(Resep!$C$9:$C$13,MATCH(LEFT(AB334,3),Resep!$B$9:$B$13,0)),0))</f>
        <v>0</v>
      </c>
      <c r="AJ334" s="24" t="n">
        <f aca="false">IF(AC334="",0,IFERROR(INDEX(Resep!$C$9:$C$13,MATCH(LEFT(AC334,3),Resep!$B$9:$B$13,0)),0))</f>
        <v>0</v>
      </c>
      <c r="AK334" s="24" t="n">
        <f aca="false">IF(AD334="",0,IFERROR(INDEX(Resep!$C$15:$C$18,MATCH(LEFT(AD334,3),Resep!$B$15:$B$18,0)),0))</f>
        <v>0</v>
      </c>
      <c r="AL334" s="24" t="str">
        <f aca="false">IF(X334="","",AG334+AH334+AI334+AJ334+AK334)</f>
        <v/>
      </c>
      <c r="AM334" s="22" t="str">
        <f aca="false">IF(X334="","",AL334*(Pengaturan!$B$6+Pengaturan!$B$7)+Pengaturan!$B$8+AE334*Pengaturan!$B$9+AF334*Pengaturan!$B$10)</f>
        <v/>
      </c>
      <c r="AN334" s="22" t="str">
        <f aca="false">IF(X334="","",N(G334)-AM334)</f>
        <v/>
      </c>
      <c r="AO334" s="25" t="str">
        <f aca="false">IF(OR(X334="",N(G334)=0),"",AN334/G334)</f>
        <v/>
      </c>
    </row>
    <row r="335" customFormat="false" ht="15" hidden="false" customHeight="false" outlineLevel="0" collapsed="false">
      <c r="A335" s="19"/>
      <c r="B335" s="20"/>
      <c r="C335" s="19"/>
      <c r="D335" s="19"/>
      <c r="E335" s="19"/>
      <c r="F335" s="19"/>
      <c r="G335" s="21"/>
      <c r="H335" s="19"/>
      <c r="I335" s="21"/>
      <c r="J335" s="19"/>
      <c r="K335" s="20"/>
      <c r="L335" s="20"/>
      <c r="M335" s="19"/>
      <c r="N335" s="19"/>
      <c r="O335" s="20"/>
      <c r="P335" s="20"/>
      <c r="Q335" s="19"/>
      <c r="R335" s="22" t="str">
        <f aca="false">IF(A335="","",N(G335)+N(I335))</f>
        <v/>
      </c>
      <c r="S335" s="23" t="str">
        <f aca="false">IF(OR(K335="",O335=""),"",O335-K335)</f>
        <v/>
      </c>
      <c r="T335" s="23" t="str">
        <f aca="true">IF(AND(C335="Cetak",L335&lt;&gt;"",L335&lt;TODAY()),"YA","")</f>
        <v/>
      </c>
      <c r="U335" s="23" t="str">
        <f aca="false">IF(B335="","",TEXT(B335,"yyyy-mm"))</f>
        <v/>
      </c>
      <c r="V335" s="23" t="str">
        <f aca="false">IF(K335="","",TEXT(K335,"yyyy-mm"))</f>
        <v/>
      </c>
      <c r="W335" s="23" t="n">
        <f aca="false">IF(OR(C335="Cetak",C335="Dikirim",C335="Selesai"),1,0)</f>
        <v>0</v>
      </c>
      <c r="X335" s="23" t="str">
        <f aca="false">IF(F335="","",SUBSTITUTE(SUBSTITUTE(MID(UPPER(TRIM(F335)),4,99),"-LED",""),"-TK",""))</f>
        <v/>
      </c>
      <c r="Y335" s="23" t="str">
        <f aca="false">IF(X335="","",(LEN(X335)+1)/7)</f>
        <v/>
      </c>
      <c r="Z335" s="23" t="str">
        <f aca="false">IF(X335="","",LEFT(X335,6))</f>
        <v/>
      </c>
      <c r="AA335" s="23" t="str">
        <f aca="false">IF(X335="","",IF(Y335&gt;=3,MID(X335,8,6),""))</f>
        <v/>
      </c>
      <c r="AB335" s="23" t="str">
        <f aca="false">IF(X335="","",IF(Y335&gt;=4,MID(X335,15,6),""))</f>
        <v/>
      </c>
      <c r="AC335" s="23" t="str">
        <f aca="false">IF(X335="","",IF(Y335&gt;=5,MID(X335,22,6),""))</f>
        <v/>
      </c>
      <c r="AD335" s="23" t="str">
        <f aca="false">IF(X335="","",RIGHT(X335,6))</f>
        <v/>
      </c>
      <c r="AE335" s="23" t="str">
        <f aca="false">IF(F335="","",IF(ISNUMBER(SEARCH("-TK",UPPER(F335))),0,1))</f>
        <v/>
      </c>
      <c r="AF335" s="23" t="str">
        <f aca="false">IF(F335="","",IF(ISNUMBER(SEARCH("-LED",UPPER(F335))),1,0))</f>
        <v/>
      </c>
      <c r="AG335" s="24" t="n">
        <f aca="false">IF(Z335="",0,IFERROR(INDEX(Resep!$C$5:$C$7,MATCH(LEFT(Z335,3),Resep!$B$5:$B$7,0)),0))</f>
        <v>0</v>
      </c>
      <c r="AH335" s="24" t="n">
        <f aca="false">IF(AA335="",0,IFERROR(INDEX(Resep!$C$9:$C$13,MATCH(LEFT(AA335,3),Resep!$B$9:$B$13,0)),0))</f>
        <v>0</v>
      </c>
      <c r="AI335" s="24" t="n">
        <f aca="false">IF(AB335="",0,IFERROR(INDEX(Resep!$C$9:$C$13,MATCH(LEFT(AB335,3),Resep!$B$9:$B$13,0)),0))</f>
        <v>0</v>
      </c>
      <c r="AJ335" s="24" t="n">
        <f aca="false">IF(AC335="",0,IFERROR(INDEX(Resep!$C$9:$C$13,MATCH(LEFT(AC335,3),Resep!$B$9:$B$13,0)),0))</f>
        <v>0</v>
      </c>
      <c r="AK335" s="24" t="n">
        <f aca="false">IF(AD335="",0,IFERROR(INDEX(Resep!$C$15:$C$18,MATCH(LEFT(AD335,3),Resep!$B$15:$B$18,0)),0))</f>
        <v>0</v>
      </c>
      <c r="AL335" s="24" t="str">
        <f aca="false">IF(X335="","",AG335+AH335+AI335+AJ335+AK335)</f>
        <v/>
      </c>
      <c r="AM335" s="22" t="str">
        <f aca="false">IF(X335="","",AL335*(Pengaturan!$B$6+Pengaturan!$B$7)+Pengaturan!$B$8+AE335*Pengaturan!$B$9+AF335*Pengaturan!$B$10)</f>
        <v/>
      </c>
      <c r="AN335" s="22" t="str">
        <f aca="false">IF(X335="","",N(G335)-AM335)</f>
        <v/>
      </c>
      <c r="AO335" s="25" t="str">
        <f aca="false">IF(OR(X335="",N(G335)=0),"",AN335/G335)</f>
        <v/>
      </c>
    </row>
    <row r="336" customFormat="false" ht="15" hidden="false" customHeight="false" outlineLevel="0" collapsed="false">
      <c r="A336" s="19"/>
      <c r="B336" s="20"/>
      <c r="C336" s="19"/>
      <c r="D336" s="19"/>
      <c r="E336" s="19"/>
      <c r="F336" s="19"/>
      <c r="G336" s="21"/>
      <c r="H336" s="19"/>
      <c r="I336" s="21"/>
      <c r="J336" s="19"/>
      <c r="K336" s="20"/>
      <c r="L336" s="20"/>
      <c r="M336" s="19"/>
      <c r="N336" s="19"/>
      <c r="O336" s="20"/>
      <c r="P336" s="20"/>
      <c r="Q336" s="19"/>
      <c r="R336" s="22" t="str">
        <f aca="false">IF(A336="","",N(G336)+N(I336))</f>
        <v/>
      </c>
      <c r="S336" s="23" t="str">
        <f aca="false">IF(OR(K336="",O336=""),"",O336-K336)</f>
        <v/>
      </c>
      <c r="T336" s="23" t="str">
        <f aca="true">IF(AND(C336="Cetak",L336&lt;&gt;"",L336&lt;TODAY()),"YA","")</f>
        <v/>
      </c>
      <c r="U336" s="23" t="str">
        <f aca="false">IF(B336="","",TEXT(B336,"yyyy-mm"))</f>
        <v/>
      </c>
      <c r="V336" s="23" t="str">
        <f aca="false">IF(K336="","",TEXT(K336,"yyyy-mm"))</f>
        <v/>
      </c>
      <c r="W336" s="23" t="n">
        <f aca="false">IF(OR(C336="Cetak",C336="Dikirim",C336="Selesai"),1,0)</f>
        <v>0</v>
      </c>
      <c r="X336" s="23" t="str">
        <f aca="false">IF(F336="","",SUBSTITUTE(SUBSTITUTE(MID(UPPER(TRIM(F336)),4,99),"-LED",""),"-TK",""))</f>
        <v/>
      </c>
      <c r="Y336" s="23" t="str">
        <f aca="false">IF(X336="","",(LEN(X336)+1)/7)</f>
        <v/>
      </c>
      <c r="Z336" s="23" t="str">
        <f aca="false">IF(X336="","",LEFT(X336,6))</f>
        <v/>
      </c>
      <c r="AA336" s="23" t="str">
        <f aca="false">IF(X336="","",IF(Y336&gt;=3,MID(X336,8,6),""))</f>
        <v/>
      </c>
      <c r="AB336" s="23" t="str">
        <f aca="false">IF(X336="","",IF(Y336&gt;=4,MID(X336,15,6),""))</f>
        <v/>
      </c>
      <c r="AC336" s="23" t="str">
        <f aca="false">IF(X336="","",IF(Y336&gt;=5,MID(X336,22,6),""))</f>
        <v/>
      </c>
      <c r="AD336" s="23" t="str">
        <f aca="false">IF(X336="","",RIGHT(X336,6))</f>
        <v/>
      </c>
      <c r="AE336" s="23" t="str">
        <f aca="false">IF(F336="","",IF(ISNUMBER(SEARCH("-TK",UPPER(F336))),0,1))</f>
        <v/>
      </c>
      <c r="AF336" s="23" t="str">
        <f aca="false">IF(F336="","",IF(ISNUMBER(SEARCH("-LED",UPPER(F336))),1,0))</f>
        <v/>
      </c>
      <c r="AG336" s="24" t="n">
        <f aca="false">IF(Z336="",0,IFERROR(INDEX(Resep!$C$5:$C$7,MATCH(LEFT(Z336,3),Resep!$B$5:$B$7,0)),0))</f>
        <v>0</v>
      </c>
      <c r="AH336" s="24" t="n">
        <f aca="false">IF(AA336="",0,IFERROR(INDEX(Resep!$C$9:$C$13,MATCH(LEFT(AA336,3),Resep!$B$9:$B$13,0)),0))</f>
        <v>0</v>
      </c>
      <c r="AI336" s="24" t="n">
        <f aca="false">IF(AB336="",0,IFERROR(INDEX(Resep!$C$9:$C$13,MATCH(LEFT(AB336,3),Resep!$B$9:$B$13,0)),0))</f>
        <v>0</v>
      </c>
      <c r="AJ336" s="24" t="n">
        <f aca="false">IF(AC336="",0,IFERROR(INDEX(Resep!$C$9:$C$13,MATCH(LEFT(AC336,3),Resep!$B$9:$B$13,0)),0))</f>
        <v>0</v>
      </c>
      <c r="AK336" s="24" t="n">
        <f aca="false">IF(AD336="",0,IFERROR(INDEX(Resep!$C$15:$C$18,MATCH(LEFT(AD336,3),Resep!$B$15:$B$18,0)),0))</f>
        <v>0</v>
      </c>
      <c r="AL336" s="24" t="str">
        <f aca="false">IF(X336="","",AG336+AH336+AI336+AJ336+AK336)</f>
        <v/>
      </c>
      <c r="AM336" s="22" t="str">
        <f aca="false">IF(X336="","",AL336*(Pengaturan!$B$6+Pengaturan!$B$7)+Pengaturan!$B$8+AE336*Pengaturan!$B$9+AF336*Pengaturan!$B$10)</f>
        <v/>
      </c>
      <c r="AN336" s="22" t="str">
        <f aca="false">IF(X336="","",N(G336)-AM336)</f>
        <v/>
      </c>
      <c r="AO336" s="25" t="str">
        <f aca="false">IF(OR(X336="",N(G336)=0),"",AN336/G336)</f>
        <v/>
      </c>
    </row>
    <row r="337" customFormat="false" ht="15" hidden="false" customHeight="false" outlineLevel="0" collapsed="false">
      <c r="A337" s="19"/>
      <c r="B337" s="20"/>
      <c r="C337" s="19"/>
      <c r="D337" s="19"/>
      <c r="E337" s="19"/>
      <c r="F337" s="19"/>
      <c r="G337" s="21"/>
      <c r="H337" s="19"/>
      <c r="I337" s="21"/>
      <c r="J337" s="19"/>
      <c r="K337" s="20"/>
      <c r="L337" s="20"/>
      <c r="M337" s="19"/>
      <c r="N337" s="19"/>
      <c r="O337" s="20"/>
      <c r="P337" s="20"/>
      <c r="Q337" s="19"/>
      <c r="R337" s="22" t="str">
        <f aca="false">IF(A337="","",N(G337)+N(I337))</f>
        <v/>
      </c>
      <c r="S337" s="23" t="str">
        <f aca="false">IF(OR(K337="",O337=""),"",O337-K337)</f>
        <v/>
      </c>
      <c r="T337" s="23" t="str">
        <f aca="true">IF(AND(C337="Cetak",L337&lt;&gt;"",L337&lt;TODAY()),"YA","")</f>
        <v/>
      </c>
      <c r="U337" s="23" t="str">
        <f aca="false">IF(B337="","",TEXT(B337,"yyyy-mm"))</f>
        <v/>
      </c>
      <c r="V337" s="23" t="str">
        <f aca="false">IF(K337="","",TEXT(K337,"yyyy-mm"))</f>
        <v/>
      </c>
      <c r="W337" s="23" t="n">
        <f aca="false">IF(OR(C337="Cetak",C337="Dikirim",C337="Selesai"),1,0)</f>
        <v>0</v>
      </c>
      <c r="X337" s="23" t="str">
        <f aca="false">IF(F337="","",SUBSTITUTE(SUBSTITUTE(MID(UPPER(TRIM(F337)),4,99),"-LED",""),"-TK",""))</f>
        <v/>
      </c>
      <c r="Y337" s="23" t="str">
        <f aca="false">IF(X337="","",(LEN(X337)+1)/7)</f>
        <v/>
      </c>
      <c r="Z337" s="23" t="str">
        <f aca="false">IF(X337="","",LEFT(X337,6))</f>
        <v/>
      </c>
      <c r="AA337" s="23" t="str">
        <f aca="false">IF(X337="","",IF(Y337&gt;=3,MID(X337,8,6),""))</f>
        <v/>
      </c>
      <c r="AB337" s="23" t="str">
        <f aca="false">IF(X337="","",IF(Y337&gt;=4,MID(X337,15,6),""))</f>
        <v/>
      </c>
      <c r="AC337" s="23" t="str">
        <f aca="false">IF(X337="","",IF(Y337&gt;=5,MID(X337,22,6),""))</f>
        <v/>
      </c>
      <c r="AD337" s="23" t="str">
        <f aca="false">IF(X337="","",RIGHT(X337,6))</f>
        <v/>
      </c>
      <c r="AE337" s="23" t="str">
        <f aca="false">IF(F337="","",IF(ISNUMBER(SEARCH("-TK",UPPER(F337))),0,1))</f>
        <v/>
      </c>
      <c r="AF337" s="23" t="str">
        <f aca="false">IF(F337="","",IF(ISNUMBER(SEARCH("-LED",UPPER(F337))),1,0))</f>
        <v/>
      </c>
      <c r="AG337" s="24" t="n">
        <f aca="false">IF(Z337="",0,IFERROR(INDEX(Resep!$C$5:$C$7,MATCH(LEFT(Z337,3),Resep!$B$5:$B$7,0)),0))</f>
        <v>0</v>
      </c>
      <c r="AH337" s="24" t="n">
        <f aca="false">IF(AA337="",0,IFERROR(INDEX(Resep!$C$9:$C$13,MATCH(LEFT(AA337,3),Resep!$B$9:$B$13,0)),0))</f>
        <v>0</v>
      </c>
      <c r="AI337" s="24" t="n">
        <f aca="false">IF(AB337="",0,IFERROR(INDEX(Resep!$C$9:$C$13,MATCH(LEFT(AB337,3),Resep!$B$9:$B$13,0)),0))</f>
        <v>0</v>
      </c>
      <c r="AJ337" s="24" t="n">
        <f aca="false">IF(AC337="",0,IFERROR(INDEX(Resep!$C$9:$C$13,MATCH(LEFT(AC337,3),Resep!$B$9:$B$13,0)),0))</f>
        <v>0</v>
      </c>
      <c r="AK337" s="24" t="n">
        <f aca="false">IF(AD337="",0,IFERROR(INDEX(Resep!$C$15:$C$18,MATCH(LEFT(AD337,3),Resep!$B$15:$B$18,0)),0))</f>
        <v>0</v>
      </c>
      <c r="AL337" s="24" t="str">
        <f aca="false">IF(X337="","",AG337+AH337+AI337+AJ337+AK337)</f>
        <v/>
      </c>
      <c r="AM337" s="22" t="str">
        <f aca="false">IF(X337="","",AL337*(Pengaturan!$B$6+Pengaturan!$B$7)+Pengaturan!$B$8+AE337*Pengaturan!$B$9+AF337*Pengaturan!$B$10)</f>
        <v/>
      </c>
      <c r="AN337" s="22" t="str">
        <f aca="false">IF(X337="","",N(G337)-AM337)</f>
        <v/>
      </c>
      <c r="AO337" s="25" t="str">
        <f aca="false">IF(OR(X337="",N(G337)=0),"",AN337/G337)</f>
        <v/>
      </c>
    </row>
    <row r="338" customFormat="false" ht="15" hidden="false" customHeight="false" outlineLevel="0" collapsed="false">
      <c r="A338" s="19"/>
      <c r="B338" s="20"/>
      <c r="C338" s="19"/>
      <c r="D338" s="19"/>
      <c r="E338" s="19"/>
      <c r="F338" s="19"/>
      <c r="G338" s="21"/>
      <c r="H338" s="19"/>
      <c r="I338" s="21"/>
      <c r="J338" s="19"/>
      <c r="K338" s="20"/>
      <c r="L338" s="20"/>
      <c r="M338" s="19"/>
      <c r="N338" s="19"/>
      <c r="O338" s="20"/>
      <c r="P338" s="20"/>
      <c r="Q338" s="19"/>
      <c r="R338" s="22" t="str">
        <f aca="false">IF(A338="","",N(G338)+N(I338))</f>
        <v/>
      </c>
      <c r="S338" s="23" t="str">
        <f aca="false">IF(OR(K338="",O338=""),"",O338-K338)</f>
        <v/>
      </c>
      <c r="T338" s="23" t="str">
        <f aca="true">IF(AND(C338="Cetak",L338&lt;&gt;"",L338&lt;TODAY()),"YA","")</f>
        <v/>
      </c>
      <c r="U338" s="23" t="str">
        <f aca="false">IF(B338="","",TEXT(B338,"yyyy-mm"))</f>
        <v/>
      </c>
      <c r="V338" s="23" t="str">
        <f aca="false">IF(K338="","",TEXT(K338,"yyyy-mm"))</f>
        <v/>
      </c>
      <c r="W338" s="23" t="n">
        <f aca="false">IF(OR(C338="Cetak",C338="Dikirim",C338="Selesai"),1,0)</f>
        <v>0</v>
      </c>
      <c r="X338" s="23" t="str">
        <f aca="false">IF(F338="","",SUBSTITUTE(SUBSTITUTE(MID(UPPER(TRIM(F338)),4,99),"-LED",""),"-TK",""))</f>
        <v/>
      </c>
      <c r="Y338" s="23" t="str">
        <f aca="false">IF(X338="","",(LEN(X338)+1)/7)</f>
        <v/>
      </c>
      <c r="Z338" s="23" t="str">
        <f aca="false">IF(X338="","",LEFT(X338,6))</f>
        <v/>
      </c>
      <c r="AA338" s="23" t="str">
        <f aca="false">IF(X338="","",IF(Y338&gt;=3,MID(X338,8,6),""))</f>
        <v/>
      </c>
      <c r="AB338" s="23" t="str">
        <f aca="false">IF(X338="","",IF(Y338&gt;=4,MID(X338,15,6),""))</f>
        <v/>
      </c>
      <c r="AC338" s="23" t="str">
        <f aca="false">IF(X338="","",IF(Y338&gt;=5,MID(X338,22,6),""))</f>
        <v/>
      </c>
      <c r="AD338" s="23" t="str">
        <f aca="false">IF(X338="","",RIGHT(X338,6))</f>
        <v/>
      </c>
      <c r="AE338" s="23" t="str">
        <f aca="false">IF(F338="","",IF(ISNUMBER(SEARCH("-TK",UPPER(F338))),0,1))</f>
        <v/>
      </c>
      <c r="AF338" s="23" t="str">
        <f aca="false">IF(F338="","",IF(ISNUMBER(SEARCH("-LED",UPPER(F338))),1,0))</f>
        <v/>
      </c>
      <c r="AG338" s="24" t="n">
        <f aca="false">IF(Z338="",0,IFERROR(INDEX(Resep!$C$5:$C$7,MATCH(LEFT(Z338,3),Resep!$B$5:$B$7,0)),0))</f>
        <v>0</v>
      </c>
      <c r="AH338" s="24" t="n">
        <f aca="false">IF(AA338="",0,IFERROR(INDEX(Resep!$C$9:$C$13,MATCH(LEFT(AA338,3),Resep!$B$9:$B$13,0)),0))</f>
        <v>0</v>
      </c>
      <c r="AI338" s="24" t="n">
        <f aca="false">IF(AB338="",0,IFERROR(INDEX(Resep!$C$9:$C$13,MATCH(LEFT(AB338,3),Resep!$B$9:$B$13,0)),0))</f>
        <v>0</v>
      </c>
      <c r="AJ338" s="24" t="n">
        <f aca="false">IF(AC338="",0,IFERROR(INDEX(Resep!$C$9:$C$13,MATCH(LEFT(AC338,3),Resep!$B$9:$B$13,0)),0))</f>
        <v>0</v>
      </c>
      <c r="AK338" s="24" t="n">
        <f aca="false">IF(AD338="",0,IFERROR(INDEX(Resep!$C$15:$C$18,MATCH(LEFT(AD338,3),Resep!$B$15:$B$18,0)),0))</f>
        <v>0</v>
      </c>
      <c r="AL338" s="24" t="str">
        <f aca="false">IF(X338="","",AG338+AH338+AI338+AJ338+AK338)</f>
        <v/>
      </c>
      <c r="AM338" s="22" t="str">
        <f aca="false">IF(X338="","",AL338*(Pengaturan!$B$6+Pengaturan!$B$7)+Pengaturan!$B$8+AE338*Pengaturan!$B$9+AF338*Pengaturan!$B$10)</f>
        <v/>
      </c>
      <c r="AN338" s="22" t="str">
        <f aca="false">IF(X338="","",N(G338)-AM338)</f>
        <v/>
      </c>
      <c r="AO338" s="25" t="str">
        <f aca="false">IF(OR(X338="",N(G338)=0),"",AN338/G338)</f>
        <v/>
      </c>
    </row>
    <row r="339" customFormat="false" ht="15" hidden="false" customHeight="false" outlineLevel="0" collapsed="false">
      <c r="A339" s="19"/>
      <c r="B339" s="20"/>
      <c r="C339" s="19"/>
      <c r="D339" s="19"/>
      <c r="E339" s="19"/>
      <c r="F339" s="19"/>
      <c r="G339" s="21"/>
      <c r="H339" s="19"/>
      <c r="I339" s="21"/>
      <c r="J339" s="19"/>
      <c r="K339" s="20"/>
      <c r="L339" s="20"/>
      <c r="M339" s="19"/>
      <c r="N339" s="19"/>
      <c r="O339" s="20"/>
      <c r="P339" s="20"/>
      <c r="Q339" s="19"/>
      <c r="R339" s="22" t="str">
        <f aca="false">IF(A339="","",N(G339)+N(I339))</f>
        <v/>
      </c>
      <c r="S339" s="23" t="str">
        <f aca="false">IF(OR(K339="",O339=""),"",O339-K339)</f>
        <v/>
      </c>
      <c r="T339" s="23" t="str">
        <f aca="true">IF(AND(C339="Cetak",L339&lt;&gt;"",L339&lt;TODAY()),"YA","")</f>
        <v/>
      </c>
      <c r="U339" s="23" t="str">
        <f aca="false">IF(B339="","",TEXT(B339,"yyyy-mm"))</f>
        <v/>
      </c>
      <c r="V339" s="23" t="str">
        <f aca="false">IF(K339="","",TEXT(K339,"yyyy-mm"))</f>
        <v/>
      </c>
      <c r="W339" s="23" t="n">
        <f aca="false">IF(OR(C339="Cetak",C339="Dikirim",C339="Selesai"),1,0)</f>
        <v>0</v>
      </c>
      <c r="X339" s="23" t="str">
        <f aca="false">IF(F339="","",SUBSTITUTE(SUBSTITUTE(MID(UPPER(TRIM(F339)),4,99),"-LED",""),"-TK",""))</f>
        <v/>
      </c>
      <c r="Y339" s="23" t="str">
        <f aca="false">IF(X339="","",(LEN(X339)+1)/7)</f>
        <v/>
      </c>
      <c r="Z339" s="23" t="str">
        <f aca="false">IF(X339="","",LEFT(X339,6))</f>
        <v/>
      </c>
      <c r="AA339" s="23" t="str">
        <f aca="false">IF(X339="","",IF(Y339&gt;=3,MID(X339,8,6),""))</f>
        <v/>
      </c>
      <c r="AB339" s="23" t="str">
        <f aca="false">IF(X339="","",IF(Y339&gt;=4,MID(X339,15,6),""))</f>
        <v/>
      </c>
      <c r="AC339" s="23" t="str">
        <f aca="false">IF(X339="","",IF(Y339&gt;=5,MID(X339,22,6),""))</f>
        <v/>
      </c>
      <c r="AD339" s="23" t="str">
        <f aca="false">IF(X339="","",RIGHT(X339,6))</f>
        <v/>
      </c>
      <c r="AE339" s="23" t="str">
        <f aca="false">IF(F339="","",IF(ISNUMBER(SEARCH("-TK",UPPER(F339))),0,1))</f>
        <v/>
      </c>
      <c r="AF339" s="23" t="str">
        <f aca="false">IF(F339="","",IF(ISNUMBER(SEARCH("-LED",UPPER(F339))),1,0))</f>
        <v/>
      </c>
      <c r="AG339" s="24" t="n">
        <f aca="false">IF(Z339="",0,IFERROR(INDEX(Resep!$C$5:$C$7,MATCH(LEFT(Z339,3),Resep!$B$5:$B$7,0)),0))</f>
        <v>0</v>
      </c>
      <c r="AH339" s="24" t="n">
        <f aca="false">IF(AA339="",0,IFERROR(INDEX(Resep!$C$9:$C$13,MATCH(LEFT(AA339,3),Resep!$B$9:$B$13,0)),0))</f>
        <v>0</v>
      </c>
      <c r="AI339" s="24" t="n">
        <f aca="false">IF(AB339="",0,IFERROR(INDEX(Resep!$C$9:$C$13,MATCH(LEFT(AB339,3),Resep!$B$9:$B$13,0)),0))</f>
        <v>0</v>
      </c>
      <c r="AJ339" s="24" t="n">
        <f aca="false">IF(AC339="",0,IFERROR(INDEX(Resep!$C$9:$C$13,MATCH(LEFT(AC339,3),Resep!$B$9:$B$13,0)),0))</f>
        <v>0</v>
      </c>
      <c r="AK339" s="24" t="n">
        <f aca="false">IF(AD339="",0,IFERROR(INDEX(Resep!$C$15:$C$18,MATCH(LEFT(AD339,3),Resep!$B$15:$B$18,0)),0))</f>
        <v>0</v>
      </c>
      <c r="AL339" s="24" t="str">
        <f aca="false">IF(X339="","",AG339+AH339+AI339+AJ339+AK339)</f>
        <v/>
      </c>
      <c r="AM339" s="22" t="str">
        <f aca="false">IF(X339="","",AL339*(Pengaturan!$B$6+Pengaturan!$B$7)+Pengaturan!$B$8+AE339*Pengaturan!$B$9+AF339*Pengaturan!$B$10)</f>
        <v/>
      </c>
      <c r="AN339" s="22" t="str">
        <f aca="false">IF(X339="","",N(G339)-AM339)</f>
        <v/>
      </c>
      <c r="AO339" s="25" t="str">
        <f aca="false">IF(OR(X339="",N(G339)=0),"",AN339/G339)</f>
        <v/>
      </c>
    </row>
    <row r="340" customFormat="false" ht="15" hidden="false" customHeight="false" outlineLevel="0" collapsed="false">
      <c r="A340" s="19"/>
      <c r="B340" s="20"/>
      <c r="C340" s="19"/>
      <c r="D340" s="19"/>
      <c r="E340" s="19"/>
      <c r="F340" s="19"/>
      <c r="G340" s="21"/>
      <c r="H340" s="19"/>
      <c r="I340" s="21"/>
      <c r="J340" s="19"/>
      <c r="K340" s="20"/>
      <c r="L340" s="20"/>
      <c r="M340" s="19"/>
      <c r="N340" s="19"/>
      <c r="O340" s="20"/>
      <c r="P340" s="20"/>
      <c r="Q340" s="19"/>
      <c r="R340" s="22" t="str">
        <f aca="false">IF(A340="","",N(G340)+N(I340))</f>
        <v/>
      </c>
      <c r="S340" s="23" t="str">
        <f aca="false">IF(OR(K340="",O340=""),"",O340-K340)</f>
        <v/>
      </c>
      <c r="T340" s="23" t="str">
        <f aca="true">IF(AND(C340="Cetak",L340&lt;&gt;"",L340&lt;TODAY()),"YA","")</f>
        <v/>
      </c>
      <c r="U340" s="23" t="str">
        <f aca="false">IF(B340="","",TEXT(B340,"yyyy-mm"))</f>
        <v/>
      </c>
      <c r="V340" s="23" t="str">
        <f aca="false">IF(K340="","",TEXT(K340,"yyyy-mm"))</f>
        <v/>
      </c>
      <c r="W340" s="23" t="n">
        <f aca="false">IF(OR(C340="Cetak",C340="Dikirim",C340="Selesai"),1,0)</f>
        <v>0</v>
      </c>
      <c r="X340" s="23" t="str">
        <f aca="false">IF(F340="","",SUBSTITUTE(SUBSTITUTE(MID(UPPER(TRIM(F340)),4,99),"-LED",""),"-TK",""))</f>
        <v/>
      </c>
      <c r="Y340" s="23" t="str">
        <f aca="false">IF(X340="","",(LEN(X340)+1)/7)</f>
        <v/>
      </c>
      <c r="Z340" s="23" t="str">
        <f aca="false">IF(X340="","",LEFT(X340,6))</f>
        <v/>
      </c>
      <c r="AA340" s="23" t="str">
        <f aca="false">IF(X340="","",IF(Y340&gt;=3,MID(X340,8,6),""))</f>
        <v/>
      </c>
      <c r="AB340" s="23" t="str">
        <f aca="false">IF(X340="","",IF(Y340&gt;=4,MID(X340,15,6),""))</f>
        <v/>
      </c>
      <c r="AC340" s="23" t="str">
        <f aca="false">IF(X340="","",IF(Y340&gt;=5,MID(X340,22,6),""))</f>
        <v/>
      </c>
      <c r="AD340" s="23" t="str">
        <f aca="false">IF(X340="","",RIGHT(X340,6))</f>
        <v/>
      </c>
      <c r="AE340" s="23" t="str">
        <f aca="false">IF(F340="","",IF(ISNUMBER(SEARCH("-TK",UPPER(F340))),0,1))</f>
        <v/>
      </c>
      <c r="AF340" s="23" t="str">
        <f aca="false">IF(F340="","",IF(ISNUMBER(SEARCH("-LED",UPPER(F340))),1,0))</f>
        <v/>
      </c>
      <c r="AG340" s="24" t="n">
        <f aca="false">IF(Z340="",0,IFERROR(INDEX(Resep!$C$5:$C$7,MATCH(LEFT(Z340,3),Resep!$B$5:$B$7,0)),0))</f>
        <v>0</v>
      </c>
      <c r="AH340" s="24" t="n">
        <f aca="false">IF(AA340="",0,IFERROR(INDEX(Resep!$C$9:$C$13,MATCH(LEFT(AA340,3),Resep!$B$9:$B$13,0)),0))</f>
        <v>0</v>
      </c>
      <c r="AI340" s="24" t="n">
        <f aca="false">IF(AB340="",0,IFERROR(INDEX(Resep!$C$9:$C$13,MATCH(LEFT(AB340,3),Resep!$B$9:$B$13,0)),0))</f>
        <v>0</v>
      </c>
      <c r="AJ340" s="24" t="n">
        <f aca="false">IF(AC340="",0,IFERROR(INDEX(Resep!$C$9:$C$13,MATCH(LEFT(AC340,3),Resep!$B$9:$B$13,0)),0))</f>
        <v>0</v>
      </c>
      <c r="AK340" s="24" t="n">
        <f aca="false">IF(AD340="",0,IFERROR(INDEX(Resep!$C$15:$C$18,MATCH(LEFT(AD340,3),Resep!$B$15:$B$18,0)),0))</f>
        <v>0</v>
      </c>
      <c r="AL340" s="24" t="str">
        <f aca="false">IF(X340="","",AG340+AH340+AI340+AJ340+AK340)</f>
        <v/>
      </c>
      <c r="AM340" s="22" t="str">
        <f aca="false">IF(X340="","",AL340*(Pengaturan!$B$6+Pengaturan!$B$7)+Pengaturan!$B$8+AE340*Pengaturan!$B$9+AF340*Pengaturan!$B$10)</f>
        <v/>
      </c>
      <c r="AN340" s="22" t="str">
        <f aca="false">IF(X340="","",N(G340)-AM340)</f>
        <v/>
      </c>
      <c r="AO340" s="25" t="str">
        <f aca="false">IF(OR(X340="",N(G340)=0),"",AN340/G340)</f>
        <v/>
      </c>
    </row>
    <row r="341" customFormat="false" ht="15" hidden="false" customHeight="false" outlineLevel="0" collapsed="false">
      <c r="A341" s="19"/>
      <c r="B341" s="20"/>
      <c r="C341" s="19"/>
      <c r="D341" s="19"/>
      <c r="E341" s="19"/>
      <c r="F341" s="19"/>
      <c r="G341" s="21"/>
      <c r="H341" s="19"/>
      <c r="I341" s="21"/>
      <c r="J341" s="19"/>
      <c r="K341" s="20"/>
      <c r="L341" s="20"/>
      <c r="M341" s="19"/>
      <c r="N341" s="19"/>
      <c r="O341" s="20"/>
      <c r="P341" s="20"/>
      <c r="Q341" s="19"/>
      <c r="R341" s="22" t="str">
        <f aca="false">IF(A341="","",N(G341)+N(I341))</f>
        <v/>
      </c>
      <c r="S341" s="23" t="str">
        <f aca="false">IF(OR(K341="",O341=""),"",O341-K341)</f>
        <v/>
      </c>
      <c r="T341" s="23" t="str">
        <f aca="true">IF(AND(C341="Cetak",L341&lt;&gt;"",L341&lt;TODAY()),"YA","")</f>
        <v/>
      </c>
      <c r="U341" s="23" t="str">
        <f aca="false">IF(B341="","",TEXT(B341,"yyyy-mm"))</f>
        <v/>
      </c>
      <c r="V341" s="23" t="str">
        <f aca="false">IF(K341="","",TEXT(K341,"yyyy-mm"))</f>
        <v/>
      </c>
      <c r="W341" s="23" t="n">
        <f aca="false">IF(OR(C341="Cetak",C341="Dikirim",C341="Selesai"),1,0)</f>
        <v>0</v>
      </c>
      <c r="X341" s="23" t="str">
        <f aca="false">IF(F341="","",SUBSTITUTE(SUBSTITUTE(MID(UPPER(TRIM(F341)),4,99),"-LED",""),"-TK",""))</f>
        <v/>
      </c>
      <c r="Y341" s="23" t="str">
        <f aca="false">IF(X341="","",(LEN(X341)+1)/7)</f>
        <v/>
      </c>
      <c r="Z341" s="23" t="str">
        <f aca="false">IF(X341="","",LEFT(X341,6))</f>
        <v/>
      </c>
      <c r="AA341" s="23" t="str">
        <f aca="false">IF(X341="","",IF(Y341&gt;=3,MID(X341,8,6),""))</f>
        <v/>
      </c>
      <c r="AB341" s="23" t="str">
        <f aca="false">IF(X341="","",IF(Y341&gt;=4,MID(X341,15,6),""))</f>
        <v/>
      </c>
      <c r="AC341" s="23" t="str">
        <f aca="false">IF(X341="","",IF(Y341&gt;=5,MID(X341,22,6),""))</f>
        <v/>
      </c>
      <c r="AD341" s="23" t="str">
        <f aca="false">IF(X341="","",RIGHT(X341,6))</f>
        <v/>
      </c>
      <c r="AE341" s="23" t="str">
        <f aca="false">IF(F341="","",IF(ISNUMBER(SEARCH("-TK",UPPER(F341))),0,1))</f>
        <v/>
      </c>
      <c r="AF341" s="23" t="str">
        <f aca="false">IF(F341="","",IF(ISNUMBER(SEARCH("-LED",UPPER(F341))),1,0))</f>
        <v/>
      </c>
      <c r="AG341" s="24" t="n">
        <f aca="false">IF(Z341="",0,IFERROR(INDEX(Resep!$C$5:$C$7,MATCH(LEFT(Z341,3),Resep!$B$5:$B$7,0)),0))</f>
        <v>0</v>
      </c>
      <c r="AH341" s="24" t="n">
        <f aca="false">IF(AA341="",0,IFERROR(INDEX(Resep!$C$9:$C$13,MATCH(LEFT(AA341,3),Resep!$B$9:$B$13,0)),0))</f>
        <v>0</v>
      </c>
      <c r="AI341" s="24" t="n">
        <f aca="false">IF(AB341="",0,IFERROR(INDEX(Resep!$C$9:$C$13,MATCH(LEFT(AB341,3),Resep!$B$9:$B$13,0)),0))</f>
        <v>0</v>
      </c>
      <c r="AJ341" s="24" t="n">
        <f aca="false">IF(AC341="",0,IFERROR(INDEX(Resep!$C$9:$C$13,MATCH(LEFT(AC341,3),Resep!$B$9:$B$13,0)),0))</f>
        <v>0</v>
      </c>
      <c r="AK341" s="24" t="n">
        <f aca="false">IF(AD341="",0,IFERROR(INDEX(Resep!$C$15:$C$18,MATCH(LEFT(AD341,3),Resep!$B$15:$B$18,0)),0))</f>
        <v>0</v>
      </c>
      <c r="AL341" s="24" t="str">
        <f aca="false">IF(X341="","",AG341+AH341+AI341+AJ341+AK341)</f>
        <v/>
      </c>
      <c r="AM341" s="22" t="str">
        <f aca="false">IF(X341="","",AL341*(Pengaturan!$B$6+Pengaturan!$B$7)+Pengaturan!$B$8+AE341*Pengaturan!$B$9+AF341*Pengaturan!$B$10)</f>
        <v/>
      </c>
      <c r="AN341" s="22" t="str">
        <f aca="false">IF(X341="","",N(G341)-AM341)</f>
        <v/>
      </c>
      <c r="AO341" s="25" t="str">
        <f aca="false">IF(OR(X341="",N(G341)=0),"",AN341/G341)</f>
        <v/>
      </c>
    </row>
    <row r="342" customFormat="false" ht="15" hidden="false" customHeight="false" outlineLevel="0" collapsed="false">
      <c r="A342" s="19"/>
      <c r="B342" s="20"/>
      <c r="C342" s="19"/>
      <c r="D342" s="19"/>
      <c r="E342" s="19"/>
      <c r="F342" s="19"/>
      <c r="G342" s="21"/>
      <c r="H342" s="19"/>
      <c r="I342" s="21"/>
      <c r="J342" s="19"/>
      <c r="K342" s="20"/>
      <c r="L342" s="20"/>
      <c r="M342" s="19"/>
      <c r="N342" s="19"/>
      <c r="O342" s="20"/>
      <c r="P342" s="20"/>
      <c r="Q342" s="19"/>
      <c r="R342" s="22" t="str">
        <f aca="false">IF(A342="","",N(G342)+N(I342))</f>
        <v/>
      </c>
      <c r="S342" s="23" t="str">
        <f aca="false">IF(OR(K342="",O342=""),"",O342-K342)</f>
        <v/>
      </c>
      <c r="T342" s="23" t="str">
        <f aca="true">IF(AND(C342="Cetak",L342&lt;&gt;"",L342&lt;TODAY()),"YA","")</f>
        <v/>
      </c>
      <c r="U342" s="23" t="str">
        <f aca="false">IF(B342="","",TEXT(B342,"yyyy-mm"))</f>
        <v/>
      </c>
      <c r="V342" s="23" t="str">
        <f aca="false">IF(K342="","",TEXT(K342,"yyyy-mm"))</f>
        <v/>
      </c>
      <c r="W342" s="23" t="n">
        <f aca="false">IF(OR(C342="Cetak",C342="Dikirim",C342="Selesai"),1,0)</f>
        <v>0</v>
      </c>
      <c r="X342" s="23" t="str">
        <f aca="false">IF(F342="","",SUBSTITUTE(SUBSTITUTE(MID(UPPER(TRIM(F342)),4,99),"-LED",""),"-TK",""))</f>
        <v/>
      </c>
      <c r="Y342" s="23" t="str">
        <f aca="false">IF(X342="","",(LEN(X342)+1)/7)</f>
        <v/>
      </c>
      <c r="Z342" s="23" t="str">
        <f aca="false">IF(X342="","",LEFT(X342,6))</f>
        <v/>
      </c>
      <c r="AA342" s="23" t="str">
        <f aca="false">IF(X342="","",IF(Y342&gt;=3,MID(X342,8,6),""))</f>
        <v/>
      </c>
      <c r="AB342" s="23" t="str">
        <f aca="false">IF(X342="","",IF(Y342&gt;=4,MID(X342,15,6),""))</f>
        <v/>
      </c>
      <c r="AC342" s="23" t="str">
        <f aca="false">IF(X342="","",IF(Y342&gt;=5,MID(X342,22,6),""))</f>
        <v/>
      </c>
      <c r="AD342" s="23" t="str">
        <f aca="false">IF(X342="","",RIGHT(X342,6))</f>
        <v/>
      </c>
      <c r="AE342" s="23" t="str">
        <f aca="false">IF(F342="","",IF(ISNUMBER(SEARCH("-TK",UPPER(F342))),0,1))</f>
        <v/>
      </c>
      <c r="AF342" s="23" t="str">
        <f aca="false">IF(F342="","",IF(ISNUMBER(SEARCH("-LED",UPPER(F342))),1,0))</f>
        <v/>
      </c>
      <c r="AG342" s="24" t="n">
        <f aca="false">IF(Z342="",0,IFERROR(INDEX(Resep!$C$5:$C$7,MATCH(LEFT(Z342,3),Resep!$B$5:$B$7,0)),0))</f>
        <v>0</v>
      </c>
      <c r="AH342" s="24" t="n">
        <f aca="false">IF(AA342="",0,IFERROR(INDEX(Resep!$C$9:$C$13,MATCH(LEFT(AA342,3),Resep!$B$9:$B$13,0)),0))</f>
        <v>0</v>
      </c>
      <c r="AI342" s="24" t="n">
        <f aca="false">IF(AB342="",0,IFERROR(INDEX(Resep!$C$9:$C$13,MATCH(LEFT(AB342,3),Resep!$B$9:$B$13,0)),0))</f>
        <v>0</v>
      </c>
      <c r="AJ342" s="24" t="n">
        <f aca="false">IF(AC342="",0,IFERROR(INDEX(Resep!$C$9:$C$13,MATCH(LEFT(AC342,3),Resep!$B$9:$B$13,0)),0))</f>
        <v>0</v>
      </c>
      <c r="AK342" s="24" t="n">
        <f aca="false">IF(AD342="",0,IFERROR(INDEX(Resep!$C$15:$C$18,MATCH(LEFT(AD342,3),Resep!$B$15:$B$18,0)),0))</f>
        <v>0</v>
      </c>
      <c r="AL342" s="24" t="str">
        <f aca="false">IF(X342="","",AG342+AH342+AI342+AJ342+AK342)</f>
        <v/>
      </c>
      <c r="AM342" s="22" t="str">
        <f aca="false">IF(X342="","",AL342*(Pengaturan!$B$6+Pengaturan!$B$7)+Pengaturan!$B$8+AE342*Pengaturan!$B$9+AF342*Pengaturan!$B$10)</f>
        <v/>
      </c>
      <c r="AN342" s="22" t="str">
        <f aca="false">IF(X342="","",N(G342)-AM342)</f>
        <v/>
      </c>
      <c r="AO342" s="25" t="str">
        <f aca="false">IF(OR(X342="",N(G342)=0),"",AN342/G342)</f>
        <v/>
      </c>
    </row>
    <row r="343" customFormat="false" ht="15" hidden="false" customHeight="false" outlineLevel="0" collapsed="false">
      <c r="A343" s="19"/>
      <c r="B343" s="20"/>
      <c r="C343" s="19"/>
      <c r="D343" s="19"/>
      <c r="E343" s="19"/>
      <c r="F343" s="19"/>
      <c r="G343" s="21"/>
      <c r="H343" s="19"/>
      <c r="I343" s="21"/>
      <c r="J343" s="19"/>
      <c r="K343" s="20"/>
      <c r="L343" s="20"/>
      <c r="M343" s="19"/>
      <c r="N343" s="19"/>
      <c r="O343" s="20"/>
      <c r="P343" s="20"/>
      <c r="Q343" s="19"/>
      <c r="R343" s="22" t="str">
        <f aca="false">IF(A343="","",N(G343)+N(I343))</f>
        <v/>
      </c>
      <c r="S343" s="23" t="str">
        <f aca="false">IF(OR(K343="",O343=""),"",O343-K343)</f>
        <v/>
      </c>
      <c r="T343" s="23" t="str">
        <f aca="true">IF(AND(C343="Cetak",L343&lt;&gt;"",L343&lt;TODAY()),"YA","")</f>
        <v/>
      </c>
      <c r="U343" s="23" t="str">
        <f aca="false">IF(B343="","",TEXT(B343,"yyyy-mm"))</f>
        <v/>
      </c>
      <c r="V343" s="23" t="str">
        <f aca="false">IF(K343="","",TEXT(K343,"yyyy-mm"))</f>
        <v/>
      </c>
      <c r="W343" s="23" t="n">
        <f aca="false">IF(OR(C343="Cetak",C343="Dikirim",C343="Selesai"),1,0)</f>
        <v>0</v>
      </c>
      <c r="X343" s="23" t="str">
        <f aca="false">IF(F343="","",SUBSTITUTE(SUBSTITUTE(MID(UPPER(TRIM(F343)),4,99),"-LED",""),"-TK",""))</f>
        <v/>
      </c>
      <c r="Y343" s="23" t="str">
        <f aca="false">IF(X343="","",(LEN(X343)+1)/7)</f>
        <v/>
      </c>
      <c r="Z343" s="23" t="str">
        <f aca="false">IF(X343="","",LEFT(X343,6))</f>
        <v/>
      </c>
      <c r="AA343" s="23" t="str">
        <f aca="false">IF(X343="","",IF(Y343&gt;=3,MID(X343,8,6),""))</f>
        <v/>
      </c>
      <c r="AB343" s="23" t="str">
        <f aca="false">IF(X343="","",IF(Y343&gt;=4,MID(X343,15,6),""))</f>
        <v/>
      </c>
      <c r="AC343" s="23" t="str">
        <f aca="false">IF(X343="","",IF(Y343&gt;=5,MID(X343,22,6),""))</f>
        <v/>
      </c>
      <c r="AD343" s="23" t="str">
        <f aca="false">IF(X343="","",RIGHT(X343,6))</f>
        <v/>
      </c>
      <c r="AE343" s="23" t="str">
        <f aca="false">IF(F343="","",IF(ISNUMBER(SEARCH("-TK",UPPER(F343))),0,1))</f>
        <v/>
      </c>
      <c r="AF343" s="23" t="str">
        <f aca="false">IF(F343="","",IF(ISNUMBER(SEARCH("-LED",UPPER(F343))),1,0))</f>
        <v/>
      </c>
      <c r="AG343" s="24" t="n">
        <f aca="false">IF(Z343="",0,IFERROR(INDEX(Resep!$C$5:$C$7,MATCH(LEFT(Z343,3),Resep!$B$5:$B$7,0)),0))</f>
        <v>0</v>
      </c>
      <c r="AH343" s="24" t="n">
        <f aca="false">IF(AA343="",0,IFERROR(INDEX(Resep!$C$9:$C$13,MATCH(LEFT(AA343,3),Resep!$B$9:$B$13,0)),0))</f>
        <v>0</v>
      </c>
      <c r="AI343" s="24" t="n">
        <f aca="false">IF(AB343="",0,IFERROR(INDEX(Resep!$C$9:$C$13,MATCH(LEFT(AB343,3),Resep!$B$9:$B$13,0)),0))</f>
        <v>0</v>
      </c>
      <c r="AJ343" s="24" t="n">
        <f aca="false">IF(AC343="",0,IFERROR(INDEX(Resep!$C$9:$C$13,MATCH(LEFT(AC343,3),Resep!$B$9:$B$13,0)),0))</f>
        <v>0</v>
      </c>
      <c r="AK343" s="24" t="n">
        <f aca="false">IF(AD343="",0,IFERROR(INDEX(Resep!$C$15:$C$18,MATCH(LEFT(AD343,3),Resep!$B$15:$B$18,0)),0))</f>
        <v>0</v>
      </c>
      <c r="AL343" s="24" t="str">
        <f aca="false">IF(X343="","",AG343+AH343+AI343+AJ343+AK343)</f>
        <v/>
      </c>
      <c r="AM343" s="22" t="str">
        <f aca="false">IF(X343="","",AL343*(Pengaturan!$B$6+Pengaturan!$B$7)+Pengaturan!$B$8+AE343*Pengaturan!$B$9+AF343*Pengaturan!$B$10)</f>
        <v/>
      </c>
      <c r="AN343" s="22" t="str">
        <f aca="false">IF(X343="","",N(G343)-AM343)</f>
        <v/>
      </c>
      <c r="AO343" s="25" t="str">
        <f aca="false">IF(OR(X343="",N(G343)=0),"",AN343/G343)</f>
        <v/>
      </c>
    </row>
    <row r="344" customFormat="false" ht="15" hidden="false" customHeight="false" outlineLevel="0" collapsed="false">
      <c r="A344" s="19"/>
      <c r="B344" s="20"/>
      <c r="C344" s="19"/>
      <c r="D344" s="19"/>
      <c r="E344" s="19"/>
      <c r="F344" s="19"/>
      <c r="G344" s="21"/>
      <c r="H344" s="19"/>
      <c r="I344" s="21"/>
      <c r="J344" s="19"/>
      <c r="K344" s="20"/>
      <c r="L344" s="20"/>
      <c r="M344" s="19"/>
      <c r="N344" s="19"/>
      <c r="O344" s="20"/>
      <c r="P344" s="20"/>
      <c r="Q344" s="19"/>
      <c r="R344" s="22" t="str">
        <f aca="false">IF(A344="","",N(G344)+N(I344))</f>
        <v/>
      </c>
      <c r="S344" s="23" t="str">
        <f aca="false">IF(OR(K344="",O344=""),"",O344-K344)</f>
        <v/>
      </c>
      <c r="T344" s="23" t="str">
        <f aca="true">IF(AND(C344="Cetak",L344&lt;&gt;"",L344&lt;TODAY()),"YA","")</f>
        <v/>
      </c>
      <c r="U344" s="23" t="str">
        <f aca="false">IF(B344="","",TEXT(B344,"yyyy-mm"))</f>
        <v/>
      </c>
      <c r="V344" s="23" t="str">
        <f aca="false">IF(K344="","",TEXT(K344,"yyyy-mm"))</f>
        <v/>
      </c>
      <c r="W344" s="23" t="n">
        <f aca="false">IF(OR(C344="Cetak",C344="Dikirim",C344="Selesai"),1,0)</f>
        <v>0</v>
      </c>
      <c r="X344" s="23" t="str">
        <f aca="false">IF(F344="","",SUBSTITUTE(SUBSTITUTE(MID(UPPER(TRIM(F344)),4,99),"-LED",""),"-TK",""))</f>
        <v/>
      </c>
      <c r="Y344" s="23" t="str">
        <f aca="false">IF(X344="","",(LEN(X344)+1)/7)</f>
        <v/>
      </c>
      <c r="Z344" s="23" t="str">
        <f aca="false">IF(X344="","",LEFT(X344,6))</f>
        <v/>
      </c>
      <c r="AA344" s="23" t="str">
        <f aca="false">IF(X344="","",IF(Y344&gt;=3,MID(X344,8,6),""))</f>
        <v/>
      </c>
      <c r="AB344" s="23" t="str">
        <f aca="false">IF(X344="","",IF(Y344&gt;=4,MID(X344,15,6),""))</f>
        <v/>
      </c>
      <c r="AC344" s="23" t="str">
        <f aca="false">IF(X344="","",IF(Y344&gt;=5,MID(X344,22,6),""))</f>
        <v/>
      </c>
      <c r="AD344" s="23" t="str">
        <f aca="false">IF(X344="","",RIGHT(X344,6))</f>
        <v/>
      </c>
      <c r="AE344" s="23" t="str">
        <f aca="false">IF(F344="","",IF(ISNUMBER(SEARCH("-TK",UPPER(F344))),0,1))</f>
        <v/>
      </c>
      <c r="AF344" s="23" t="str">
        <f aca="false">IF(F344="","",IF(ISNUMBER(SEARCH("-LED",UPPER(F344))),1,0))</f>
        <v/>
      </c>
      <c r="AG344" s="24" t="n">
        <f aca="false">IF(Z344="",0,IFERROR(INDEX(Resep!$C$5:$C$7,MATCH(LEFT(Z344,3),Resep!$B$5:$B$7,0)),0))</f>
        <v>0</v>
      </c>
      <c r="AH344" s="24" t="n">
        <f aca="false">IF(AA344="",0,IFERROR(INDEX(Resep!$C$9:$C$13,MATCH(LEFT(AA344,3),Resep!$B$9:$B$13,0)),0))</f>
        <v>0</v>
      </c>
      <c r="AI344" s="24" t="n">
        <f aca="false">IF(AB344="",0,IFERROR(INDEX(Resep!$C$9:$C$13,MATCH(LEFT(AB344,3),Resep!$B$9:$B$13,0)),0))</f>
        <v>0</v>
      </c>
      <c r="AJ344" s="24" t="n">
        <f aca="false">IF(AC344="",0,IFERROR(INDEX(Resep!$C$9:$C$13,MATCH(LEFT(AC344,3),Resep!$B$9:$B$13,0)),0))</f>
        <v>0</v>
      </c>
      <c r="AK344" s="24" t="n">
        <f aca="false">IF(AD344="",0,IFERROR(INDEX(Resep!$C$15:$C$18,MATCH(LEFT(AD344,3),Resep!$B$15:$B$18,0)),0))</f>
        <v>0</v>
      </c>
      <c r="AL344" s="24" t="str">
        <f aca="false">IF(X344="","",AG344+AH344+AI344+AJ344+AK344)</f>
        <v/>
      </c>
      <c r="AM344" s="22" t="str">
        <f aca="false">IF(X344="","",AL344*(Pengaturan!$B$6+Pengaturan!$B$7)+Pengaturan!$B$8+AE344*Pengaturan!$B$9+AF344*Pengaturan!$B$10)</f>
        <v/>
      </c>
      <c r="AN344" s="22" t="str">
        <f aca="false">IF(X344="","",N(G344)-AM344)</f>
        <v/>
      </c>
      <c r="AO344" s="25" t="str">
        <f aca="false">IF(OR(X344="",N(G344)=0),"",AN344/G344)</f>
        <v/>
      </c>
    </row>
    <row r="345" customFormat="false" ht="15" hidden="false" customHeight="false" outlineLevel="0" collapsed="false">
      <c r="A345" s="19"/>
      <c r="B345" s="20"/>
      <c r="C345" s="19"/>
      <c r="D345" s="19"/>
      <c r="E345" s="19"/>
      <c r="F345" s="19"/>
      <c r="G345" s="21"/>
      <c r="H345" s="19"/>
      <c r="I345" s="21"/>
      <c r="J345" s="19"/>
      <c r="K345" s="20"/>
      <c r="L345" s="20"/>
      <c r="M345" s="19"/>
      <c r="N345" s="19"/>
      <c r="O345" s="20"/>
      <c r="P345" s="20"/>
      <c r="Q345" s="19"/>
      <c r="R345" s="22" t="str">
        <f aca="false">IF(A345="","",N(G345)+N(I345))</f>
        <v/>
      </c>
      <c r="S345" s="23" t="str">
        <f aca="false">IF(OR(K345="",O345=""),"",O345-K345)</f>
        <v/>
      </c>
      <c r="T345" s="23" t="str">
        <f aca="true">IF(AND(C345="Cetak",L345&lt;&gt;"",L345&lt;TODAY()),"YA","")</f>
        <v/>
      </c>
      <c r="U345" s="23" t="str">
        <f aca="false">IF(B345="","",TEXT(B345,"yyyy-mm"))</f>
        <v/>
      </c>
      <c r="V345" s="23" t="str">
        <f aca="false">IF(K345="","",TEXT(K345,"yyyy-mm"))</f>
        <v/>
      </c>
      <c r="W345" s="23" t="n">
        <f aca="false">IF(OR(C345="Cetak",C345="Dikirim",C345="Selesai"),1,0)</f>
        <v>0</v>
      </c>
      <c r="X345" s="23" t="str">
        <f aca="false">IF(F345="","",SUBSTITUTE(SUBSTITUTE(MID(UPPER(TRIM(F345)),4,99),"-LED",""),"-TK",""))</f>
        <v/>
      </c>
      <c r="Y345" s="23" t="str">
        <f aca="false">IF(X345="","",(LEN(X345)+1)/7)</f>
        <v/>
      </c>
      <c r="Z345" s="23" t="str">
        <f aca="false">IF(X345="","",LEFT(X345,6))</f>
        <v/>
      </c>
      <c r="AA345" s="23" t="str">
        <f aca="false">IF(X345="","",IF(Y345&gt;=3,MID(X345,8,6),""))</f>
        <v/>
      </c>
      <c r="AB345" s="23" t="str">
        <f aca="false">IF(X345="","",IF(Y345&gt;=4,MID(X345,15,6),""))</f>
        <v/>
      </c>
      <c r="AC345" s="23" t="str">
        <f aca="false">IF(X345="","",IF(Y345&gt;=5,MID(X345,22,6),""))</f>
        <v/>
      </c>
      <c r="AD345" s="23" t="str">
        <f aca="false">IF(X345="","",RIGHT(X345,6))</f>
        <v/>
      </c>
      <c r="AE345" s="23" t="str">
        <f aca="false">IF(F345="","",IF(ISNUMBER(SEARCH("-TK",UPPER(F345))),0,1))</f>
        <v/>
      </c>
      <c r="AF345" s="23" t="str">
        <f aca="false">IF(F345="","",IF(ISNUMBER(SEARCH("-LED",UPPER(F345))),1,0))</f>
        <v/>
      </c>
      <c r="AG345" s="24" t="n">
        <f aca="false">IF(Z345="",0,IFERROR(INDEX(Resep!$C$5:$C$7,MATCH(LEFT(Z345,3),Resep!$B$5:$B$7,0)),0))</f>
        <v>0</v>
      </c>
      <c r="AH345" s="24" t="n">
        <f aca="false">IF(AA345="",0,IFERROR(INDEX(Resep!$C$9:$C$13,MATCH(LEFT(AA345,3),Resep!$B$9:$B$13,0)),0))</f>
        <v>0</v>
      </c>
      <c r="AI345" s="24" t="n">
        <f aca="false">IF(AB345="",0,IFERROR(INDEX(Resep!$C$9:$C$13,MATCH(LEFT(AB345,3),Resep!$B$9:$B$13,0)),0))</f>
        <v>0</v>
      </c>
      <c r="AJ345" s="24" t="n">
        <f aca="false">IF(AC345="",0,IFERROR(INDEX(Resep!$C$9:$C$13,MATCH(LEFT(AC345,3),Resep!$B$9:$B$13,0)),0))</f>
        <v>0</v>
      </c>
      <c r="AK345" s="24" t="n">
        <f aca="false">IF(AD345="",0,IFERROR(INDEX(Resep!$C$15:$C$18,MATCH(LEFT(AD345,3),Resep!$B$15:$B$18,0)),0))</f>
        <v>0</v>
      </c>
      <c r="AL345" s="24" t="str">
        <f aca="false">IF(X345="","",AG345+AH345+AI345+AJ345+AK345)</f>
        <v/>
      </c>
      <c r="AM345" s="22" t="str">
        <f aca="false">IF(X345="","",AL345*(Pengaturan!$B$6+Pengaturan!$B$7)+Pengaturan!$B$8+AE345*Pengaturan!$B$9+AF345*Pengaturan!$B$10)</f>
        <v/>
      </c>
      <c r="AN345" s="22" t="str">
        <f aca="false">IF(X345="","",N(G345)-AM345)</f>
        <v/>
      </c>
      <c r="AO345" s="25" t="str">
        <f aca="false">IF(OR(X345="",N(G345)=0),"",AN345/G345)</f>
        <v/>
      </c>
    </row>
    <row r="346" customFormat="false" ht="15" hidden="false" customHeight="false" outlineLevel="0" collapsed="false">
      <c r="A346" s="19"/>
      <c r="B346" s="20"/>
      <c r="C346" s="19"/>
      <c r="D346" s="19"/>
      <c r="E346" s="19"/>
      <c r="F346" s="19"/>
      <c r="G346" s="21"/>
      <c r="H346" s="19"/>
      <c r="I346" s="21"/>
      <c r="J346" s="19"/>
      <c r="K346" s="20"/>
      <c r="L346" s="20"/>
      <c r="M346" s="19"/>
      <c r="N346" s="19"/>
      <c r="O346" s="20"/>
      <c r="P346" s="20"/>
      <c r="Q346" s="19"/>
      <c r="R346" s="22" t="str">
        <f aca="false">IF(A346="","",N(G346)+N(I346))</f>
        <v/>
      </c>
      <c r="S346" s="23" t="str">
        <f aca="false">IF(OR(K346="",O346=""),"",O346-K346)</f>
        <v/>
      </c>
      <c r="T346" s="23" t="str">
        <f aca="true">IF(AND(C346="Cetak",L346&lt;&gt;"",L346&lt;TODAY()),"YA","")</f>
        <v/>
      </c>
      <c r="U346" s="23" t="str">
        <f aca="false">IF(B346="","",TEXT(B346,"yyyy-mm"))</f>
        <v/>
      </c>
      <c r="V346" s="23" t="str">
        <f aca="false">IF(K346="","",TEXT(K346,"yyyy-mm"))</f>
        <v/>
      </c>
      <c r="W346" s="23" t="n">
        <f aca="false">IF(OR(C346="Cetak",C346="Dikirim",C346="Selesai"),1,0)</f>
        <v>0</v>
      </c>
      <c r="X346" s="23" t="str">
        <f aca="false">IF(F346="","",SUBSTITUTE(SUBSTITUTE(MID(UPPER(TRIM(F346)),4,99),"-LED",""),"-TK",""))</f>
        <v/>
      </c>
      <c r="Y346" s="23" t="str">
        <f aca="false">IF(X346="","",(LEN(X346)+1)/7)</f>
        <v/>
      </c>
      <c r="Z346" s="23" t="str">
        <f aca="false">IF(X346="","",LEFT(X346,6))</f>
        <v/>
      </c>
      <c r="AA346" s="23" t="str">
        <f aca="false">IF(X346="","",IF(Y346&gt;=3,MID(X346,8,6),""))</f>
        <v/>
      </c>
      <c r="AB346" s="23" t="str">
        <f aca="false">IF(X346="","",IF(Y346&gt;=4,MID(X346,15,6),""))</f>
        <v/>
      </c>
      <c r="AC346" s="23" t="str">
        <f aca="false">IF(X346="","",IF(Y346&gt;=5,MID(X346,22,6),""))</f>
        <v/>
      </c>
      <c r="AD346" s="23" t="str">
        <f aca="false">IF(X346="","",RIGHT(X346,6))</f>
        <v/>
      </c>
      <c r="AE346" s="23" t="str">
        <f aca="false">IF(F346="","",IF(ISNUMBER(SEARCH("-TK",UPPER(F346))),0,1))</f>
        <v/>
      </c>
      <c r="AF346" s="23" t="str">
        <f aca="false">IF(F346="","",IF(ISNUMBER(SEARCH("-LED",UPPER(F346))),1,0))</f>
        <v/>
      </c>
      <c r="AG346" s="24" t="n">
        <f aca="false">IF(Z346="",0,IFERROR(INDEX(Resep!$C$5:$C$7,MATCH(LEFT(Z346,3),Resep!$B$5:$B$7,0)),0))</f>
        <v>0</v>
      </c>
      <c r="AH346" s="24" t="n">
        <f aca="false">IF(AA346="",0,IFERROR(INDEX(Resep!$C$9:$C$13,MATCH(LEFT(AA346,3),Resep!$B$9:$B$13,0)),0))</f>
        <v>0</v>
      </c>
      <c r="AI346" s="24" t="n">
        <f aca="false">IF(AB346="",0,IFERROR(INDEX(Resep!$C$9:$C$13,MATCH(LEFT(AB346,3),Resep!$B$9:$B$13,0)),0))</f>
        <v>0</v>
      </c>
      <c r="AJ346" s="24" t="n">
        <f aca="false">IF(AC346="",0,IFERROR(INDEX(Resep!$C$9:$C$13,MATCH(LEFT(AC346,3),Resep!$B$9:$B$13,0)),0))</f>
        <v>0</v>
      </c>
      <c r="AK346" s="24" t="n">
        <f aca="false">IF(AD346="",0,IFERROR(INDEX(Resep!$C$15:$C$18,MATCH(LEFT(AD346,3),Resep!$B$15:$B$18,0)),0))</f>
        <v>0</v>
      </c>
      <c r="AL346" s="24" t="str">
        <f aca="false">IF(X346="","",AG346+AH346+AI346+AJ346+AK346)</f>
        <v/>
      </c>
      <c r="AM346" s="22" t="str">
        <f aca="false">IF(X346="","",AL346*(Pengaturan!$B$6+Pengaturan!$B$7)+Pengaturan!$B$8+AE346*Pengaturan!$B$9+AF346*Pengaturan!$B$10)</f>
        <v/>
      </c>
      <c r="AN346" s="22" t="str">
        <f aca="false">IF(X346="","",N(G346)-AM346)</f>
        <v/>
      </c>
      <c r="AO346" s="25" t="str">
        <f aca="false">IF(OR(X346="",N(G346)=0),"",AN346/G346)</f>
        <v/>
      </c>
    </row>
    <row r="347" customFormat="false" ht="15" hidden="false" customHeight="false" outlineLevel="0" collapsed="false">
      <c r="A347" s="19"/>
      <c r="B347" s="20"/>
      <c r="C347" s="19"/>
      <c r="D347" s="19"/>
      <c r="E347" s="19"/>
      <c r="F347" s="19"/>
      <c r="G347" s="21"/>
      <c r="H347" s="19"/>
      <c r="I347" s="21"/>
      <c r="J347" s="19"/>
      <c r="K347" s="20"/>
      <c r="L347" s="20"/>
      <c r="M347" s="19"/>
      <c r="N347" s="19"/>
      <c r="O347" s="20"/>
      <c r="P347" s="20"/>
      <c r="Q347" s="19"/>
      <c r="R347" s="22" t="str">
        <f aca="false">IF(A347="","",N(G347)+N(I347))</f>
        <v/>
      </c>
      <c r="S347" s="23" t="str">
        <f aca="false">IF(OR(K347="",O347=""),"",O347-K347)</f>
        <v/>
      </c>
      <c r="T347" s="23" t="str">
        <f aca="true">IF(AND(C347="Cetak",L347&lt;&gt;"",L347&lt;TODAY()),"YA","")</f>
        <v/>
      </c>
      <c r="U347" s="23" t="str">
        <f aca="false">IF(B347="","",TEXT(B347,"yyyy-mm"))</f>
        <v/>
      </c>
      <c r="V347" s="23" t="str">
        <f aca="false">IF(K347="","",TEXT(K347,"yyyy-mm"))</f>
        <v/>
      </c>
      <c r="W347" s="23" t="n">
        <f aca="false">IF(OR(C347="Cetak",C347="Dikirim",C347="Selesai"),1,0)</f>
        <v>0</v>
      </c>
      <c r="X347" s="23" t="str">
        <f aca="false">IF(F347="","",SUBSTITUTE(SUBSTITUTE(MID(UPPER(TRIM(F347)),4,99),"-LED",""),"-TK",""))</f>
        <v/>
      </c>
      <c r="Y347" s="23" t="str">
        <f aca="false">IF(X347="","",(LEN(X347)+1)/7)</f>
        <v/>
      </c>
      <c r="Z347" s="23" t="str">
        <f aca="false">IF(X347="","",LEFT(X347,6))</f>
        <v/>
      </c>
      <c r="AA347" s="23" t="str">
        <f aca="false">IF(X347="","",IF(Y347&gt;=3,MID(X347,8,6),""))</f>
        <v/>
      </c>
      <c r="AB347" s="23" t="str">
        <f aca="false">IF(X347="","",IF(Y347&gt;=4,MID(X347,15,6),""))</f>
        <v/>
      </c>
      <c r="AC347" s="23" t="str">
        <f aca="false">IF(X347="","",IF(Y347&gt;=5,MID(X347,22,6),""))</f>
        <v/>
      </c>
      <c r="AD347" s="23" t="str">
        <f aca="false">IF(X347="","",RIGHT(X347,6))</f>
        <v/>
      </c>
      <c r="AE347" s="23" t="str">
        <f aca="false">IF(F347="","",IF(ISNUMBER(SEARCH("-TK",UPPER(F347))),0,1))</f>
        <v/>
      </c>
      <c r="AF347" s="23" t="str">
        <f aca="false">IF(F347="","",IF(ISNUMBER(SEARCH("-LED",UPPER(F347))),1,0))</f>
        <v/>
      </c>
      <c r="AG347" s="24" t="n">
        <f aca="false">IF(Z347="",0,IFERROR(INDEX(Resep!$C$5:$C$7,MATCH(LEFT(Z347,3),Resep!$B$5:$B$7,0)),0))</f>
        <v>0</v>
      </c>
      <c r="AH347" s="24" t="n">
        <f aca="false">IF(AA347="",0,IFERROR(INDEX(Resep!$C$9:$C$13,MATCH(LEFT(AA347,3),Resep!$B$9:$B$13,0)),0))</f>
        <v>0</v>
      </c>
      <c r="AI347" s="24" t="n">
        <f aca="false">IF(AB347="",0,IFERROR(INDEX(Resep!$C$9:$C$13,MATCH(LEFT(AB347,3),Resep!$B$9:$B$13,0)),0))</f>
        <v>0</v>
      </c>
      <c r="AJ347" s="24" t="n">
        <f aca="false">IF(AC347="",0,IFERROR(INDEX(Resep!$C$9:$C$13,MATCH(LEFT(AC347,3),Resep!$B$9:$B$13,0)),0))</f>
        <v>0</v>
      </c>
      <c r="AK347" s="24" t="n">
        <f aca="false">IF(AD347="",0,IFERROR(INDEX(Resep!$C$15:$C$18,MATCH(LEFT(AD347,3),Resep!$B$15:$B$18,0)),0))</f>
        <v>0</v>
      </c>
      <c r="AL347" s="24" t="str">
        <f aca="false">IF(X347="","",AG347+AH347+AI347+AJ347+AK347)</f>
        <v/>
      </c>
      <c r="AM347" s="22" t="str">
        <f aca="false">IF(X347="","",AL347*(Pengaturan!$B$6+Pengaturan!$B$7)+Pengaturan!$B$8+AE347*Pengaturan!$B$9+AF347*Pengaturan!$B$10)</f>
        <v/>
      </c>
      <c r="AN347" s="22" t="str">
        <f aca="false">IF(X347="","",N(G347)-AM347)</f>
        <v/>
      </c>
      <c r="AO347" s="25" t="str">
        <f aca="false">IF(OR(X347="",N(G347)=0),"",AN347/G347)</f>
        <v/>
      </c>
    </row>
    <row r="348" customFormat="false" ht="15" hidden="false" customHeight="false" outlineLevel="0" collapsed="false">
      <c r="A348" s="19"/>
      <c r="B348" s="20"/>
      <c r="C348" s="19"/>
      <c r="D348" s="19"/>
      <c r="E348" s="19"/>
      <c r="F348" s="19"/>
      <c r="G348" s="21"/>
      <c r="H348" s="19"/>
      <c r="I348" s="21"/>
      <c r="J348" s="19"/>
      <c r="K348" s="20"/>
      <c r="L348" s="20"/>
      <c r="M348" s="19"/>
      <c r="N348" s="19"/>
      <c r="O348" s="20"/>
      <c r="P348" s="20"/>
      <c r="Q348" s="19"/>
      <c r="R348" s="22" t="str">
        <f aca="false">IF(A348="","",N(G348)+N(I348))</f>
        <v/>
      </c>
      <c r="S348" s="23" t="str">
        <f aca="false">IF(OR(K348="",O348=""),"",O348-K348)</f>
        <v/>
      </c>
      <c r="T348" s="23" t="str">
        <f aca="true">IF(AND(C348="Cetak",L348&lt;&gt;"",L348&lt;TODAY()),"YA","")</f>
        <v/>
      </c>
      <c r="U348" s="23" t="str">
        <f aca="false">IF(B348="","",TEXT(B348,"yyyy-mm"))</f>
        <v/>
      </c>
      <c r="V348" s="23" t="str">
        <f aca="false">IF(K348="","",TEXT(K348,"yyyy-mm"))</f>
        <v/>
      </c>
      <c r="W348" s="23" t="n">
        <f aca="false">IF(OR(C348="Cetak",C348="Dikirim",C348="Selesai"),1,0)</f>
        <v>0</v>
      </c>
      <c r="X348" s="23" t="str">
        <f aca="false">IF(F348="","",SUBSTITUTE(SUBSTITUTE(MID(UPPER(TRIM(F348)),4,99),"-LED",""),"-TK",""))</f>
        <v/>
      </c>
      <c r="Y348" s="23" t="str">
        <f aca="false">IF(X348="","",(LEN(X348)+1)/7)</f>
        <v/>
      </c>
      <c r="Z348" s="23" t="str">
        <f aca="false">IF(X348="","",LEFT(X348,6))</f>
        <v/>
      </c>
      <c r="AA348" s="23" t="str">
        <f aca="false">IF(X348="","",IF(Y348&gt;=3,MID(X348,8,6),""))</f>
        <v/>
      </c>
      <c r="AB348" s="23" t="str">
        <f aca="false">IF(X348="","",IF(Y348&gt;=4,MID(X348,15,6),""))</f>
        <v/>
      </c>
      <c r="AC348" s="23" t="str">
        <f aca="false">IF(X348="","",IF(Y348&gt;=5,MID(X348,22,6),""))</f>
        <v/>
      </c>
      <c r="AD348" s="23" t="str">
        <f aca="false">IF(X348="","",RIGHT(X348,6))</f>
        <v/>
      </c>
      <c r="AE348" s="23" t="str">
        <f aca="false">IF(F348="","",IF(ISNUMBER(SEARCH("-TK",UPPER(F348))),0,1))</f>
        <v/>
      </c>
      <c r="AF348" s="23" t="str">
        <f aca="false">IF(F348="","",IF(ISNUMBER(SEARCH("-LED",UPPER(F348))),1,0))</f>
        <v/>
      </c>
      <c r="AG348" s="24" t="n">
        <f aca="false">IF(Z348="",0,IFERROR(INDEX(Resep!$C$5:$C$7,MATCH(LEFT(Z348,3),Resep!$B$5:$B$7,0)),0))</f>
        <v>0</v>
      </c>
      <c r="AH348" s="24" t="n">
        <f aca="false">IF(AA348="",0,IFERROR(INDEX(Resep!$C$9:$C$13,MATCH(LEFT(AA348,3),Resep!$B$9:$B$13,0)),0))</f>
        <v>0</v>
      </c>
      <c r="AI348" s="24" t="n">
        <f aca="false">IF(AB348="",0,IFERROR(INDEX(Resep!$C$9:$C$13,MATCH(LEFT(AB348,3),Resep!$B$9:$B$13,0)),0))</f>
        <v>0</v>
      </c>
      <c r="AJ348" s="24" t="n">
        <f aca="false">IF(AC348="",0,IFERROR(INDEX(Resep!$C$9:$C$13,MATCH(LEFT(AC348,3),Resep!$B$9:$B$13,0)),0))</f>
        <v>0</v>
      </c>
      <c r="AK348" s="24" t="n">
        <f aca="false">IF(AD348="",0,IFERROR(INDEX(Resep!$C$15:$C$18,MATCH(LEFT(AD348,3),Resep!$B$15:$B$18,0)),0))</f>
        <v>0</v>
      </c>
      <c r="AL348" s="24" t="str">
        <f aca="false">IF(X348="","",AG348+AH348+AI348+AJ348+AK348)</f>
        <v/>
      </c>
      <c r="AM348" s="22" t="str">
        <f aca="false">IF(X348="","",AL348*(Pengaturan!$B$6+Pengaturan!$B$7)+Pengaturan!$B$8+AE348*Pengaturan!$B$9+AF348*Pengaturan!$B$10)</f>
        <v/>
      </c>
      <c r="AN348" s="22" t="str">
        <f aca="false">IF(X348="","",N(G348)-AM348)</f>
        <v/>
      </c>
      <c r="AO348" s="25" t="str">
        <f aca="false">IF(OR(X348="",N(G348)=0),"",AN348/G348)</f>
        <v/>
      </c>
    </row>
    <row r="349" customFormat="false" ht="15" hidden="false" customHeight="false" outlineLevel="0" collapsed="false">
      <c r="A349" s="19"/>
      <c r="B349" s="20"/>
      <c r="C349" s="19"/>
      <c r="D349" s="19"/>
      <c r="E349" s="19"/>
      <c r="F349" s="19"/>
      <c r="G349" s="21"/>
      <c r="H349" s="19"/>
      <c r="I349" s="21"/>
      <c r="J349" s="19"/>
      <c r="K349" s="20"/>
      <c r="L349" s="20"/>
      <c r="M349" s="19"/>
      <c r="N349" s="19"/>
      <c r="O349" s="20"/>
      <c r="P349" s="20"/>
      <c r="Q349" s="19"/>
      <c r="R349" s="22" t="str">
        <f aca="false">IF(A349="","",N(G349)+N(I349))</f>
        <v/>
      </c>
      <c r="S349" s="23" t="str">
        <f aca="false">IF(OR(K349="",O349=""),"",O349-K349)</f>
        <v/>
      </c>
      <c r="T349" s="23" t="str">
        <f aca="true">IF(AND(C349="Cetak",L349&lt;&gt;"",L349&lt;TODAY()),"YA","")</f>
        <v/>
      </c>
      <c r="U349" s="23" t="str">
        <f aca="false">IF(B349="","",TEXT(B349,"yyyy-mm"))</f>
        <v/>
      </c>
      <c r="V349" s="23" t="str">
        <f aca="false">IF(K349="","",TEXT(K349,"yyyy-mm"))</f>
        <v/>
      </c>
      <c r="W349" s="23" t="n">
        <f aca="false">IF(OR(C349="Cetak",C349="Dikirim",C349="Selesai"),1,0)</f>
        <v>0</v>
      </c>
      <c r="X349" s="23" t="str">
        <f aca="false">IF(F349="","",SUBSTITUTE(SUBSTITUTE(MID(UPPER(TRIM(F349)),4,99),"-LED",""),"-TK",""))</f>
        <v/>
      </c>
      <c r="Y349" s="23" t="str">
        <f aca="false">IF(X349="","",(LEN(X349)+1)/7)</f>
        <v/>
      </c>
      <c r="Z349" s="23" t="str">
        <f aca="false">IF(X349="","",LEFT(X349,6))</f>
        <v/>
      </c>
      <c r="AA349" s="23" t="str">
        <f aca="false">IF(X349="","",IF(Y349&gt;=3,MID(X349,8,6),""))</f>
        <v/>
      </c>
      <c r="AB349" s="23" t="str">
        <f aca="false">IF(X349="","",IF(Y349&gt;=4,MID(X349,15,6),""))</f>
        <v/>
      </c>
      <c r="AC349" s="23" t="str">
        <f aca="false">IF(X349="","",IF(Y349&gt;=5,MID(X349,22,6),""))</f>
        <v/>
      </c>
      <c r="AD349" s="23" t="str">
        <f aca="false">IF(X349="","",RIGHT(X349,6))</f>
        <v/>
      </c>
      <c r="AE349" s="23" t="str">
        <f aca="false">IF(F349="","",IF(ISNUMBER(SEARCH("-TK",UPPER(F349))),0,1))</f>
        <v/>
      </c>
      <c r="AF349" s="23" t="str">
        <f aca="false">IF(F349="","",IF(ISNUMBER(SEARCH("-LED",UPPER(F349))),1,0))</f>
        <v/>
      </c>
      <c r="AG349" s="24" t="n">
        <f aca="false">IF(Z349="",0,IFERROR(INDEX(Resep!$C$5:$C$7,MATCH(LEFT(Z349,3),Resep!$B$5:$B$7,0)),0))</f>
        <v>0</v>
      </c>
      <c r="AH349" s="24" t="n">
        <f aca="false">IF(AA349="",0,IFERROR(INDEX(Resep!$C$9:$C$13,MATCH(LEFT(AA349,3),Resep!$B$9:$B$13,0)),0))</f>
        <v>0</v>
      </c>
      <c r="AI349" s="24" t="n">
        <f aca="false">IF(AB349="",0,IFERROR(INDEX(Resep!$C$9:$C$13,MATCH(LEFT(AB349,3),Resep!$B$9:$B$13,0)),0))</f>
        <v>0</v>
      </c>
      <c r="AJ349" s="24" t="n">
        <f aca="false">IF(AC349="",0,IFERROR(INDEX(Resep!$C$9:$C$13,MATCH(LEFT(AC349,3),Resep!$B$9:$B$13,0)),0))</f>
        <v>0</v>
      </c>
      <c r="AK349" s="24" t="n">
        <f aca="false">IF(AD349="",0,IFERROR(INDEX(Resep!$C$15:$C$18,MATCH(LEFT(AD349,3),Resep!$B$15:$B$18,0)),0))</f>
        <v>0</v>
      </c>
      <c r="AL349" s="24" t="str">
        <f aca="false">IF(X349="","",AG349+AH349+AI349+AJ349+AK349)</f>
        <v/>
      </c>
      <c r="AM349" s="22" t="str">
        <f aca="false">IF(X349="","",AL349*(Pengaturan!$B$6+Pengaturan!$B$7)+Pengaturan!$B$8+AE349*Pengaturan!$B$9+AF349*Pengaturan!$B$10)</f>
        <v/>
      </c>
      <c r="AN349" s="22" t="str">
        <f aca="false">IF(X349="","",N(G349)-AM349)</f>
        <v/>
      </c>
      <c r="AO349" s="25" t="str">
        <f aca="false">IF(OR(X349="",N(G349)=0),"",AN349/G349)</f>
        <v/>
      </c>
    </row>
    <row r="350" customFormat="false" ht="15" hidden="false" customHeight="false" outlineLevel="0" collapsed="false">
      <c r="A350" s="19"/>
      <c r="B350" s="20"/>
      <c r="C350" s="19"/>
      <c r="D350" s="19"/>
      <c r="E350" s="19"/>
      <c r="F350" s="19"/>
      <c r="G350" s="21"/>
      <c r="H350" s="19"/>
      <c r="I350" s="21"/>
      <c r="J350" s="19"/>
      <c r="K350" s="20"/>
      <c r="L350" s="20"/>
      <c r="M350" s="19"/>
      <c r="N350" s="19"/>
      <c r="O350" s="20"/>
      <c r="P350" s="20"/>
      <c r="Q350" s="19"/>
      <c r="R350" s="22" t="str">
        <f aca="false">IF(A350="","",N(G350)+N(I350))</f>
        <v/>
      </c>
      <c r="S350" s="23" t="str">
        <f aca="false">IF(OR(K350="",O350=""),"",O350-K350)</f>
        <v/>
      </c>
      <c r="T350" s="23" t="str">
        <f aca="true">IF(AND(C350="Cetak",L350&lt;&gt;"",L350&lt;TODAY()),"YA","")</f>
        <v/>
      </c>
      <c r="U350" s="23" t="str">
        <f aca="false">IF(B350="","",TEXT(B350,"yyyy-mm"))</f>
        <v/>
      </c>
      <c r="V350" s="23" t="str">
        <f aca="false">IF(K350="","",TEXT(K350,"yyyy-mm"))</f>
        <v/>
      </c>
      <c r="W350" s="23" t="n">
        <f aca="false">IF(OR(C350="Cetak",C350="Dikirim",C350="Selesai"),1,0)</f>
        <v>0</v>
      </c>
      <c r="X350" s="23" t="str">
        <f aca="false">IF(F350="","",SUBSTITUTE(SUBSTITUTE(MID(UPPER(TRIM(F350)),4,99),"-LED",""),"-TK",""))</f>
        <v/>
      </c>
      <c r="Y350" s="23" t="str">
        <f aca="false">IF(X350="","",(LEN(X350)+1)/7)</f>
        <v/>
      </c>
      <c r="Z350" s="23" t="str">
        <f aca="false">IF(X350="","",LEFT(X350,6))</f>
        <v/>
      </c>
      <c r="AA350" s="23" t="str">
        <f aca="false">IF(X350="","",IF(Y350&gt;=3,MID(X350,8,6),""))</f>
        <v/>
      </c>
      <c r="AB350" s="23" t="str">
        <f aca="false">IF(X350="","",IF(Y350&gt;=4,MID(X350,15,6),""))</f>
        <v/>
      </c>
      <c r="AC350" s="23" t="str">
        <f aca="false">IF(X350="","",IF(Y350&gt;=5,MID(X350,22,6),""))</f>
        <v/>
      </c>
      <c r="AD350" s="23" t="str">
        <f aca="false">IF(X350="","",RIGHT(X350,6))</f>
        <v/>
      </c>
      <c r="AE350" s="23" t="str">
        <f aca="false">IF(F350="","",IF(ISNUMBER(SEARCH("-TK",UPPER(F350))),0,1))</f>
        <v/>
      </c>
      <c r="AF350" s="23" t="str">
        <f aca="false">IF(F350="","",IF(ISNUMBER(SEARCH("-LED",UPPER(F350))),1,0))</f>
        <v/>
      </c>
      <c r="AG350" s="24" t="n">
        <f aca="false">IF(Z350="",0,IFERROR(INDEX(Resep!$C$5:$C$7,MATCH(LEFT(Z350,3),Resep!$B$5:$B$7,0)),0))</f>
        <v>0</v>
      </c>
      <c r="AH350" s="24" t="n">
        <f aca="false">IF(AA350="",0,IFERROR(INDEX(Resep!$C$9:$C$13,MATCH(LEFT(AA350,3),Resep!$B$9:$B$13,0)),0))</f>
        <v>0</v>
      </c>
      <c r="AI350" s="24" t="n">
        <f aca="false">IF(AB350="",0,IFERROR(INDEX(Resep!$C$9:$C$13,MATCH(LEFT(AB350,3),Resep!$B$9:$B$13,0)),0))</f>
        <v>0</v>
      </c>
      <c r="AJ350" s="24" t="n">
        <f aca="false">IF(AC350="",0,IFERROR(INDEX(Resep!$C$9:$C$13,MATCH(LEFT(AC350,3),Resep!$B$9:$B$13,0)),0))</f>
        <v>0</v>
      </c>
      <c r="AK350" s="24" t="n">
        <f aca="false">IF(AD350="",0,IFERROR(INDEX(Resep!$C$15:$C$18,MATCH(LEFT(AD350,3),Resep!$B$15:$B$18,0)),0))</f>
        <v>0</v>
      </c>
      <c r="AL350" s="24" t="str">
        <f aca="false">IF(X350="","",AG350+AH350+AI350+AJ350+AK350)</f>
        <v/>
      </c>
      <c r="AM350" s="22" t="str">
        <f aca="false">IF(X350="","",AL350*(Pengaturan!$B$6+Pengaturan!$B$7)+Pengaturan!$B$8+AE350*Pengaturan!$B$9+AF350*Pengaturan!$B$10)</f>
        <v/>
      </c>
      <c r="AN350" s="22" t="str">
        <f aca="false">IF(X350="","",N(G350)-AM350)</f>
        <v/>
      </c>
      <c r="AO350" s="25" t="str">
        <f aca="false">IF(OR(X350="",N(G350)=0),"",AN350/G350)</f>
        <v/>
      </c>
    </row>
    <row r="351" customFormat="false" ht="15" hidden="false" customHeight="false" outlineLevel="0" collapsed="false">
      <c r="A351" s="19"/>
      <c r="B351" s="20"/>
      <c r="C351" s="19"/>
      <c r="D351" s="19"/>
      <c r="E351" s="19"/>
      <c r="F351" s="19"/>
      <c r="G351" s="21"/>
      <c r="H351" s="19"/>
      <c r="I351" s="21"/>
      <c r="J351" s="19"/>
      <c r="K351" s="20"/>
      <c r="L351" s="20"/>
      <c r="M351" s="19"/>
      <c r="N351" s="19"/>
      <c r="O351" s="20"/>
      <c r="P351" s="20"/>
      <c r="Q351" s="19"/>
      <c r="R351" s="22" t="str">
        <f aca="false">IF(A351="","",N(G351)+N(I351))</f>
        <v/>
      </c>
      <c r="S351" s="23" t="str">
        <f aca="false">IF(OR(K351="",O351=""),"",O351-K351)</f>
        <v/>
      </c>
      <c r="T351" s="23" t="str">
        <f aca="true">IF(AND(C351="Cetak",L351&lt;&gt;"",L351&lt;TODAY()),"YA","")</f>
        <v/>
      </c>
      <c r="U351" s="23" t="str">
        <f aca="false">IF(B351="","",TEXT(B351,"yyyy-mm"))</f>
        <v/>
      </c>
      <c r="V351" s="23" t="str">
        <f aca="false">IF(K351="","",TEXT(K351,"yyyy-mm"))</f>
        <v/>
      </c>
      <c r="W351" s="23" t="n">
        <f aca="false">IF(OR(C351="Cetak",C351="Dikirim",C351="Selesai"),1,0)</f>
        <v>0</v>
      </c>
      <c r="X351" s="23" t="str">
        <f aca="false">IF(F351="","",SUBSTITUTE(SUBSTITUTE(MID(UPPER(TRIM(F351)),4,99),"-LED",""),"-TK",""))</f>
        <v/>
      </c>
      <c r="Y351" s="23" t="str">
        <f aca="false">IF(X351="","",(LEN(X351)+1)/7)</f>
        <v/>
      </c>
      <c r="Z351" s="23" t="str">
        <f aca="false">IF(X351="","",LEFT(X351,6))</f>
        <v/>
      </c>
      <c r="AA351" s="23" t="str">
        <f aca="false">IF(X351="","",IF(Y351&gt;=3,MID(X351,8,6),""))</f>
        <v/>
      </c>
      <c r="AB351" s="23" t="str">
        <f aca="false">IF(X351="","",IF(Y351&gt;=4,MID(X351,15,6),""))</f>
        <v/>
      </c>
      <c r="AC351" s="23" t="str">
        <f aca="false">IF(X351="","",IF(Y351&gt;=5,MID(X351,22,6),""))</f>
        <v/>
      </c>
      <c r="AD351" s="23" t="str">
        <f aca="false">IF(X351="","",RIGHT(X351,6))</f>
        <v/>
      </c>
      <c r="AE351" s="23" t="str">
        <f aca="false">IF(F351="","",IF(ISNUMBER(SEARCH("-TK",UPPER(F351))),0,1))</f>
        <v/>
      </c>
      <c r="AF351" s="23" t="str">
        <f aca="false">IF(F351="","",IF(ISNUMBER(SEARCH("-LED",UPPER(F351))),1,0))</f>
        <v/>
      </c>
      <c r="AG351" s="24" t="n">
        <f aca="false">IF(Z351="",0,IFERROR(INDEX(Resep!$C$5:$C$7,MATCH(LEFT(Z351,3),Resep!$B$5:$B$7,0)),0))</f>
        <v>0</v>
      </c>
      <c r="AH351" s="24" t="n">
        <f aca="false">IF(AA351="",0,IFERROR(INDEX(Resep!$C$9:$C$13,MATCH(LEFT(AA351,3),Resep!$B$9:$B$13,0)),0))</f>
        <v>0</v>
      </c>
      <c r="AI351" s="24" t="n">
        <f aca="false">IF(AB351="",0,IFERROR(INDEX(Resep!$C$9:$C$13,MATCH(LEFT(AB351,3),Resep!$B$9:$B$13,0)),0))</f>
        <v>0</v>
      </c>
      <c r="AJ351" s="24" t="n">
        <f aca="false">IF(AC351="",0,IFERROR(INDEX(Resep!$C$9:$C$13,MATCH(LEFT(AC351,3),Resep!$B$9:$B$13,0)),0))</f>
        <v>0</v>
      </c>
      <c r="AK351" s="24" t="n">
        <f aca="false">IF(AD351="",0,IFERROR(INDEX(Resep!$C$15:$C$18,MATCH(LEFT(AD351,3),Resep!$B$15:$B$18,0)),0))</f>
        <v>0</v>
      </c>
      <c r="AL351" s="24" t="str">
        <f aca="false">IF(X351="","",AG351+AH351+AI351+AJ351+AK351)</f>
        <v/>
      </c>
      <c r="AM351" s="22" t="str">
        <f aca="false">IF(X351="","",AL351*(Pengaturan!$B$6+Pengaturan!$B$7)+Pengaturan!$B$8+AE351*Pengaturan!$B$9+AF351*Pengaturan!$B$10)</f>
        <v/>
      </c>
      <c r="AN351" s="22" t="str">
        <f aca="false">IF(X351="","",N(G351)-AM351)</f>
        <v/>
      </c>
      <c r="AO351" s="25" t="str">
        <f aca="false">IF(OR(X351="",N(G351)=0),"",AN351/G351)</f>
        <v/>
      </c>
    </row>
    <row r="352" customFormat="false" ht="15" hidden="false" customHeight="false" outlineLevel="0" collapsed="false">
      <c r="A352" s="19"/>
      <c r="B352" s="20"/>
      <c r="C352" s="19"/>
      <c r="D352" s="19"/>
      <c r="E352" s="19"/>
      <c r="F352" s="19"/>
      <c r="G352" s="21"/>
      <c r="H352" s="19"/>
      <c r="I352" s="21"/>
      <c r="J352" s="19"/>
      <c r="K352" s="20"/>
      <c r="L352" s="20"/>
      <c r="M352" s="19"/>
      <c r="N352" s="19"/>
      <c r="O352" s="20"/>
      <c r="P352" s="20"/>
      <c r="Q352" s="19"/>
      <c r="R352" s="22" t="str">
        <f aca="false">IF(A352="","",N(G352)+N(I352))</f>
        <v/>
      </c>
      <c r="S352" s="23" t="str">
        <f aca="false">IF(OR(K352="",O352=""),"",O352-K352)</f>
        <v/>
      </c>
      <c r="T352" s="23" t="str">
        <f aca="true">IF(AND(C352="Cetak",L352&lt;&gt;"",L352&lt;TODAY()),"YA","")</f>
        <v/>
      </c>
      <c r="U352" s="23" t="str">
        <f aca="false">IF(B352="","",TEXT(B352,"yyyy-mm"))</f>
        <v/>
      </c>
      <c r="V352" s="23" t="str">
        <f aca="false">IF(K352="","",TEXT(K352,"yyyy-mm"))</f>
        <v/>
      </c>
      <c r="W352" s="23" t="n">
        <f aca="false">IF(OR(C352="Cetak",C352="Dikirim",C352="Selesai"),1,0)</f>
        <v>0</v>
      </c>
      <c r="X352" s="23" t="str">
        <f aca="false">IF(F352="","",SUBSTITUTE(SUBSTITUTE(MID(UPPER(TRIM(F352)),4,99),"-LED",""),"-TK",""))</f>
        <v/>
      </c>
      <c r="Y352" s="23" t="str">
        <f aca="false">IF(X352="","",(LEN(X352)+1)/7)</f>
        <v/>
      </c>
      <c r="Z352" s="23" t="str">
        <f aca="false">IF(X352="","",LEFT(X352,6))</f>
        <v/>
      </c>
      <c r="AA352" s="23" t="str">
        <f aca="false">IF(X352="","",IF(Y352&gt;=3,MID(X352,8,6),""))</f>
        <v/>
      </c>
      <c r="AB352" s="23" t="str">
        <f aca="false">IF(X352="","",IF(Y352&gt;=4,MID(X352,15,6),""))</f>
        <v/>
      </c>
      <c r="AC352" s="23" t="str">
        <f aca="false">IF(X352="","",IF(Y352&gt;=5,MID(X352,22,6),""))</f>
        <v/>
      </c>
      <c r="AD352" s="23" t="str">
        <f aca="false">IF(X352="","",RIGHT(X352,6))</f>
        <v/>
      </c>
      <c r="AE352" s="23" t="str">
        <f aca="false">IF(F352="","",IF(ISNUMBER(SEARCH("-TK",UPPER(F352))),0,1))</f>
        <v/>
      </c>
      <c r="AF352" s="23" t="str">
        <f aca="false">IF(F352="","",IF(ISNUMBER(SEARCH("-LED",UPPER(F352))),1,0))</f>
        <v/>
      </c>
      <c r="AG352" s="24" t="n">
        <f aca="false">IF(Z352="",0,IFERROR(INDEX(Resep!$C$5:$C$7,MATCH(LEFT(Z352,3),Resep!$B$5:$B$7,0)),0))</f>
        <v>0</v>
      </c>
      <c r="AH352" s="24" t="n">
        <f aca="false">IF(AA352="",0,IFERROR(INDEX(Resep!$C$9:$C$13,MATCH(LEFT(AA352,3),Resep!$B$9:$B$13,0)),0))</f>
        <v>0</v>
      </c>
      <c r="AI352" s="24" t="n">
        <f aca="false">IF(AB352="",0,IFERROR(INDEX(Resep!$C$9:$C$13,MATCH(LEFT(AB352,3),Resep!$B$9:$B$13,0)),0))</f>
        <v>0</v>
      </c>
      <c r="AJ352" s="24" t="n">
        <f aca="false">IF(AC352="",0,IFERROR(INDEX(Resep!$C$9:$C$13,MATCH(LEFT(AC352,3),Resep!$B$9:$B$13,0)),0))</f>
        <v>0</v>
      </c>
      <c r="AK352" s="24" t="n">
        <f aca="false">IF(AD352="",0,IFERROR(INDEX(Resep!$C$15:$C$18,MATCH(LEFT(AD352,3),Resep!$B$15:$B$18,0)),0))</f>
        <v>0</v>
      </c>
      <c r="AL352" s="24" t="str">
        <f aca="false">IF(X352="","",AG352+AH352+AI352+AJ352+AK352)</f>
        <v/>
      </c>
      <c r="AM352" s="22" t="str">
        <f aca="false">IF(X352="","",AL352*(Pengaturan!$B$6+Pengaturan!$B$7)+Pengaturan!$B$8+AE352*Pengaturan!$B$9+AF352*Pengaturan!$B$10)</f>
        <v/>
      </c>
      <c r="AN352" s="22" t="str">
        <f aca="false">IF(X352="","",N(G352)-AM352)</f>
        <v/>
      </c>
      <c r="AO352" s="25" t="str">
        <f aca="false">IF(OR(X352="",N(G352)=0),"",AN352/G352)</f>
        <v/>
      </c>
    </row>
    <row r="353" customFormat="false" ht="15" hidden="false" customHeight="false" outlineLevel="0" collapsed="false">
      <c r="A353" s="19"/>
      <c r="B353" s="20"/>
      <c r="C353" s="19"/>
      <c r="D353" s="19"/>
      <c r="E353" s="19"/>
      <c r="F353" s="19"/>
      <c r="G353" s="21"/>
      <c r="H353" s="19"/>
      <c r="I353" s="21"/>
      <c r="J353" s="19"/>
      <c r="K353" s="20"/>
      <c r="L353" s="20"/>
      <c r="M353" s="19"/>
      <c r="N353" s="19"/>
      <c r="O353" s="20"/>
      <c r="P353" s="20"/>
      <c r="Q353" s="19"/>
      <c r="R353" s="22" t="str">
        <f aca="false">IF(A353="","",N(G353)+N(I353))</f>
        <v/>
      </c>
      <c r="S353" s="23" t="str">
        <f aca="false">IF(OR(K353="",O353=""),"",O353-K353)</f>
        <v/>
      </c>
      <c r="T353" s="23" t="str">
        <f aca="true">IF(AND(C353="Cetak",L353&lt;&gt;"",L353&lt;TODAY()),"YA","")</f>
        <v/>
      </c>
      <c r="U353" s="23" t="str">
        <f aca="false">IF(B353="","",TEXT(B353,"yyyy-mm"))</f>
        <v/>
      </c>
      <c r="V353" s="23" t="str">
        <f aca="false">IF(K353="","",TEXT(K353,"yyyy-mm"))</f>
        <v/>
      </c>
      <c r="W353" s="23" t="n">
        <f aca="false">IF(OR(C353="Cetak",C353="Dikirim",C353="Selesai"),1,0)</f>
        <v>0</v>
      </c>
      <c r="X353" s="23" t="str">
        <f aca="false">IF(F353="","",SUBSTITUTE(SUBSTITUTE(MID(UPPER(TRIM(F353)),4,99),"-LED",""),"-TK",""))</f>
        <v/>
      </c>
      <c r="Y353" s="23" t="str">
        <f aca="false">IF(X353="","",(LEN(X353)+1)/7)</f>
        <v/>
      </c>
      <c r="Z353" s="23" t="str">
        <f aca="false">IF(X353="","",LEFT(X353,6))</f>
        <v/>
      </c>
      <c r="AA353" s="23" t="str">
        <f aca="false">IF(X353="","",IF(Y353&gt;=3,MID(X353,8,6),""))</f>
        <v/>
      </c>
      <c r="AB353" s="23" t="str">
        <f aca="false">IF(X353="","",IF(Y353&gt;=4,MID(X353,15,6),""))</f>
        <v/>
      </c>
      <c r="AC353" s="23" t="str">
        <f aca="false">IF(X353="","",IF(Y353&gt;=5,MID(X353,22,6),""))</f>
        <v/>
      </c>
      <c r="AD353" s="23" t="str">
        <f aca="false">IF(X353="","",RIGHT(X353,6))</f>
        <v/>
      </c>
      <c r="AE353" s="23" t="str">
        <f aca="false">IF(F353="","",IF(ISNUMBER(SEARCH("-TK",UPPER(F353))),0,1))</f>
        <v/>
      </c>
      <c r="AF353" s="23" t="str">
        <f aca="false">IF(F353="","",IF(ISNUMBER(SEARCH("-LED",UPPER(F353))),1,0))</f>
        <v/>
      </c>
      <c r="AG353" s="24" t="n">
        <f aca="false">IF(Z353="",0,IFERROR(INDEX(Resep!$C$5:$C$7,MATCH(LEFT(Z353,3),Resep!$B$5:$B$7,0)),0))</f>
        <v>0</v>
      </c>
      <c r="AH353" s="24" t="n">
        <f aca="false">IF(AA353="",0,IFERROR(INDEX(Resep!$C$9:$C$13,MATCH(LEFT(AA353,3),Resep!$B$9:$B$13,0)),0))</f>
        <v>0</v>
      </c>
      <c r="AI353" s="24" t="n">
        <f aca="false">IF(AB353="",0,IFERROR(INDEX(Resep!$C$9:$C$13,MATCH(LEFT(AB353,3),Resep!$B$9:$B$13,0)),0))</f>
        <v>0</v>
      </c>
      <c r="AJ353" s="24" t="n">
        <f aca="false">IF(AC353="",0,IFERROR(INDEX(Resep!$C$9:$C$13,MATCH(LEFT(AC353,3),Resep!$B$9:$B$13,0)),0))</f>
        <v>0</v>
      </c>
      <c r="AK353" s="24" t="n">
        <f aca="false">IF(AD353="",0,IFERROR(INDEX(Resep!$C$15:$C$18,MATCH(LEFT(AD353,3),Resep!$B$15:$B$18,0)),0))</f>
        <v>0</v>
      </c>
      <c r="AL353" s="24" t="str">
        <f aca="false">IF(X353="","",AG353+AH353+AI353+AJ353+AK353)</f>
        <v/>
      </c>
      <c r="AM353" s="22" t="str">
        <f aca="false">IF(X353="","",AL353*(Pengaturan!$B$6+Pengaturan!$B$7)+Pengaturan!$B$8+AE353*Pengaturan!$B$9+AF353*Pengaturan!$B$10)</f>
        <v/>
      </c>
      <c r="AN353" s="22" t="str">
        <f aca="false">IF(X353="","",N(G353)-AM353)</f>
        <v/>
      </c>
      <c r="AO353" s="25" t="str">
        <f aca="false">IF(OR(X353="",N(G353)=0),"",AN353/G353)</f>
        <v/>
      </c>
    </row>
    <row r="354" customFormat="false" ht="15" hidden="false" customHeight="false" outlineLevel="0" collapsed="false">
      <c r="A354" s="19"/>
      <c r="B354" s="20"/>
      <c r="C354" s="19"/>
      <c r="D354" s="19"/>
      <c r="E354" s="19"/>
      <c r="F354" s="19"/>
      <c r="G354" s="21"/>
      <c r="H354" s="19"/>
      <c r="I354" s="21"/>
      <c r="J354" s="19"/>
      <c r="K354" s="20"/>
      <c r="L354" s="20"/>
      <c r="M354" s="19"/>
      <c r="N354" s="19"/>
      <c r="O354" s="20"/>
      <c r="P354" s="20"/>
      <c r="Q354" s="19"/>
      <c r="R354" s="22" t="str">
        <f aca="false">IF(A354="","",N(G354)+N(I354))</f>
        <v/>
      </c>
      <c r="S354" s="23" t="str">
        <f aca="false">IF(OR(K354="",O354=""),"",O354-K354)</f>
        <v/>
      </c>
      <c r="T354" s="23" t="str">
        <f aca="true">IF(AND(C354="Cetak",L354&lt;&gt;"",L354&lt;TODAY()),"YA","")</f>
        <v/>
      </c>
      <c r="U354" s="23" t="str">
        <f aca="false">IF(B354="","",TEXT(B354,"yyyy-mm"))</f>
        <v/>
      </c>
      <c r="V354" s="23" t="str">
        <f aca="false">IF(K354="","",TEXT(K354,"yyyy-mm"))</f>
        <v/>
      </c>
      <c r="W354" s="23" t="n">
        <f aca="false">IF(OR(C354="Cetak",C354="Dikirim",C354="Selesai"),1,0)</f>
        <v>0</v>
      </c>
      <c r="X354" s="23" t="str">
        <f aca="false">IF(F354="","",SUBSTITUTE(SUBSTITUTE(MID(UPPER(TRIM(F354)),4,99),"-LED",""),"-TK",""))</f>
        <v/>
      </c>
      <c r="Y354" s="23" t="str">
        <f aca="false">IF(X354="","",(LEN(X354)+1)/7)</f>
        <v/>
      </c>
      <c r="Z354" s="23" t="str">
        <f aca="false">IF(X354="","",LEFT(X354,6))</f>
        <v/>
      </c>
      <c r="AA354" s="23" t="str">
        <f aca="false">IF(X354="","",IF(Y354&gt;=3,MID(X354,8,6),""))</f>
        <v/>
      </c>
      <c r="AB354" s="23" t="str">
        <f aca="false">IF(X354="","",IF(Y354&gt;=4,MID(X354,15,6),""))</f>
        <v/>
      </c>
      <c r="AC354" s="23" t="str">
        <f aca="false">IF(X354="","",IF(Y354&gt;=5,MID(X354,22,6),""))</f>
        <v/>
      </c>
      <c r="AD354" s="23" t="str">
        <f aca="false">IF(X354="","",RIGHT(X354,6))</f>
        <v/>
      </c>
      <c r="AE354" s="23" t="str">
        <f aca="false">IF(F354="","",IF(ISNUMBER(SEARCH("-TK",UPPER(F354))),0,1))</f>
        <v/>
      </c>
      <c r="AF354" s="23" t="str">
        <f aca="false">IF(F354="","",IF(ISNUMBER(SEARCH("-LED",UPPER(F354))),1,0))</f>
        <v/>
      </c>
      <c r="AG354" s="24" t="n">
        <f aca="false">IF(Z354="",0,IFERROR(INDEX(Resep!$C$5:$C$7,MATCH(LEFT(Z354,3),Resep!$B$5:$B$7,0)),0))</f>
        <v>0</v>
      </c>
      <c r="AH354" s="24" t="n">
        <f aca="false">IF(AA354="",0,IFERROR(INDEX(Resep!$C$9:$C$13,MATCH(LEFT(AA354,3),Resep!$B$9:$B$13,0)),0))</f>
        <v>0</v>
      </c>
      <c r="AI354" s="24" t="n">
        <f aca="false">IF(AB354="",0,IFERROR(INDEX(Resep!$C$9:$C$13,MATCH(LEFT(AB354,3),Resep!$B$9:$B$13,0)),0))</f>
        <v>0</v>
      </c>
      <c r="AJ354" s="24" t="n">
        <f aca="false">IF(AC354="",0,IFERROR(INDEX(Resep!$C$9:$C$13,MATCH(LEFT(AC354,3),Resep!$B$9:$B$13,0)),0))</f>
        <v>0</v>
      </c>
      <c r="AK354" s="24" t="n">
        <f aca="false">IF(AD354="",0,IFERROR(INDEX(Resep!$C$15:$C$18,MATCH(LEFT(AD354,3),Resep!$B$15:$B$18,0)),0))</f>
        <v>0</v>
      </c>
      <c r="AL354" s="24" t="str">
        <f aca="false">IF(X354="","",AG354+AH354+AI354+AJ354+AK354)</f>
        <v/>
      </c>
      <c r="AM354" s="22" t="str">
        <f aca="false">IF(X354="","",AL354*(Pengaturan!$B$6+Pengaturan!$B$7)+Pengaturan!$B$8+AE354*Pengaturan!$B$9+AF354*Pengaturan!$B$10)</f>
        <v/>
      </c>
      <c r="AN354" s="22" t="str">
        <f aca="false">IF(X354="","",N(G354)-AM354)</f>
        <v/>
      </c>
      <c r="AO354" s="25" t="str">
        <f aca="false">IF(OR(X354="",N(G354)=0),"",AN354/G354)</f>
        <v/>
      </c>
    </row>
    <row r="355" customFormat="false" ht="15" hidden="false" customHeight="false" outlineLevel="0" collapsed="false">
      <c r="A355" s="19"/>
      <c r="B355" s="20"/>
      <c r="C355" s="19"/>
      <c r="D355" s="19"/>
      <c r="E355" s="19"/>
      <c r="F355" s="19"/>
      <c r="G355" s="21"/>
      <c r="H355" s="19"/>
      <c r="I355" s="21"/>
      <c r="J355" s="19"/>
      <c r="K355" s="20"/>
      <c r="L355" s="20"/>
      <c r="M355" s="19"/>
      <c r="N355" s="19"/>
      <c r="O355" s="20"/>
      <c r="P355" s="20"/>
      <c r="Q355" s="19"/>
      <c r="R355" s="22" t="str">
        <f aca="false">IF(A355="","",N(G355)+N(I355))</f>
        <v/>
      </c>
      <c r="S355" s="23" t="str">
        <f aca="false">IF(OR(K355="",O355=""),"",O355-K355)</f>
        <v/>
      </c>
      <c r="T355" s="23" t="str">
        <f aca="true">IF(AND(C355="Cetak",L355&lt;&gt;"",L355&lt;TODAY()),"YA","")</f>
        <v/>
      </c>
      <c r="U355" s="23" t="str">
        <f aca="false">IF(B355="","",TEXT(B355,"yyyy-mm"))</f>
        <v/>
      </c>
      <c r="V355" s="23" t="str">
        <f aca="false">IF(K355="","",TEXT(K355,"yyyy-mm"))</f>
        <v/>
      </c>
      <c r="W355" s="23" t="n">
        <f aca="false">IF(OR(C355="Cetak",C355="Dikirim",C355="Selesai"),1,0)</f>
        <v>0</v>
      </c>
      <c r="X355" s="23" t="str">
        <f aca="false">IF(F355="","",SUBSTITUTE(SUBSTITUTE(MID(UPPER(TRIM(F355)),4,99),"-LED",""),"-TK",""))</f>
        <v/>
      </c>
      <c r="Y355" s="23" t="str">
        <f aca="false">IF(X355="","",(LEN(X355)+1)/7)</f>
        <v/>
      </c>
      <c r="Z355" s="23" t="str">
        <f aca="false">IF(X355="","",LEFT(X355,6))</f>
        <v/>
      </c>
      <c r="AA355" s="23" t="str">
        <f aca="false">IF(X355="","",IF(Y355&gt;=3,MID(X355,8,6),""))</f>
        <v/>
      </c>
      <c r="AB355" s="23" t="str">
        <f aca="false">IF(X355="","",IF(Y355&gt;=4,MID(X355,15,6),""))</f>
        <v/>
      </c>
      <c r="AC355" s="23" t="str">
        <f aca="false">IF(X355="","",IF(Y355&gt;=5,MID(X355,22,6),""))</f>
        <v/>
      </c>
      <c r="AD355" s="23" t="str">
        <f aca="false">IF(X355="","",RIGHT(X355,6))</f>
        <v/>
      </c>
      <c r="AE355" s="23" t="str">
        <f aca="false">IF(F355="","",IF(ISNUMBER(SEARCH("-TK",UPPER(F355))),0,1))</f>
        <v/>
      </c>
      <c r="AF355" s="23" t="str">
        <f aca="false">IF(F355="","",IF(ISNUMBER(SEARCH("-LED",UPPER(F355))),1,0))</f>
        <v/>
      </c>
      <c r="AG355" s="24" t="n">
        <f aca="false">IF(Z355="",0,IFERROR(INDEX(Resep!$C$5:$C$7,MATCH(LEFT(Z355,3),Resep!$B$5:$B$7,0)),0))</f>
        <v>0</v>
      </c>
      <c r="AH355" s="24" t="n">
        <f aca="false">IF(AA355="",0,IFERROR(INDEX(Resep!$C$9:$C$13,MATCH(LEFT(AA355,3),Resep!$B$9:$B$13,0)),0))</f>
        <v>0</v>
      </c>
      <c r="AI355" s="24" t="n">
        <f aca="false">IF(AB355="",0,IFERROR(INDEX(Resep!$C$9:$C$13,MATCH(LEFT(AB355,3),Resep!$B$9:$B$13,0)),0))</f>
        <v>0</v>
      </c>
      <c r="AJ355" s="24" t="n">
        <f aca="false">IF(AC355="",0,IFERROR(INDEX(Resep!$C$9:$C$13,MATCH(LEFT(AC355,3),Resep!$B$9:$B$13,0)),0))</f>
        <v>0</v>
      </c>
      <c r="AK355" s="24" t="n">
        <f aca="false">IF(AD355="",0,IFERROR(INDEX(Resep!$C$15:$C$18,MATCH(LEFT(AD355,3),Resep!$B$15:$B$18,0)),0))</f>
        <v>0</v>
      </c>
      <c r="AL355" s="24" t="str">
        <f aca="false">IF(X355="","",AG355+AH355+AI355+AJ355+AK355)</f>
        <v/>
      </c>
      <c r="AM355" s="22" t="str">
        <f aca="false">IF(X355="","",AL355*(Pengaturan!$B$6+Pengaturan!$B$7)+Pengaturan!$B$8+AE355*Pengaturan!$B$9+AF355*Pengaturan!$B$10)</f>
        <v/>
      </c>
      <c r="AN355" s="22" t="str">
        <f aca="false">IF(X355="","",N(G355)-AM355)</f>
        <v/>
      </c>
      <c r="AO355" s="25" t="str">
        <f aca="false">IF(OR(X355="",N(G355)=0),"",AN355/G355)</f>
        <v/>
      </c>
    </row>
    <row r="356" customFormat="false" ht="15" hidden="false" customHeight="false" outlineLevel="0" collapsed="false">
      <c r="A356" s="19"/>
      <c r="B356" s="20"/>
      <c r="C356" s="19"/>
      <c r="D356" s="19"/>
      <c r="E356" s="19"/>
      <c r="F356" s="19"/>
      <c r="G356" s="21"/>
      <c r="H356" s="19"/>
      <c r="I356" s="21"/>
      <c r="J356" s="19"/>
      <c r="K356" s="20"/>
      <c r="L356" s="20"/>
      <c r="M356" s="19"/>
      <c r="N356" s="19"/>
      <c r="O356" s="20"/>
      <c r="P356" s="20"/>
      <c r="Q356" s="19"/>
      <c r="R356" s="22" t="str">
        <f aca="false">IF(A356="","",N(G356)+N(I356))</f>
        <v/>
      </c>
      <c r="S356" s="23" t="str">
        <f aca="false">IF(OR(K356="",O356=""),"",O356-K356)</f>
        <v/>
      </c>
      <c r="T356" s="23" t="str">
        <f aca="true">IF(AND(C356="Cetak",L356&lt;&gt;"",L356&lt;TODAY()),"YA","")</f>
        <v/>
      </c>
      <c r="U356" s="23" t="str">
        <f aca="false">IF(B356="","",TEXT(B356,"yyyy-mm"))</f>
        <v/>
      </c>
      <c r="V356" s="23" t="str">
        <f aca="false">IF(K356="","",TEXT(K356,"yyyy-mm"))</f>
        <v/>
      </c>
      <c r="W356" s="23" t="n">
        <f aca="false">IF(OR(C356="Cetak",C356="Dikirim",C356="Selesai"),1,0)</f>
        <v>0</v>
      </c>
      <c r="X356" s="23" t="str">
        <f aca="false">IF(F356="","",SUBSTITUTE(SUBSTITUTE(MID(UPPER(TRIM(F356)),4,99),"-LED",""),"-TK",""))</f>
        <v/>
      </c>
      <c r="Y356" s="23" t="str">
        <f aca="false">IF(X356="","",(LEN(X356)+1)/7)</f>
        <v/>
      </c>
      <c r="Z356" s="23" t="str">
        <f aca="false">IF(X356="","",LEFT(X356,6))</f>
        <v/>
      </c>
      <c r="AA356" s="23" t="str">
        <f aca="false">IF(X356="","",IF(Y356&gt;=3,MID(X356,8,6),""))</f>
        <v/>
      </c>
      <c r="AB356" s="23" t="str">
        <f aca="false">IF(X356="","",IF(Y356&gt;=4,MID(X356,15,6),""))</f>
        <v/>
      </c>
      <c r="AC356" s="23" t="str">
        <f aca="false">IF(X356="","",IF(Y356&gt;=5,MID(X356,22,6),""))</f>
        <v/>
      </c>
      <c r="AD356" s="23" t="str">
        <f aca="false">IF(X356="","",RIGHT(X356,6))</f>
        <v/>
      </c>
      <c r="AE356" s="23" t="str">
        <f aca="false">IF(F356="","",IF(ISNUMBER(SEARCH("-TK",UPPER(F356))),0,1))</f>
        <v/>
      </c>
      <c r="AF356" s="23" t="str">
        <f aca="false">IF(F356="","",IF(ISNUMBER(SEARCH("-LED",UPPER(F356))),1,0))</f>
        <v/>
      </c>
      <c r="AG356" s="24" t="n">
        <f aca="false">IF(Z356="",0,IFERROR(INDEX(Resep!$C$5:$C$7,MATCH(LEFT(Z356,3),Resep!$B$5:$B$7,0)),0))</f>
        <v>0</v>
      </c>
      <c r="AH356" s="24" t="n">
        <f aca="false">IF(AA356="",0,IFERROR(INDEX(Resep!$C$9:$C$13,MATCH(LEFT(AA356,3),Resep!$B$9:$B$13,0)),0))</f>
        <v>0</v>
      </c>
      <c r="AI356" s="24" t="n">
        <f aca="false">IF(AB356="",0,IFERROR(INDEX(Resep!$C$9:$C$13,MATCH(LEFT(AB356,3),Resep!$B$9:$B$13,0)),0))</f>
        <v>0</v>
      </c>
      <c r="AJ356" s="24" t="n">
        <f aca="false">IF(AC356="",0,IFERROR(INDEX(Resep!$C$9:$C$13,MATCH(LEFT(AC356,3),Resep!$B$9:$B$13,0)),0))</f>
        <v>0</v>
      </c>
      <c r="AK356" s="24" t="n">
        <f aca="false">IF(AD356="",0,IFERROR(INDEX(Resep!$C$15:$C$18,MATCH(LEFT(AD356,3),Resep!$B$15:$B$18,0)),0))</f>
        <v>0</v>
      </c>
      <c r="AL356" s="24" t="str">
        <f aca="false">IF(X356="","",AG356+AH356+AI356+AJ356+AK356)</f>
        <v/>
      </c>
      <c r="AM356" s="22" t="str">
        <f aca="false">IF(X356="","",AL356*(Pengaturan!$B$6+Pengaturan!$B$7)+Pengaturan!$B$8+AE356*Pengaturan!$B$9+AF356*Pengaturan!$B$10)</f>
        <v/>
      </c>
      <c r="AN356" s="22" t="str">
        <f aca="false">IF(X356="","",N(G356)-AM356)</f>
        <v/>
      </c>
      <c r="AO356" s="25" t="str">
        <f aca="false">IF(OR(X356="",N(G356)=0),"",AN356/G356)</f>
        <v/>
      </c>
    </row>
    <row r="357" customFormat="false" ht="15" hidden="false" customHeight="false" outlineLevel="0" collapsed="false">
      <c r="A357" s="19"/>
      <c r="B357" s="20"/>
      <c r="C357" s="19"/>
      <c r="D357" s="19"/>
      <c r="E357" s="19"/>
      <c r="F357" s="19"/>
      <c r="G357" s="21"/>
      <c r="H357" s="19"/>
      <c r="I357" s="21"/>
      <c r="J357" s="19"/>
      <c r="K357" s="20"/>
      <c r="L357" s="20"/>
      <c r="M357" s="19"/>
      <c r="N357" s="19"/>
      <c r="O357" s="20"/>
      <c r="P357" s="20"/>
      <c r="Q357" s="19"/>
      <c r="R357" s="22" t="str">
        <f aca="false">IF(A357="","",N(G357)+N(I357))</f>
        <v/>
      </c>
      <c r="S357" s="23" t="str">
        <f aca="false">IF(OR(K357="",O357=""),"",O357-K357)</f>
        <v/>
      </c>
      <c r="T357" s="23" t="str">
        <f aca="true">IF(AND(C357="Cetak",L357&lt;&gt;"",L357&lt;TODAY()),"YA","")</f>
        <v/>
      </c>
      <c r="U357" s="23" t="str">
        <f aca="false">IF(B357="","",TEXT(B357,"yyyy-mm"))</f>
        <v/>
      </c>
      <c r="V357" s="23" t="str">
        <f aca="false">IF(K357="","",TEXT(K357,"yyyy-mm"))</f>
        <v/>
      </c>
      <c r="W357" s="23" t="n">
        <f aca="false">IF(OR(C357="Cetak",C357="Dikirim",C357="Selesai"),1,0)</f>
        <v>0</v>
      </c>
      <c r="X357" s="23" t="str">
        <f aca="false">IF(F357="","",SUBSTITUTE(SUBSTITUTE(MID(UPPER(TRIM(F357)),4,99),"-LED",""),"-TK",""))</f>
        <v/>
      </c>
      <c r="Y357" s="23" t="str">
        <f aca="false">IF(X357="","",(LEN(X357)+1)/7)</f>
        <v/>
      </c>
      <c r="Z357" s="23" t="str">
        <f aca="false">IF(X357="","",LEFT(X357,6))</f>
        <v/>
      </c>
      <c r="AA357" s="23" t="str">
        <f aca="false">IF(X357="","",IF(Y357&gt;=3,MID(X357,8,6),""))</f>
        <v/>
      </c>
      <c r="AB357" s="23" t="str">
        <f aca="false">IF(X357="","",IF(Y357&gt;=4,MID(X357,15,6),""))</f>
        <v/>
      </c>
      <c r="AC357" s="23" t="str">
        <f aca="false">IF(X357="","",IF(Y357&gt;=5,MID(X357,22,6),""))</f>
        <v/>
      </c>
      <c r="AD357" s="23" t="str">
        <f aca="false">IF(X357="","",RIGHT(X357,6))</f>
        <v/>
      </c>
      <c r="AE357" s="23" t="str">
        <f aca="false">IF(F357="","",IF(ISNUMBER(SEARCH("-TK",UPPER(F357))),0,1))</f>
        <v/>
      </c>
      <c r="AF357" s="23" t="str">
        <f aca="false">IF(F357="","",IF(ISNUMBER(SEARCH("-LED",UPPER(F357))),1,0))</f>
        <v/>
      </c>
      <c r="AG357" s="24" t="n">
        <f aca="false">IF(Z357="",0,IFERROR(INDEX(Resep!$C$5:$C$7,MATCH(LEFT(Z357,3),Resep!$B$5:$B$7,0)),0))</f>
        <v>0</v>
      </c>
      <c r="AH357" s="24" t="n">
        <f aca="false">IF(AA357="",0,IFERROR(INDEX(Resep!$C$9:$C$13,MATCH(LEFT(AA357,3),Resep!$B$9:$B$13,0)),0))</f>
        <v>0</v>
      </c>
      <c r="AI357" s="24" t="n">
        <f aca="false">IF(AB357="",0,IFERROR(INDEX(Resep!$C$9:$C$13,MATCH(LEFT(AB357,3),Resep!$B$9:$B$13,0)),0))</f>
        <v>0</v>
      </c>
      <c r="AJ357" s="24" t="n">
        <f aca="false">IF(AC357="",0,IFERROR(INDEX(Resep!$C$9:$C$13,MATCH(LEFT(AC357,3),Resep!$B$9:$B$13,0)),0))</f>
        <v>0</v>
      </c>
      <c r="AK357" s="24" t="n">
        <f aca="false">IF(AD357="",0,IFERROR(INDEX(Resep!$C$15:$C$18,MATCH(LEFT(AD357,3),Resep!$B$15:$B$18,0)),0))</f>
        <v>0</v>
      </c>
      <c r="AL357" s="24" t="str">
        <f aca="false">IF(X357="","",AG357+AH357+AI357+AJ357+AK357)</f>
        <v/>
      </c>
      <c r="AM357" s="22" t="str">
        <f aca="false">IF(X357="","",AL357*(Pengaturan!$B$6+Pengaturan!$B$7)+Pengaturan!$B$8+AE357*Pengaturan!$B$9+AF357*Pengaturan!$B$10)</f>
        <v/>
      </c>
      <c r="AN357" s="22" t="str">
        <f aca="false">IF(X357="","",N(G357)-AM357)</f>
        <v/>
      </c>
      <c r="AO357" s="25" t="str">
        <f aca="false">IF(OR(X357="",N(G357)=0),"",AN357/G357)</f>
        <v/>
      </c>
    </row>
    <row r="358" customFormat="false" ht="15" hidden="false" customHeight="false" outlineLevel="0" collapsed="false">
      <c r="A358" s="19"/>
      <c r="B358" s="20"/>
      <c r="C358" s="19"/>
      <c r="D358" s="19"/>
      <c r="E358" s="19"/>
      <c r="F358" s="19"/>
      <c r="G358" s="21"/>
      <c r="H358" s="19"/>
      <c r="I358" s="21"/>
      <c r="J358" s="19"/>
      <c r="K358" s="20"/>
      <c r="L358" s="20"/>
      <c r="M358" s="19"/>
      <c r="N358" s="19"/>
      <c r="O358" s="20"/>
      <c r="P358" s="20"/>
      <c r="Q358" s="19"/>
      <c r="R358" s="22" t="str">
        <f aca="false">IF(A358="","",N(G358)+N(I358))</f>
        <v/>
      </c>
      <c r="S358" s="23" t="str">
        <f aca="false">IF(OR(K358="",O358=""),"",O358-K358)</f>
        <v/>
      </c>
      <c r="T358" s="23" t="str">
        <f aca="true">IF(AND(C358="Cetak",L358&lt;&gt;"",L358&lt;TODAY()),"YA","")</f>
        <v/>
      </c>
      <c r="U358" s="23" t="str">
        <f aca="false">IF(B358="","",TEXT(B358,"yyyy-mm"))</f>
        <v/>
      </c>
      <c r="V358" s="23" t="str">
        <f aca="false">IF(K358="","",TEXT(K358,"yyyy-mm"))</f>
        <v/>
      </c>
      <c r="W358" s="23" t="n">
        <f aca="false">IF(OR(C358="Cetak",C358="Dikirim",C358="Selesai"),1,0)</f>
        <v>0</v>
      </c>
      <c r="X358" s="23" t="str">
        <f aca="false">IF(F358="","",SUBSTITUTE(SUBSTITUTE(MID(UPPER(TRIM(F358)),4,99),"-LED",""),"-TK",""))</f>
        <v/>
      </c>
      <c r="Y358" s="23" t="str">
        <f aca="false">IF(X358="","",(LEN(X358)+1)/7)</f>
        <v/>
      </c>
      <c r="Z358" s="23" t="str">
        <f aca="false">IF(X358="","",LEFT(X358,6))</f>
        <v/>
      </c>
      <c r="AA358" s="23" t="str">
        <f aca="false">IF(X358="","",IF(Y358&gt;=3,MID(X358,8,6),""))</f>
        <v/>
      </c>
      <c r="AB358" s="23" t="str">
        <f aca="false">IF(X358="","",IF(Y358&gt;=4,MID(X358,15,6),""))</f>
        <v/>
      </c>
      <c r="AC358" s="23" t="str">
        <f aca="false">IF(X358="","",IF(Y358&gt;=5,MID(X358,22,6),""))</f>
        <v/>
      </c>
      <c r="AD358" s="23" t="str">
        <f aca="false">IF(X358="","",RIGHT(X358,6))</f>
        <v/>
      </c>
      <c r="AE358" s="23" t="str">
        <f aca="false">IF(F358="","",IF(ISNUMBER(SEARCH("-TK",UPPER(F358))),0,1))</f>
        <v/>
      </c>
      <c r="AF358" s="23" t="str">
        <f aca="false">IF(F358="","",IF(ISNUMBER(SEARCH("-LED",UPPER(F358))),1,0))</f>
        <v/>
      </c>
      <c r="AG358" s="24" t="n">
        <f aca="false">IF(Z358="",0,IFERROR(INDEX(Resep!$C$5:$C$7,MATCH(LEFT(Z358,3),Resep!$B$5:$B$7,0)),0))</f>
        <v>0</v>
      </c>
      <c r="AH358" s="24" t="n">
        <f aca="false">IF(AA358="",0,IFERROR(INDEX(Resep!$C$9:$C$13,MATCH(LEFT(AA358,3),Resep!$B$9:$B$13,0)),0))</f>
        <v>0</v>
      </c>
      <c r="AI358" s="24" t="n">
        <f aca="false">IF(AB358="",0,IFERROR(INDEX(Resep!$C$9:$C$13,MATCH(LEFT(AB358,3),Resep!$B$9:$B$13,0)),0))</f>
        <v>0</v>
      </c>
      <c r="AJ358" s="24" t="n">
        <f aca="false">IF(AC358="",0,IFERROR(INDEX(Resep!$C$9:$C$13,MATCH(LEFT(AC358,3),Resep!$B$9:$B$13,0)),0))</f>
        <v>0</v>
      </c>
      <c r="AK358" s="24" t="n">
        <f aca="false">IF(AD358="",0,IFERROR(INDEX(Resep!$C$15:$C$18,MATCH(LEFT(AD358,3),Resep!$B$15:$B$18,0)),0))</f>
        <v>0</v>
      </c>
      <c r="AL358" s="24" t="str">
        <f aca="false">IF(X358="","",AG358+AH358+AI358+AJ358+AK358)</f>
        <v/>
      </c>
      <c r="AM358" s="22" t="str">
        <f aca="false">IF(X358="","",AL358*(Pengaturan!$B$6+Pengaturan!$B$7)+Pengaturan!$B$8+AE358*Pengaturan!$B$9+AF358*Pengaturan!$B$10)</f>
        <v/>
      </c>
      <c r="AN358" s="22" t="str">
        <f aca="false">IF(X358="","",N(G358)-AM358)</f>
        <v/>
      </c>
      <c r="AO358" s="25" t="str">
        <f aca="false">IF(OR(X358="",N(G358)=0),"",AN358/G358)</f>
        <v/>
      </c>
    </row>
    <row r="359" customFormat="false" ht="15" hidden="false" customHeight="false" outlineLevel="0" collapsed="false">
      <c r="A359" s="19"/>
      <c r="B359" s="20"/>
      <c r="C359" s="19"/>
      <c r="D359" s="19"/>
      <c r="E359" s="19"/>
      <c r="F359" s="19"/>
      <c r="G359" s="21"/>
      <c r="H359" s="19"/>
      <c r="I359" s="21"/>
      <c r="J359" s="19"/>
      <c r="K359" s="20"/>
      <c r="L359" s="20"/>
      <c r="M359" s="19"/>
      <c r="N359" s="19"/>
      <c r="O359" s="20"/>
      <c r="P359" s="20"/>
      <c r="Q359" s="19"/>
      <c r="R359" s="22" t="str">
        <f aca="false">IF(A359="","",N(G359)+N(I359))</f>
        <v/>
      </c>
      <c r="S359" s="23" t="str">
        <f aca="false">IF(OR(K359="",O359=""),"",O359-K359)</f>
        <v/>
      </c>
      <c r="T359" s="23" t="str">
        <f aca="true">IF(AND(C359="Cetak",L359&lt;&gt;"",L359&lt;TODAY()),"YA","")</f>
        <v/>
      </c>
      <c r="U359" s="23" t="str">
        <f aca="false">IF(B359="","",TEXT(B359,"yyyy-mm"))</f>
        <v/>
      </c>
      <c r="V359" s="23" t="str">
        <f aca="false">IF(K359="","",TEXT(K359,"yyyy-mm"))</f>
        <v/>
      </c>
      <c r="W359" s="23" t="n">
        <f aca="false">IF(OR(C359="Cetak",C359="Dikirim",C359="Selesai"),1,0)</f>
        <v>0</v>
      </c>
      <c r="X359" s="23" t="str">
        <f aca="false">IF(F359="","",SUBSTITUTE(SUBSTITUTE(MID(UPPER(TRIM(F359)),4,99),"-LED",""),"-TK",""))</f>
        <v/>
      </c>
      <c r="Y359" s="23" t="str">
        <f aca="false">IF(X359="","",(LEN(X359)+1)/7)</f>
        <v/>
      </c>
      <c r="Z359" s="23" t="str">
        <f aca="false">IF(X359="","",LEFT(X359,6))</f>
        <v/>
      </c>
      <c r="AA359" s="23" t="str">
        <f aca="false">IF(X359="","",IF(Y359&gt;=3,MID(X359,8,6),""))</f>
        <v/>
      </c>
      <c r="AB359" s="23" t="str">
        <f aca="false">IF(X359="","",IF(Y359&gt;=4,MID(X359,15,6),""))</f>
        <v/>
      </c>
      <c r="AC359" s="23" t="str">
        <f aca="false">IF(X359="","",IF(Y359&gt;=5,MID(X359,22,6),""))</f>
        <v/>
      </c>
      <c r="AD359" s="23" t="str">
        <f aca="false">IF(X359="","",RIGHT(X359,6))</f>
        <v/>
      </c>
      <c r="AE359" s="23" t="str">
        <f aca="false">IF(F359="","",IF(ISNUMBER(SEARCH("-TK",UPPER(F359))),0,1))</f>
        <v/>
      </c>
      <c r="AF359" s="23" t="str">
        <f aca="false">IF(F359="","",IF(ISNUMBER(SEARCH("-LED",UPPER(F359))),1,0))</f>
        <v/>
      </c>
      <c r="AG359" s="24" t="n">
        <f aca="false">IF(Z359="",0,IFERROR(INDEX(Resep!$C$5:$C$7,MATCH(LEFT(Z359,3),Resep!$B$5:$B$7,0)),0))</f>
        <v>0</v>
      </c>
      <c r="AH359" s="24" t="n">
        <f aca="false">IF(AA359="",0,IFERROR(INDEX(Resep!$C$9:$C$13,MATCH(LEFT(AA359,3),Resep!$B$9:$B$13,0)),0))</f>
        <v>0</v>
      </c>
      <c r="AI359" s="24" t="n">
        <f aca="false">IF(AB359="",0,IFERROR(INDEX(Resep!$C$9:$C$13,MATCH(LEFT(AB359,3),Resep!$B$9:$B$13,0)),0))</f>
        <v>0</v>
      </c>
      <c r="AJ359" s="24" t="n">
        <f aca="false">IF(AC359="",0,IFERROR(INDEX(Resep!$C$9:$C$13,MATCH(LEFT(AC359,3),Resep!$B$9:$B$13,0)),0))</f>
        <v>0</v>
      </c>
      <c r="AK359" s="24" t="n">
        <f aca="false">IF(AD359="",0,IFERROR(INDEX(Resep!$C$15:$C$18,MATCH(LEFT(AD359,3),Resep!$B$15:$B$18,0)),0))</f>
        <v>0</v>
      </c>
      <c r="AL359" s="24" t="str">
        <f aca="false">IF(X359="","",AG359+AH359+AI359+AJ359+AK359)</f>
        <v/>
      </c>
      <c r="AM359" s="22" t="str">
        <f aca="false">IF(X359="","",AL359*(Pengaturan!$B$6+Pengaturan!$B$7)+Pengaturan!$B$8+AE359*Pengaturan!$B$9+AF359*Pengaturan!$B$10)</f>
        <v/>
      </c>
      <c r="AN359" s="22" t="str">
        <f aca="false">IF(X359="","",N(G359)-AM359)</f>
        <v/>
      </c>
      <c r="AO359" s="25" t="str">
        <f aca="false">IF(OR(X359="",N(G359)=0),"",AN359/G359)</f>
        <v/>
      </c>
    </row>
    <row r="360" customFormat="false" ht="15" hidden="false" customHeight="false" outlineLevel="0" collapsed="false">
      <c r="A360" s="19"/>
      <c r="B360" s="20"/>
      <c r="C360" s="19"/>
      <c r="D360" s="19"/>
      <c r="E360" s="19"/>
      <c r="F360" s="19"/>
      <c r="G360" s="21"/>
      <c r="H360" s="19"/>
      <c r="I360" s="21"/>
      <c r="J360" s="19"/>
      <c r="K360" s="20"/>
      <c r="L360" s="20"/>
      <c r="M360" s="19"/>
      <c r="N360" s="19"/>
      <c r="O360" s="20"/>
      <c r="P360" s="20"/>
      <c r="Q360" s="19"/>
      <c r="R360" s="22" t="str">
        <f aca="false">IF(A360="","",N(G360)+N(I360))</f>
        <v/>
      </c>
      <c r="S360" s="23" t="str">
        <f aca="false">IF(OR(K360="",O360=""),"",O360-K360)</f>
        <v/>
      </c>
      <c r="T360" s="23" t="str">
        <f aca="true">IF(AND(C360="Cetak",L360&lt;&gt;"",L360&lt;TODAY()),"YA","")</f>
        <v/>
      </c>
      <c r="U360" s="23" t="str">
        <f aca="false">IF(B360="","",TEXT(B360,"yyyy-mm"))</f>
        <v/>
      </c>
      <c r="V360" s="23" t="str">
        <f aca="false">IF(K360="","",TEXT(K360,"yyyy-mm"))</f>
        <v/>
      </c>
      <c r="W360" s="23" t="n">
        <f aca="false">IF(OR(C360="Cetak",C360="Dikirim",C360="Selesai"),1,0)</f>
        <v>0</v>
      </c>
      <c r="X360" s="23" t="str">
        <f aca="false">IF(F360="","",SUBSTITUTE(SUBSTITUTE(MID(UPPER(TRIM(F360)),4,99),"-LED",""),"-TK",""))</f>
        <v/>
      </c>
      <c r="Y360" s="23" t="str">
        <f aca="false">IF(X360="","",(LEN(X360)+1)/7)</f>
        <v/>
      </c>
      <c r="Z360" s="23" t="str">
        <f aca="false">IF(X360="","",LEFT(X360,6))</f>
        <v/>
      </c>
      <c r="AA360" s="23" t="str">
        <f aca="false">IF(X360="","",IF(Y360&gt;=3,MID(X360,8,6),""))</f>
        <v/>
      </c>
      <c r="AB360" s="23" t="str">
        <f aca="false">IF(X360="","",IF(Y360&gt;=4,MID(X360,15,6),""))</f>
        <v/>
      </c>
      <c r="AC360" s="23" t="str">
        <f aca="false">IF(X360="","",IF(Y360&gt;=5,MID(X360,22,6),""))</f>
        <v/>
      </c>
      <c r="AD360" s="23" t="str">
        <f aca="false">IF(X360="","",RIGHT(X360,6))</f>
        <v/>
      </c>
      <c r="AE360" s="23" t="str">
        <f aca="false">IF(F360="","",IF(ISNUMBER(SEARCH("-TK",UPPER(F360))),0,1))</f>
        <v/>
      </c>
      <c r="AF360" s="23" t="str">
        <f aca="false">IF(F360="","",IF(ISNUMBER(SEARCH("-LED",UPPER(F360))),1,0))</f>
        <v/>
      </c>
      <c r="AG360" s="24" t="n">
        <f aca="false">IF(Z360="",0,IFERROR(INDEX(Resep!$C$5:$C$7,MATCH(LEFT(Z360,3),Resep!$B$5:$B$7,0)),0))</f>
        <v>0</v>
      </c>
      <c r="AH360" s="24" t="n">
        <f aca="false">IF(AA360="",0,IFERROR(INDEX(Resep!$C$9:$C$13,MATCH(LEFT(AA360,3),Resep!$B$9:$B$13,0)),0))</f>
        <v>0</v>
      </c>
      <c r="AI360" s="24" t="n">
        <f aca="false">IF(AB360="",0,IFERROR(INDEX(Resep!$C$9:$C$13,MATCH(LEFT(AB360,3),Resep!$B$9:$B$13,0)),0))</f>
        <v>0</v>
      </c>
      <c r="AJ360" s="24" t="n">
        <f aca="false">IF(AC360="",0,IFERROR(INDEX(Resep!$C$9:$C$13,MATCH(LEFT(AC360,3),Resep!$B$9:$B$13,0)),0))</f>
        <v>0</v>
      </c>
      <c r="AK360" s="24" t="n">
        <f aca="false">IF(AD360="",0,IFERROR(INDEX(Resep!$C$15:$C$18,MATCH(LEFT(AD360,3),Resep!$B$15:$B$18,0)),0))</f>
        <v>0</v>
      </c>
      <c r="AL360" s="24" t="str">
        <f aca="false">IF(X360="","",AG360+AH360+AI360+AJ360+AK360)</f>
        <v/>
      </c>
      <c r="AM360" s="22" t="str">
        <f aca="false">IF(X360="","",AL360*(Pengaturan!$B$6+Pengaturan!$B$7)+Pengaturan!$B$8+AE360*Pengaturan!$B$9+AF360*Pengaturan!$B$10)</f>
        <v/>
      </c>
      <c r="AN360" s="22" t="str">
        <f aca="false">IF(X360="","",N(G360)-AM360)</f>
        <v/>
      </c>
      <c r="AO360" s="25" t="str">
        <f aca="false">IF(OR(X360="",N(G360)=0),"",AN360/G360)</f>
        <v/>
      </c>
    </row>
    <row r="361" customFormat="false" ht="15" hidden="false" customHeight="false" outlineLevel="0" collapsed="false">
      <c r="A361" s="19"/>
      <c r="B361" s="20"/>
      <c r="C361" s="19"/>
      <c r="D361" s="19"/>
      <c r="E361" s="19"/>
      <c r="F361" s="19"/>
      <c r="G361" s="21"/>
      <c r="H361" s="19"/>
      <c r="I361" s="21"/>
      <c r="J361" s="19"/>
      <c r="K361" s="20"/>
      <c r="L361" s="20"/>
      <c r="M361" s="19"/>
      <c r="N361" s="19"/>
      <c r="O361" s="20"/>
      <c r="P361" s="20"/>
      <c r="Q361" s="19"/>
      <c r="R361" s="22" t="str">
        <f aca="false">IF(A361="","",N(G361)+N(I361))</f>
        <v/>
      </c>
      <c r="S361" s="23" t="str">
        <f aca="false">IF(OR(K361="",O361=""),"",O361-K361)</f>
        <v/>
      </c>
      <c r="T361" s="23" t="str">
        <f aca="true">IF(AND(C361="Cetak",L361&lt;&gt;"",L361&lt;TODAY()),"YA","")</f>
        <v/>
      </c>
      <c r="U361" s="23" t="str">
        <f aca="false">IF(B361="","",TEXT(B361,"yyyy-mm"))</f>
        <v/>
      </c>
      <c r="V361" s="23" t="str">
        <f aca="false">IF(K361="","",TEXT(K361,"yyyy-mm"))</f>
        <v/>
      </c>
      <c r="W361" s="23" t="n">
        <f aca="false">IF(OR(C361="Cetak",C361="Dikirim",C361="Selesai"),1,0)</f>
        <v>0</v>
      </c>
      <c r="X361" s="23" t="str">
        <f aca="false">IF(F361="","",SUBSTITUTE(SUBSTITUTE(MID(UPPER(TRIM(F361)),4,99),"-LED",""),"-TK",""))</f>
        <v/>
      </c>
      <c r="Y361" s="23" t="str">
        <f aca="false">IF(X361="","",(LEN(X361)+1)/7)</f>
        <v/>
      </c>
      <c r="Z361" s="23" t="str">
        <f aca="false">IF(X361="","",LEFT(X361,6))</f>
        <v/>
      </c>
      <c r="AA361" s="23" t="str">
        <f aca="false">IF(X361="","",IF(Y361&gt;=3,MID(X361,8,6),""))</f>
        <v/>
      </c>
      <c r="AB361" s="23" t="str">
        <f aca="false">IF(X361="","",IF(Y361&gt;=4,MID(X361,15,6),""))</f>
        <v/>
      </c>
      <c r="AC361" s="23" t="str">
        <f aca="false">IF(X361="","",IF(Y361&gt;=5,MID(X361,22,6),""))</f>
        <v/>
      </c>
      <c r="AD361" s="23" t="str">
        <f aca="false">IF(X361="","",RIGHT(X361,6))</f>
        <v/>
      </c>
      <c r="AE361" s="23" t="str">
        <f aca="false">IF(F361="","",IF(ISNUMBER(SEARCH("-TK",UPPER(F361))),0,1))</f>
        <v/>
      </c>
      <c r="AF361" s="23" t="str">
        <f aca="false">IF(F361="","",IF(ISNUMBER(SEARCH("-LED",UPPER(F361))),1,0))</f>
        <v/>
      </c>
      <c r="AG361" s="24" t="n">
        <f aca="false">IF(Z361="",0,IFERROR(INDEX(Resep!$C$5:$C$7,MATCH(LEFT(Z361,3),Resep!$B$5:$B$7,0)),0))</f>
        <v>0</v>
      </c>
      <c r="AH361" s="24" t="n">
        <f aca="false">IF(AA361="",0,IFERROR(INDEX(Resep!$C$9:$C$13,MATCH(LEFT(AA361,3),Resep!$B$9:$B$13,0)),0))</f>
        <v>0</v>
      </c>
      <c r="AI361" s="24" t="n">
        <f aca="false">IF(AB361="",0,IFERROR(INDEX(Resep!$C$9:$C$13,MATCH(LEFT(AB361,3),Resep!$B$9:$B$13,0)),0))</f>
        <v>0</v>
      </c>
      <c r="AJ361" s="24" t="n">
        <f aca="false">IF(AC361="",0,IFERROR(INDEX(Resep!$C$9:$C$13,MATCH(LEFT(AC361,3),Resep!$B$9:$B$13,0)),0))</f>
        <v>0</v>
      </c>
      <c r="AK361" s="24" t="n">
        <f aca="false">IF(AD361="",0,IFERROR(INDEX(Resep!$C$15:$C$18,MATCH(LEFT(AD361,3),Resep!$B$15:$B$18,0)),0))</f>
        <v>0</v>
      </c>
      <c r="AL361" s="24" t="str">
        <f aca="false">IF(X361="","",AG361+AH361+AI361+AJ361+AK361)</f>
        <v/>
      </c>
      <c r="AM361" s="22" t="str">
        <f aca="false">IF(X361="","",AL361*(Pengaturan!$B$6+Pengaturan!$B$7)+Pengaturan!$B$8+AE361*Pengaturan!$B$9+AF361*Pengaturan!$B$10)</f>
        <v/>
      </c>
      <c r="AN361" s="22" t="str">
        <f aca="false">IF(X361="","",N(G361)-AM361)</f>
        <v/>
      </c>
      <c r="AO361" s="25" t="str">
        <f aca="false">IF(OR(X361="",N(G361)=0),"",AN361/G361)</f>
        <v/>
      </c>
    </row>
    <row r="362" customFormat="false" ht="15" hidden="false" customHeight="false" outlineLevel="0" collapsed="false">
      <c r="A362" s="19"/>
      <c r="B362" s="20"/>
      <c r="C362" s="19"/>
      <c r="D362" s="19"/>
      <c r="E362" s="19"/>
      <c r="F362" s="19"/>
      <c r="G362" s="21"/>
      <c r="H362" s="19"/>
      <c r="I362" s="21"/>
      <c r="J362" s="19"/>
      <c r="K362" s="20"/>
      <c r="L362" s="20"/>
      <c r="M362" s="19"/>
      <c r="N362" s="19"/>
      <c r="O362" s="20"/>
      <c r="P362" s="20"/>
      <c r="Q362" s="19"/>
      <c r="R362" s="22" t="str">
        <f aca="false">IF(A362="","",N(G362)+N(I362))</f>
        <v/>
      </c>
      <c r="S362" s="23" t="str">
        <f aca="false">IF(OR(K362="",O362=""),"",O362-K362)</f>
        <v/>
      </c>
      <c r="T362" s="23" t="str">
        <f aca="true">IF(AND(C362="Cetak",L362&lt;&gt;"",L362&lt;TODAY()),"YA","")</f>
        <v/>
      </c>
      <c r="U362" s="23" t="str">
        <f aca="false">IF(B362="","",TEXT(B362,"yyyy-mm"))</f>
        <v/>
      </c>
      <c r="V362" s="23" t="str">
        <f aca="false">IF(K362="","",TEXT(K362,"yyyy-mm"))</f>
        <v/>
      </c>
      <c r="W362" s="23" t="n">
        <f aca="false">IF(OR(C362="Cetak",C362="Dikirim",C362="Selesai"),1,0)</f>
        <v>0</v>
      </c>
      <c r="X362" s="23" t="str">
        <f aca="false">IF(F362="","",SUBSTITUTE(SUBSTITUTE(MID(UPPER(TRIM(F362)),4,99),"-LED",""),"-TK",""))</f>
        <v/>
      </c>
      <c r="Y362" s="23" t="str">
        <f aca="false">IF(X362="","",(LEN(X362)+1)/7)</f>
        <v/>
      </c>
      <c r="Z362" s="23" t="str">
        <f aca="false">IF(X362="","",LEFT(X362,6))</f>
        <v/>
      </c>
      <c r="AA362" s="23" t="str">
        <f aca="false">IF(X362="","",IF(Y362&gt;=3,MID(X362,8,6),""))</f>
        <v/>
      </c>
      <c r="AB362" s="23" t="str">
        <f aca="false">IF(X362="","",IF(Y362&gt;=4,MID(X362,15,6),""))</f>
        <v/>
      </c>
      <c r="AC362" s="23" t="str">
        <f aca="false">IF(X362="","",IF(Y362&gt;=5,MID(X362,22,6),""))</f>
        <v/>
      </c>
      <c r="AD362" s="23" t="str">
        <f aca="false">IF(X362="","",RIGHT(X362,6))</f>
        <v/>
      </c>
      <c r="AE362" s="23" t="str">
        <f aca="false">IF(F362="","",IF(ISNUMBER(SEARCH("-TK",UPPER(F362))),0,1))</f>
        <v/>
      </c>
      <c r="AF362" s="23" t="str">
        <f aca="false">IF(F362="","",IF(ISNUMBER(SEARCH("-LED",UPPER(F362))),1,0))</f>
        <v/>
      </c>
      <c r="AG362" s="24" t="n">
        <f aca="false">IF(Z362="",0,IFERROR(INDEX(Resep!$C$5:$C$7,MATCH(LEFT(Z362,3),Resep!$B$5:$B$7,0)),0))</f>
        <v>0</v>
      </c>
      <c r="AH362" s="24" t="n">
        <f aca="false">IF(AA362="",0,IFERROR(INDEX(Resep!$C$9:$C$13,MATCH(LEFT(AA362,3),Resep!$B$9:$B$13,0)),0))</f>
        <v>0</v>
      </c>
      <c r="AI362" s="24" t="n">
        <f aca="false">IF(AB362="",0,IFERROR(INDEX(Resep!$C$9:$C$13,MATCH(LEFT(AB362,3),Resep!$B$9:$B$13,0)),0))</f>
        <v>0</v>
      </c>
      <c r="AJ362" s="24" t="n">
        <f aca="false">IF(AC362="",0,IFERROR(INDEX(Resep!$C$9:$C$13,MATCH(LEFT(AC362,3),Resep!$B$9:$B$13,0)),0))</f>
        <v>0</v>
      </c>
      <c r="AK362" s="24" t="n">
        <f aca="false">IF(AD362="",0,IFERROR(INDEX(Resep!$C$15:$C$18,MATCH(LEFT(AD362,3),Resep!$B$15:$B$18,0)),0))</f>
        <v>0</v>
      </c>
      <c r="AL362" s="24" t="str">
        <f aca="false">IF(X362="","",AG362+AH362+AI362+AJ362+AK362)</f>
        <v/>
      </c>
      <c r="AM362" s="22" t="str">
        <f aca="false">IF(X362="","",AL362*(Pengaturan!$B$6+Pengaturan!$B$7)+Pengaturan!$B$8+AE362*Pengaturan!$B$9+AF362*Pengaturan!$B$10)</f>
        <v/>
      </c>
      <c r="AN362" s="22" t="str">
        <f aca="false">IF(X362="","",N(G362)-AM362)</f>
        <v/>
      </c>
      <c r="AO362" s="25" t="str">
        <f aca="false">IF(OR(X362="",N(G362)=0),"",AN362/G362)</f>
        <v/>
      </c>
    </row>
    <row r="363" customFormat="false" ht="15" hidden="false" customHeight="false" outlineLevel="0" collapsed="false">
      <c r="A363" s="19"/>
      <c r="B363" s="20"/>
      <c r="C363" s="19"/>
      <c r="D363" s="19"/>
      <c r="E363" s="19"/>
      <c r="F363" s="19"/>
      <c r="G363" s="21"/>
      <c r="H363" s="19"/>
      <c r="I363" s="21"/>
      <c r="J363" s="19"/>
      <c r="K363" s="20"/>
      <c r="L363" s="20"/>
      <c r="M363" s="19"/>
      <c r="N363" s="19"/>
      <c r="O363" s="20"/>
      <c r="P363" s="20"/>
      <c r="Q363" s="19"/>
      <c r="R363" s="22" t="str">
        <f aca="false">IF(A363="","",N(G363)+N(I363))</f>
        <v/>
      </c>
      <c r="S363" s="23" t="str">
        <f aca="false">IF(OR(K363="",O363=""),"",O363-K363)</f>
        <v/>
      </c>
      <c r="T363" s="23" t="str">
        <f aca="true">IF(AND(C363="Cetak",L363&lt;&gt;"",L363&lt;TODAY()),"YA","")</f>
        <v/>
      </c>
      <c r="U363" s="23" t="str">
        <f aca="false">IF(B363="","",TEXT(B363,"yyyy-mm"))</f>
        <v/>
      </c>
      <c r="V363" s="23" t="str">
        <f aca="false">IF(K363="","",TEXT(K363,"yyyy-mm"))</f>
        <v/>
      </c>
      <c r="W363" s="23" t="n">
        <f aca="false">IF(OR(C363="Cetak",C363="Dikirim",C363="Selesai"),1,0)</f>
        <v>0</v>
      </c>
      <c r="X363" s="23" t="str">
        <f aca="false">IF(F363="","",SUBSTITUTE(SUBSTITUTE(MID(UPPER(TRIM(F363)),4,99),"-LED",""),"-TK",""))</f>
        <v/>
      </c>
      <c r="Y363" s="23" t="str">
        <f aca="false">IF(X363="","",(LEN(X363)+1)/7)</f>
        <v/>
      </c>
      <c r="Z363" s="23" t="str">
        <f aca="false">IF(X363="","",LEFT(X363,6))</f>
        <v/>
      </c>
      <c r="AA363" s="23" t="str">
        <f aca="false">IF(X363="","",IF(Y363&gt;=3,MID(X363,8,6),""))</f>
        <v/>
      </c>
      <c r="AB363" s="23" t="str">
        <f aca="false">IF(X363="","",IF(Y363&gt;=4,MID(X363,15,6),""))</f>
        <v/>
      </c>
      <c r="AC363" s="23" t="str">
        <f aca="false">IF(X363="","",IF(Y363&gt;=5,MID(X363,22,6),""))</f>
        <v/>
      </c>
      <c r="AD363" s="23" t="str">
        <f aca="false">IF(X363="","",RIGHT(X363,6))</f>
        <v/>
      </c>
      <c r="AE363" s="23" t="str">
        <f aca="false">IF(F363="","",IF(ISNUMBER(SEARCH("-TK",UPPER(F363))),0,1))</f>
        <v/>
      </c>
      <c r="AF363" s="23" t="str">
        <f aca="false">IF(F363="","",IF(ISNUMBER(SEARCH("-LED",UPPER(F363))),1,0))</f>
        <v/>
      </c>
      <c r="AG363" s="24" t="n">
        <f aca="false">IF(Z363="",0,IFERROR(INDEX(Resep!$C$5:$C$7,MATCH(LEFT(Z363,3),Resep!$B$5:$B$7,0)),0))</f>
        <v>0</v>
      </c>
      <c r="AH363" s="24" t="n">
        <f aca="false">IF(AA363="",0,IFERROR(INDEX(Resep!$C$9:$C$13,MATCH(LEFT(AA363,3),Resep!$B$9:$B$13,0)),0))</f>
        <v>0</v>
      </c>
      <c r="AI363" s="24" t="n">
        <f aca="false">IF(AB363="",0,IFERROR(INDEX(Resep!$C$9:$C$13,MATCH(LEFT(AB363,3),Resep!$B$9:$B$13,0)),0))</f>
        <v>0</v>
      </c>
      <c r="AJ363" s="24" t="n">
        <f aca="false">IF(AC363="",0,IFERROR(INDEX(Resep!$C$9:$C$13,MATCH(LEFT(AC363,3),Resep!$B$9:$B$13,0)),0))</f>
        <v>0</v>
      </c>
      <c r="AK363" s="24" t="n">
        <f aca="false">IF(AD363="",0,IFERROR(INDEX(Resep!$C$15:$C$18,MATCH(LEFT(AD363,3),Resep!$B$15:$B$18,0)),0))</f>
        <v>0</v>
      </c>
      <c r="AL363" s="24" t="str">
        <f aca="false">IF(X363="","",AG363+AH363+AI363+AJ363+AK363)</f>
        <v/>
      </c>
      <c r="AM363" s="22" t="str">
        <f aca="false">IF(X363="","",AL363*(Pengaturan!$B$6+Pengaturan!$B$7)+Pengaturan!$B$8+AE363*Pengaturan!$B$9+AF363*Pengaturan!$B$10)</f>
        <v/>
      </c>
      <c r="AN363" s="22" t="str">
        <f aca="false">IF(X363="","",N(G363)-AM363)</f>
        <v/>
      </c>
      <c r="AO363" s="25" t="str">
        <f aca="false">IF(OR(X363="",N(G363)=0),"",AN363/G363)</f>
        <v/>
      </c>
    </row>
    <row r="364" customFormat="false" ht="15" hidden="false" customHeight="false" outlineLevel="0" collapsed="false">
      <c r="A364" s="19"/>
      <c r="B364" s="20"/>
      <c r="C364" s="19"/>
      <c r="D364" s="19"/>
      <c r="E364" s="19"/>
      <c r="F364" s="19"/>
      <c r="G364" s="21"/>
      <c r="H364" s="19"/>
      <c r="I364" s="21"/>
      <c r="J364" s="19"/>
      <c r="K364" s="20"/>
      <c r="L364" s="20"/>
      <c r="M364" s="19"/>
      <c r="N364" s="19"/>
      <c r="O364" s="20"/>
      <c r="P364" s="20"/>
      <c r="Q364" s="19"/>
      <c r="R364" s="22" t="str">
        <f aca="false">IF(A364="","",N(G364)+N(I364))</f>
        <v/>
      </c>
      <c r="S364" s="23" t="str">
        <f aca="false">IF(OR(K364="",O364=""),"",O364-K364)</f>
        <v/>
      </c>
      <c r="T364" s="23" t="str">
        <f aca="true">IF(AND(C364="Cetak",L364&lt;&gt;"",L364&lt;TODAY()),"YA","")</f>
        <v/>
      </c>
      <c r="U364" s="23" t="str">
        <f aca="false">IF(B364="","",TEXT(B364,"yyyy-mm"))</f>
        <v/>
      </c>
      <c r="V364" s="23" t="str">
        <f aca="false">IF(K364="","",TEXT(K364,"yyyy-mm"))</f>
        <v/>
      </c>
      <c r="W364" s="23" t="n">
        <f aca="false">IF(OR(C364="Cetak",C364="Dikirim",C364="Selesai"),1,0)</f>
        <v>0</v>
      </c>
      <c r="X364" s="23" t="str">
        <f aca="false">IF(F364="","",SUBSTITUTE(SUBSTITUTE(MID(UPPER(TRIM(F364)),4,99),"-LED",""),"-TK",""))</f>
        <v/>
      </c>
      <c r="Y364" s="23" t="str">
        <f aca="false">IF(X364="","",(LEN(X364)+1)/7)</f>
        <v/>
      </c>
      <c r="Z364" s="23" t="str">
        <f aca="false">IF(X364="","",LEFT(X364,6))</f>
        <v/>
      </c>
      <c r="AA364" s="23" t="str">
        <f aca="false">IF(X364="","",IF(Y364&gt;=3,MID(X364,8,6),""))</f>
        <v/>
      </c>
      <c r="AB364" s="23" t="str">
        <f aca="false">IF(X364="","",IF(Y364&gt;=4,MID(X364,15,6),""))</f>
        <v/>
      </c>
      <c r="AC364" s="23" t="str">
        <f aca="false">IF(X364="","",IF(Y364&gt;=5,MID(X364,22,6),""))</f>
        <v/>
      </c>
      <c r="AD364" s="23" t="str">
        <f aca="false">IF(X364="","",RIGHT(X364,6))</f>
        <v/>
      </c>
      <c r="AE364" s="23" t="str">
        <f aca="false">IF(F364="","",IF(ISNUMBER(SEARCH("-TK",UPPER(F364))),0,1))</f>
        <v/>
      </c>
      <c r="AF364" s="23" t="str">
        <f aca="false">IF(F364="","",IF(ISNUMBER(SEARCH("-LED",UPPER(F364))),1,0))</f>
        <v/>
      </c>
      <c r="AG364" s="24" t="n">
        <f aca="false">IF(Z364="",0,IFERROR(INDEX(Resep!$C$5:$C$7,MATCH(LEFT(Z364,3),Resep!$B$5:$B$7,0)),0))</f>
        <v>0</v>
      </c>
      <c r="AH364" s="24" t="n">
        <f aca="false">IF(AA364="",0,IFERROR(INDEX(Resep!$C$9:$C$13,MATCH(LEFT(AA364,3),Resep!$B$9:$B$13,0)),0))</f>
        <v>0</v>
      </c>
      <c r="AI364" s="24" t="n">
        <f aca="false">IF(AB364="",0,IFERROR(INDEX(Resep!$C$9:$C$13,MATCH(LEFT(AB364,3),Resep!$B$9:$B$13,0)),0))</f>
        <v>0</v>
      </c>
      <c r="AJ364" s="24" t="n">
        <f aca="false">IF(AC364="",0,IFERROR(INDEX(Resep!$C$9:$C$13,MATCH(LEFT(AC364,3),Resep!$B$9:$B$13,0)),0))</f>
        <v>0</v>
      </c>
      <c r="AK364" s="24" t="n">
        <f aca="false">IF(AD364="",0,IFERROR(INDEX(Resep!$C$15:$C$18,MATCH(LEFT(AD364,3),Resep!$B$15:$B$18,0)),0))</f>
        <v>0</v>
      </c>
      <c r="AL364" s="24" t="str">
        <f aca="false">IF(X364="","",AG364+AH364+AI364+AJ364+AK364)</f>
        <v/>
      </c>
      <c r="AM364" s="22" t="str">
        <f aca="false">IF(X364="","",AL364*(Pengaturan!$B$6+Pengaturan!$B$7)+Pengaturan!$B$8+AE364*Pengaturan!$B$9+AF364*Pengaturan!$B$10)</f>
        <v/>
      </c>
      <c r="AN364" s="22" t="str">
        <f aca="false">IF(X364="","",N(G364)-AM364)</f>
        <v/>
      </c>
      <c r="AO364" s="25" t="str">
        <f aca="false">IF(OR(X364="",N(G364)=0),"",AN364/G364)</f>
        <v/>
      </c>
    </row>
    <row r="365" customFormat="false" ht="15" hidden="false" customHeight="false" outlineLevel="0" collapsed="false">
      <c r="A365" s="19"/>
      <c r="B365" s="20"/>
      <c r="C365" s="19"/>
      <c r="D365" s="19"/>
      <c r="E365" s="19"/>
      <c r="F365" s="19"/>
      <c r="G365" s="21"/>
      <c r="H365" s="19"/>
      <c r="I365" s="21"/>
      <c r="J365" s="19"/>
      <c r="K365" s="20"/>
      <c r="L365" s="20"/>
      <c r="M365" s="19"/>
      <c r="N365" s="19"/>
      <c r="O365" s="20"/>
      <c r="P365" s="20"/>
      <c r="Q365" s="19"/>
      <c r="R365" s="22" t="str">
        <f aca="false">IF(A365="","",N(G365)+N(I365))</f>
        <v/>
      </c>
      <c r="S365" s="23" t="str">
        <f aca="false">IF(OR(K365="",O365=""),"",O365-K365)</f>
        <v/>
      </c>
      <c r="T365" s="23" t="str">
        <f aca="true">IF(AND(C365="Cetak",L365&lt;&gt;"",L365&lt;TODAY()),"YA","")</f>
        <v/>
      </c>
      <c r="U365" s="23" t="str">
        <f aca="false">IF(B365="","",TEXT(B365,"yyyy-mm"))</f>
        <v/>
      </c>
      <c r="V365" s="23" t="str">
        <f aca="false">IF(K365="","",TEXT(K365,"yyyy-mm"))</f>
        <v/>
      </c>
      <c r="W365" s="23" t="n">
        <f aca="false">IF(OR(C365="Cetak",C365="Dikirim",C365="Selesai"),1,0)</f>
        <v>0</v>
      </c>
      <c r="X365" s="23" t="str">
        <f aca="false">IF(F365="","",SUBSTITUTE(SUBSTITUTE(MID(UPPER(TRIM(F365)),4,99),"-LED",""),"-TK",""))</f>
        <v/>
      </c>
      <c r="Y365" s="23" t="str">
        <f aca="false">IF(X365="","",(LEN(X365)+1)/7)</f>
        <v/>
      </c>
      <c r="Z365" s="23" t="str">
        <f aca="false">IF(X365="","",LEFT(X365,6))</f>
        <v/>
      </c>
      <c r="AA365" s="23" t="str">
        <f aca="false">IF(X365="","",IF(Y365&gt;=3,MID(X365,8,6),""))</f>
        <v/>
      </c>
      <c r="AB365" s="23" t="str">
        <f aca="false">IF(X365="","",IF(Y365&gt;=4,MID(X365,15,6),""))</f>
        <v/>
      </c>
      <c r="AC365" s="23" t="str">
        <f aca="false">IF(X365="","",IF(Y365&gt;=5,MID(X365,22,6),""))</f>
        <v/>
      </c>
      <c r="AD365" s="23" t="str">
        <f aca="false">IF(X365="","",RIGHT(X365,6))</f>
        <v/>
      </c>
      <c r="AE365" s="23" t="str">
        <f aca="false">IF(F365="","",IF(ISNUMBER(SEARCH("-TK",UPPER(F365))),0,1))</f>
        <v/>
      </c>
      <c r="AF365" s="23" t="str">
        <f aca="false">IF(F365="","",IF(ISNUMBER(SEARCH("-LED",UPPER(F365))),1,0))</f>
        <v/>
      </c>
      <c r="AG365" s="24" t="n">
        <f aca="false">IF(Z365="",0,IFERROR(INDEX(Resep!$C$5:$C$7,MATCH(LEFT(Z365,3),Resep!$B$5:$B$7,0)),0))</f>
        <v>0</v>
      </c>
      <c r="AH365" s="24" t="n">
        <f aca="false">IF(AA365="",0,IFERROR(INDEX(Resep!$C$9:$C$13,MATCH(LEFT(AA365,3),Resep!$B$9:$B$13,0)),0))</f>
        <v>0</v>
      </c>
      <c r="AI365" s="24" t="n">
        <f aca="false">IF(AB365="",0,IFERROR(INDEX(Resep!$C$9:$C$13,MATCH(LEFT(AB365,3),Resep!$B$9:$B$13,0)),0))</f>
        <v>0</v>
      </c>
      <c r="AJ365" s="24" t="n">
        <f aca="false">IF(AC365="",0,IFERROR(INDEX(Resep!$C$9:$C$13,MATCH(LEFT(AC365,3),Resep!$B$9:$B$13,0)),0))</f>
        <v>0</v>
      </c>
      <c r="AK365" s="24" t="n">
        <f aca="false">IF(AD365="",0,IFERROR(INDEX(Resep!$C$15:$C$18,MATCH(LEFT(AD365,3),Resep!$B$15:$B$18,0)),0))</f>
        <v>0</v>
      </c>
      <c r="AL365" s="24" t="str">
        <f aca="false">IF(X365="","",AG365+AH365+AI365+AJ365+AK365)</f>
        <v/>
      </c>
      <c r="AM365" s="22" t="str">
        <f aca="false">IF(X365="","",AL365*(Pengaturan!$B$6+Pengaturan!$B$7)+Pengaturan!$B$8+AE365*Pengaturan!$B$9+AF365*Pengaturan!$B$10)</f>
        <v/>
      </c>
      <c r="AN365" s="22" t="str">
        <f aca="false">IF(X365="","",N(G365)-AM365)</f>
        <v/>
      </c>
      <c r="AO365" s="25" t="str">
        <f aca="false">IF(OR(X365="",N(G365)=0),"",AN365/G365)</f>
        <v/>
      </c>
    </row>
    <row r="366" customFormat="false" ht="15" hidden="false" customHeight="false" outlineLevel="0" collapsed="false">
      <c r="A366" s="19"/>
      <c r="B366" s="20"/>
      <c r="C366" s="19"/>
      <c r="D366" s="19"/>
      <c r="E366" s="19"/>
      <c r="F366" s="19"/>
      <c r="G366" s="21"/>
      <c r="H366" s="19"/>
      <c r="I366" s="21"/>
      <c r="J366" s="19"/>
      <c r="K366" s="20"/>
      <c r="L366" s="20"/>
      <c r="M366" s="19"/>
      <c r="N366" s="19"/>
      <c r="O366" s="20"/>
      <c r="P366" s="20"/>
      <c r="Q366" s="19"/>
      <c r="R366" s="22" t="str">
        <f aca="false">IF(A366="","",N(G366)+N(I366))</f>
        <v/>
      </c>
      <c r="S366" s="23" t="str">
        <f aca="false">IF(OR(K366="",O366=""),"",O366-K366)</f>
        <v/>
      </c>
      <c r="T366" s="23" t="str">
        <f aca="true">IF(AND(C366="Cetak",L366&lt;&gt;"",L366&lt;TODAY()),"YA","")</f>
        <v/>
      </c>
      <c r="U366" s="23" t="str">
        <f aca="false">IF(B366="","",TEXT(B366,"yyyy-mm"))</f>
        <v/>
      </c>
      <c r="V366" s="23" t="str">
        <f aca="false">IF(K366="","",TEXT(K366,"yyyy-mm"))</f>
        <v/>
      </c>
      <c r="W366" s="23" t="n">
        <f aca="false">IF(OR(C366="Cetak",C366="Dikirim",C366="Selesai"),1,0)</f>
        <v>0</v>
      </c>
      <c r="X366" s="23" t="str">
        <f aca="false">IF(F366="","",SUBSTITUTE(SUBSTITUTE(MID(UPPER(TRIM(F366)),4,99),"-LED",""),"-TK",""))</f>
        <v/>
      </c>
      <c r="Y366" s="23" t="str">
        <f aca="false">IF(X366="","",(LEN(X366)+1)/7)</f>
        <v/>
      </c>
      <c r="Z366" s="23" t="str">
        <f aca="false">IF(X366="","",LEFT(X366,6))</f>
        <v/>
      </c>
      <c r="AA366" s="23" t="str">
        <f aca="false">IF(X366="","",IF(Y366&gt;=3,MID(X366,8,6),""))</f>
        <v/>
      </c>
      <c r="AB366" s="23" t="str">
        <f aca="false">IF(X366="","",IF(Y366&gt;=4,MID(X366,15,6),""))</f>
        <v/>
      </c>
      <c r="AC366" s="23" t="str">
        <f aca="false">IF(X366="","",IF(Y366&gt;=5,MID(X366,22,6),""))</f>
        <v/>
      </c>
      <c r="AD366" s="23" t="str">
        <f aca="false">IF(X366="","",RIGHT(X366,6))</f>
        <v/>
      </c>
      <c r="AE366" s="23" t="str">
        <f aca="false">IF(F366="","",IF(ISNUMBER(SEARCH("-TK",UPPER(F366))),0,1))</f>
        <v/>
      </c>
      <c r="AF366" s="23" t="str">
        <f aca="false">IF(F366="","",IF(ISNUMBER(SEARCH("-LED",UPPER(F366))),1,0))</f>
        <v/>
      </c>
      <c r="AG366" s="24" t="n">
        <f aca="false">IF(Z366="",0,IFERROR(INDEX(Resep!$C$5:$C$7,MATCH(LEFT(Z366,3),Resep!$B$5:$B$7,0)),0))</f>
        <v>0</v>
      </c>
      <c r="AH366" s="24" t="n">
        <f aca="false">IF(AA366="",0,IFERROR(INDEX(Resep!$C$9:$C$13,MATCH(LEFT(AA366,3),Resep!$B$9:$B$13,0)),0))</f>
        <v>0</v>
      </c>
      <c r="AI366" s="24" t="n">
        <f aca="false">IF(AB366="",0,IFERROR(INDEX(Resep!$C$9:$C$13,MATCH(LEFT(AB366,3),Resep!$B$9:$B$13,0)),0))</f>
        <v>0</v>
      </c>
      <c r="AJ366" s="24" t="n">
        <f aca="false">IF(AC366="",0,IFERROR(INDEX(Resep!$C$9:$C$13,MATCH(LEFT(AC366,3),Resep!$B$9:$B$13,0)),0))</f>
        <v>0</v>
      </c>
      <c r="AK366" s="24" t="n">
        <f aca="false">IF(AD366="",0,IFERROR(INDEX(Resep!$C$15:$C$18,MATCH(LEFT(AD366,3),Resep!$B$15:$B$18,0)),0))</f>
        <v>0</v>
      </c>
      <c r="AL366" s="24" t="str">
        <f aca="false">IF(X366="","",AG366+AH366+AI366+AJ366+AK366)</f>
        <v/>
      </c>
      <c r="AM366" s="22" t="str">
        <f aca="false">IF(X366="","",AL366*(Pengaturan!$B$6+Pengaturan!$B$7)+Pengaturan!$B$8+AE366*Pengaturan!$B$9+AF366*Pengaturan!$B$10)</f>
        <v/>
      </c>
      <c r="AN366" s="22" t="str">
        <f aca="false">IF(X366="","",N(G366)-AM366)</f>
        <v/>
      </c>
      <c r="AO366" s="25" t="str">
        <f aca="false">IF(OR(X366="",N(G366)=0),"",AN366/G366)</f>
        <v/>
      </c>
    </row>
    <row r="367" customFormat="false" ht="15" hidden="false" customHeight="false" outlineLevel="0" collapsed="false">
      <c r="A367" s="19"/>
      <c r="B367" s="20"/>
      <c r="C367" s="19"/>
      <c r="D367" s="19"/>
      <c r="E367" s="19"/>
      <c r="F367" s="19"/>
      <c r="G367" s="21"/>
      <c r="H367" s="19"/>
      <c r="I367" s="21"/>
      <c r="J367" s="19"/>
      <c r="K367" s="20"/>
      <c r="L367" s="20"/>
      <c r="M367" s="19"/>
      <c r="N367" s="19"/>
      <c r="O367" s="20"/>
      <c r="P367" s="20"/>
      <c r="Q367" s="19"/>
      <c r="R367" s="22" t="str">
        <f aca="false">IF(A367="","",N(G367)+N(I367))</f>
        <v/>
      </c>
      <c r="S367" s="23" t="str">
        <f aca="false">IF(OR(K367="",O367=""),"",O367-K367)</f>
        <v/>
      </c>
      <c r="T367" s="23" t="str">
        <f aca="true">IF(AND(C367="Cetak",L367&lt;&gt;"",L367&lt;TODAY()),"YA","")</f>
        <v/>
      </c>
      <c r="U367" s="23" t="str">
        <f aca="false">IF(B367="","",TEXT(B367,"yyyy-mm"))</f>
        <v/>
      </c>
      <c r="V367" s="23" t="str">
        <f aca="false">IF(K367="","",TEXT(K367,"yyyy-mm"))</f>
        <v/>
      </c>
      <c r="W367" s="23" t="n">
        <f aca="false">IF(OR(C367="Cetak",C367="Dikirim",C367="Selesai"),1,0)</f>
        <v>0</v>
      </c>
      <c r="X367" s="23" t="str">
        <f aca="false">IF(F367="","",SUBSTITUTE(SUBSTITUTE(MID(UPPER(TRIM(F367)),4,99),"-LED",""),"-TK",""))</f>
        <v/>
      </c>
      <c r="Y367" s="23" t="str">
        <f aca="false">IF(X367="","",(LEN(X367)+1)/7)</f>
        <v/>
      </c>
      <c r="Z367" s="23" t="str">
        <f aca="false">IF(X367="","",LEFT(X367,6))</f>
        <v/>
      </c>
      <c r="AA367" s="23" t="str">
        <f aca="false">IF(X367="","",IF(Y367&gt;=3,MID(X367,8,6),""))</f>
        <v/>
      </c>
      <c r="AB367" s="23" t="str">
        <f aca="false">IF(X367="","",IF(Y367&gt;=4,MID(X367,15,6),""))</f>
        <v/>
      </c>
      <c r="AC367" s="23" t="str">
        <f aca="false">IF(X367="","",IF(Y367&gt;=5,MID(X367,22,6),""))</f>
        <v/>
      </c>
      <c r="AD367" s="23" t="str">
        <f aca="false">IF(X367="","",RIGHT(X367,6))</f>
        <v/>
      </c>
      <c r="AE367" s="23" t="str">
        <f aca="false">IF(F367="","",IF(ISNUMBER(SEARCH("-TK",UPPER(F367))),0,1))</f>
        <v/>
      </c>
      <c r="AF367" s="23" t="str">
        <f aca="false">IF(F367="","",IF(ISNUMBER(SEARCH("-LED",UPPER(F367))),1,0))</f>
        <v/>
      </c>
      <c r="AG367" s="24" t="n">
        <f aca="false">IF(Z367="",0,IFERROR(INDEX(Resep!$C$5:$C$7,MATCH(LEFT(Z367,3),Resep!$B$5:$B$7,0)),0))</f>
        <v>0</v>
      </c>
      <c r="AH367" s="24" t="n">
        <f aca="false">IF(AA367="",0,IFERROR(INDEX(Resep!$C$9:$C$13,MATCH(LEFT(AA367,3),Resep!$B$9:$B$13,0)),0))</f>
        <v>0</v>
      </c>
      <c r="AI367" s="24" t="n">
        <f aca="false">IF(AB367="",0,IFERROR(INDEX(Resep!$C$9:$C$13,MATCH(LEFT(AB367,3),Resep!$B$9:$B$13,0)),0))</f>
        <v>0</v>
      </c>
      <c r="AJ367" s="24" t="n">
        <f aca="false">IF(AC367="",0,IFERROR(INDEX(Resep!$C$9:$C$13,MATCH(LEFT(AC367,3),Resep!$B$9:$B$13,0)),0))</f>
        <v>0</v>
      </c>
      <c r="AK367" s="24" t="n">
        <f aca="false">IF(AD367="",0,IFERROR(INDEX(Resep!$C$15:$C$18,MATCH(LEFT(AD367,3),Resep!$B$15:$B$18,0)),0))</f>
        <v>0</v>
      </c>
      <c r="AL367" s="24" t="str">
        <f aca="false">IF(X367="","",AG367+AH367+AI367+AJ367+AK367)</f>
        <v/>
      </c>
      <c r="AM367" s="22" t="str">
        <f aca="false">IF(X367="","",AL367*(Pengaturan!$B$6+Pengaturan!$B$7)+Pengaturan!$B$8+AE367*Pengaturan!$B$9+AF367*Pengaturan!$B$10)</f>
        <v/>
      </c>
      <c r="AN367" s="22" t="str">
        <f aca="false">IF(X367="","",N(G367)-AM367)</f>
        <v/>
      </c>
      <c r="AO367" s="25" t="str">
        <f aca="false">IF(OR(X367="",N(G367)=0),"",AN367/G367)</f>
        <v/>
      </c>
    </row>
    <row r="368" customFormat="false" ht="15" hidden="false" customHeight="false" outlineLevel="0" collapsed="false">
      <c r="A368" s="19"/>
      <c r="B368" s="20"/>
      <c r="C368" s="19"/>
      <c r="D368" s="19"/>
      <c r="E368" s="19"/>
      <c r="F368" s="19"/>
      <c r="G368" s="21"/>
      <c r="H368" s="19"/>
      <c r="I368" s="21"/>
      <c r="J368" s="19"/>
      <c r="K368" s="20"/>
      <c r="L368" s="20"/>
      <c r="M368" s="19"/>
      <c r="N368" s="19"/>
      <c r="O368" s="20"/>
      <c r="P368" s="20"/>
      <c r="Q368" s="19"/>
      <c r="R368" s="22" t="str">
        <f aca="false">IF(A368="","",N(G368)+N(I368))</f>
        <v/>
      </c>
      <c r="S368" s="23" t="str">
        <f aca="false">IF(OR(K368="",O368=""),"",O368-K368)</f>
        <v/>
      </c>
      <c r="T368" s="23" t="str">
        <f aca="true">IF(AND(C368="Cetak",L368&lt;&gt;"",L368&lt;TODAY()),"YA","")</f>
        <v/>
      </c>
      <c r="U368" s="23" t="str">
        <f aca="false">IF(B368="","",TEXT(B368,"yyyy-mm"))</f>
        <v/>
      </c>
      <c r="V368" s="23" t="str">
        <f aca="false">IF(K368="","",TEXT(K368,"yyyy-mm"))</f>
        <v/>
      </c>
      <c r="W368" s="23" t="n">
        <f aca="false">IF(OR(C368="Cetak",C368="Dikirim",C368="Selesai"),1,0)</f>
        <v>0</v>
      </c>
      <c r="X368" s="23" t="str">
        <f aca="false">IF(F368="","",SUBSTITUTE(SUBSTITUTE(MID(UPPER(TRIM(F368)),4,99),"-LED",""),"-TK",""))</f>
        <v/>
      </c>
      <c r="Y368" s="23" t="str">
        <f aca="false">IF(X368="","",(LEN(X368)+1)/7)</f>
        <v/>
      </c>
      <c r="Z368" s="23" t="str">
        <f aca="false">IF(X368="","",LEFT(X368,6))</f>
        <v/>
      </c>
      <c r="AA368" s="23" t="str">
        <f aca="false">IF(X368="","",IF(Y368&gt;=3,MID(X368,8,6),""))</f>
        <v/>
      </c>
      <c r="AB368" s="23" t="str">
        <f aca="false">IF(X368="","",IF(Y368&gt;=4,MID(X368,15,6),""))</f>
        <v/>
      </c>
      <c r="AC368" s="23" t="str">
        <f aca="false">IF(X368="","",IF(Y368&gt;=5,MID(X368,22,6),""))</f>
        <v/>
      </c>
      <c r="AD368" s="23" t="str">
        <f aca="false">IF(X368="","",RIGHT(X368,6))</f>
        <v/>
      </c>
      <c r="AE368" s="23" t="str">
        <f aca="false">IF(F368="","",IF(ISNUMBER(SEARCH("-TK",UPPER(F368))),0,1))</f>
        <v/>
      </c>
      <c r="AF368" s="23" t="str">
        <f aca="false">IF(F368="","",IF(ISNUMBER(SEARCH("-LED",UPPER(F368))),1,0))</f>
        <v/>
      </c>
      <c r="AG368" s="24" t="n">
        <f aca="false">IF(Z368="",0,IFERROR(INDEX(Resep!$C$5:$C$7,MATCH(LEFT(Z368,3),Resep!$B$5:$B$7,0)),0))</f>
        <v>0</v>
      </c>
      <c r="AH368" s="24" t="n">
        <f aca="false">IF(AA368="",0,IFERROR(INDEX(Resep!$C$9:$C$13,MATCH(LEFT(AA368,3),Resep!$B$9:$B$13,0)),0))</f>
        <v>0</v>
      </c>
      <c r="AI368" s="24" t="n">
        <f aca="false">IF(AB368="",0,IFERROR(INDEX(Resep!$C$9:$C$13,MATCH(LEFT(AB368,3),Resep!$B$9:$B$13,0)),0))</f>
        <v>0</v>
      </c>
      <c r="AJ368" s="24" t="n">
        <f aca="false">IF(AC368="",0,IFERROR(INDEX(Resep!$C$9:$C$13,MATCH(LEFT(AC368,3),Resep!$B$9:$B$13,0)),0))</f>
        <v>0</v>
      </c>
      <c r="AK368" s="24" t="n">
        <f aca="false">IF(AD368="",0,IFERROR(INDEX(Resep!$C$15:$C$18,MATCH(LEFT(AD368,3),Resep!$B$15:$B$18,0)),0))</f>
        <v>0</v>
      </c>
      <c r="AL368" s="24" t="str">
        <f aca="false">IF(X368="","",AG368+AH368+AI368+AJ368+AK368)</f>
        <v/>
      </c>
      <c r="AM368" s="22" t="str">
        <f aca="false">IF(X368="","",AL368*(Pengaturan!$B$6+Pengaturan!$B$7)+Pengaturan!$B$8+AE368*Pengaturan!$B$9+AF368*Pengaturan!$B$10)</f>
        <v/>
      </c>
      <c r="AN368" s="22" t="str">
        <f aca="false">IF(X368="","",N(G368)-AM368)</f>
        <v/>
      </c>
      <c r="AO368" s="25" t="str">
        <f aca="false">IF(OR(X368="",N(G368)=0),"",AN368/G368)</f>
        <v/>
      </c>
    </row>
    <row r="369" customFormat="false" ht="15" hidden="false" customHeight="false" outlineLevel="0" collapsed="false">
      <c r="A369" s="19"/>
      <c r="B369" s="20"/>
      <c r="C369" s="19"/>
      <c r="D369" s="19"/>
      <c r="E369" s="19"/>
      <c r="F369" s="19"/>
      <c r="G369" s="21"/>
      <c r="H369" s="19"/>
      <c r="I369" s="21"/>
      <c r="J369" s="19"/>
      <c r="K369" s="20"/>
      <c r="L369" s="20"/>
      <c r="M369" s="19"/>
      <c r="N369" s="19"/>
      <c r="O369" s="20"/>
      <c r="P369" s="20"/>
      <c r="Q369" s="19"/>
      <c r="R369" s="22" t="str">
        <f aca="false">IF(A369="","",N(G369)+N(I369))</f>
        <v/>
      </c>
      <c r="S369" s="23" t="str">
        <f aca="false">IF(OR(K369="",O369=""),"",O369-K369)</f>
        <v/>
      </c>
      <c r="T369" s="23" t="str">
        <f aca="true">IF(AND(C369="Cetak",L369&lt;&gt;"",L369&lt;TODAY()),"YA","")</f>
        <v/>
      </c>
      <c r="U369" s="23" t="str">
        <f aca="false">IF(B369="","",TEXT(B369,"yyyy-mm"))</f>
        <v/>
      </c>
      <c r="V369" s="23" t="str">
        <f aca="false">IF(K369="","",TEXT(K369,"yyyy-mm"))</f>
        <v/>
      </c>
      <c r="W369" s="23" t="n">
        <f aca="false">IF(OR(C369="Cetak",C369="Dikirim",C369="Selesai"),1,0)</f>
        <v>0</v>
      </c>
      <c r="X369" s="23" t="str">
        <f aca="false">IF(F369="","",SUBSTITUTE(SUBSTITUTE(MID(UPPER(TRIM(F369)),4,99),"-LED",""),"-TK",""))</f>
        <v/>
      </c>
      <c r="Y369" s="23" t="str">
        <f aca="false">IF(X369="","",(LEN(X369)+1)/7)</f>
        <v/>
      </c>
      <c r="Z369" s="23" t="str">
        <f aca="false">IF(X369="","",LEFT(X369,6))</f>
        <v/>
      </c>
      <c r="AA369" s="23" t="str">
        <f aca="false">IF(X369="","",IF(Y369&gt;=3,MID(X369,8,6),""))</f>
        <v/>
      </c>
      <c r="AB369" s="23" t="str">
        <f aca="false">IF(X369="","",IF(Y369&gt;=4,MID(X369,15,6),""))</f>
        <v/>
      </c>
      <c r="AC369" s="23" t="str">
        <f aca="false">IF(X369="","",IF(Y369&gt;=5,MID(X369,22,6),""))</f>
        <v/>
      </c>
      <c r="AD369" s="23" t="str">
        <f aca="false">IF(X369="","",RIGHT(X369,6))</f>
        <v/>
      </c>
      <c r="AE369" s="23" t="str">
        <f aca="false">IF(F369="","",IF(ISNUMBER(SEARCH("-TK",UPPER(F369))),0,1))</f>
        <v/>
      </c>
      <c r="AF369" s="23" t="str">
        <f aca="false">IF(F369="","",IF(ISNUMBER(SEARCH("-LED",UPPER(F369))),1,0))</f>
        <v/>
      </c>
      <c r="AG369" s="24" t="n">
        <f aca="false">IF(Z369="",0,IFERROR(INDEX(Resep!$C$5:$C$7,MATCH(LEFT(Z369,3),Resep!$B$5:$B$7,0)),0))</f>
        <v>0</v>
      </c>
      <c r="AH369" s="24" t="n">
        <f aca="false">IF(AA369="",0,IFERROR(INDEX(Resep!$C$9:$C$13,MATCH(LEFT(AA369,3),Resep!$B$9:$B$13,0)),0))</f>
        <v>0</v>
      </c>
      <c r="AI369" s="24" t="n">
        <f aca="false">IF(AB369="",0,IFERROR(INDEX(Resep!$C$9:$C$13,MATCH(LEFT(AB369,3),Resep!$B$9:$B$13,0)),0))</f>
        <v>0</v>
      </c>
      <c r="AJ369" s="24" t="n">
        <f aca="false">IF(AC369="",0,IFERROR(INDEX(Resep!$C$9:$C$13,MATCH(LEFT(AC369,3),Resep!$B$9:$B$13,0)),0))</f>
        <v>0</v>
      </c>
      <c r="AK369" s="24" t="n">
        <f aca="false">IF(AD369="",0,IFERROR(INDEX(Resep!$C$15:$C$18,MATCH(LEFT(AD369,3),Resep!$B$15:$B$18,0)),0))</f>
        <v>0</v>
      </c>
      <c r="AL369" s="24" t="str">
        <f aca="false">IF(X369="","",AG369+AH369+AI369+AJ369+AK369)</f>
        <v/>
      </c>
      <c r="AM369" s="22" t="str">
        <f aca="false">IF(X369="","",AL369*(Pengaturan!$B$6+Pengaturan!$B$7)+Pengaturan!$B$8+AE369*Pengaturan!$B$9+AF369*Pengaturan!$B$10)</f>
        <v/>
      </c>
      <c r="AN369" s="22" t="str">
        <f aca="false">IF(X369="","",N(G369)-AM369)</f>
        <v/>
      </c>
      <c r="AO369" s="25" t="str">
        <f aca="false">IF(OR(X369="",N(G369)=0),"",AN369/G369)</f>
        <v/>
      </c>
    </row>
    <row r="370" customFormat="false" ht="15" hidden="false" customHeight="false" outlineLevel="0" collapsed="false">
      <c r="A370" s="19"/>
      <c r="B370" s="20"/>
      <c r="C370" s="19"/>
      <c r="D370" s="19"/>
      <c r="E370" s="19"/>
      <c r="F370" s="19"/>
      <c r="G370" s="21"/>
      <c r="H370" s="19"/>
      <c r="I370" s="21"/>
      <c r="J370" s="19"/>
      <c r="K370" s="20"/>
      <c r="L370" s="20"/>
      <c r="M370" s="19"/>
      <c r="N370" s="19"/>
      <c r="O370" s="20"/>
      <c r="P370" s="20"/>
      <c r="Q370" s="19"/>
      <c r="R370" s="22" t="str">
        <f aca="false">IF(A370="","",N(G370)+N(I370))</f>
        <v/>
      </c>
      <c r="S370" s="23" t="str">
        <f aca="false">IF(OR(K370="",O370=""),"",O370-K370)</f>
        <v/>
      </c>
      <c r="T370" s="23" t="str">
        <f aca="true">IF(AND(C370="Cetak",L370&lt;&gt;"",L370&lt;TODAY()),"YA","")</f>
        <v/>
      </c>
      <c r="U370" s="23" t="str">
        <f aca="false">IF(B370="","",TEXT(B370,"yyyy-mm"))</f>
        <v/>
      </c>
      <c r="V370" s="23" t="str">
        <f aca="false">IF(K370="","",TEXT(K370,"yyyy-mm"))</f>
        <v/>
      </c>
      <c r="W370" s="23" t="n">
        <f aca="false">IF(OR(C370="Cetak",C370="Dikirim",C370="Selesai"),1,0)</f>
        <v>0</v>
      </c>
      <c r="X370" s="23" t="str">
        <f aca="false">IF(F370="","",SUBSTITUTE(SUBSTITUTE(MID(UPPER(TRIM(F370)),4,99),"-LED",""),"-TK",""))</f>
        <v/>
      </c>
      <c r="Y370" s="23" t="str">
        <f aca="false">IF(X370="","",(LEN(X370)+1)/7)</f>
        <v/>
      </c>
      <c r="Z370" s="23" t="str">
        <f aca="false">IF(X370="","",LEFT(X370,6))</f>
        <v/>
      </c>
      <c r="AA370" s="23" t="str">
        <f aca="false">IF(X370="","",IF(Y370&gt;=3,MID(X370,8,6),""))</f>
        <v/>
      </c>
      <c r="AB370" s="23" t="str">
        <f aca="false">IF(X370="","",IF(Y370&gt;=4,MID(X370,15,6),""))</f>
        <v/>
      </c>
      <c r="AC370" s="23" t="str">
        <f aca="false">IF(X370="","",IF(Y370&gt;=5,MID(X370,22,6),""))</f>
        <v/>
      </c>
      <c r="AD370" s="23" t="str">
        <f aca="false">IF(X370="","",RIGHT(X370,6))</f>
        <v/>
      </c>
      <c r="AE370" s="23" t="str">
        <f aca="false">IF(F370="","",IF(ISNUMBER(SEARCH("-TK",UPPER(F370))),0,1))</f>
        <v/>
      </c>
      <c r="AF370" s="23" t="str">
        <f aca="false">IF(F370="","",IF(ISNUMBER(SEARCH("-LED",UPPER(F370))),1,0))</f>
        <v/>
      </c>
      <c r="AG370" s="24" t="n">
        <f aca="false">IF(Z370="",0,IFERROR(INDEX(Resep!$C$5:$C$7,MATCH(LEFT(Z370,3),Resep!$B$5:$B$7,0)),0))</f>
        <v>0</v>
      </c>
      <c r="AH370" s="24" t="n">
        <f aca="false">IF(AA370="",0,IFERROR(INDEX(Resep!$C$9:$C$13,MATCH(LEFT(AA370,3),Resep!$B$9:$B$13,0)),0))</f>
        <v>0</v>
      </c>
      <c r="AI370" s="24" t="n">
        <f aca="false">IF(AB370="",0,IFERROR(INDEX(Resep!$C$9:$C$13,MATCH(LEFT(AB370,3),Resep!$B$9:$B$13,0)),0))</f>
        <v>0</v>
      </c>
      <c r="AJ370" s="24" t="n">
        <f aca="false">IF(AC370="",0,IFERROR(INDEX(Resep!$C$9:$C$13,MATCH(LEFT(AC370,3),Resep!$B$9:$B$13,0)),0))</f>
        <v>0</v>
      </c>
      <c r="AK370" s="24" t="n">
        <f aca="false">IF(AD370="",0,IFERROR(INDEX(Resep!$C$15:$C$18,MATCH(LEFT(AD370,3),Resep!$B$15:$B$18,0)),0))</f>
        <v>0</v>
      </c>
      <c r="AL370" s="24" t="str">
        <f aca="false">IF(X370="","",AG370+AH370+AI370+AJ370+AK370)</f>
        <v/>
      </c>
      <c r="AM370" s="22" t="str">
        <f aca="false">IF(X370="","",AL370*(Pengaturan!$B$6+Pengaturan!$B$7)+Pengaturan!$B$8+AE370*Pengaturan!$B$9+AF370*Pengaturan!$B$10)</f>
        <v/>
      </c>
      <c r="AN370" s="22" t="str">
        <f aca="false">IF(X370="","",N(G370)-AM370)</f>
        <v/>
      </c>
      <c r="AO370" s="25" t="str">
        <f aca="false">IF(OR(X370="",N(G370)=0),"",AN370/G370)</f>
        <v/>
      </c>
    </row>
    <row r="371" customFormat="false" ht="15" hidden="false" customHeight="false" outlineLevel="0" collapsed="false">
      <c r="A371" s="19"/>
      <c r="B371" s="20"/>
      <c r="C371" s="19"/>
      <c r="D371" s="19"/>
      <c r="E371" s="19"/>
      <c r="F371" s="19"/>
      <c r="G371" s="21"/>
      <c r="H371" s="19"/>
      <c r="I371" s="21"/>
      <c r="J371" s="19"/>
      <c r="K371" s="20"/>
      <c r="L371" s="20"/>
      <c r="M371" s="19"/>
      <c r="N371" s="19"/>
      <c r="O371" s="20"/>
      <c r="P371" s="20"/>
      <c r="Q371" s="19"/>
      <c r="R371" s="22" t="str">
        <f aca="false">IF(A371="","",N(G371)+N(I371))</f>
        <v/>
      </c>
      <c r="S371" s="23" t="str">
        <f aca="false">IF(OR(K371="",O371=""),"",O371-K371)</f>
        <v/>
      </c>
      <c r="T371" s="23" t="str">
        <f aca="true">IF(AND(C371="Cetak",L371&lt;&gt;"",L371&lt;TODAY()),"YA","")</f>
        <v/>
      </c>
      <c r="U371" s="23" t="str">
        <f aca="false">IF(B371="","",TEXT(B371,"yyyy-mm"))</f>
        <v/>
      </c>
      <c r="V371" s="23" t="str">
        <f aca="false">IF(K371="","",TEXT(K371,"yyyy-mm"))</f>
        <v/>
      </c>
      <c r="W371" s="23" t="n">
        <f aca="false">IF(OR(C371="Cetak",C371="Dikirim",C371="Selesai"),1,0)</f>
        <v>0</v>
      </c>
      <c r="X371" s="23" t="str">
        <f aca="false">IF(F371="","",SUBSTITUTE(SUBSTITUTE(MID(UPPER(TRIM(F371)),4,99),"-LED",""),"-TK",""))</f>
        <v/>
      </c>
      <c r="Y371" s="23" t="str">
        <f aca="false">IF(X371="","",(LEN(X371)+1)/7)</f>
        <v/>
      </c>
      <c r="Z371" s="23" t="str">
        <f aca="false">IF(X371="","",LEFT(X371,6))</f>
        <v/>
      </c>
      <c r="AA371" s="23" t="str">
        <f aca="false">IF(X371="","",IF(Y371&gt;=3,MID(X371,8,6),""))</f>
        <v/>
      </c>
      <c r="AB371" s="23" t="str">
        <f aca="false">IF(X371="","",IF(Y371&gt;=4,MID(X371,15,6),""))</f>
        <v/>
      </c>
      <c r="AC371" s="23" t="str">
        <f aca="false">IF(X371="","",IF(Y371&gt;=5,MID(X371,22,6),""))</f>
        <v/>
      </c>
      <c r="AD371" s="23" t="str">
        <f aca="false">IF(X371="","",RIGHT(X371,6))</f>
        <v/>
      </c>
      <c r="AE371" s="23" t="str">
        <f aca="false">IF(F371="","",IF(ISNUMBER(SEARCH("-TK",UPPER(F371))),0,1))</f>
        <v/>
      </c>
      <c r="AF371" s="23" t="str">
        <f aca="false">IF(F371="","",IF(ISNUMBER(SEARCH("-LED",UPPER(F371))),1,0))</f>
        <v/>
      </c>
      <c r="AG371" s="24" t="n">
        <f aca="false">IF(Z371="",0,IFERROR(INDEX(Resep!$C$5:$C$7,MATCH(LEFT(Z371,3),Resep!$B$5:$B$7,0)),0))</f>
        <v>0</v>
      </c>
      <c r="AH371" s="24" t="n">
        <f aca="false">IF(AA371="",0,IFERROR(INDEX(Resep!$C$9:$C$13,MATCH(LEFT(AA371,3),Resep!$B$9:$B$13,0)),0))</f>
        <v>0</v>
      </c>
      <c r="AI371" s="24" t="n">
        <f aca="false">IF(AB371="",0,IFERROR(INDEX(Resep!$C$9:$C$13,MATCH(LEFT(AB371,3),Resep!$B$9:$B$13,0)),0))</f>
        <v>0</v>
      </c>
      <c r="AJ371" s="24" t="n">
        <f aca="false">IF(AC371="",0,IFERROR(INDEX(Resep!$C$9:$C$13,MATCH(LEFT(AC371,3),Resep!$B$9:$B$13,0)),0))</f>
        <v>0</v>
      </c>
      <c r="AK371" s="24" t="n">
        <f aca="false">IF(AD371="",0,IFERROR(INDEX(Resep!$C$15:$C$18,MATCH(LEFT(AD371,3),Resep!$B$15:$B$18,0)),0))</f>
        <v>0</v>
      </c>
      <c r="AL371" s="24" t="str">
        <f aca="false">IF(X371="","",AG371+AH371+AI371+AJ371+AK371)</f>
        <v/>
      </c>
      <c r="AM371" s="22" t="str">
        <f aca="false">IF(X371="","",AL371*(Pengaturan!$B$6+Pengaturan!$B$7)+Pengaturan!$B$8+AE371*Pengaturan!$B$9+AF371*Pengaturan!$B$10)</f>
        <v/>
      </c>
      <c r="AN371" s="22" t="str">
        <f aca="false">IF(X371="","",N(G371)-AM371)</f>
        <v/>
      </c>
      <c r="AO371" s="25" t="str">
        <f aca="false">IF(OR(X371="",N(G371)=0),"",AN371/G371)</f>
        <v/>
      </c>
    </row>
    <row r="372" customFormat="false" ht="15" hidden="false" customHeight="false" outlineLevel="0" collapsed="false">
      <c r="A372" s="19"/>
      <c r="B372" s="20"/>
      <c r="C372" s="19"/>
      <c r="D372" s="19"/>
      <c r="E372" s="19"/>
      <c r="F372" s="19"/>
      <c r="G372" s="21"/>
      <c r="H372" s="19"/>
      <c r="I372" s="21"/>
      <c r="J372" s="19"/>
      <c r="K372" s="20"/>
      <c r="L372" s="20"/>
      <c r="M372" s="19"/>
      <c r="N372" s="19"/>
      <c r="O372" s="20"/>
      <c r="P372" s="20"/>
      <c r="Q372" s="19"/>
      <c r="R372" s="22" t="str">
        <f aca="false">IF(A372="","",N(G372)+N(I372))</f>
        <v/>
      </c>
      <c r="S372" s="23" t="str">
        <f aca="false">IF(OR(K372="",O372=""),"",O372-K372)</f>
        <v/>
      </c>
      <c r="T372" s="23" t="str">
        <f aca="true">IF(AND(C372="Cetak",L372&lt;&gt;"",L372&lt;TODAY()),"YA","")</f>
        <v/>
      </c>
      <c r="U372" s="23" t="str">
        <f aca="false">IF(B372="","",TEXT(B372,"yyyy-mm"))</f>
        <v/>
      </c>
      <c r="V372" s="23" t="str">
        <f aca="false">IF(K372="","",TEXT(K372,"yyyy-mm"))</f>
        <v/>
      </c>
      <c r="W372" s="23" t="n">
        <f aca="false">IF(OR(C372="Cetak",C372="Dikirim",C372="Selesai"),1,0)</f>
        <v>0</v>
      </c>
      <c r="X372" s="23" t="str">
        <f aca="false">IF(F372="","",SUBSTITUTE(SUBSTITUTE(MID(UPPER(TRIM(F372)),4,99),"-LED",""),"-TK",""))</f>
        <v/>
      </c>
      <c r="Y372" s="23" t="str">
        <f aca="false">IF(X372="","",(LEN(X372)+1)/7)</f>
        <v/>
      </c>
      <c r="Z372" s="23" t="str">
        <f aca="false">IF(X372="","",LEFT(X372,6))</f>
        <v/>
      </c>
      <c r="AA372" s="23" t="str">
        <f aca="false">IF(X372="","",IF(Y372&gt;=3,MID(X372,8,6),""))</f>
        <v/>
      </c>
      <c r="AB372" s="23" t="str">
        <f aca="false">IF(X372="","",IF(Y372&gt;=4,MID(X372,15,6),""))</f>
        <v/>
      </c>
      <c r="AC372" s="23" t="str">
        <f aca="false">IF(X372="","",IF(Y372&gt;=5,MID(X372,22,6),""))</f>
        <v/>
      </c>
      <c r="AD372" s="23" t="str">
        <f aca="false">IF(X372="","",RIGHT(X372,6))</f>
        <v/>
      </c>
      <c r="AE372" s="23" t="str">
        <f aca="false">IF(F372="","",IF(ISNUMBER(SEARCH("-TK",UPPER(F372))),0,1))</f>
        <v/>
      </c>
      <c r="AF372" s="23" t="str">
        <f aca="false">IF(F372="","",IF(ISNUMBER(SEARCH("-LED",UPPER(F372))),1,0))</f>
        <v/>
      </c>
      <c r="AG372" s="24" t="n">
        <f aca="false">IF(Z372="",0,IFERROR(INDEX(Resep!$C$5:$C$7,MATCH(LEFT(Z372,3),Resep!$B$5:$B$7,0)),0))</f>
        <v>0</v>
      </c>
      <c r="AH372" s="24" t="n">
        <f aca="false">IF(AA372="",0,IFERROR(INDEX(Resep!$C$9:$C$13,MATCH(LEFT(AA372,3),Resep!$B$9:$B$13,0)),0))</f>
        <v>0</v>
      </c>
      <c r="AI372" s="24" t="n">
        <f aca="false">IF(AB372="",0,IFERROR(INDEX(Resep!$C$9:$C$13,MATCH(LEFT(AB372,3),Resep!$B$9:$B$13,0)),0))</f>
        <v>0</v>
      </c>
      <c r="AJ372" s="24" t="n">
        <f aca="false">IF(AC372="",0,IFERROR(INDEX(Resep!$C$9:$C$13,MATCH(LEFT(AC372,3),Resep!$B$9:$B$13,0)),0))</f>
        <v>0</v>
      </c>
      <c r="AK372" s="24" t="n">
        <f aca="false">IF(AD372="",0,IFERROR(INDEX(Resep!$C$15:$C$18,MATCH(LEFT(AD372,3),Resep!$B$15:$B$18,0)),0))</f>
        <v>0</v>
      </c>
      <c r="AL372" s="24" t="str">
        <f aca="false">IF(X372="","",AG372+AH372+AI372+AJ372+AK372)</f>
        <v/>
      </c>
      <c r="AM372" s="22" t="str">
        <f aca="false">IF(X372="","",AL372*(Pengaturan!$B$6+Pengaturan!$B$7)+Pengaturan!$B$8+AE372*Pengaturan!$B$9+AF372*Pengaturan!$B$10)</f>
        <v/>
      </c>
      <c r="AN372" s="22" t="str">
        <f aca="false">IF(X372="","",N(G372)-AM372)</f>
        <v/>
      </c>
      <c r="AO372" s="25" t="str">
        <f aca="false">IF(OR(X372="",N(G372)=0),"",AN372/G372)</f>
        <v/>
      </c>
    </row>
    <row r="373" customFormat="false" ht="15" hidden="false" customHeight="false" outlineLevel="0" collapsed="false">
      <c r="A373" s="19"/>
      <c r="B373" s="20"/>
      <c r="C373" s="19"/>
      <c r="D373" s="19"/>
      <c r="E373" s="19"/>
      <c r="F373" s="19"/>
      <c r="G373" s="21"/>
      <c r="H373" s="19"/>
      <c r="I373" s="21"/>
      <c r="J373" s="19"/>
      <c r="K373" s="20"/>
      <c r="L373" s="20"/>
      <c r="M373" s="19"/>
      <c r="N373" s="19"/>
      <c r="O373" s="20"/>
      <c r="P373" s="20"/>
      <c r="Q373" s="19"/>
      <c r="R373" s="22" t="str">
        <f aca="false">IF(A373="","",N(G373)+N(I373))</f>
        <v/>
      </c>
      <c r="S373" s="23" t="str">
        <f aca="false">IF(OR(K373="",O373=""),"",O373-K373)</f>
        <v/>
      </c>
      <c r="T373" s="23" t="str">
        <f aca="true">IF(AND(C373="Cetak",L373&lt;&gt;"",L373&lt;TODAY()),"YA","")</f>
        <v/>
      </c>
      <c r="U373" s="23" t="str">
        <f aca="false">IF(B373="","",TEXT(B373,"yyyy-mm"))</f>
        <v/>
      </c>
      <c r="V373" s="23" t="str">
        <f aca="false">IF(K373="","",TEXT(K373,"yyyy-mm"))</f>
        <v/>
      </c>
      <c r="W373" s="23" t="n">
        <f aca="false">IF(OR(C373="Cetak",C373="Dikirim",C373="Selesai"),1,0)</f>
        <v>0</v>
      </c>
      <c r="X373" s="23" t="str">
        <f aca="false">IF(F373="","",SUBSTITUTE(SUBSTITUTE(MID(UPPER(TRIM(F373)),4,99),"-LED",""),"-TK",""))</f>
        <v/>
      </c>
      <c r="Y373" s="23" t="str">
        <f aca="false">IF(X373="","",(LEN(X373)+1)/7)</f>
        <v/>
      </c>
      <c r="Z373" s="23" t="str">
        <f aca="false">IF(X373="","",LEFT(X373,6))</f>
        <v/>
      </c>
      <c r="AA373" s="23" t="str">
        <f aca="false">IF(X373="","",IF(Y373&gt;=3,MID(X373,8,6),""))</f>
        <v/>
      </c>
      <c r="AB373" s="23" t="str">
        <f aca="false">IF(X373="","",IF(Y373&gt;=4,MID(X373,15,6),""))</f>
        <v/>
      </c>
      <c r="AC373" s="23" t="str">
        <f aca="false">IF(X373="","",IF(Y373&gt;=5,MID(X373,22,6),""))</f>
        <v/>
      </c>
      <c r="AD373" s="23" t="str">
        <f aca="false">IF(X373="","",RIGHT(X373,6))</f>
        <v/>
      </c>
      <c r="AE373" s="23" t="str">
        <f aca="false">IF(F373="","",IF(ISNUMBER(SEARCH("-TK",UPPER(F373))),0,1))</f>
        <v/>
      </c>
      <c r="AF373" s="23" t="str">
        <f aca="false">IF(F373="","",IF(ISNUMBER(SEARCH("-LED",UPPER(F373))),1,0))</f>
        <v/>
      </c>
      <c r="AG373" s="24" t="n">
        <f aca="false">IF(Z373="",0,IFERROR(INDEX(Resep!$C$5:$C$7,MATCH(LEFT(Z373,3),Resep!$B$5:$B$7,0)),0))</f>
        <v>0</v>
      </c>
      <c r="AH373" s="24" t="n">
        <f aca="false">IF(AA373="",0,IFERROR(INDEX(Resep!$C$9:$C$13,MATCH(LEFT(AA373,3),Resep!$B$9:$B$13,0)),0))</f>
        <v>0</v>
      </c>
      <c r="AI373" s="24" t="n">
        <f aca="false">IF(AB373="",0,IFERROR(INDEX(Resep!$C$9:$C$13,MATCH(LEFT(AB373,3),Resep!$B$9:$B$13,0)),0))</f>
        <v>0</v>
      </c>
      <c r="AJ373" s="24" t="n">
        <f aca="false">IF(AC373="",0,IFERROR(INDEX(Resep!$C$9:$C$13,MATCH(LEFT(AC373,3),Resep!$B$9:$B$13,0)),0))</f>
        <v>0</v>
      </c>
      <c r="AK373" s="24" t="n">
        <f aca="false">IF(AD373="",0,IFERROR(INDEX(Resep!$C$15:$C$18,MATCH(LEFT(AD373,3),Resep!$B$15:$B$18,0)),0))</f>
        <v>0</v>
      </c>
      <c r="AL373" s="24" t="str">
        <f aca="false">IF(X373="","",AG373+AH373+AI373+AJ373+AK373)</f>
        <v/>
      </c>
      <c r="AM373" s="22" t="str">
        <f aca="false">IF(X373="","",AL373*(Pengaturan!$B$6+Pengaturan!$B$7)+Pengaturan!$B$8+AE373*Pengaturan!$B$9+AF373*Pengaturan!$B$10)</f>
        <v/>
      </c>
      <c r="AN373" s="22" t="str">
        <f aca="false">IF(X373="","",N(G373)-AM373)</f>
        <v/>
      </c>
      <c r="AO373" s="25" t="str">
        <f aca="false">IF(OR(X373="",N(G373)=0),"",AN373/G373)</f>
        <v/>
      </c>
    </row>
    <row r="374" customFormat="false" ht="15" hidden="false" customHeight="false" outlineLevel="0" collapsed="false">
      <c r="A374" s="19"/>
      <c r="B374" s="20"/>
      <c r="C374" s="19"/>
      <c r="D374" s="19"/>
      <c r="E374" s="19"/>
      <c r="F374" s="19"/>
      <c r="G374" s="21"/>
      <c r="H374" s="19"/>
      <c r="I374" s="21"/>
      <c r="J374" s="19"/>
      <c r="K374" s="20"/>
      <c r="L374" s="20"/>
      <c r="M374" s="19"/>
      <c r="N374" s="19"/>
      <c r="O374" s="20"/>
      <c r="P374" s="20"/>
      <c r="Q374" s="19"/>
      <c r="R374" s="22" t="str">
        <f aca="false">IF(A374="","",N(G374)+N(I374))</f>
        <v/>
      </c>
      <c r="S374" s="23" t="str">
        <f aca="false">IF(OR(K374="",O374=""),"",O374-K374)</f>
        <v/>
      </c>
      <c r="T374" s="23" t="str">
        <f aca="true">IF(AND(C374="Cetak",L374&lt;&gt;"",L374&lt;TODAY()),"YA","")</f>
        <v/>
      </c>
      <c r="U374" s="23" t="str">
        <f aca="false">IF(B374="","",TEXT(B374,"yyyy-mm"))</f>
        <v/>
      </c>
      <c r="V374" s="23" t="str">
        <f aca="false">IF(K374="","",TEXT(K374,"yyyy-mm"))</f>
        <v/>
      </c>
      <c r="W374" s="23" t="n">
        <f aca="false">IF(OR(C374="Cetak",C374="Dikirim",C374="Selesai"),1,0)</f>
        <v>0</v>
      </c>
      <c r="X374" s="23" t="str">
        <f aca="false">IF(F374="","",SUBSTITUTE(SUBSTITUTE(MID(UPPER(TRIM(F374)),4,99),"-LED",""),"-TK",""))</f>
        <v/>
      </c>
      <c r="Y374" s="23" t="str">
        <f aca="false">IF(X374="","",(LEN(X374)+1)/7)</f>
        <v/>
      </c>
      <c r="Z374" s="23" t="str">
        <f aca="false">IF(X374="","",LEFT(X374,6))</f>
        <v/>
      </c>
      <c r="AA374" s="23" t="str">
        <f aca="false">IF(X374="","",IF(Y374&gt;=3,MID(X374,8,6),""))</f>
        <v/>
      </c>
      <c r="AB374" s="23" t="str">
        <f aca="false">IF(X374="","",IF(Y374&gt;=4,MID(X374,15,6),""))</f>
        <v/>
      </c>
      <c r="AC374" s="23" t="str">
        <f aca="false">IF(X374="","",IF(Y374&gt;=5,MID(X374,22,6),""))</f>
        <v/>
      </c>
      <c r="AD374" s="23" t="str">
        <f aca="false">IF(X374="","",RIGHT(X374,6))</f>
        <v/>
      </c>
      <c r="AE374" s="23" t="str">
        <f aca="false">IF(F374="","",IF(ISNUMBER(SEARCH("-TK",UPPER(F374))),0,1))</f>
        <v/>
      </c>
      <c r="AF374" s="23" t="str">
        <f aca="false">IF(F374="","",IF(ISNUMBER(SEARCH("-LED",UPPER(F374))),1,0))</f>
        <v/>
      </c>
      <c r="AG374" s="24" t="n">
        <f aca="false">IF(Z374="",0,IFERROR(INDEX(Resep!$C$5:$C$7,MATCH(LEFT(Z374,3),Resep!$B$5:$B$7,0)),0))</f>
        <v>0</v>
      </c>
      <c r="AH374" s="24" t="n">
        <f aca="false">IF(AA374="",0,IFERROR(INDEX(Resep!$C$9:$C$13,MATCH(LEFT(AA374,3),Resep!$B$9:$B$13,0)),0))</f>
        <v>0</v>
      </c>
      <c r="AI374" s="24" t="n">
        <f aca="false">IF(AB374="",0,IFERROR(INDEX(Resep!$C$9:$C$13,MATCH(LEFT(AB374,3),Resep!$B$9:$B$13,0)),0))</f>
        <v>0</v>
      </c>
      <c r="AJ374" s="24" t="n">
        <f aca="false">IF(AC374="",0,IFERROR(INDEX(Resep!$C$9:$C$13,MATCH(LEFT(AC374,3),Resep!$B$9:$B$13,0)),0))</f>
        <v>0</v>
      </c>
      <c r="AK374" s="24" t="n">
        <f aca="false">IF(AD374="",0,IFERROR(INDEX(Resep!$C$15:$C$18,MATCH(LEFT(AD374,3),Resep!$B$15:$B$18,0)),0))</f>
        <v>0</v>
      </c>
      <c r="AL374" s="24" t="str">
        <f aca="false">IF(X374="","",AG374+AH374+AI374+AJ374+AK374)</f>
        <v/>
      </c>
      <c r="AM374" s="22" t="str">
        <f aca="false">IF(X374="","",AL374*(Pengaturan!$B$6+Pengaturan!$B$7)+Pengaturan!$B$8+AE374*Pengaturan!$B$9+AF374*Pengaturan!$B$10)</f>
        <v/>
      </c>
      <c r="AN374" s="22" t="str">
        <f aca="false">IF(X374="","",N(G374)-AM374)</f>
        <v/>
      </c>
      <c r="AO374" s="25" t="str">
        <f aca="false">IF(OR(X374="",N(G374)=0),"",AN374/G374)</f>
        <v/>
      </c>
    </row>
    <row r="375" customFormat="false" ht="15" hidden="false" customHeight="false" outlineLevel="0" collapsed="false">
      <c r="A375" s="19"/>
      <c r="B375" s="20"/>
      <c r="C375" s="19"/>
      <c r="D375" s="19"/>
      <c r="E375" s="19"/>
      <c r="F375" s="19"/>
      <c r="G375" s="21"/>
      <c r="H375" s="19"/>
      <c r="I375" s="21"/>
      <c r="J375" s="19"/>
      <c r="K375" s="20"/>
      <c r="L375" s="20"/>
      <c r="M375" s="19"/>
      <c r="N375" s="19"/>
      <c r="O375" s="20"/>
      <c r="P375" s="20"/>
      <c r="Q375" s="19"/>
      <c r="R375" s="22" t="str">
        <f aca="false">IF(A375="","",N(G375)+N(I375))</f>
        <v/>
      </c>
      <c r="S375" s="23" t="str">
        <f aca="false">IF(OR(K375="",O375=""),"",O375-K375)</f>
        <v/>
      </c>
      <c r="T375" s="23" t="str">
        <f aca="true">IF(AND(C375="Cetak",L375&lt;&gt;"",L375&lt;TODAY()),"YA","")</f>
        <v/>
      </c>
      <c r="U375" s="23" t="str">
        <f aca="false">IF(B375="","",TEXT(B375,"yyyy-mm"))</f>
        <v/>
      </c>
      <c r="V375" s="23" t="str">
        <f aca="false">IF(K375="","",TEXT(K375,"yyyy-mm"))</f>
        <v/>
      </c>
      <c r="W375" s="23" t="n">
        <f aca="false">IF(OR(C375="Cetak",C375="Dikirim",C375="Selesai"),1,0)</f>
        <v>0</v>
      </c>
      <c r="X375" s="23" t="str">
        <f aca="false">IF(F375="","",SUBSTITUTE(SUBSTITUTE(MID(UPPER(TRIM(F375)),4,99),"-LED",""),"-TK",""))</f>
        <v/>
      </c>
      <c r="Y375" s="23" t="str">
        <f aca="false">IF(X375="","",(LEN(X375)+1)/7)</f>
        <v/>
      </c>
      <c r="Z375" s="23" t="str">
        <f aca="false">IF(X375="","",LEFT(X375,6))</f>
        <v/>
      </c>
      <c r="AA375" s="23" t="str">
        <f aca="false">IF(X375="","",IF(Y375&gt;=3,MID(X375,8,6),""))</f>
        <v/>
      </c>
      <c r="AB375" s="23" t="str">
        <f aca="false">IF(X375="","",IF(Y375&gt;=4,MID(X375,15,6),""))</f>
        <v/>
      </c>
      <c r="AC375" s="23" t="str">
        <f aca="false">IF(X375="","",IF(Y375&gt;=5,MID(X375,22,6),""))</f>
        <v/>
      </c>
      <c r="AD375" s="23" t="str">
        <f aca="false">IF(X375="","",RIGHT(X375,6))</f>
        <v/>
      </c>
      <c r="AE375" s="23" t="str">
        <f aca="false">IF(F375="","",IF(ISNUMBER(SEARCH("-TK",UPPER(F375))),0,1))</f>
        <v/>
      </c>
      <c r="AF375" s="23" t="str">
        <f aca="false">IF(F375="","",IF(ISNUMBER(SEARCH("-LED",UPPER(F375))),1,0))</f>
        <v/>
      </c>
      <c r="AG375" s="24" t="n">
        <f aca="false">IF(Z375="",0,IFERROR(INDEX(Resep!$C$5:$C$7,MATCH(LEFT(Z375,3),Resep!$B$5:$B$7,0)),0))</f>
        <v>0</v>
      </c>
      <c r="AH375" s="24" t="n">
        <f aca="false">IF(AA375="",0,IFERROR(INDEX(Resep!$C$9:$C$13,MATCH(LEFT(AA375,3),Resep!$B$9:$B$13,0)),0))</f>
        <v>0</v>
      </c>
      <c r="AI375" s="24" t="n">
        <f aca="false">IF(AB375="",0,IFERROR(INDEX(Resep!$C$9:$C$13,MATCH(LEFT(AB375,3),Resep!$B$9:$B$13,0)),0))</f>
        <v>0</v>
      </c>
      <c r="AJ375" s="24" t="n">
        <f aca="false">IF(AC375="",0,IFERROR(INDEX(Resep!$C$9:$C$13,MATCH(LEFT(AC375,3),Resep!$B$9:$B$13,0)),0))</f>
        <v>0</v>
      </c>
      <c r="AK375" s="24" t="n">
        <f aca="false">IF(AD375="",0,IFERROR(INDEX(Resep!$C$15:$C$18,MATCH(LEFT(AD375,3),Resep!$B$15:$B$18,0)),0))</f>
        <v>0</v>
      </c>
      <c r="AL375" s="24" t="str">
        <f aca="false">IF(X375="","",AG375+AH375+AI375+AJ375+AK375)</f>
        <v/>
      </c>
      <c r="AM375" s="22" t="str">
        <f aca="false">IF(X375="","",AL375*(Pengaturan!$B$6+Pengaturan!$B$7)+Pengaturan!$B$8+AE375*Pengaturan!$B$9+AF375*Pengaturan!$B$10)</f>
        <v/>
      </c>
      <c r="AN375" s="22" t="str">
        <f aca="false">IF(X375="","",N(G375)-AM375)</f>
        <v/>
      </c>
      <c r="AO375" s="25" t="str">
        <f aca="false">IF(OR(X375="",N(G375)=0),"",AN375/G375)</f>
        <v/>
      </c>
    </row>
    <row r="376" customFormat="false" ht="15" hidden="false" customHeight="false" outlineLevel="0" collapsed="false">
      <c r="A376" s="19"/>
      <c r="B376" s="20"/>
      <c r="C376" s="19"/>
      <c r="D376" s="19"/>
      <c r="E376" s="19"/>
      <c r="F376" s="19"/>
      <c r="G376" s="21"/>
      <c r="H376" s="19"/>
      <c r="I376" s="21"/>
      <c r="J376" s="19"/>
      <c r="K376" s="20"/>
      <c r="L376" s="20"/>
      <c r="M376" s="19"/>
      <c r="N376" s="19"/>
      <c r="O376" s="20"/>
      <c r="P376" s="20"/>
      <c r="Q376" s="19"/>
      <c r="R376" s="22" t="str">
        <f aca="false">IF(A376="","",N(G376)+N(I376))</f>
        <v/>
      </c>
      <c r="S376" s="23" t="str">
        <f aca="false">IF(OR(K376="",O376=""),"",O376-K376)</f>
        <v/>
      </c>
      <c r="T376" s="23" t="str">
        <f aca="true">IF(AND(C376="Cetak",L376&lt;&gt;"",L376&lt;TODAY()),"YA","")</f>
        <v/>
      </c>
      <c r="U376" s="23" t="str">
        <f aca="false">IF(B376="","",TEXT(B376,"yyyy-mm"))</f>
        <v/>
      </c>
      <c r="V376" s="23" t="str">
        <f aca="false">IF(K376="","",TEXT(K376,"yyyy-mm"))</f>
        <v/>
      </c>
      <c r="W376" s="23" t="n">
        <f aca="false">IF(OR(C376="Cetak",C376="Dikirim",C376="Selesai"),1,0)</f>
        <v>0</v>
      </c>
      <c r="X376" s="23" t="str">
        <f aca="false">IF(F376="","",SUBSTITUTE(SUBSTITUTE(MID(UPPER(TRIM(F376)),4,99),"-LED",""),"-TK",""))</f>
        <v/>
      </c>
      <c r="Y376" s="23" t="str">
        <f aca="false">IF(X376="","",(LEN(X376)+1)/7)</f>
        <v/>
      </c>
      <c r="Z376" s="23" t="str">
        <f aca="false">IF(X376="","",LEFT(X376,6))</f>
        <v/>
      </c>
      <c r="AA376" s="23" t="str">
        <f aca="false">IF(X376="","",IF(Y376&gt;=3,MID(X376,8,6),""))</f>
        <v/>
      </c>
      <c r="AB376" s="23" t="str">
        <f aca="false">IF(X376="","",IF(Y376&gt;=4,MID(X376,15,6),""))</f>
        <v/>
      </c>
      <c r="AC376" s="23" t="str">
        <f aca="false">IF(X376="","",IF(Y376&gt;=5,MID(X376,22,6),""))</f>
        <v/>
      </c>
      <c r="AD376" s="23" t="str">
        <f aca="false">IF(X376="","",RIGHT(X376,6))</f>
        <v/>
      </c>
      <c r="AE376" s="23" t="str">
        <f aca="false">IF(F376="","",IF(ISNUMBER(SEARCH("-TK",UPPER(F376))),0,1))</f>
        <v/>
      </c>
      <c r="AF376" s="23" t="str">
        <f aca="false">IF(F376="","",IF(ISNUMBER(SEARCH("-LED",UPPER(F376))),1,0))</f>
        <v/>
      </c>
      <c r="AG376" s="24" t="n">
        <f aca="false">IF(Z376="",0,IFERROR(INDEX(Resep!$C$5:$C$7,MATCH(LEFT(Z376,3),Resep!$B$5:$B$7,0)),0))</f>
        <v>0</v>
      </c>
      <c r="AH376" s="24" t="n">
        <f aca="false">IF(AA376="",0,IFERROR(INDEX(Resep!$C$9:$C$13,MATCH(LEFT(AA376,3),Resep!$B$9:$B$13,0)),0))</f>
        <v>0</v>
      </c>
      <c r="AI376" s="24" t="n">
        <f aca="false">IF(AB376="",0,IFERROR(INDEX(Resep!$C$9:$C$13,MATCH(LEFT(AB376,3),Resep!$B$9:$B$13,0)),0))</f>
        <v>0</v>
      </c>
      <c r="AJ376" s="24" t="n">
        <f aca="false">IF(AC376="",0,IFERROR(INDEX(Resep!$C$9:$C$13,MATCH(LEFT(AC376,3),Resep!$B$9:$B$13,0)),0))</f>
        <v>0</v>
      </c>
      <c r="AK376" s="24" t="n">
        <f aca="false">IF(AD376="",0,IFERROR(INDEX(Resep!$C$15:$C$18,MATCH(LEFT(AD376,3),Resep!$B$15:$B$18,0)),0))</f>
        <v>0</v>
      </c>
      <c r="AL376" s="24" t="str">
        <f aca="false">IF(X376="","",AG376+AH376+AI376+AJ376+AK376)</f>
        <v/>
      </c>
      <c r="AM376" s="22" t="str">
        <f aca="false">IF(X376="","",AL376*(Pengaturan!$B$6+Pengaturan!$B$7)+Pengaturan!$B$8+AE376*Pengaturan!$B$9+AF376*Pengaturan!$B$10)</f>
        <v/>
      </c>
      <c r="AN376" s="22" t="str">
        <f aca="false">IF(X376="","",N(G376)-AM376)</f>
        <v/>
      </c>
      <c r="AO376" s="25" t="str">
        <f aca="false">IF(OR(X376="",N(G376)=0),"",AN376/G376)</f>
        <v/>
      </c>
    </row>
    <row r="377" customFormat="false" ht="15" hidden="false" customHeight="false" outlineLevel="0" collapsed="false">
      <c r="A377" s="19"/>
      <c r="B377" s="20"/>
      <c r="C377" s="19"/>
      <c r="D377" s="19"/>
      <c r="E377" s="19"/>
      <c r="F377" s="19"/>
      <c r="G377" s="21"/>
      <c r="H377" s="19"/>
      <c r="I377" s="21"/>
      <c r="J377" s="19"/>
      <c r="K377" s="20"/>
      <c r="L377" s="20"/>
      <c r="M377" s="19"/>
      <c r="N377" s="19"/>
      <c r="O377" s="20"/>
      <c r="P377" s="20"/>
      <c r="Q377" s="19"/>
      <c r="R377" s="22" t="str">
        <f aca="false">IF(A377="","",N(G377)+N(I377))</f>
        <v/>
      </c>
      <c r="S377" s="23" t="str">
        <f aca="false">IF(OR(K377="",O377=""),"",O377-K377)</f>
        <v/>
      </c>
      <c r="T377" s="23" t="str">
        <f aca="true">IF(AND(C377="Cetak",L377&lt;&gt;"",L377&lt;TODAY()),"YA","")</f>
        <v/>
      </c>
      <c r="U377" s="23" t="str">
        <f aca="false">IF(B377="","",TEXT(B377,"yyyy-mm"))</f>
        <v/>
      </c>
      <c r="V377" s="23" t="str">
        <f aca="false">IF(K377="","",TEXT(K377,"yyyy-mm"))</f>
        <v/>
      </c>
      <c r="W377" s="23" t="n">
        <f aca="false">IF(OR(C377="Cetak",C377="Dikirim",C377="Selesai"),1,0)</f>
        <v>0</v>
      </c>
      <c r="X377" s="23" t="str">
        <f aca="false">IF(F377="","",SUBSTITUTE(SUBSTITUTE(MID(UPPER(TRIM(F377)),4,99),"-LED",""),"-TK",""))</f>
        <v/>
      </c>
      <c r="Y377" s="23" t="str">
        <f aca="false">IF(X377="","",(LEN(X377)+1)/7)</f>
        <v/>
      </c>
      <c r="Z377" s="23" t="str">
        <f aca="false">IF(X377="","",LEFT(X377,6))</f>
        <v/>
      </c>
      <c r="AA377" s="23" t="str">
        <f aca="false">IF(X377="","",IF(Y377&gt;=3,MID(X377,8,6),""))</f>
        <v/>
      </c>
      <c r="AB377" s="23" t="str">
        <f aca="false">IF(X377="","",IF(Y377&gt;=4,MID(X377,15,6),""))</f>
        <v/>
      </c>
      <c r="AC377" s="23" t="str">
        <f aca="false">IF(X377="","",IF(Y377&gt;=5,MID(X377,22,6),""))</f>
        <v/>
      </c>
      <c r="AD377" s="23" t="str">
        <f aca="false">IF(X377="","",RIGHT(X377,6))</f>
        <v/>
      </c>
      <c r="AE377" s="23" t="str">
        <f aca="false">IF(F377="","",IF(ISNUMBER(SEARCH("-TK",UPPER(F377))),0,1))</f>
        <v/>
      </c>
      <c r="AF377" s="23" t="str">
        <f aca="false">IF(F377="","",IF(ISNUMBER(SEARCH("-LED",UPPER(F377))),1,0))</f>
        <v/>
      </c>
      <c r="AG377" s="24" t="n">
        <f aca="false">IF(Z377="",0,IFERROR(INDEX(Resep!$C$5:$C$7,MATCH(LEFT(Z377,3),Resep!$B$5:$B$7,0)),0))</f>
        <v>0</v>
      </c>
      <c r="AH377" s="24" t="n">
        <f aca="false">IF(AA377="",0,IFERROR(INDEX(Resep!$C$9:$C$13,MATCH(LEFT(AA377,3),Resep!$B$9:$B$13,0)),0))</f>
        <v>0</v>
      </c>
      <c r="AI377" s="24" t="n">
        <f aca="false">IF(AB377="",0,IFERROR(INDEX(Resep!$C$9:$C$13,MATCH(LEFT(AB377,3),Resep!$B$9:$B$13,0)),0))</f>
        <v>0</v>
      </c>
      <c r="AJ377" s="24" t="n">
        <f aca="false">IF(AC377="",0,IFERROR(INDEX(Resep!$C$9:$C$13,MATCH(LEFT(AC377,3),Resep!$B$9:$B$13,0)),0))</f>
        <v>0</v>
      </c>
      <c r="AK377" s="24" t="n">
        <f aca="false">IF(AD377="",0,IFERROR(INDEX(Resep!$C$15:$C$18,MATCH(LEFT(AD377,3),Resep!$B$15:$B$18,0)),0))</f>
        <v>0</v>
      </c>
      <c r="AL377" s="24" t="str">
        <f aca="false">IF(X377="","",AG377+AH377+AI377+AJ377+AK377)</f>
        <v/>
      </c>
      <c r="AM377" s="22" t="str">
        <f aca="false">IF(X377="","",AL377*(Pengaturan!$B$6+Pengaturan!$B$7)+Pengaturan!$B$8+AE377*Pengaturan!$B$9+AF377*Pengaturan!$B$10)</f>
        <v/>
      </c>
      <c r="AN377" s="22" t="str">
        <f aca="false">IF(X377="","",N(G377)-AM377)</f>
        <v/>
      </c>
      <c r="AO377" s="25" t="str">
        <f aca="false">IF(OR(X377="",N(G377)=0),"",AN377/G377)</f>
        <v/>
      </c>
    </row>
    <row r="378" customFormat="false" ht="15" hidden="false" customHeight="false" outlineLevel="0" collapsed="false">
      <c r="A378" s="19"/>
      <c r="B378" s="20"/>
      <c r="C378" s="19"/>
      <c r="D378" s="19"/>
      <c r="E378" s="19"/>
      <c r="F378" s="19"/>
      <c r="G378" s="21"/>
      <c r="H378" s="19"/>
      <c r="I378" s="21"/>
      <c r="J378" s="19"/>
      <c r="K378" s="20"/>
      <c r="L378" s="20"/>
      <c r="M378" s="19"/>
      <c r="N378" s="19"/>
      <c r="O378" s="20"/>
      <c r="P378" s="20"/>
      <c r="Q378" s="19"/>
      <c r="R378" s="22" t="str">
        <f aca="false">IF(A378="","",N(G378)+N(I378))</f>
        <v/>
      </c>
      <c r="S378" s="23" t="str">
        <f aca="false">IF(OR(K378="",O378=""),"",O378-K378)</f>
        <v/>
      </c>
      <c r="T378" s="23" t="str">
        <f aca="true">IF(AND(C378="Cetak",L378&lt;&gt;"",L378&lt;TODAY()),"YA","")</f>
        <v/>
      </c>
      <c r="U378" s="23" t="str">
        <f aca="false">IF(B378="","",TEXT(B378,"yyyy-mm"))</f>
        <v/>
      </c>
      <c r="V378" s="23" t="str">
        <f aca="false">IF(K378="","",TEXT(K378,"yyyy-mm"))</f>
        <v/>
      </c>
      <c r="W378" s="23" t="n">
        <f aca="false">IF(OR(C378="Cetak",C378="Dikirim",C378="Selesai"),1,0)</f>
        <v>0</v>
      </c>
      <c r="X378" s="23" t="str">
        <f aca="false">IF(F378="","",SUBSTITUTE(SUBSTITUTE(MID(UPPER(TRIM(F378)),4,99),"-LED",""),"-TK",""))</f>
        <v/>
      </c>
      <c r="Y378" s="23" t="str">
        <f aca="false">IF(X378="","",(LEN(X378)+1)/7)</f>
        <v/>
      </c>
      <c r="Z378" s="23" t="str">
        <f aca="false">IF(X378="","",LEFT(X378,6))</f>
        <v/>
      </c>
      <c r="AA378" s="23" t="str">
        <f aca="false">IF(X378="","",IF(Y378&gt;=3,MID(X378,8,6),""))</f>
        <v/>
      </c>
      <c r="AB378" s="23" t="str">
        <f aca="false">IF(X378="","",IF(Y378&gt;=4,MID(X378,15,6),""))</f>
        <v/>
      </c>
      <c r="AC378" s="23" t="str">
        <f aca="false">IF(X378="","",IF(Y378&gt;=5,MID(X378,22,6),""))</f>
        <v/>
      </c>
      <c r="AD378" s="23" t="str">
        <f aca="false">IF(X378="","",RIGHT(X378,6))</f>
        <v/>
      </c>
      <c r="AE378" s="23" t="str">
        <f aca="false">IF(F378="","",IF(ISNUMBER(SEARCH("-TK",UPPER(F378))),0,1))</f>
        <v/>
      </c>
      <c r="AF378" s="23" t="str">
        <f aca="false">IF(F378="","",IF(ISNUMBER(SEARCH("-LED",UPPER(F378))),1,0))</f>
        <v/>
      </c>
      <c r="AG378" s="24" t="n">
        <f aca="false">IF(Z378="",0,IFERROR(INDEX(Resep!$C$5:$C$7,MATCH(LEFT(Z378,3),Resep!$B$5:$B$7,0)),0))</f>
        <v>0</v>
      </c>
      <c r="AH378" s="24" t="n">
        <f aca="false">IF(AA378="",0,IFERROR(INDEX(Resep!$C$9:$C$13,MATCH(LEFT(AA378,3),Resep!$B$9:$B$13,0)),0))</f>
        <v>0</v>
      </c>
      <c r="AI378" s="24" t="n">
        <f aca="false">IF(AB378="",0,IFERROR(INDEX(Resep!$C$9:$C$13,MATCH(LEFT(AB378,3),Resep!$B$9:$B$13,0)),0))</f>
        <v>0</v>
      </c>
      <c r="AJ378" s="24" t="n">
        <f aca="false">IF(AC378="",0,IFERROR(INDEX(Resep!$C$9:$C$13,MATCH(LEFT(AC378,3),Resep!$B$9:$B$13,0)),0))</f>
        <v>0</v>
      </c>
      <c r="AK378" s="24" t="n">
        <f aca="false">IF(AD378="",0,IFERROR(INDEX(Resep!$C$15:$C$18,MATCH(LEFT(AD378,3),Resep!$B$15:$B$18,0)),0))</f>
        <v>0</v>
      </c>
      <c r="AL378" s="24" t="str">
        <f aca="false">IF(X378="","",AG378+AH378+AI378+AJ378+AK378)</f>
        <v/>
      </c>
      <c r="AM378" s="22" t="str">
        <f aca="false">IF(X378="","",AL378*(Pengaturan!$B$6+Pengaturan!$B$7)+Pengaturan!$B$8+AE378*Pengaturan!$B$9+AF378*Pengaturan!$B$10)</f>
        <v/>
      </c>
      <c r="AN378" s="22" t="str">
        <f aca="false">IF(X378="","",N(G378)-AM378)</f>
        <v/>
      </c>
      <c r="AO378" s="25" t="str">
        <f aca="false">IF(OR(X378="",N(G378)=0),"",AN378/G378)</f>
        <v/>
      </c>
    </row>
    <row r="379" customFormat="false" ht="15" hidden="false" customHeight="false" outlineLevel="0" collapsed="false">
      <c r="A379" s="19"/>
      <c r="B379" s="20"/>
      <c r="C379" s="19"/>
      <c r="D379" s="19"/>
      <c r="E379" s="19"/>
      <c r="F379" s="19"/>
      <c r="G379" s="21"/>
      <c r="H379" s="19"/>
      <c r="I379" s="21"/>
      <c r="J379" s="19"/>
      <c r="K379" s="20"/>
      <c r="L379" s="20"/>
      <c r="M379" s="19"/>
      <c r="N379" s="19"/>
      <c r="O379" s="20"/>
      <c r="P379" s="20"/>
      <c r="Q379" s="19"/>
      <c r="R379" s="22" t="str">
        <f aca="false">IF(A379="","",N(G379)+N(I379))</f>
        <v/>
      </c>
      <c r="S379" s="23" t="str">
        <f aca="false">IF(OR(K379="",O379=""),"",O379-K379)</f>
        <v/>
      </c>
      <c r="T379" s="23" t="str">
        <f aca="true">IF(AND(C379="Cetak",L379&lt;&gt;"",L379&lt;TODAY()),"YA","")</f>
        <v/>
      </c>
      <c r="U379" s="23" t="str">
        <f aca="false">IF(B379="","",TEXT(B379,"yyyy-mm"))</f>
        <v/>
      </c>
      <c r="V379" s="23" t="str">
        <f aca="false">IF(K379="","",TEXT(K379,"yyyy-mm"))</f>
        <v/>
      </c>
      <c r="W379" s="23" t="n">
        <f aca="false">IF(OR(C379="Cetak",C379="Dikirim",C379="Selesai"),1,0)</f>
        <v>0</v>
      </c>
      <c r="X379" s="23" t="str">
        <f aca="false">IF(F379="","",SUBSTITUTE(SUBSTITUTE(MID(UPPER(TRIM(F379)),4,99),"-LED",""),"-TK",""))</f>
        <v/>
      </c>
      <c r="Y379" s="23" t="str">
        <f aca="false">IF(X379="","",(LEN(X379)+1)/7)</f>
        <v/>
      </c>
      <c r="Z379" s="23" t="str">
        <f aca="false">IF(X379="","",LEFT(X379,6))</f>
        <v/>
      </c>
      <c r="AA379" s="23" t="str">
        <f aca="false">IF(X379="","",IF(Y379&gt;=3,MID(X379,8,6),""))</f>
        <v/>
      </c>
      <c r="AB379" s="23" t="str">
        <f aca="false">IF(X379="","",IF(Y379&gt;=4,MID(X379,15,6),""))</f>
        <v/>
      </c>
      <c r="AC379" s="23" t="str">
        <f aca="false">IF(X379="","",IF(Y379&gt;=5,MID(X379,22,6),""))</f>
        <v/>
      </c>
      <c r="AD379" s="23" t="str">
        <f aca="false">IF(X379="","",RIGHT(X379,6))</f>
        <v/>
      </c>
      <c r="AE379" s="23" t="str">
        <f aca="false">IF(F379="","",IF(ISNUMBER(SEARCH("-TK",UPPER(F379))),0,1))</f>
        <v/>
      </c>
      <c r="AF379" s="23" t="str">
        <f aca="false">IF(F379="","",IF(ISNUMBER(SEARCH("-LED",UPPER(F379))),1,0))</f>
        <v/>
      </c>
      <c r="AG379" s="24" t="n">
        <f aca="false">IF(Z379="",0,IFERROR(INDEX(Resep!$C$5:$C$7,MATCH(LEFT(Z379,3),Resep!$B$5:$B$7,0)),0))</f>
        <v>0</v>
      </c>
      <c r="AH379" s="24" t="n">
        <f aca="false">IF(AA379="",0,IFERROR(INDEX(Resep!$C$9:$C$13,MATCH(LEFT(AA379,3),Resep!$B$9:$B$13,0)),0))</f>
        <v>0</v>
      </c>
      <c r="AI379" s="24" t="n">
        <f aca="false">IF(AB379="",0,IFERROR(INDEX(Resep!$C$9:$C$13,MATCH(LEFT(AB379,3),Resep!$B$9:$B$13,0)),0))</f>
        <v>0</v>
      </c>
      <c r="AJ379" s="24" t="n">
        <f aca="false">IF(AC379="",0,IFERROR(INDEX(Resep!$C$9:$C$13,MATCH(LEFT(AC379,3),Resep!$B$9:$B$13,0)),0))</f>
        <v>0</v>
      </c>
      <c r="AK379" s="24" t="n">
        <f aca="false">IF(AD379="",0,IFERROR(INDEX(Resep!$C$15:$C$18,MATCH(LEFT(AD379,3),Resep!$B$15:$B$18,0)),0))</f>
        <v>0</v>
      </c>
      <c r="AL379" s="24" t="str">
        <f aca="false">IF(X379="","",AG379+AH379+AI379+AJ379+AK379)</f>
        <v/>
      </c>
      <c r="AM379" s="22" t="str">
        <f aca="false">IF(X379="","",AL379*(Pengaturan!$B$6+Pengaturan!$B$7)+Pengaturan!$B$8+AE379*Pengaturan!$B$9+AF379*Pengaturan!$B$10)</f>
        <v/>
      </c>
      <c r="AN379" s="22" t="str">
        <f aca="false">IF(X379="","",N(G379)-AM379)</f>
        <v/>
      </c>
      <c r="AO379" s="25" t="str">
        <f aca="false">IF(OR(X379="",N(G379)=0),"",AN379/G379)</f>
        <v/>
      </c>
    </row>
    <row r="380" customFormat="false" ht="15" hidden="false" customHeight="false" outlineLevel="0" collapsed="false">
      <c r="A380" s="19"/>
      <c r="B380" s="20"/>
      <c r="C380" s="19"/>
      <c r="D380" s="19"/>
      <c r="E380" s="19"/>
      <c r="F380" s="19"/>
      <c r="G380" s="21"/>
      <c r="H380" s="19"/>
      <c r="I380" s="21"/>
      <c r="J380" s="19"/>
      <c r="K380" s="20"/>
      <c r="L380" s="20"/>
      <c r="M380" s="19"/>
      <c r="N380" s="19"/>
      <c r="O380" s="20"/>
      <c r="P380" s="20"/>
      <c r="Q380" s="19"/>
      <c r="R380" s="22" t="str">
        <f aca="false">IF(A380="","",N(G380)+N(I380))</f>
        <v/>
      </c>
      <c r="S380" s="23" t="str">
        <f aca="false">IF(OR(K380="",O380=""),"",O380-K380)</f>
        <v/>
      </c>
      <c r="T380" s="23" t="str">
        <f aca="true">IF(AND(C380="Cetak",L380&lt;&gt;"",L380&lt;TODAY()),"YA","")</f>
        <v/>
      </c>
      <c r="U380" s="23" t="str">
        <f aca="false">IF(B380="","",TEXT(B380,"yyyy-mm"))</f>
        <v/>
      </c>
      <c r="V380" s="23" t="str">
        <f aca="false">IF(K380="","",TEXT(K380,"yyyy-mm"))</f>
        <v/>
      </c>
      <c r="W380" s="23" t="n">
        <f aca="false">IF(OR(C380="Cetak",C380="Dikirim",C380="Selesai"),1,0)</f>
        <v>0</v>
      </c>
      <c r="X380" s="23" t="str">
        <f aca="false">IF(F380="","",SUBSTITUTE(SUBSTITUTE(MID(UPPER(TRIM(F380)),4,99),"-LED",""),"-TK",""))</f>
        <v/>
      </c>
      <c r="Y380" s="23" t="str">
        <f aca="false">IF(X380="","",(LEN(X380)+1)/7)</f>
        <v/>
      </c>
      <c r="Z380" s="23" t="str">
        <f aca="false">IF(X380="","",LEFT(X380,6))</f>
        <v/>
      </c>
      <c r="AA380" s="23" t="str">
        <f aca="false">IF(X380="","",IF(Y380&gt;=3,MID(X380,8,6),""))</f>
        <v/>
      </c>
      <c r="AB380" s="23" t="str">
        <f aca="false">IF(X380="","",IF(Y380&gt;=4,MID(X380,15,6),""))</f>
        <v/>
      </c>
      <c r="AC380" s="23" t="str">
        <f aca="false">IF(X380="","",IF(Y380&gt;=5,MID(X380,22,6),""))</f>
        <v/>
      </c>
      <c r="AD380" s="23" t="str">
        <f aca="false">IF(X380="","",RIGHT(X380,6))</f>
        <v/>
      </c>
      <c r="AE380" s="23" t="str">
        <f aca="false">IF(F380="","",IF(ISNUMBER(SEARCH("-TK",UPPER(F380))),0,1))</f>
        <v/>
      </c>
      <c r="AF380" s="23" t="str">
        <f aca="false">IF(F380="","",IF(ISNUMBER(SEARCH("-LED",UPPER(F380))),1,0))</f>
        <v/>
      </c>
      <c r="AG380" s="24" t="n">
        <f aca="false">IF(Z380="",0,IFERROR(INDEX(Resep!$C$5:$C$7,MATCH(LEFT(Z380,3),Resep!$B$5:$B$7,0)),0))</f>
        <v>0</v>
      </c>
      <c r="AH380" s="24" t="n">
        <f aca="false">IF(AA380="",0,IFERROR(INDEX(Resep!$C$9:$C$13,MATCH(LEFT(AA380,3),Resep!$B$9:$B$13,0)),0))</f>
        <v>0</v>
      </c>
      <c r="AI380" s="24" t="n">
        <f aca="false">IF(AB380="",0,IFERROR(INDEX(Resep!$C$9:$C$13,MATCH(LEFT(AB380,3),Resep!$B$9:$B$13,0)),0))</f>
        <v>0</v>
      </c>
      <c r="AJ380" s="24" t="n">
        <f aca="false">IF(AC380="",0,IFERROR(INDEX(Resep!$C$9:$C$13,MATCH(LEFT(AC380,3),Resep!$B$9:$B$13,0)),0))</f>
        <v>0</v>
      </c>
      <c r="AK380" s="24" t="n">
        <f aca="false">IF(AD380="",0,IFERROR(INDEX(Resep!$C$15:$C$18,MATCH(LEFT(AD380,3),Resep!$B$15:$B$18,0)),0))</f>
        <v>0</v>
      </c>
      <c r="AL380" s="24" t="str">
        <f aca="false">IF(X380="","",AG380+AH380+AI380+AJ380+AK380)</f>
        <v/>
      </c>
      <c r="AM380" s="22" t="str">
        <f aca="false">IF(X380="","",AL380*(Pengaturan!$B$6+Pengaturan!$B$7)+Pengaturan!$B$8+AE380*Pengaturan!$B$9+AF380*Pengaturan!$B$10)</f>
        <v/>
      </c>
      <c r="AN380" s="22" t="str">
        <f aca="false">IF(X380="","",N(G380)-AM380)</f>
        <v/>
      </c>
      <c r="AO380" s="25" t="str">
        <f aca="false">IF(OR(X380="",N(G380)=0),"",AN380/G380)</f>
        <v/>
      </c>
    </row>
    <row r="381" customFormat="false" ht="15" hidden="false" customHeight="false" outlineLevel="0" collapsed="false">
      <c r="A381" s="19"/>
      <c r="B381" s="20"/>
      <c r="C381" s="19"/>
      <c r="D381" s="19"/>
      <c r="E381" s="19"/>
      <c r="F381" s="19"/>
      <c r="G381" s="21"/>
      <c r="H381" s="19"/>
      <c r="I381" s="21"/>
      <c r="J381" s="19"/>
      <c r="K381" s="20"/>
      <c r="L381" s="20"/>
      <c r="M381" s="19"/>
      <c r="N381" s="19"/>
      <c r="O381" s="20"/>
      <c r="P381" s="20"/>
      <c r="Q381" s="19"/>
      <c r="R381" s="22" t="str">
        <f aca="false">IF(A381="","",N(G381)+N(I381))</f>
        <v/>
      </c>
      <c r="S381" s="23" t="str">
        <f aca="false">IF(OR(K381="",O381=""),"",O381-K381)</f>
        <v/>
      </c>
      <c r="T381" s="23" t="str">
        <f aca="true">IF(AND(C381="Cetak",L381&lt;&gt;"",L381&lt;TODAY()),"YA","")</f>
        <v/>
      </c>
      <c r="U381" s="23" t="str">
        <f aca="false">IF(B381="","",TEXT(B381,"yyyy-mm"))</f>
        <v/>
      </c>
      <c r="V381" s="23" t="str">
        <f aca="false">IF(K381="","",TEXT(K381,"yyyy-mm"))</f>
        <v/>
      </c>
      <c r="W381" s="23" t="n">
        <f aca="false">IF(OR(C381="Cetak",C381="Dikirim",C381="Selesai"),1,0)</f>
        <v>0</v>
      </c>
      <c r="X381" s="23" t="str">
        <f aca="false">IF(F381="","",SUBSTITUTE(SUBSTITUTE(MID(UPPER(TRIM(F381)),4,99),"-LED",""),"-TK",""))</f>
        <v/>
      </c>
      <c r="Y381" s="23" t="str">
        <f aca="false">IF(X381="","",(LEN(X381)+1)/7)</f>
        <v/>
      </c>
      <c r="Z381" s="23" t="str">
        <f aca="false">IF(X381="","",LEFT(X381,6))</f>
        <v/>
      </c>
      <c r="AA381" s="23" t="str">
        <f aca="false">IF(X381="","",IF(Y381&gt;=3,MID(X381,8,6),""))</f>
        <v/>
      </c>
      <c r="AB381" s="23" t="str">
        <f aca="false">IF(X381="","",IF(Y381&gt;=4,MID(X381,15,6),""))</f>
        <v/>
      </c>
      <c r="AC381" s="23" t="str">
        <f aca="false">IF(X381="","",IF(Y381&gt;=5,MID(X381,22,6),""))</f>
        <v/>
      </c>
      <c r="AD381" s="23" t="str">
        <f aca="false">IF(X381="","",RIGHT(X381,6))</f>
        <v/>
      </c>
      <c r="AE381" s="23" t="str">
        <f aca="false">IF(F381="","",IF(ISNUMBER(SEARCH("-TK",UPPER(F381))),0,1))</f>
        <v/>
      </c>
      <c r="AF381" s="23" t="str">
        <f aca="false">IF(F381="","",IF(ISNUMBER(SEARCH("-LED",UPPER(F381))),1,0))</f>
        <v/>
      </c>
      <c r="AG381" s="24" t="n">
        <f aca="false">IF(Z381="",0,IFERROR(INDEX(Resep!$C$5:$C$7,MATCH(LEFT(Z381,3),Resep!$B$5:$B$7,0)),0))</f>
        <v>0</v>
      </c>
      <c r="AH381" s="24" t="n">
        <f aca="false">IF(AA381="",0,IFERROR(INDEX(Resep!$C$9:$C$13,MATCH(LEFT(AA381,3),Resep!$B$9:$B$13,0)),0))</f>
        <v>0</v>
      </c>
      <c r="AI381" s="24" t="n">
        <f aca="false">IF(AB381="",0,IFERROR(INDEX(Resep!$C$9:$C$13,MATCH(LEFT(AB381,3),Resep!$B$9:$B$13,0)),0))</f>
        <v>0</v>
      </c>
      <c r="AJ381" s="24" t="n">
        <f aca="false">IF(AC381="",0,IFERROR(INDEX(Resep!$C$9:$C$13,MATCH(LEFT(AC381,3),Resep!$B$9:$B$13,0)),0))</f>
        <v>0</v>
      </c>
      <c r="AK381" s="24" t="n">
        <f aca="false">IF(AD381="",0,IFERROR(INDEX(Resep!$C$15:$C$18,MATCH(LEFT(AD381,3),Resep!$B$15:$B$18,0)),0))</f>
        <v>0</v>
      </c>
      <c r="AL381" s="24" t="str">
        <f aca="false">IF(X381="","",AG381+AH381+AI381+AJ381+AK381)</f>
        <v/>
      </c>
      <c r="AM381" s="22" t="str">
        <f aca="false">IF(X381="","",AL381*(Pengaturan!$B$6+Pengaturan!$B$7)+Pengaturan!$B$8+AE381*Pengaturan!$B$9+AF381*Pengaturan!$B$10)</f>
        <v/>
      </c>
      <c r="AN381" s="22" t="str">
        <f aca="false">IF(X381="","",N(G381)-AM381)</f>
        <v/>
      </c>
      <c r="AO381" s="25" t="str">
        <f aca="false">IF(OR(X381="",N(G381)=0),"",AN381/G381)</f>
        <v/>
      </c>
    </row>
    <row r="382" customFormat="false" ht="15" hidden="false" customHeight="false" outlineLevel="0" collapsed="false">
      <c r="A382" s="19"/>
      <c r="B382" s="20"/>
      <c r="C382" s="19"/>
      <c r="D382" s="19"/>
      <c r="E382" s="19"/>
      <c r="F382" s="19"/>
      <c r="G382" s="21"/>
      <c r="H382" s="19"/>
      <c r="I382" s="21"/>
      <c r="J382" s="19"/>
      <c r="K382" s="20"/>
      <c r="L382" s="20"/>
      <c r="M382" s="19"/>
      <c r="N382" s="19"/>
      <c r="O382" s="20"/>
      <c r="P382" s="20"/>
      <c r="Q382" s="19"/>
      <c r="R382" s="22" t="str">
        <f aca="false">IF(A382="","",N(G382)+N(I382))</f>
        <v/>
      </c>
      <c r="S382" s="23" t="str">
        <f aca="false">IF(OR(K382="",O382=""),"",O382-K382)</f>
        <v/>
      </c>
      <c r="T382" s="23" t="str">
        <f aca="true">IF(AND(C382="Cetak",L382&lt;&gt;"",L382&lt;TODAY()),"YA","")</f>
        <v/>
      </c>
      <c r="U382" s="23" t="str">
        <f aca="false">IF(B382="","",TEXT(B382,"yyyy-mm"))</f>
        <v/>
      </c>
      <c r="V382" s="23" t="str">
        <f aca="false">IF(K382="","",TEXT(K382,"yyyy-mm"))</f>
        <v/>
      </c>
      <c r="W382" s="23" t="n">
        <f aca="false">IF(OR(C382="Cetak",C382="Dikirim",C382="Selesai"),1,0)</f>
        <v>0</v>
      </c>
      <c r="X382" s="23" t="str">
        <f aca="false">IF(F382="","",SUBSTITUTE(SUBSTITUTE(MID(UPPER(TRIM(F382)),4,99),"-LED",""),"-TK",""))</f>
        <v/>
      </c>
      <c r="Y382" s="23" t="str">
        <f aca="false">IF(X382="","",(LEN(X382)+1)/7)</f>
        <v/>
      </c>
      <c r="Z382" s="23" t="str">
        <f aca="false">IF(X382="","",LEFT(X382,6))</f>
        <v/>
      </c>
      <c r="AA382" s="23" t="str">
        <f aca="false">IF(X382="","",IF(Y382&gt;=3,MID(X382,8,6),""))</f>
        <v/>
      </c>
      <c r="AB382" s="23" t="str">
        <f aca="false">IF(X382="","",IF(Y382&gt;=4,MID(X382,15,6),""))</f>
        <v/>
      </c>
      <c r="AC382" s="23" t="str">
        <f aca="false">IF(X382="","",IF(Y382&gt;=5,MID(X382,22,6),""))</f>
        <v/>
      </c>
      <c r="AD382" s="23" t="str">
        <f aca="false">IF(X382="","",RIGHT(X382,6))</f>
        <v/>
      </c>
      <c r="AE382" s="23" t="str">
        <f aca="false">IF(F382="","",IF(ISNUMBER(SEARCH("-TK",UPPER(F382))),0,1))</f>
        <v/>
      </c>
      <c r="AF382" s="23" t="str">
        <f aca="false">IF(F382="","",IF(ISNUMBER(SEARCH("-LED",UPPER(F382))),1,0))</f>
        <v/>
      </c>
      <c r="AG382" s="24" t="n">
        <f aca="false">IF(Z382="",0,IFERROR(INDEX(Resep!$C$5:$C$7,MATCH(LEFT(Z382,3),Resep!$B$5:$B$7,0)),0))</f>
        <v>0</v>
      </c>
      <c r="AH382" s="24" t="n">
        <f aca="false">IF(AA382="",0,IFERROR(INDEX(Resep!$C$9:$C$13,MATCH(LEFT(AA382,3),Resep!$B$9:$B$13,0)),0))</f>
        <v>0</v>
      </c>
      <c r="AI382" s="24" t="n">
        <f aca="false">IF(AB382="",0,IFERROR(INDEX(Resep!$C$9:$C$13,MATCH(LEFT(AB382,3),Resep!$B$9:$B$13,0)),0))</f>
        <v>0</v>
      </c>
      <c r="AJ382" s="24" t="n">
        <f aca="false">IF(AC382="",0,IFERROR(INDEX(Resep!$C$9:$C$13,MATCH(LEFT(AC382,3),Resep!$B$9:$B$13,0)),0))</f>
        <v>0</v>
      </c>
      <c r="AK382" s="24" t="n">
        <f aca="false">IF(AD382="",0,IFERROR(INDEX(Resep!$C$15:$C$18,MATCH(LEFT(AD382,3),Resep!$B$15:$B$18,0)),0))</f>
        <v>0</v>
      </c>
      <c r="AL382" s="24" t="str">
        <f aca="false">IF(X382="","",AG382+AH382+AI382+AJ382+AK382)</f>
        <v/>
      </c>
      <c r="AM382" s="22" t="str">
        <f aca="false">IF(X382="","",AL382*(Pengaturan!$B$6+Pengaturan!$B$7)+Pengaturan!$B$8+AE382*Pengaturan!$B$9+AF382*Pengaturan!$B$10)</f>
        <v/>
      </c>
      <c r="AN382" s="22" t="str">
        <f aca="false">IF(X382="","",N(G382)-AM382)</f>
        <v/>
      </c>
      <c r="AO382" s="25" t="str">
        <f aca="false">IF(OR(X382="",N(G382)=0),"",AN382/G382)</f>
        <v/>
      </c>
    </row>
    <row r="383" customFormat="false" ht="15" hidden="false" customHeight="false" outlineLevel="0" collapsed="false">
      <c r="A383" s="19"/>
      <c r="B383" s="20"/>
      <c r="C383" s="19"/>
      <c r="D383" s="19"/>
      <c r="E383" s="19"/>
      <c r="F383" s="19"/>
      <c r="G383" s="21"/>
      <c r="H383" s="19"/>
      <c r="I383" s="21"/>
      <c r="J383" s="19"/>
      <c r="K383" s="20"/>
      <c r="L383" s="20"/>
      <c r="M383" s="19"/>
      <c r="N383" s="19"/>
      <c r="O383" s="20"/>
      <c r="P383" s="20"/>
      <c r="Q383" s="19"/>
      <c r="R383" s="22" t="str">
        <f aca="false">IF(A383="","",N(G383)+N(I383))</f>
        <v/>
      </c>
      <c r="S383" s="23" t="str">
        <f aca="false">IF(OR(K383="",O383=""),"",O383-K383)</f>
        <v/>
      </c>
      <c r="T383" s="23" t="str">
        <f aca="true">IF(AND(C383="Cetak",L383&lt;&gt;"",L383&lt;TODAY()),"YA","")</f>
        <v/>
      </c>
      <c r="U383" s="23" t="str">
        <f aca="false">IF(B383="","",TEXT(B383,"yyyy-mm"))</f>
        <v/>
      </c>
      <c r="V383" s="23" t="str">
        <f aca="false">IF(K383="","",TEXT(K383,"yyyy-mm"))</f>
        <v/>
      </c>
      <c r="W383" s="23" t="n">
        <f aca="false">IF(OR(C383="Cetak",C383="Dikirim",C383="Selesai"),1,0)</f>
        <v>0</v>
      </c>
      <c r="X383" s="23" t="str">
        <f aca="false">IF(F383="","",SUBSTITUTE(SUBSTITUTE(MID(UPPER(TRIM(F383)),4,99),"-LED",""),"-TK",""))</f>
        <v/>
      </c>
      <c r="Y383" s="23" t="str">
        <f aca="false">IF(X383="","",(LEN(X383)+1)/7)</f>
        <v/>
      </c>
      <c r="Z383" s="23" t="str">
        <f aca="false">IF(X383="","",LEFT(X383,6))</f>
        <v/>
      </c>
      <c r="AA383" s="23" t="str">
        <f aca="false">IF(X383="","",IF(Y383&gt;=3,MID(X383,8,6),""))</f>
        <v/>
      </c>
      <c r="AB383" s="23" t="str">
        <f aca="false">IF(X383="","",IF(Y383&gt;=4,MID(X383,15,6),""))</f>
        <v/>
      </c>
      <c r="AC383" s="23" t="str">
        <f aca="false">IF(X383="","",IF(Y383&gt;=5,MID(X383,22,6),""))</f>
        <v/>
      </c>
      <c r="AD383" s="23" t="str">
        <f aca="false">IF(X383="","",RIGHT(X383,6))</f>
        <v/>
      </c>
      <c r="AE383" s="23" t="str">
        <f aca="false">IF(F383="","",IF(ISNUMBER(SEARCH("-TK",UPPER(F383))),0,1))</f>
        <v/>
      </c>
      <c r="AF383" s="23" t="str">
        <f aca="false">IF(F383="","",IF(ISNUMBER(SEARCH("-LED",UPPER(F383))),1,0))</f>
        <v/>
      </c>
      <c r="AG383" s="24" t="n">
        <f aca="false">IF(Z383="",0,IFERROR(INDEX(Resep!$C$5:$C$7,MATCH(LEFT(Z383,3),Resep!$B$5:$B$7,0)),0))</f>
        <v>0</v>
      </c>
      <c r="AH383" s="24" t="n">
        <f aca="false">IF(AA383="",0,IFERROR(INDEX(Resep!$C$9:$C$13,MATCH(LEFT(AA383,3),Resep!$B$9:$B$13,0)),0))</f>
        <v>0</v>
      </c>
      <c r="AI383" s="24" t="n">
        <f aca="false">IF(AB383="",0,IFERROR(INDEX(Resep!$C$9:$C$13,MATCH(LEFT(AB383,3),Resep!$B$9:$B$13,0)),0))</f>
        <v>0</v>
      </c>
      <c r="AJ383" s="24" t="n">
        <f aca="false">IF(AC383="",0,IFERROR(INDEX(Resep!$C$9:$C$13,MATCH(LEFT(AC383,3),Resep!$B$9:$B$13,0)),0))</f>
        <v>0</v>
      </c>
      <c r="AK383" s="24" t="n">
        <f aca="false">IF(AD383="",0,IFERROR(INDEX(Resep!$C$15:$C$18,MATCH(LEFT(AD383,3),Resep!$B$15:$B$18,0)),0))</f>
        <v>0</v>
      </c>
      <c r="AL383" s="24" t="str">
        <f aca="false">IF(X383="","",AG383+AH383+AI383+AJ383+AK383)</f>
        <v/>
      </c>
      <c r="AM383" s="22" t="str">
        <f aca="false">IF(X383="","",AL383*(Pengaturan!$B$6+Pengaturan!$B$7)+Pengaturan!$B$8+AE383*Pengaturan!$B$9+AF383*Pengaturan!$B$10)</f>
        <v/>
      </c>
      <c r="AN383" s="22" t="str">
        <f aca="false">IF(X383="","",N(G383)-AM383)</f>
        <v/>
      </c>
      <c r="AO383" s="25" t="str">
        <f aca="false">IF(OR(X383="",N(G383)=0),"",AN383/G383)</f>
        <v/>
      </c>
    </row>
    <row r="384" customFormat="false" ht="15" hidden="false" customHeight="false" outlineLevel="0" collapsed="false">
      <c r="A384" s="19"/>
      <c r="B384" s="20"/>
      <c r="C384" s="19"/>
      <c r="D384" s="19"/>
      <c r="E384" s="19"/>
      <c r="F384" s="19"/>
      <c r="G384" s="21"/>
      <c r="H384" s="19"/>
      <c r="I384" s="21"/>
      <c r="J384" s="19"/>
      <c r="K384" s="20"/>
      <c r="L384" s="20"/>
      <c r="M384" s="19"/>
      <c r="N384" s="19"/>
      <c r="O384" s="20"/>
      <c r="P384" s="20"/>
      <c r="Q384" s="19"/>
      <c r="R384" s="22" t="str">
        <f aca="false">IF(A384="","",N(G384)+N(I384))</f>
        <v/>
      </c>
      <c r="S384" s="23" t="str">
        <f aca="false">IF(OR(K384="",O384=""),"",O384-K384)</f>
        <v/>
      </c>
      <c r="T384" s="23" t="str">
        <f aca="true">IF(AND(C384="Cetak",L384&lt;&gt;"",L384&lt;TODAY()),"YA","")</f>
        <v/>
      </c>
      <c r="U384" s="23" t="str">
        <f aca="false">IF(B384="","",TEXT(B384,"yyyy-mm"))</f>
        <v/>
      </c>
      <c r="V384" s="23" t="str">
        <f aca="false">IF(K384="","",TEXT(K384,"yyyy-mm"))</f>
        <v/>
      </c>
      <c r="W384" s="23" t="n">
        <f aca="false">IF(OR(C384="Cetak",C384="Dikirim",C384="Selesai"),1,0)</f>
        <v>0</v>
      </c>
      <c r="X384" s="23" t="str">
        <f aca="false">IF(F384="","",SUBSTITUTE(SUBSTITUTE(MID(UPPER(TRIM(F384)),4,99),"-LED",""),"-TK",""))</f>
        <v/>
      </c>
      <c r="Y384" s="23" t="str">
        <f aca="false">IF(X384="","",(LEN(X384)+1)/7)</f>
        <v/>
      </c>
      <c r="Z384" s="23" t="str">
        <f aca="false">IF(X384="","",LEFT(X384,6))</f>
        <v/>
      </c>
      <c r="AA384" s="23" t="str">
        <f aca="false">IF(X384="","",IF(Y384&gt;=3,MID(X384,8,6),""))</f>
        <v/>
      </c>
      <c r="AB384" s="23" t="str">
        <f aca="false">IF(X384="","",IF(Y384&gt;=4,MID(X384,15,6),""))</f>
        <v/>
      </c>
      <c r="AC384" s="23" t="str">
        <f aca="false">IF(X384="","",IF(Y384&gt;=5,MID(X384,22,6),""))</f>
        <v/>
      </c>
      <c r="AD384" s="23" t="str">
        <f aca="false">IF(X384="","",RIGHT(X384,6))</f>
        <v/>
      </c>
      <c r="AE384" s="23" t="str">
        <f aca="false">IF(F384="","",IF(ISNUMBER(SEARCH("-TK",UPPER(F384))),0,1))</f>
        <v/>
      </c>
      <c r="AF384" s="23" t="str">
        <f aca="false">IF(F384="","",IF(ISNUMBER(SEARCH("-LED",UPPER(F384))),1,0))</f>
        <v/>
      </c>
      <c r="AG384" s="24" t="n">
        <f aca="false">IF(Z384="",0,IFERROR(INDEX(Resep!$C$5:$C$7,MATCH(LEFT(Z384,3),Resep!$B$5:$B$7,0)),0))</f>
        <v>0</v>
      </c>
      <c r="AH384" s="24" t="n">
        <f aca="false">IF(AA384="",0,IFERROR(INDEX(Resep!$C$9:$C$13,MATCH(LEFT(AA384,3),Resep!$B$9:$B$13,0)),0))</f>
        <v>0</v>
      </c>
      <c r="AI384" s="24" t="n">
        <f aca="false">IF(AB384="",0,IFERROR(INDEX(Resep!$C$9:$C$13,MATCH(LEFT(AB384,3),Resep!$B$9:$B$13,0)),0))</f>
        <v>0</v>
      </c>
      <c r="AJ384" s="24" t="n">
        <f aca="false">IF(AC384="",0,IFERROR(INDEX(Resep!$C$9:$C$13,MATCH(LEFT(AC384,3),Resep!$B$9:$B$13,0)),0))</f>
        <v>0</v>
      </c>
      <c r="AK384" s="24" t="n">
        <f aca="false">IF(AD384="",0,IFERROR(INDEX(Resep!$C$15:$C$18,MATCH(LEFT(AD384,3),Resep!$B$15:$B$18,0)),0))</f>
        <v>0</v>
      </c>
      <c r="AL384" s="24" t="str">
        <f aca="false">IF(X384="","",AG384+AH384+AI384+AJ384+AK384)</f>
        <v/>
      </c>
      <c r="AM384" s="22" t="str">
        <f aca="false">IF(X384="","",AL384*(Pengaturan!$B$6+Pengaturan!$B$7)+Pengaturan!$B$8+AE384*Pengaturan!$B$9+AF384*Pengaturan!$B$10)</f>
        <v/>
      </c>
      <c r="AN384" s="22" t="str">
        <f aca="false">IF(X384="","",N(G384)-AM384)</f>
        <v/>
      </c>
      <c r="AO384" s="25" t="str">
        <f aca="false">IF(OR(X384="",N(G384)=0),"",AN384/G384)</f>
        <v/>
      </c>
    </row>
    <row r="385" customFormat="false" ht="15" hidden="false" customHeight="false" outlineLevel="0" collapsed="false">
      <c r="A385" s="19"/>
      <c r="B385" s="20"/>
      <c r="C385" s="19"/>
      <c r="D385" s="19"/>
      <c r="E385" s="19"/>
      <c r="F385" s="19"/>
      <c r="G385" s="21"/>
      <c r="H385" s="19"/>
      <c r="I385" s="21"/>
      <c r="J385" s="19"/>
      <c r="K385" s="20"/>
      <c r="L385" s="20"/>
      <c r="M385" s="19"/>
      <c r="N385" s="19"/>
      <c r="O385" s="20"/>
      <c r="P385" s="20"/>
      <c r="Q385" s="19"/>
      <c r="R385" s="22" t="str">
        <f aca="false">IF(A385="","",N(G385)+N(I385))</f>
        <v/>
      </c>
      <c r="S385" s="23" t="str">
        <f aca="false">IF(OR(K385="",O385=""),"",O385-K385)</f>
        <v/>
      </c>
      <c r="T385" s="23" t="str">
        <f aca="true">IF(AND(C385="Cetak",L385&lt;&gt;"",L385&lt;TODAY()),"YA","")</f>
        <v/>
      </c>
      <c r="U385" s="23" t="str">
        <f aca="false">IF(B385="","",TEXT(B385,"yyyy-mm"))</f>
        <v/>
      </c>
      <c r="V385" s="23" t="str">
        <f aca="false">IF(K385="","",TEXT(K385,"yyyy-mm"))</f>
        <v/>
      </c>
      <c r="W385" s="23" t="n">
        <f aca="false">IF(OR(C385="Cetak",C385="Dikirim",C385="Selesai"),1,0)</f>
        <v>0</v>
      </c>
      <c r="X385" s="23" t="str">
        <f aca="false">IF(F385="","",SUBSTITUTE(SUBSTITUTE(MID(UPPER(TRIM(F385)),4,99),"-LED",""),"-TK",""))</f>
        <v/>
      </c>
      <c r="Y385" s="23" t="str">
        <f aca="false">IF(X385="","",(LEN(X385)+1)/7)</f>
        <v/>
      </c>
      <c r="Z385" s="23" t="str">
        <f aca="false">IF(X385="","",LEFT(X385,6))</f>
        <v/>
      </c>
      <c r="AA385" s="23" t="str">
        <f aca="false">IF(X385="","",IF(Y385&gt;=3,MID(X385,8,6),""))</f>
        <v/>
      </c>
      <c r="AB385" s="23" t="str">
        <f aca="false">IF(X385="","",IF(Y385&gt;=4,MID(X385,15,6),""))</f>
        <v/>
      </c>
      <c r="AC385" s="23" t="str">
        <f aca="false">IF(X385="","",IF(Y385&gt;=5,MID(X385,22,6),""))</f>
        <v/>
      </c>
      <c r="AD385" s="23" t="str">
        <f aca="false">IF(X385="","",RIGHT(X385,6))</f>
        <v/>
      </c>
      <c r="AE385" s="23" t="str">
        <f aca="false">IF(F385="","",IF(ISNUMBER(SEARCH("-TK",UPPER(F385))),0,1))</f>
        <v/>
      </c>
      <c r="AF385" s="23" t="str">
        <f aca="false">IF(F385="","",IF(ISNUMBER(SEARCH("-LED",UPPER(F385))),1,0))</f>
        <v/>
      </c>
      <c r="AG385" s="24" t="n">
        <f aca="false">IF(Z385="",0,IFERROR(INDEX(Resep!$C$5:$C$7,MATCH(LEFT(Z385,3),Resep!$B$5:$B$7,0)),0))</f>
        <v>0</v>
      </c>
      <c r="AH385" s="24" t="n">
        <f aca="false">IF(AA385="",0,IFERROR(INDEX(Resep!$C$9:$C$13,MATCH(LEFT(AA385,3),Resep!$B$9:$B$13,0)),0))</f>
        <v>0</v>
      </c>
      <c r="AI385" s="24" t="n">
        <f aca="false">IF(AB385="",0,IFERROR(INDEX(Resep!$C$9:$C$13,MATCH(LEFT(AB385,3),Resep!$B$9:$B$13,0)),0))</f>
        <v>0</v>
      </c>
      <c r="AJ385" s="24" t="n">
        <f aca="false">IF(AC385="",0,IFERROR(INDEX(Resep!$C$9:$C$13,MATCH(LEFT(AC385,3),Resep!$B$9:$B$13,0)),0))</f>
        <v>0</v>
      </c>
      <c r="AK385" s="24" t="n">
        <f aca="false">IF(AD385="",0,IFERROR(INDEX(Resep!$C$15:$C$18,MATCH(LEFT(AD385,3),Resep!$B$15:$B$18,0)),0))</f>
        <v>0</v>
      </c>
      <c r="AL385" s="24" t="str">
        <f aca="false">IF(X385="","",AG385+AH385+AI385+AJ385+AK385)</f>
        <v/>
      </c>
      <c r="AM385" s="22" t="str">
        <f aca="false">IF(X385="","",AL385*(Pengaturan!$B$6+Pengaturan!$B$7)+Pengaturan!$B$8+AE385*Pengaturan!$B$9+AF385*Pengaturan!$B$10)</f>
        <v/>
      </c>
      <c r="AN385" s="22" t="str">
        <f aca="false">IF(X385="","",N(G385)-AM385)</f>
        <v/>
      </c>
      <c r="AO385" s="25" t="str">
        <f aca="false">IF(OR(X385="",N(G385)=0),"",AN385/G385)</f>
        <v/>
      </c>
    </row>
    <row r="386" customFormat="false" ht="15" hidden="false" customHeight="false" outlineLevel="0" collapsed="false">
      <c r="A386" s="19"/>
      <c r="B386" s="20"/>
      <c r="C386" s="19"/>
      <c r="D386" s="19"/>
      <c r="E386" s="19"/>
      <c r="F386" s="19"/>
      <c r="G386" s="21"/>
      <c r="H386" s="19"/>
      <c r="I386" s="21"/>
      <c r="J386" s="19"/>
      <c r="K386" s="20"/>
      <c r="L386" s="20"/>
      <c r="M386" s="19"/>
      <c r="N386" s="19"/>
      <c r="O386" s="20"/>
      <c r="P386" s="20"/>
      <c r="Q386" s="19"/>
      <c r="R386" s="22" t="str">
        <f aca="false">IF(A386="","",N(G386)+N(I386))</f>
        <v/>
      </c>
      <c r="S386" s="23" t="str">
        <f aca="false">IF(OR(K386="",O386=""),"",O386-K386)</f>
        <v/>
      </c>
      <c r="T386" s="23" t="str">
        <f aca="true">IF(AND(C386="Cetak",L386&lt;&gt;"",L386&lt;TODAY()),"YA","")</f>
        <v/>
      </c>
      <c r="U386" s="23" t="str">
        <f aca="false">IF(B386="","",TEXT(B386,"yyyy-mm"))</f>
        <v/>
      </c>
      <c r="V386" s="23" t="str">
        <f aca="false">IF(K386="","",TEXT(K386,"yyyy-mm"))</f>
        <v/>
      </c>
      <c r="W386" s="23" t="n">
        <f aca="false">IF(OR(C386="Cetak",C386="Dikirim",C386="Selesai"),1,0)</f>
        <v>0</v>
      </c>
      <c r="X386" s="23" t="str">
        <f aca="false">IF(F386="","",SUBSTITUTE(SUBSTITUTE(MID(UPPER(TRIM(F386)),4,99),"-LED",""),"-TK",""))</f>
        <v/>
      </c>
      <c r="Y386" s="23" t="str">
        <f aca="false">IF(X386="","",(LEN(X386)+1)/7)</f>
        <v/>
      </c>
      <c r="Z386" s="23" t="str">
        <f aca="false">IF(X386="","",LEFT(X386,6))</f>
        <v/>
      </c>
      <c r="AA386" s="23" t="str">
        <f aca="false">IF(X386="","",IF(Y386&gt;=3,MID(X386,8,6),""))</f>
        <v/>
      </c>
      <c r="AB386" s="23" t="str">
        <f aca="false">IF(X386="","",IF(Y386&gt;=4,MID(X386,15,6),""))</f>
        <v/>
      </c>
      <c r="AC386" s="23" t="str">
        <f aca="false">IF(X386="","",IF(Y386&gt;=5,MID(X386,22,6),""))</f>
        <v/>
      </c>
      <c r="AD386" s="23" t="str">
        <f aca="false">IF(X386="","",RIGHT(X386,6))</f>
        <v/>
      </c>
      <c r="AE386" s="23" t="str">
        <f aca="false">IF(F386="","",IF(ISNUMBER(SEARCH("-TK",UPPER(F386))),0,1))</f>
        <v/>
      </c>
      <c r="AF386" s="23" t="str">
        <f aca="false">IF(F386="","",IF(ISNUMBER(SEARCH("-LED",UPPER(F386))),1,0))</f>
        <v/>
      </c>
      <c r="AG386" s="24" t="n">
        <f aca="false">IF(Z386="",0,IFERROR(INDEX(Resep!$C$5:$C$7,MATCH(LEFT(Z386,3),Resep!$B$5:$B$7,0)),0))</f>
        <v>0</v>
      </c>
      <c r="AH386" s="24" t="n">
        <f aca="false">IF(AA386="",0,IFERROR(INDEX(Resep!$C$9:$C$13,MATCH(LEFT(AA386,3),Resep!$B$9:$B$13,0)),0))</f>
        <v>0</v>
      </c>
      <c r="AI386" s="24" t="n">
        <f aca="false">IF(AB386="",0,IFERROR(INDEX(Resep!$C$9:$C$13,MATCH(LEFT(AB386,3),Resep!$B$9:$B$13,0)),0))</f>
        <v>0</v>
      </c>
      <c r="AJ386" s="24" t="n">
        <f aca="false">IF(AC386="",0,IFERROR(INDEX(Resep!$C$9:$C$13,MATCH(LEFT(AC386,3),Resep!$B$9:$B$13,0)),0))</f>
        <v>0</v>
      </c>
      <c r="AK386" s="24" t="n">
        <f aca="false">IF(AD386="",0,IFERROR(INDEX(Resep!$C$15:$C$18,MATCH(LEFT(AD386,3),Resep!$B$15:$B$18,0)),0))</f>
        <v>0</v>
      </c>
      <c r="AL386" s="24" t="str">
        <f aca="false">IF(X386="","",AG386+AH386+AI386+AJ386+AK386)</f>
        <v/>
      </c>
      <c r="AM386" s="22" t="str">
        <f aca="false">IF(X386="","",AL386*(Pengaturan!$B$6+Pengaturan!$B$7)+Pengaturan!$B$8+AE386*Pengaturan!$B$9+AF386*Pengaturan!$B$10)</f>
        <v/>
      </c>
      <c r="AN386" s="22" t="str">
        <f aca="false">IF(X386="","",N(G386)-AM386)</f>
        <v/>
      </c>
      <c r="AO386" s="25" t="str">
        <f aca="false">IF(OR(X386="",N(G386)=0),"",AN386/G386)</f>
        <v/>
      </c>
    </row>
    <row r="387" customFormat="false" ht="15" hidden="false" customHeight="false" outlineLevel="0" collapsed="false">
      <c r="A387" s="19"/>
      <c r="B387" s="20"/>
      <c r="C387" s="19"/>
      <c r="D387" s="19"/>
      <c r="E387" s="19"/>
      <c r="F387" s="19"/>
      <c r="G387" s="21"/>
      <c r="H387" s="19"/>
      <c r="I387" s="21"/>
      <c r="J387" s="19"/>
      <c r="K387" s="20"/>
      <c r="L387" s="20"/>
      <c r="M387" s="19"/>
      <c r="N387" s="19"/>
      <c r="O387" s="20"/>
      <c r="P387" s="20"/>
      <c r="Q387" s="19"/>
      <c r="R387" s="22" t="str">
        <f aca="false">IF(A387="","",N(G387)+N(I387))</f>
        <v/>
      </c>
      <c r="S387" s="23" t="str">
        <f aca="false">IF(OR(K387="",O387=""),"",O387-K387)</f>
        <v/>
      </c>
      <c r="T387" s="23" t="str">
        <f aca="true">IF(AND(C387="Cetak",L387&lt;&gt;"",L387&lt;TODAY()),"YA","")</f>
        <v/>
      </c>
      <c r="U387" s="23" t="str">
        <f aca="false">IF(B387="","",TEXT(B387,"yyyy-mm"))</f>
        <v/>
      </c>
      <c r="V387" s="23" t="str">
        <f aca="false">IF(K387="","",TEXT(K387,"yyyy-mm"))</f>
        <v/>
      </c>
      <c r="W387" s="23" t="n">
        <f aca="false">IF(OR(C387="Cetak",C387="Dikirim",C387="Selesai"),1,0)</f>
        <v>0</v>
      </c>
      <c r="X387" s="23" t="str">
        <f aca="false">IF(F387="","",SUBSTITUTE(SUBSTITUTE(MID(UPPER(TRIM(F387)),4,99),"-LED",""),"-TK",""))</f>
        <v/>
      </c>
      <c r="Y387" s="23" t="str">
        <f aca="false">IF(X387="","",(LEN(X387)+1)/7)</f>
        <v/>
      </c>
      <c r="Z387" s="23" t="str">
        <f aca="false">IF(X387="","",LEFT(X387,6))</f>
        <v/>
      </c>
      <c r="AA387" s="23" t="str">
        <f aca="false">IF(X387="","",IF(Y387&gt;=3,MID(X387,8,6),""))</f>
        <v/>
      </c>
      <c r="AB387" s="23" t="str">
        <f aca="false">IF(X387="","",IF(Y387&gt;=4,MID(X387,15,6),""))</f>
        <v/>
      </c>
      <c r="AC387" s="23" t="str">
        <f aca="false">IF(X387="","",IF(Y387&gt;=5,MID(X387,22,6),""))</f>
        <v/>
      </c>
      <c r="AD387" s="23" t="str">
        <f aca="false">IF(X387="","",RIGHT(X387,6))</f>
        <v/>
      </c>
      <c r="AE387" s="23" t="str">
        <f aca="false">IF(F387="","",IF(ISNUMBER(SEARCH("-TK",UPPER(F387))),0,1))</f>
        <v/>
      </c>
      <c r="AF387" s="23" t="str">
        <f aca="false">IF(F387="","",IF(ISNUMBER(SEARCH("-LED",UPPER(F387))),1,0))</f>
        <v/>
      </c>
      <c r="AG387" s="24" t="n">
        <f aca="false">IF(Z387="",0,IFERROR(INDEX(Resep!$C$5:$C$7,MATCH(LEFT(Z387,3),Resep!$B$5:$B$7,0)),0))</f>
        <v>0</v>
      </c>
      <c r="AH387" s="24" t="n">
        <f aca="false">IF(AA387="",0,IFERROR(INDEX(Resep!$C$9:$C$13,MATCH(LEFT(AA387,3),Resep!$B$9:$B$13,0)),0))</f>
        <v>0</v>
      </c>
      <c r="AI387" s="24" t="n">
        <f aca="false">IF(AB387="",0,IFERROR(INDEX(Resep!$C$9:$C$13,MATCH(LEFT(AB387,3),Resep!$B$9:$B$13,0)),0))</f>
        <v>0</v>
      </c>
      <c r="AJ387" s="24" t="n">
        <f aca="false">IF(AC387="",0,IFERROR(INDEX(Resep!$C$9:$C$13,MATCH(LEFT(AC387,3),Resep!$B$9:$B$13,0)),0))</f>
        <v>0</v>
      </c>
      <c r="AK387" s="24" t="n">
        <f aca="false">IF(AD387="",0,IFERROR(INDEX(Resep!$C$15:$C$18,MATCH(LEFT(AD387,3),Resep!$B$15:$B$18,0)),0))</f>
        <v>0</v>
      </c>
      <c r="AL387" s="24" t="str">
        <f aca="false">IF(X387="","",AG387+AH387+AI387+AJ387+AK387)</f>
        <v/>
      </c>
      <c r="AM387" s="22" t="str">
        <f aca="false">IF(X387="","",AL387*(Pengaturan!$B$6+Pengaturan!$B$7)+Pengaturan!$B$8+AE387*Pengaturan!$B$9+AF387*Pengaturan!$B$10)</f>
        <v/>
      </c>
      <c r="AN387" s="22" t="str">
        <f aca="false">IF(X387="","",N(G387)-AM387)</f>
        <v/>
      </c>
      <c r="AO387" s="25" t="str">
        <f aca="false">IF(OR(X387="",N(G387)=0),"",AN387/G387)</f>
        <v/>
      </c>
    </row>
    <row r="388" customFormat="false" ht="15" hidden="false" customHeight="false" outlineLevel="0" collapsed="false">
      <c r="A388" s="19"/>
      <c r="B388" s="20"/>
      <c r="C388" s="19"/>
      <c r="D388" s="19"/>
      <c r="E388" s="19"/>
      <c r="F388" s="19"/>
      <c r="G388" s="21"/>
      <c r="H388" s="19"/>
      <c r="I388" s="21"/>
      <c r="J388" s="19"/>
      <c r="K388" s="20"/>
      <c r="L388" s="20"/>
      <c r="M388" s="19"/>
      <c r="N388" s="19"/>
      <c r="O388" s="20"/>
      <c r="P388" s="20"/>
      <c r="Q388" s="19"/>
      <c r="R388" s="22" t="str">
        <f aca="false">IF(A388="","",N(G388)+N(I388))</f>
        <v/>
      </c>
      <c r="S388" s="23" t="str">
        <f aca="false">IF(OR(K388="",O388=""),"",O388-K388)</f>
        <v/>
      </c>
      <c r="T388" s="23" t="str">
        <f aca="true">IF(AND(C388="Cetak",L388&lt;&gt;"",L388&lt;TODAY()),"YA","")</f>
        <v/>
      </c>
      <c r="U388" s="23" t="str">
        <f aca="false">IF(B388="","",TEXT(B388,"yyyy-mm"))</f>
        <v/>
      </c>
      <c r="V388" s="23" t="str">
        <f aca="false">IF(K388="","",TEXT(K388,"yyyy-mm"))</f>
        <v/>
      </c>
      <c r="W388" s="23" t="n">
        <f aca="false">IF(OR(C388="Cetak",C388="Dikirim",C388="Selesai"),1,0)</f>
        <v>0</v>
      </c>
      <c r="X388" s="23" t="str">
        <f aca="false">IF(F388="","",SUBSTITUTE(SUBSTITUTE(MID(UPPER(TRIM(F388)),4,99),"-LED",""),"-TK",""))</f>
        <v/>
      </c>
      <c r="Y388" s="23" t="str">
        <f aca="false">IF(X388="","",(LEN(X388)+1)/7)</f>
        <v/>
      </c>
      <c r="Z388" s="23" t="str">
        <f aca="false">IF(X388="","",LEFT(X388,6))</f>
        <v/>
      </c>
      <c r="AA388" s="23" t="str">
        <f aca="false">IF(X388="","",IF(Y388&gt;=3,MID(X388,8,6),""))</f>
        <v/>
      </c>
      <c r="AB388" s="23" t="str">
        <f aca="false">IF(X388="","",IF(Y388&gt;=4,MID(X388,15,6),""))</f>
        <v/>
      </c>
      <c r="AC388" s="23" t="str">
        <f aca="false">IF(X388="","",IF(Y388&gt;=5,MID(X388,22,6),""))</f>
        <v/>
      </c>
      <c r="AD388" s="23" t="str">
        <f aca="false">IF(X388="","",RIGHT(X388,6))</f>
        <v/>
      </c>
      <c r="AE388" s="23" t="str">
        <f aca="false">IF(F388="","",IF(ISNUMBER(SEARCH("-TK",UPPER(F388))),0,1))</f>
        <v/>
      </c>
      <c r="AF388" s="23" t="str">
        <f aca="false">IF(F388="","",IF(ISNUMBER(SEARCH("-LED",UPPER(F388))),1,0))</f>
        <v/>
      </c>
      <c r="AG388" s="24" t="n">
        <f aca="false">IF(Z388="",0,IFERROR(INDEX(Resep!$C$5:$C$7,MATCH(LEFT(Z388,3),Resep!$B$5:$B$7,0)),0))</f>
        <v>0</v>
      </c>
      <c r="AH388" s="24" t="n">
        <f aca="false">IF(AA388="",0,IFERROR(INDEX(Resep!$C$9:$C$13,MATCH(LEFT(AA388,3),Resep!$B$9:$B$13,0)),0))</f>
        <v>0</v>
      </c>
      <c r="AI388" s="24" t="n">
        <f aca="false">IF(AB388="",0,IFERROR(INDEX(Resep!$C$9:$C$13,MATCH(LEFT(AB388,3),Resep!$B$9:$B$13,0)),0))</f>
        <v>0</v>
      </c>
      <c r="AJ388" s="24" t="n">
        <f aca="false">IF(AC388="",0,IFERROR(INDEX(Resep!$C$9:$C$13,MATCH(LEFT(AC388,3),Resep!$B$9:$B$13,0)),0))</f>
        <v>0</v>
      </c>
      <c r="AK388" s="24" t="n">
        <f aca="false">IF(AD388="",0,IFERROR(INDEX(Resep!$C$15:$C$18,MATCH(LEFT(AD388,3),Resep!$B$15:$B$18,0)),0))</f>
        <v>0</v>
      </c>
      <c r="AL388" s="24" t="str">
        <f aca="false">IF(X388="","",AG388+AH388+AI388+AJ388+AK388)</f>
        <v/>
      </c>
      <c r="AM388" s="22" t="str">
        <f aca="false">IF(X388="","",AL388*(Pengaturan!$B$6+Pengaturan!$B$7)+Pengaturan!$B$8+AE388*Pengaturan!$B$9+AF388*Pengaturan!$B$10)</f>
        <v/>
      </c>
      <c r="AN388" s="22" t="str">
        <f aca="false">IF(X388="","",N(G388)-AM388)</f>
        <v/>
      </c>
      <c r="AO388" s="25" t="str">
        <f aca="false">IF(OR(X388="",N(G388)=0),"",AN388/G388)</f>
        <v/>
      </c>
    </row>
    <row r="389" customFormat="false" ht="15" hidden="false" customHeight="false" outlineLevel="0" collapsed="false">
      <c r="A389" s="19"/>
      <c r="B389" s="20"/>
      <c r="C389" s="19"/>
      <c r="D389" s="19"/>
      <c r="E389" s="19"/>
      <c r="F389" s="19"/>
      <c r="G389" s="21"/>
      <c r="H389" s="19"/>
      <c r="I389" s="21"/>
      <c r="J389" s="19"/>
      <c r="K389" s="20"/>
      <c r="L389" s="20"/>
      <c r="M389" s="19"/>
      <c r="N389" s="19"/>
      <c r="O389" s="20"/>
      <c r="P389" s="20"/>
      <c r="Q389" s="19"/>
      <c r="R389" s="22" t="str">
        <f aca="false">IF(A389="","",N(G389)+N(I389))</f>
        <v/>
      </c>
      <c r="S389" s="23" t="str">
        <f aca="false">IF(OR(K389="",O389=""),"",O389-K389)</f>
        <v/>
      </c>
      <c r="T389" s="23" t="str">
        <f aca="true">IF(AND(C389="Cetak",L389&lt;&gt;"",L389&lt;TODAY()),"YA","")</f>
        <v/>
      </c>
      <c r="U389" s="23" t="str">
        <f aca="false">IF(B389="","",TEXT(B389,"yyyy-mm"))</f>
        <v/>
      </c>
      <c r="V389" s="23" t="str">
        <f aca="false">IF(K389="","",TEXT(K389,"yyyy-mm"))</f>
        <v/>
      </c>
      <c r="W389" s="23" t="n">
        <f aca="false">IF(OR(C389="Cetak",C389="Dikirim",C389="Selesai"),1,0)</f>
        <v>0</v>
      </c>
      <c r="X389" s="23" t="str">
        <f aca="false">IF(F389="","",SUBSTITUTE(SUBSTITUTE(MID(UPPER(TRIM(F389)),4,99),"-LED",""),"-TK",""))</f>
        <v/>
      </c>
      <c r="Y389" s="23" t="str">
        <f aca="false">IF(X389="","",(LEN(X389)+1)/7)</f>
        <v/>
      </c>
      <c r="Z389" s="23" t="str">
        <f aca="false">IF(X389="","",LEFT(X389,6))</f>
        <v/>
      </c>
      <c r="AA389" s="23" t="str">
        <f aca="false">IF(X389="","",IF(Y389&gt;=3,MID(X389,8,6),""))</f>
        <v/>
      </c>
      <c r="AB389" s="23" t="str">
        <f aca="false">IF(X389="","",IF(Y389&gt;=4,MID(X389,15,6),""))</f>
        <v/>
      </c>
      <c r="AC389" s="23" t="str">
        <f aca="false">IF(X389="","",IF(Y389&gt;=5,MID(X389,22,6),""))</f>
        <v/>
      </c>
      <c r="AD389" s="23" t="str">
        <f aca="false">IF(X389="","",RIGHT(X389,6))</f>
        <v/>
      </c>
      <c r="AE389" s="23" t="str">
        <f aca="false">IF(F389="","",IF(ISNUMBER(SEARCH("-TK",UPPER(F389))),0,1))</f>
        <v/>
      </c>
      <c r="AF389" s="23" t="str">
        <f aca="false">IF(F389="","",IF(ISNUMBER(SEARCH("-LED",UPPER(F389))),1,0))</f>
        <v/>
      </c>
      <c r="AG389" s="24" t="n">
        <f aca="false">IF(Z389="",0,IFERROR(INDEX(Resep!$C$5:$C$7,MATCH(LEFT(Z389,3),Resep!$B$5:$B$7,0)),0))</f>
        <v>0</v>
      </c>
      <c r="AH389" s="24" t="n">
        <f aca="false">IF(AA389="",0,IFERROR(INDEX(Resep!$C$9:$C$13,MATCH(LEFT(AA389,3),Resep!$B$9:$B$13,0)),0))</f>
        <v>0</v>
      </c>
      <c r="AI389" s="24" t="n">
        <f aca="false">IF(AB389="",0,IFERROR(INDEX(Resep!$C$9:$C$13,MATCH(LEFT(AB389,3),Resep!$B$9:$B$13,0)),0))</f>
        <v>0</v>
      </c>
      <c r="AJ389" s="24" t="n">
        <f aca="false">IF(AC389="",0,IFERROR(INDEX(Resep!$C$9:$C$13,MATCH(LEFT(AC389,3),Resep!$B$9:$B$13,0)),0))</f>
        <v>0</v>
      </c>
      <c r="AK389" s="24" t="n">
        <f aca="false">IF(AD389="",0,IFERROR(INDEX(Resep!$C$15:$C$18,MATCH(LEFT(AD389,3),Resep!$B$15:$B$18,0)),0))</f>
        <v>0</v>
      </c>
      <c r="AL389" s="24" t="str">
        <f aca="false">IF(X389="","",AG389+AH389+AI389+AJ389+AK389)</f>
        <v/>
      </c>
      <c r="AM389" s="22" t="str">
        <f aca="false">IF(X389="","",AL389*(Pengaturan!$B$6+Pengaturan!$B$7)+Pengaturan!$B$8+AE389*Pengaturan!$B$9+AF389*Pengaturan!$B$10)</f>
        <v/>
      </c>
      <c r="AN389" s="22" t="str">
        <f aca="false">IF(X389="","",N(G389)-AM389)</f>
        <v/>
      </c>
      <c r="AO389" s="25" t="str">
        <f aca="false">IF(OR(X389="",N(G389)=0),"",AN389/G389)</f>
        <v/>
      </c>
    </row>
    <row r="390" customFormat="false" ht="15" hidden="false" customHeight="false" outlineLevel="0" collapsed="false">
      <c r="A390" s="19"/>
      <c r="B390" s="20"/>
      <c r="C390" s="19"/>
      <c r="D390" s="19"/>
      <c r="E390" s="19"/>
      <c r="F390" s="19"/>
      <c r="G390" s="21"/>
      <c r="H390" s="19"/>
      <c r="I390" s="21"/>
      <c r="J390" s="19"/>
      <c r="K390" s="20"/>
      <c r="L390" s="20"/>
      <c r="M390" s="19"/>
      <c r="N390" s="19"/>
      <c r="O390" s="20"/>
      <c r="P390" s="20"/>
      <c r="Q390" s="19"/>
      <c r="R390" s="22" t="str">
        <f aca="false">IF(A390="","",N(G390)+N(I390))</f>
        <v/>
      </c>
      <c r="S390" s="23" t="str">
        <f aca="false">IF(OR(K390="",O390=""),"",O390-K390)</f>
        <v/>
      </c>
      <c r="T390" s="23" t="str">
        <f aca="true">IF(AND(C390="Cetak",L390&lt;&gt;"",L390&lt;TODAY()),"YA","")</f>
        <v/>
      </c>
      <c r="U390" s="23" t="str">
        <f aca="false">IF(B390="","",TEXT(B390,"yyyy-mm"))</f>
        <v/>
      </c>
      <c r="V390" s="23" t="str">
        <f aca="false">IF(K390="","",TEXT(K390,"yyyy-mm"))</f>
        <v/>
      </c>
      <c r="W390" s="23" t="n">
        <f aca="false">IF(OR(C390="Cetak",C390="Dikirim",C390="Selesai"),1,0)</f>
        <v>0</v>
      </c>
      <c r="X390" s="23" t="str">
        <f aca="false">IF(F390="","",SUBSTITUTE(SUBSTITUTE(MID(UPPER(TRIM(F390)),4,99),"-LED",""),"-TK",""))</f>
        <v/>
      </c>
      <c r="Y390" s="23" t="str">
        <f aca="false">IF(X390="","",(LEN(X390)+1)/7)</f>
        <v/>
      </c>
      <c r="Z390" s="23" t="str">
        <f aca="false">IF(X390="","",LEFT(X390,6))</f>
        <v/>
      </c>
      <c r="AA390" s="23" t="str">
        <f aca="false">IF(X390="","",IF(Y390&gt;=3,MID(X390,8,6),""))</f>
        <v/>
      </c>
      <c r="AB390" s="23" t="str">
        <f aca="false">IF(X390="","",IF(Y390&gt;=4,MID(X390,15,6),""))</f>
        <v/>
      </c>
      <c r="AC390" s="23" t="str">
        <f aca="false">IF(X390="","",IF(Y390&gt;=5,MID(X390,22,6),""))</f>
        <v/>
      </c>
      <c r="AD390" s="23" t="str">
        <f aca="false">IF(X390="","",RIGHT(X390,6))</f>
        <v/>
      </c>
      <c r="AE390" s="23" t="str">
        <f aca="false">IF(F390="","",IF(ISNUMBER(SEARCH("-TK",UPPER(F390))),0,1))</f>
        <v/>
      </c>
      <c r="AF390" s="23" t="str">
        <f aca="false">IF(F390="","",IF(ISNUMBER(SEARCH("-LED",UPPER(F390))),1,0))</f>
        <v/>
      </c>
      <c r="AG390" s="24" t="n">
        <f aca="false">IF(Z390="",0,IFERROR(INDEX(Resep!$C$5:$C$7,MATCH(LEFT(Z390,3),Resep!$B$5:$B$7,0)),0))</f>
        <v>0</v>
      </c>
      <c r="AH390" s="24" t="n">
        <f aca="false">IF(AA390="",0,IFERROR(INDEX(Resep!$C$9:$C$13,MATCH(LEFT(AA390,3),Resep!$B$9:$B$13,0)),0))</f>
        <v>0</v>
      </c>
      <c r="AI390" s="24" t="n">
        <f aca="false">IF(AB390="",0,IFERROR(INDEX(Resep!$C$9:$C$13,MATCH(LEFT(AB390,3),Resep!$B$9:$B$13,0)),0))</f>
        <v>0</v>
      </c>
      <c r="AJ390" s="24" t="n">
        <f aca="false">IF(AC390="",0,IFERROR(INDEX(Resep!$C$9:$C$13,MATCH(LEFT(AC390,3),Resep!$B$9:$B$13,0)),0))</f>
        <v>0</v>
      </c>
      <c r="AK390" s="24" t="n">
        <f aca="false">IF(AD390="",0,IFERROR(INDEX(Resep!$C$15:$C$18,MATCH(LEFT(AD390,3),Resep!$B$15:$B$18,0)),0))</f>
        <v>0</v>
      </c>
      <c r="AL390" s="24" t="str">
        <f aca="false">IF(X390="","",AG390+AH390+AI390+AJ390+AK390)</f>
        <v/>
      </c>
      <c r="AM390" s="22" t="str">
        <f aca="false">IF(X390="","",AL390*(Pengaturan!$B$6+Pengaturan!$B$7)+Pengaturan!$B$8+AE390*Pengaturan!$B$9+AF390*Pengaturan!$B$10)</f>
        <v/>
      </c>
      <c r="AN390" s="22" t="str">
        <f aca="false">IF(X390="","",N(G390)-AM390)</f>
        <v/>
      </c>
      <c r="AO390" s="25" t="str">
        <f aca="false">IF(OR(X390="",N(G390)=0),"",AN390/G390)</f>
        <v/>
      </c>
    </row>
    <row r="391" customFormat="false" ht="15" hidden="false" customHeight="false" outlineLevel="0" collapsed="false">
      <c r="A391" s="19"/>
      <c r="B391" s="20"/>
      <c r="C391" s="19"/>
      <c r="D391" s="19"/>
      <c r="E391" s="19"/>
      <c r="F391" s="19"/>
      <c r="G391" s="21"/>
      <c r="H391" s="19"/>
      <c r="I391" s="21"/>
      <c r="J391" s="19"/>
      <c r="K391" s="20"/>
      <c r="L391" s="20"/>
      <c r="M391" s="19"/>
      <c r="N391" s="19"/>
      <c r="O391" s="20"/>
      <c r="P391" s="20"/>
      <c r="Q391" s="19"/>
      <c r="R391" s="22" t="str">
        <f aca="false">IF(A391="","",N(G391)+N(I391))</f>
        <v/>
      </c>
      <c r="S391" s="23" t="str">
        <f aca="false">IF(OR(K391="",O391=""),"",O391-K391)</f>
        <v/>
      </c>
      <c r="T391" s="23" t="str">
        <f aca="true">IF(AND(C391="Cetak",L391&lt;&gt;"",L391&lt;TODAY()),"YA","")</f>
        <v/>
      </c>
      <c r="U391" s="23" t="str">
        <f aca="false">IF(B391="","",TEXT(B391,"yyyy-mm"))</f>
        <v/>
      </c>
      <c r="V391" s="23" t="str">
        <f aca="false">IF(K391="","",TEXT(K391,"yyyy-mm"))</f>
        <v/>
      </c>
      <c r="W391" s="23" t="n">
        <f aca="false">IF(OR(C391="Cetak",C391="Dikirim",C391="Selesai"),1,0)</f>
        <v>0</v>
      </c>
      <c r="X391" s="23" t="str">
        <f aca="false">IF(F391="","",SUBSTITUTE(SUBSTITUTE(MID(UPPER(TRIM(F391)),4,99),"-LED",""),"-TK",""))</f>
        <v/>
      </c>
      <c r="Y391" s="23" t="str">
        <f aca="false">IF(X391="","",(LEN(X391)+1)/7)</f>
        <v/>
      </c>
      <c r="Z391" s="23" t="str">
        <f aca="false">IF(X391="","",LEFT(X391,6))</f>
        <v/>
      </c>
      <c r="AA391" s="23" t="str">
        <f aca="false">IF(X391="","",IF(Y391&gt;=3,MID(X391,8,6),""))</f>
        <v/>
      </c>
      <c r="AB391" s="23" t="str">
        <f aca="false">IF(X391="","",IF(Y391&gt;=4,MID(X391,15,6),""))</f>
        <v/>
      </c>
      <c r="AC391" s="23" t="str">
        <f aca="false">IF(X391="","",IF(Y391&gt;=5,MID(X391,22,6),""))</f>
        <v/>
      </c>
      <c r="AD391" s="23" t="str">
        <f aca="false">IF(X391="","",RIGHT(X391,6))</f>
        <v/>
      </c>
      <c r="AE391" s="23" t="str">
        <f aca="false">IF(F391="","",IF(ISNUMBER(SEARCH("-TK",UPPER(F391))),0,1))</f>
        <v/>
      </c>
      <c r="AF391" s="23" t="str">
        <f aca="false">IF(F391="","",IF(ISNUMBER(SEARCH("-LED",UPPER(F391))),1,0))</f>
        <v/>
      </c>
      <c r="AG391" s="24" t="n">
        <f aca="false">IF(Z391="",0,IFERROR(INDEX(Resep!$C$5:$C$7,MATCH(LEFT(Z391,3),Resep!$B$5:$B$7,0)),0))</f>
        <v>0</v>
      </c>
      <c r="AH391" s="24" t="n">
        <f aca="false">IF(AA391="",0,IFERROR(INDEX(Resep!$C$9:$C$13,MATCH(LEFT(AA391,3),Resep!$B$9:$B$13,0)),0))</f>
        <v>0</v>
      </c>
      <c r="AI391" s="24" t="n">
        <f aca="false">IF(AB391="",0,IFERROR(INDEX(Resep!$C$9:$C$13,MATCH(LEFT(AB391,3),Resep!$B$9:$B$13,0)),0))</f>
        <v>0</v>
      </c>
      <c r="AJ391" s="24" t="n">
        <f aca="false">IF(AC391="",0,IFERROR(INDEX(Resep!$C$9:$C$13,MATCH(LEFT(AC391,3),Resep!$B$9:$B$13,0)),0))</f>
        <v>0</v>
      </c>
      <c r="AK391" s="24" t="n">
        <f aca="false">IF(AD391="",0,IFERROR(INDEX(Resep!$C$15:$C$18,MATCH(LEFT(AD391,3),Resep!$B$15:$B$18,0)),0))</f>
        <v>0</v>
      </c>
      <c r="AL391" s="24" t="str">
        <f aca="false">IF(X391="","",AG391+AH391+AI391+AJ391+AK391)</f>
        <v/>
      </c>
      <c r="AM391" s="22" t="str">
        <f aca="false">IF(X391="","",AL391*(Pengaturan!$B$6+Pengaturan!$B$7)+Pengaturan!$B$8+AE391*Pengaturan!$B$9+AF391*Pengaturan!$B$10)</f>
        <v/>
      </c>
      <c r="AN391" s="22" t="str">
        <f aca="false">IF(X391="","",N(G391)-AM391)</f>
        <v/>
      </c>
      <c r="AO391" s="25" t="str">
        <f aca="false">IF(OR(X391="",N(G391)=0),"",AN391/G391)</f>
        <v/>
      </c>
    </row>
    <row r="392" customFormat="false" ht="15" hidden="false" customHeight="false" outlineLevel="0" collapsed="false">
      <c r="A392" s="19"/>
      <c r="B392" s="20"/>
      <c r="C392" s="19"/>
      <c r="D392" s="19"/>
      <c r="E392" s="19"/>
      <c r="F392" s="19"/>
      <c r="G392" s="21"/>
      <c r="H392" s="19"/>
      <c r="I392" s="21"/>
      <c r="J392" s="19"/>
      <c r="K392" s="20"/>
      <c r="L392" s="20"/>
      <c r="M392" s="19"/>
      <c r="N392" s="19"/>
      <c r="O392" s="20"/>
      <c r="P392" s="20"/>
      <c r="Q392" s="19"/>
      <c r="R392" s="22" t="str">
        <f aca="false">IF(A392="","",N(G392)+N(I392))</f>
        <v/>
      </c>
      <c r="S392" s="23" t="str">
        <f aca="false">IF(OR(K392="",O392=""),"",O392-K392)</f>
        <v/>
      </c>
      <c r="T392" s="23" t="str">
        <f aca="true">IF(AND(C392="Cetak",L392&lt;&gt;"",L392&lt;TODAY()),"YA","")</f>
        <v/>
      </c>
      <c r="U392" s="23" t="str">
        <f aca="false">IF(B392="","",TEXT(B392,"yyyy-mm"))</f>
        <v/>
      </c>
      <c r="V392" s="23" t="str">
        <f aca="false">IF(K392="","",TEXT(K392,"yyyy-mm"))</f>
        <v/>
      </c>
      <c r="W392" s="23" t="n">
        <f aca="false">IF(OR(C392="Cetak",C392="Dikirim",C392="Selesai"),1,0)</f>
        <v>0</v>
      </c>
      <c r="X392" s="23" t="str">
        <f aca="false">IF(F392="","",SUBSTITUTE(SUBSTITUTE(MID(UPPER(TRIM(F392)),4,99),"-LED",""),"-TK",""))</f>
        <v/>
      </c>
      <c r="Y392" s="23" t="str">
        <f aca="false">IF(X392="","",(LEN(X392)+1)/7)</f>
        <v/>
      </c>
      <c r="Z392" s="23" t="str">
        <f aca="false">IF(X392="","",LEFT(X392,6))</f>
        <v/>
      </c>
      <c r="AA392" s="23" t="str">
        <f aca="false">IF(X392="","",IF(Y392&gt;=3,MID(X392,8,6),""))</f>
        <v/>
      </c>
      <c r="AB392" s="23" t="str">
        <f aca="false">IF(X392="","",IF(Y392&gt;=4,MID(X392,15,6),""))</f>
        <v/>
      </c>
      <c r="AC392" s="23" t="str">
        <f aca="false">IF(X392="","",IF(Y392&gt;=5,MID(X392,22,6),""))</f>
        <v/>
      </c>
      <c r="AD392" s="23" t="str">
        <f aca="false">IF(X392="","",RIGHT(X392,6))</f>
        <v/>
      </c>
      <c r="AE392" s="23" t="str">
        <f aca="false">IF(F392="","",IF(ISNUMBER(SEARCH("-TK",UPPER(F392))),0,1))</f>
        <v/>
      </c>
      <c r="AF392" s="23" t="str">
        <f aca="false">IF(F392="","",IF(ISNUMBER(SEARCH("-LED",UPPER(F392))),1,0))</f>
        <v/>
      </c>
      <c r="AG392" s="24" t="n">
        <f aca="false">IF(Z392="",0,IFERROR(INDEX(Resep!$C$5:$C$7,MATCH(LEFT(Z392,3),Resep!$B$5:$B$7,0)),0))</f>
        <v>0</v>
      </c>
      <c r="AH392" s="24" t="n">
        <f aca="false">IF(AA392="",0,IFERROR(INDEX(Resep!$C$9:$C$13,MATCH(LEFT(AA392,3),Resep!$B$9:$B$13,0)),0))</f>
        <v>0</v>
      </c>
      <c r="AI392" s="24" t="n">
        <f aca="false">IF(AB392="",0,IFERROR(INDEX(Resep!$C$9:$C$13,MATCH(LEFT(AB392,3),Resep!$B$9:$B$13,0)),0))</f>
        <v>0</v>
      </c>
      <c r="AJ392" s="24" t="n">
        <f aca="false">IF(AC392="",0,IFERROR(INDEX(Resep!$C$9:$C$13,MATCH(LEFT(AC392,3),Resep!$B$9:$B$13,0)),0))</f>
        <v>0</v>
      </c>
      <c r="AK392" s="24" t="n">
        <f aca="false">IF(AD392="",0,IFERROR(INDEX(Resep!$C$15:$C$18,MATCH(LEFT(AD392,3),Resep!$B$15:$B$18,0)),0))</f>
        <v>0</v>
      </c>
      <c r="AL392" s="24" t="str">
        <f aca="false">IF(X392="","",AG392+AH392+AI392+AJ392+AK392)</f>
        <v/>
      </c>
      <c r="AM392" s="22" t="str">
        <f aca="false">IF(X392="","",AL392*(Pengaturan!$B$6+Pengaturan!$B$7)+Pengaturan!$B$8+AE392*Pengaturan!$B$9+AF392*Pengaturan!$B$10)</f>
        <v/>
      </c>
      <c r="AN392" s="22" t="str">
        <f aca="false">IF(X392="","",N(G392)-AM392)</f>
        <v/>
      </c>
      <c r="AO392" s="25" t="str">
        <f aca="false">IF(OR(X392="",N(G392)=0),"",AN392/G392)</f>
        <v/>
      </c>
    </row>
    <row r="393" customFormat="false" ht="15" hidden="false" customHeight="false" outlineLevel="0" collapsed="false">
      <c r="A393" s="19"/>
      <c r="B393" s="20"/>
      <c r="C393" s="19"/>
      <c r="D393" s="19"/>
      <c r="E393" s="19"/>
      <c r="F393" s="19"/>
      <c r="G393" s="21"/>
      <c r="H393" s="19"/>
      <c r="I393" s="21"/>
      <c r="J393" s="19"/>
      <c r="K393" s="20"/>
      <c r="L393" s="20"/>
      <c r="M393" s="19"/>
      <c r="N393" s="19"/>
      <c r="O393" s="20"/>
      <c r="P393" s="20"/>
      <c r="Q393" s="19"/>
      <c r="R393" s="22" t="str">
        <f aca="false">IF(A393="","",N(G393)+N(I393))</f>
        <v/>
      </c>
      <c r="S393" s="23" t="str">
        <f aca="false">IF(OR(K393="",O393=""),"",O393-K393)</f>
        <v/>
      </c>
      <c r="T393" s="23" t="str">
        <f aca="true">IF(AND(C393="Cetak",L393&lt;&gt;"",L393&lt;TODAY()),"YA","")</f>
        <v/>
      </c>
      <c r="U393" s="23" t="str">
        <f aca="false">IF(B393="","",TEXT(B393,"yyyy-mm"))</f>
        <v/>
      </c>
      <c r="V393" s="23" t="str">
        <f aca="false">IF(K393="","",TEXT(K393,"yyyy-mm"))</f>
        <v/>
      </c>
      <c r="W393" s="23" t="n">
        <f aca="false">IF(OR(C393="Cetak",C393="Dikirim",C393="Selesai"),1,0)</f>
        <v>0</v>
      </c>
      <c r="X393" s="23" t="str">
        <f aca="false">IF(F393="","",SUBSTITUTE(SUBSTITUTE(MID(UPPER(TRIM(F393)),4,99),"-LED",""),"-TK",""))</f>
        <v/>
      </c>
      <c r="Y393" s="23" t="str">
        <f aca="false">IF(X393="","",(LEN(X393)+1)/7)</f>
        <v/>
      </c>
      <c r="Z393" s="23" t="str">
        <f aca="false">IF(X393="","",LEFT(X393,6))</f>
        <v/>
      </c>
      <c r="AA393" s="23" t="str">
        <f aca="false">IF(X393="","",IF(Y393&gt;=3,MID(X393,8,6),""))</f>
        <v/>
      </c>
      <c r="AB393" s="23" t="str">
        <f aca="false">IF(X393="","",IF(Y393&gt;=4,MID(X393,15,6),""))</f>
        <v/>
      </c>
      <c r="AC393" s="23" t="str">
        <f aca="false">IF(X393="","",IF(Y393&gt;=5,MID(X393,22,6),""))</f>
        <v/>
      </c>
      <c r="AD393" s="23" t="str">
        <f aca="false">IF(X393="","",RIGHT(X393,6))</f>
        <v/>
      </c>
      <c r="AE393" s="23" t="str">
        <f aca="false">IF(F393="","",IF(ISNUMBER(SEARCH("-TK",UPPER(F393))),0,1))</f>
        <v/>
      </c>
      <c r="AF393" s="23" t="str">
        <f aca="false">IF(F393="","",IF(ISNUMBER(SEARCH("-LED",UPPER(F393))),1,0))</f>
        <v/>
      </c>
      <c r="AG393" s="24" t="n">
        <f aca="false">IF(Z393="",0,IFERROR(INDEX(Resep!$C$5:$C$7,MATCH(LEFT(Z393,3),Resep!$B$5:$B$7,0)),0))</f>
        <v>0</v>
      </c>
      <c r="AH393" s="24" t="n">
        <f aca="false">IF(AA393="",0,IFERROR(INDEX(Resep!$C$9:$C$13,MATCH(LEFT(AA393,3),Resep!$B$9:$B$13,0)),0))</f>
        <v>0</v>
      </c>
      <c r="AI393" s="24" t="n">
        <f aca="false">IF(AB393="",0,IFERROR(INDEX(Resep!$C$9:$C$13,MATCH(LEFT(AB393,3),Resep!$B$9:$B$13,0)),0))</f>
        <v>0</v>
      </c>
      <c r="AJ393" s="24" t="n">
        <f aca="false">IF(AC393="",0,IFERROR(INDEX(Resep!$C$9:$C$13,MATCH(LEFT(AC393,3),Resep!$B$9:$B$13,0)),0))</f>
        <v>0</v>
      </c>
      <c r="AK393" s="24" t="n">
        <f aca="false">IF(AD393="",0,IFERROR(INDEX(Resep!$C$15:$C$18,MATCH(LEFT(AD393,3),Resep!$B$15:$B$18,0)),0))</f>
        <v>0</v>
      </c>
      <c r="AL393" s="24" t="str">
        <f aca="false">IF(X393="","",AG393+AH393+AI393+AJ393+AK393)</f>
        <v/>
      </c>
      <c r="AM393" s="22" t="str">
        <f aca="false">IF(X393="","",AL393*(Pengaturan!$B$6+Pengaturan!$B$7)+Pengaturan!$B$8+AE393*Pengaturan!$B$9+AF393*Pengaturan!$B$10)</f>
        <v/>
      </c>
      <c r="AN393" s="22" t="str">
        <f aca="false">IF(X393="","",N(G393)-AM393)</f>
        <v/>
      </c>
      <c r="AO393" s="25" t="str">
        <f aca="false">IF(OR(X393="",N(G393)=0),"",AN393/G393)</f>
        <v/>
      </c>
    </row>
    <row r="394" customFormat="false" ht="15" hidden="false" customHeight="false" outlineLevel="0" collapsed="false">
      <c r="A394" s="19"/>
      <c r="B394" s="20"/>
      <c r="C394" s="19"/>
      <c r="D394" s="19"/>
      <c r="E394" s="19"/>
      <c r="F394" s="19"/>
      <c r="G394" s="21"/>
      <c r="H394" s="19"/>
      <c r="I394" s="21"/>
      <c r="J394" s="19"/>
      <c r="K394" s="20"/>
      <c r="L394" s="20"/>
      <c r="M394" s="19"/>
      <c r="N394" s="19"/>
      <c r="O394" s="20"/>
      <c r="P394" s="20"/>
      <c r="Q394" s="19"/>
      <c r="R394" s="22" t="str">
        <f aca="false">IF(A394="","",N(G394)+N(I394))</f>
        <v/>
      </c>
      <c r="S394" s="23" t="str">
        <f aca="false">IF(OR(K394="",O394=""),"",O394-K394)</f>
        <v/>
      </c>
      <c r="T394" s="23" t="str">
        <f aca="true">IF(AND(C394="Cetak",L394&lt;&gt;"",L394&lt;TODAY()),"YA","")</f>
        <v/>
      </c>
      <c r="U394" s="23" t="str">
        <f aca="false">IF(B394="","",TEXT(B394,"yyyy-mm"))</f>
        <v/>
      </c>
      <c r="V394" s="23" t="str">
        <f aca="false">IF(K394="","",TEXT(K394,"yyyy-mm"))</f>
        <v/>
      </c>
      <c r="W394" s="23" t="n">
        <f aca="false">IF(OR(C394="Cetak",C394="Dikirim",C394="Selesai"),1,0)</f>
        <v>0</v>
      </c>
      <c r="X394" s="23" t="str">
        <f aca="false">IF(F394="","",SUBSTITUTE(SUBSTITUTE(MID(UPPER(TRIM(F394)),4,99),"-LED",""),"-TK",""))</f>
        <v/>
      </c>
      <c r="Y394" s="23" t="str">
        <f aca="false">IF(X394="","",(LEN(X394)+1)/7)</f>
        <v/>
      </c>
      <c r="Z394" s="23" t="str">
        <f aca="false">IF(X394="","",LEFT(X394,6))</f>
        <v/>
      </c>
      <c r="AA394" s="23" t="str">
        <f aca="false">IF(X394="","",IF(Y394&gt;=3,MID(X394,8,6),""))</f>
        <v/>
      </c>
      <c r="AB394" s="23" t="str">
        <f aca="false">IF(X394="","",IF(Y394&gt;=4,MID(X394,15,6),""))</f>
        <v/>
      </c>
      <c r="AC394" s="23" t="str">
        <f aca="false">IF(X394="","",IF(Y394&gt;=5,MID(X394,22,6),""))</f>
        <v/>
      </c>
      <c r="AD394" s="23" t="str">
        <f aca="false">IF(X394="","",RIGHT(X394,6))</f>
        <v/>
      </c>
      <c r="AE394" s="23" t="str">
        <f aca="false">IF(F394="","",IF(ISNUMBER(SEARCH("-TK",UPPER(F394))),0,1))</f>
        <v/>
      </c>
      <c r="AF394" s="23" t="str">
        <f aca="false">IF(F394="","",IF(ISNUMBER(SEARCH("-LED",UPPER(F394))),1,0))</f>
        <v/>
      </c>
      <c r="AG394" s="24" t="n">
        <f aca="false">IF(Z394="",0,IFERROR(INDEX(Resep!$C$5:$C$7,MATCH(LEFT(Z394,3),Resep!$B$5:$B$7,0)),0))</f>
        <v>0</v>
      </c>
      <c r="AH394" s="24" t="n">
        <f aca="false">IF(AA394="",0,IFERROR(INDEX(Resep!$C$9:$C$13,MATCH(LEFT(AA394,3),Resep!$B$9:$B$13,0)),0))</f>
        <v>0</v>
      </c>
      <c r="AI394" s="24" t="n">
        <f aca="false">IF(AB394="",0,IFERROR(INDEX(Resep!$C$9:$C$13,MATCH(LEFT(AB394,3),Resep!$B$9:$B$13,0)),0))</f>
        <v>0</v>
      </c>
      <c r="AJ394" s="24" t="n">
        <f aca="false">IF(AC394="",0,IFERROR(INDEX(Resep!$C$9:$C$13,MATCH(LEFT(AC394,3),Resep!$B$9:$B$13,0)),0))</f>
        <v>0</v>
      </c>
      <c r="AK394" s="24" t="n">
        <f aca="false">IF(AD394="",0,IFERROR(INDEX(Resep!$C$15:$C$18,MATCH(LEFT(AD394,3),Resep!$B$15:$B$18,0)),0))</f>
        <v>0</v>
      </c>
      <c r="AL394" s="24" t="str">
        <f aca="false">IF(X394="","",AG394+AH394+AI394+AJ394+AK394)</f>
        <v/>
      </c>
      <c r="AM394" s="22" t="str">
        <f aca="false">IF(X394="","",AL394*(Pengaturan!$B$6+Pengaturan!$B$7)+Pengaturan!$B$8+AE394*Pengaturan!$B$9+AF394*Pengaturan!$B$10)</f>
        <v/>
      </c>
      <c r="AN394" s="22" t="str">
        <f aca="false">IF(X394="","",N(G394)-AM394)</f>
        <v/>
      </c>
      <c r="AO394" s="25" t="str">
        <f aca="false">IF(OR(X394="",N(G394)=0),"",AN394/G394)</f>
        <v/>
      </c>
    </row>
    <row r="395" customFormat="false" ht="15" hidden="false" customHeight="false" outlineLevel="0" collapsed="false">
      <c r="A395" s="19"/>
      <c r="B395" s="20"/>
      <c r="C395" s="19"/>
      <c r="D395" s="19"/>
      <c r="E395" s="19"/>
      <c r="F395" s="19"/>
      <c r="G395" s="21"/>
      <c r="H395" s="19"/>
      <c r="I395" s="21"/>
      <c r="J395" s="19"/>
      <c r="K395" s="20"/>
      <c r="L395" s="20"/>
      <c r="M395" s="19"/>
      <c r="N395" s="19"/>
      <c r="O395" s="20"/>
      <c r="P395" s="20"/>
      <c r="Q395" s="19"/>
      <c r="R395" s="22" t="str">
        <f aca="false">IF(A395="","",N(G395)+N(I395))</f>
        <v/>
      </c>
      <c r="S395" s="23" t="str">
        <f aca="false">IF(OR(K395="",O395=""),"",O395-K395)</f>
        <v/>
      </c>
      <c r="T395" s="23" t="str">
        <f aca="true">IF(AND(C395="Cetak",L395&lt;&gt;"",L395&lt;TODAY()),"YA","")</f>
        <v/>
      </c>
      <c r="U395" s="23" t="str">
        <f aca="false">IF(B395="","",TEXT(B395,"yyyy-mm"))</f>
        <v/>
      </c>
      <c r="V395" s="23" t="str">
        <f aca="false">IF(K395="","",TEXT(K395,"yyyy-mm"))</f>
        <v/>
      </c>
      <c r="W395" s="23" t="n">
        <f aca="false">IF(OR(C395="Cetak",C395="Dikirim",C395="Selesai"),1,0)</f>
        <v>0</v>
      </c>
      <c r="X395" s="23" t="str">
        <f aca="false">IF(F395="","",SUBSTITUTE(SUBSTITUTE(MID(UPPER(TRIM(F395)),4,99),"-LED",""),"-TK",""))</f>
        <v/>
      </c>
      <c r="Y395" s="23" t="str">
        <f aca="false">IF(X395="","",(LEN(X395)+1)/7)</f>
        <v/>
      </c>
      <c r="Z395" s="23" t="str">
        <f aca="false">IF(X395="","",LEFT(X395,6))</f>
        <v/>
      </c>
      <c r="AA395" s="23" t="str">
        <f aca="false">IF(X395="","",IF(Y395&gt;=3,MID(X395,8,6),""))</f>
        <v/>
      </c>
      <c r="AB395" s="23" t="str">
        <f aca="false">IF(X395="","",IF(Y395&gt;=4,MID(X395,15,6),""))</f>
        <v/>
      </c>
      <c r="AC395" s="23" t="str">
        <f aca="false">IF(X395="","",IF(Y395&gt;=5,MID(X395,22,6),""))</f>
        <v/>
      </c>
      <c r="AD395" s="23" t="str">
        <f aca="false">IF(X395="","",RIGHT(X395,6))</f>
        <v/>
      </c>
      <c r="AE395" s="23" t="str">
        <f aca="false">IF(F395="","",IF(ISNUMBER(SEARCH("-TK",UPPER(F395))),0,1))</f>
        <v/>
      </c>
      <c r="AF395" s="23" t="str">
        <f aca="false">IF(F395="","",IF(ISNUMBER(SEARCH("-LED",UPPER(F395))),1,0))</f>
        <v/>
      </c>
      <c r="AG395" s="24" t="n">
        <f aca="false">IF(Z395="",0,IFERROR(INDEX(Resep!$C$5:$C$7,MATCH(LEFT(Z395,3),Resep!$B$5:$B$7,0)),0))</f>
        <v>0</v>
      </c>
      <c r="AH395" s="24" t="n">
        <f aca="false">IF(AA395="",0,IFERROR(INDEX(Resep!$C$9:$C$13,MATCH(LEFT(AA395,3),Resep!$B$9:$B$13,0)),0))</f>
        <v>0</v>
      </c>
      <c r="AI395" s="24" t="n">
        <f aca="false">IF(AB395="",0,IFERROR(INDEX(Resep!$C$9:$C$13,MATCH(LEFT(AB395,3),Resep!$B$9:$B$13,0)),0))</f>
        <v>0</v>
      </c>
      <c r="AJ395" s="24" t="n">
        <f aca="false">IF(AC395="",0,IFERROR(INDEX(Resep!$C$9:$C$13,MATCH(LEFT(AC395,3),Resep!$B$9:$B$13,0)),0))</f>
        <v>0</v>
      </c>
      <c r="AK395" s="24" t="n">
        <f aca="false">IF(AD395="",0,IFERROR(INDEX(Resep!$C$15:$C$18,MATCH(LEFT(AD395,3),Resep!$B$15:$B$18,0)),0))</f>
        <v>0</v>
      </c>
      <c r="AL395" s="24" t="str">
        <f aca="false">IF(X395="","",AG395+AH395+AI395+AJ395+AK395)</f>
        <v/>
      </c>
      <c r="AM395" s="22" t="str">
        <f aca="false">IF(X395="","",AL395*(Pengaturan!$B$6+Pengaturan!$B$7)+Pengaturan!$B$8+AE395*Pengaturan!$B$9+AF395*Pengaturan!$B$10)</f>
        <v/>
      </c>
      <c r="AN395" s="22" t="str">
        <f aca="false">IF(X395="","",N(G395)-AM395)</f>
        <v/>
      </c>
      <c r="AO395" s="25" t="str">
        <f aca="false">IF(OR(X395="",N(G395)=0),"",AN395/G395)</f>
        <v/>
      </c>
    </row>
    <row r="396" customFormat="false" ht="15" hidden="false" customHeight="false" outlineLevel="0" collapsed="false">
      <c r="A396" s="19"/>
      <c r="B396" s="20"/>
      <c r="C396" s="19"/>
      <c r="D396" s="19"/>
      <c r="E396" s="19"/>
      <c r="F396" s="19"/>
      <c r="G396" s="21"/>
      <c r="H396" s="19"/>
      <c r="I396" s="21"/>
      <c r="J396" s="19"/>
      <c r="K396" s="20"/>
      <c r="L396" s="20"/>
      <c r="M396" s="19"/>
      <c r="N396" s="19"/>
      <c r="O396" s="20"/>
      <c r="P396" s="20"/>
      <c r="Q396" s="19"/>
      <c r="R396" s="22" t="str">
        <f aca="false">IF(A396="","",N(G396)+N(I396))</f>
        <v/>
      </c>
      <c r="S396" s="23" t="str">
        <f aca="false">IF(OR(K396="",O396=""),"",O396-K396)</f>
        <v/>
      </c>
      <c r="T396" s="23" t="str">
        <f aca="true">IF(AND(C396="Cetak",L396&lt;&gt;"",L396&lt;TODAY()),"YA","")</f>
        <v/>
      </c>
      <c r="U396" s="23" t="str">
        <f aca="false">IF(B396="","",TEXT(B396,"yyyy-mm"))</f>
        <v/>
      </c>
      <c r="V396" s="23" t="str">
        <f aca="false">IF(K396="","",TEXT(K396,"yyyy-mm"))</f>
        <v/>
      </c>
      <c r="W396" s="23" t="n">
        <f aca="false">IF(OR(C396="Cetak",C396="Dikirim",C396="Selesai"),1,0)</f>
        <v>0</v>
      </c>
      <c r="X396" s="23" t="str">
        <f aca="false">IF(F396="","",SUBSTITUTE(SUBSTITUTE(MID(UPPER(TRIM(F396)),4,99),"-LED",""),"-TK",""))</f>
        <v/>
      </c>
      <c r="Y396" s="23" t="str">
        <f aca="false">IF(X396="","",(LEN(X396)+1)/7)</f>
        <v/>
      </c>
      <c r="Z396" s="23" t="str">
        <f aca="false">IF(X396="","",LEFT(X396,6))</f>
        <v/>
      </c>
      <c r="AA396" s="23" t="str">
        <f aca="false">IF(X396="","",IF(Y396&gt;=3,MID(X396,8,6),""))</f>
        <v/>
      </c>
      <c r="AB396" s="23" t="str">
        <f aca="false">IF(X396="","",IF(Y396&gt;=4,MID(X396,15,6),""))</f>
        <v/>
      </c>
      <c r="AC396" s="23" t="str">
        <f aca="false">IF(X396="","",IF(Y396&gt;=5,MID(X396,22,6),""))</f>
        <v/>
      </c>
      <c r="AD396" s="23" t="str">
        <f aca="false">IF(X396="","",RIGHT(X396,6))</f>
        <v/>
      </c>
      <c r="AE396" s="23" t="str">
        <f aca="false">IF(F396="","",IF(ISNUMBER(SEARCH("-TK",UPPER(F396))),0,1))</f>
        <v/>
      </c>
      <c r="AF396" s="23" t="str">
        <f aca="false">IF(F396="","",IF(ISNUMBER(SEARCH("-LED",UPPER(F396))),1,0))</f>
        <v/>
      </c>
      <c r="AG396" s="24" t="n">
        <f aca="false">IF(Z396="",0,IFERROR(INDEX(Resep!$C$5:$C$7,MATCH(LEFT(Z396,3),Resep!$B$5:$B$7,0)),0))</f>
        <v>0</v>
      </c>
      <c r="AH396" s="24" t="n">
        <f aca="false">IF(AA396="",0,IFERROR(INDEX(Resep!$C$9:$C$13,MATCH(LEFT(AA396,3),Resep!$B$9:$B$13,0)),0))</f>
        <v>0</v>
      </c>
      <c r="AI396" s="24" t="n">
        <f aca="false">IF(AB396="",0,IFERROR(INDEX(Resep!$C$9:$C$13,MATCH(LEFT(AB396,3),Resep!$B$9:$B$13,0)),0))</f>
        <v>0</v>
      </c>
      <c r="AJ396" s="24" t="n">
        <f aca="false">IF(AC396="",0,IFERROR(INDEX(Resep!$C$9:$C$13,MATCH(LEFT(AC396,3),Resep!$B$9:$B$13,0)),0))</f>
        <v>0</v>
      </c>
      <c r="AK396" s="24" t="n">
        <f aca="false">IF(AD396="",0,IFERROR(INDEX(Resep!$C$15:$C$18,MATCH(LEFT(AD396,3),Resep!$B$15:$B$18,0)),0))</f>
        <v>0</v>
      </c>
      <c r="AL396" s="24" t="str">
        <f aca="false">IF(X396="","",AG396+AH396+AI396+AJ396+AK396)</f>
        <v/>
      </c>
      <c r="AM396" s="22" t="str">
        <f aca="false">IF(X396="","",AL396*(Pengaturan!$B$6+Pengaturan!$B$7)+Pengaturan!$B$8+AE396*Pengaturan!$B$9+AF396*Pengaturan!$B$10)</f>
        <v/>
      </c>
      <c r="AN396" s="22" t="str">
        <f aca="false">IF(X396="","",N(G396)-AM396)</f>
        <v/>
      </c>
      <c r="AO396" s="25" t="str">
        <f aca="false">IF(OR(X396="",N(G396)=0),"",AN396/G396)</f>
        <v/>
      </c>
    </row>
    <row r="397" customFormat="false" ht="15" hidden="false" customHeight="false" outlineLevel="0" collapsed="false">
      <c r="A397" s="19"/>
      <c r="B397" s="20"/>
      <c r="C397" s="19"/>
      <c r="D397" s="19"/>
      <c r="E397" s="19"/>
      <c r="F397" s="19"/>
      <c r="G397" s="21"/>
      <c r="H397" s="19"/>
      <c r="I397" s="21"/>
      <c r="J397" s="19"/>
      <c r="K397" s="20"/>
      <c r="L397" s="20"/>
      <c r="M397" s="19"/>
      <c r="N397" s="19"/>
      <c r="O397" s="20"/>
      <c r="P397" s="20"/>
      <c r="Q397" s="19"/>
      <c r="R397" s="22" t="str">
        <f aca="false">IF(A397="","",N(G397)+N(I397))</f>
        <v/>
      </c>
      <c r="S397" s="23" t="str">
        <f aca="false">IF(OR(K397="",O397=""),"",O397-K397)</f>
        <v/>
      </c>
      <c r="T397" s="23" t="str">
        <f aca="true">IF(AND(C397="Cetak",L397&lt;&gt;"",L397&lt;TODAY()),"YA","")</f>
        <v/>
      </c>
      <c r="U397" s="23" t="str">
        <f aca="false">IF(B397="","",TEXT(B397,"yyyy-mm"))</f>
        <v/>
      </c>
      <c r="V397" s="23" t="str">
        <f aca="false">IF(K397="","",TEXT(K397,"yyyy-mm"))</f>
        <v/>
      </c>
      <c r="W397" s="23" t="n">
        <f aca="false">IF(OR(C397="Cetak",C397="Dikirim",C397="Selesai"),1,0)</f>
        <v>0</v>
      </c>
      <c r="X397" s="23" t="str">
        <f aca="false">IF(F397="","",SUBSTITUTE(SUBSTITUTE(MID(UPPER(TRIM(F397)),4,99),"-LED",""),"-TK",""))</f>
        <v/>
      </c>
      <c r="Y397" s="23" t="str">
        <f aca="false">IF(X397="","",(LEN(X397)+1)/7)</f>
        <v/>
      </c>
      <c r="Z397" s="23" t="str">
        <f aca="false">IF(X397="","",LEFT(X397,6))</f>
        <v/>
      </c>
      <c r="AA397" s="23" t="str">
        <f aca="false">IF(X397="","",IF(Y397&gt;=3,MID(X397,8,6),""))</f>
        <v/>
      </c>
      <c r="AB397" s="23" t="str">
        <f aca="false">IF(X397="","",IF(Y397&gt;=4,MID(X397,15,6),""))</f>
        <v/>
      </c>
      <c r="AC397" s="23" t="str">
        <f aca="false">IF(X397="","",IF(Y397&gt;=5,MID(X397,22,6),""))</f>
        <v/>
      </c>
      <c r="AD397" s="23" t="str">
        <f aca="false">IF(X397="","",RIGHT(X397,6))</f>
        <v/>
      </c>
      <c r="AE397" s="23" t="str">
        <f aca="false">IF(F397="","",IF(ISNUMBER(SEARCH("-TK",UPPER(F397))),0,1))</f>
        <v/>
      </c>
      <c r="AF397" s="23" t="str">
        <f aca="false">IF(F397="","",IF(ISNUMBER(SEARCH("-LED",UPPER(F397))),1,0))</f>
        <v/>
      </c>
      <c r="AG397" s="24" t="n">
        <f aca="false">IF(Z397="",0,IFERROR(INDEX(Resep!$C$5:$C$7,MATCH(LEFT(Z397,3),Resep!$B$5:$B$7,0)),0))</f>
        <v>0</v>
      </c>
      <c r="AH397" s="24" t="n">
        <f aca="false">IF(AA397="",0,IFERROR(INDEX(Resep!$C$9:$C$13,MATCH(LEFT(AA397,3),Resep!$B$9:$B$13,0)),0))</f>
        <v>0</v>
      </c>
      <c r="AI397" s="24" t="n">
        <f aca="false">IF(AB397="",0,IFERROR(INDEX(Resep!$C$9:$C$13,MATCH(LEFT(AB397,3),Resep!$B$9:$B$13,0)),0))</f>
        <v>0</v>
      </c>
      <c r="AJ397" s="24" t="n">
        <f aca="false">IF(AC397="",0,IFERROR(INDEX(Resep!$C$9:$C$13,MATCH(LEFT(AC397,3),Resep!$B$9:$B$13,0)),0))</f>
        <v>0</v>
      </c>
      <c r="AK397" s="24" t="n">
        <f aca="false">IF(AD397="",0,IFERROR(INDEX(Resep!$C$15:$C$18,MATCH(LEFT(AD397,3),Resep!$B$15:$B$18,0)),0))</f>
        <v>0</v>
      </c>
      <c r="AL397" s="24" t="str">
        <f aca="false">IF(X397="","",AG397+AH397+AI397+AJ397+AK397)</f>
        <v/>
      </c>
      <c r="AM397" s="22" t="str">
        <f aca="false">IF(X397="","",AL397*(Pengaturan!$B$6+Pengaturan!$B$7)+Pengaturan!$B$8+AE397*Pengaturan!$B$9+AF397*Pengaturan!$B$10)</f>
        <v/>
      </c>
      <c r="AN397" s="22" t="str">
        <f aca="false">IF(X397="","",N(G397)-AM397)</f>
        <v/>
      </c>
      <c r="AO397" s="25" t="str">
        <f aca="false">IF(OR(X397="",N(G397)=0),"",AN397/G397)</f>
        <v/>
      </c>
    </row>
    <row r="398" customFormat="false" ht="15" hidden="false" customHeight="false" outlineLevel="0" collapsed="false">
      <c r="A398" s="19"/>
      <c r="B398" s="20"/>
      <c r="C398" s="19"/>
      <c r="D398" s="19"/>
      <c r="E398" s="19"/>
      <c r="F398" s="19"/>
      <c r="G398" s="21"/>
      <c r="H398" s="19"/>
      <c r="I398" s="21"/>
      <c r="J398" s="19"/>
      <c r="K398" s="20"/>
      <c r="L398" s="20"/>
      <c r="M398" s="19"/>
      <c r="N398" s="19"/>
      <c r="O398" s="20"/>
      <c r="P398" s="20"/>
      <c r="Q398" s="19"/>
      <c r="R398" s="22" t="str">
        <f aca="false">IF(A398="","",N(G398)+N(I398))</f>
        <v/>
      </c>
      <c r="S398" s="23" t="str">
        <f aca="false">IF(OR(K398="",O398=""),"",O398-K398)</f>
        <v/>
      </c>
      <c r="T398" s="23" t="str">
        <f aca="true">IF(AND(C398="Cetak",L398&lt;&gt;"",L398&lt;TODAY()),"YA","")</f>
        <v/>
      </c>
      <c r="U398" s="23" t="str">
        <f aca="false">IF(B398="","",TEXT(B398,"yyyy-mm"))</f>
        <v/>
      </c>
      <c r="V398" s="23" t="str">
        <f aca="false">IF(K398="","",TEXT(K398,"yyyy-mm"))</f>
        <v/>
      </c>
      <c r="W398" s="23" t="n">
        <f aca="false">IF(OR(C398="Cetak",C398="Dikirim",C398="Selesai"),1,0)</f>
        <v>0</v>
      </c>
      <c r="X398" s="23" t="str">
        <f aca="false">IF(F398="","",SUBSTITUTE(SUBSTITUTE(MID(UPPER(TRIM(F398)),4,99),"-LED",""),"-TK",""))</f>
        <v/>
      </c>
      <c r="Y398" s="23" t="str">
        <f aca="false">IF(X398="","",(LEN(X398)+1)/7)</f>
        <v/>
      </c>
      <c r="Z398" s="23" t="str">
        <f aca="false">IF(X398="","",LEFT(X398,6))</f>
        <v/>
      </c>
      <c r="AA398" s="23" t="str">
        <f aca="false">IF(X398="","",IF(Y398&gt;=3,MID(X398,8,6),""))</f>
        <v/>
      </c>
      <c r="AB398" s="23" t="str">
        <f aca="false">IF(X398="","",IF(Y398&gt;=4,MID(X398,15,6),""))</f>
        <v/>
      </c>
      <c r="AC398" s="23" t="str">
        <f aca="false">IF(X398="","",IF(Y398&gt;=5,MID(X398,22,6),""))</f>
        <v/>
      </c>
      <c r="AD398" s="23" t="str">
        <f aca="false">IF(X398="","",RIGHT(X398,6))</f>
        <v/>
      </c>
      <c r="AE398" s="23" t="str">
        <f aca="false">IF(F398="","",IF(ISNUMBER(SEARCH("-TK",UPPER(F398))),0,1))</f>
        <v/>
      </c>
      <c r="AF398" s="23" t="str">
        <f aca="false">IF(F398="","",IF(ISNUMBER(SEARCH("-LED",UPPER(F398))),1,0))</f>
        <v/>
      </c>
      <c r="AG398" s="24" t="n">
        <f aca="false">IF(Z398="",0,IFERROR(INDEX(Resep!$C$5:$C$7,MATCH(LEFT(Z398,3),Resep!$B$5:$B$7,0)),0))</f>
        <v>0</v>
      </c>
      <c r="AH398" s="24" t="n">
        <f aca="false">IF(AA398="",0,IFERROR(INDEX(Resep!$C$9:$C$13,MATCH(LEFT(AA398,3),Resep!$B$9:$B$13,0)),0))</f>
        <v>0</v>
      </c>
      <c r="AI398" s="24" t="n">
        <f aca="false">IF(AB398="",0,IFERROR(INDEX(Resep!$C$9:$C$13,MATCH(LEFT(AB398,3),Resep!$B$9:$B$13,0)),0))</f>
        <v>0</v>
      </c>
      <c r="AJ398" s="24" t="n">
        <f aca="false">IF(AC398="",0,IFERROR(INDEX(Resep!$C$9:$C$13,MATCH(LEFT(AC398,3),Resep!$B$9:$B$13,0)),0))</f>
        <v>0</v>
      </c>
      <c r="AK398" s="24" t="n">
        <f aca="false">IF(AD398="",0,IFERROR(INDEX(Resep!$C$15:$C$18,MATCH(LEFT(AD398,3),Resep!$B$15:$B$18,0)),0))</f>
        <v>0</v>
      </c>
      <c r="AL398" s="24" t="str">
        <f aca="false">IF(X398="","",AG398+AH398+AI398+AJ398+AK398)</f>
        <v/>
      </c>
      <c r="AM398" s="22" t="str">
        <f aca="false">IF(X398="","",AL398*(Pengaturan!$B$6+Pengaturan!$B$7)+Pengaturan!$B$8+AE398*Pengaturan!$B$9+AF398*Pengaturan!$B$10)</f>
        <v/>
      </c>
      <c r="AN398" s="22" t="str">
        <f aca="false">IF(X398="","",N(G398)-AM398)</f>
        <v/>
      </c>
      <c r="AO398" s="25" t="str">
        <f aca="false">IF(OR(X398="",N(G398)=0),"",AN398/G398)</f>
        <v/>
      </c>
    </row>
    <row r="399" customFormat="false" ht="15" hidden="false" customHeight="false" outlineLevel="0" collapsed="false">
      <c r="A399" s="19"/>
      <c r="B399" s="20"/>
      <c r="C399" s="19"/>
      <c r="D399" s="19"/>
      <c r="E399" s="19"/>
      <c r="F399" s="19"/>
      <c r="G399" s="21"/>
      <c r="H399" s="19"/>
      <c r="I399" s="21"/>
      <c r="J399" s="19"/>
      <c r="K399" s="20"/>
      <c r="L399" s="20"/>
      <c r="M399" s="19"/>
      <c r="N399" s="19"/>
      <c r="O399" s="20"/>
      <c r="P399" s="20"/>
      <c r="Q399" s="19"/>
      <c r="R399" s="22" t="str">
        <f aca="false">IF(A399="","",N(G399)+N(I399))</f>
        <v/>
      </c>
      <c r="S399" s="23" t="str">
        <f aca="false">IF(OR(K399="",O399=""),"",O399-K399)</f>
        <v/>
      </c>
      <c r="T399" s="23" t="str">
        <f aca="true">IF(AND(C399="Cetak",L399&lt;&gt;"",L399&lt;TODAY()),"YA","")</f>
        <v/>
      </c>
      <c r="U399" s="23" t="str">
        <f aca="false">IF(B399="","",TEXT(B399,"yyyy-mm"))</f>
        <v/>
      </c>
      <c r="V399" s="23" t="str">
        <f aca="false">IF(K399="","",TEXT(K399,"yyyy-mm"))</f>
        <v/>
      </c>
      <c r="W399" s="23" t="n">
        <f aca="false">IF(OR(C399="Cetak",C399="Dikirim",C399="Selesai"),1,0)</f>
        <v>0</v>
      </c>
      <c r="X399" s="23" t="str">
        <f aca="false">IF(F399="","",SUBSTITUTE(SUBSTITUTE(MID(UPPER(TRIM(F399)),4,99),"-LED",""),"-TK",""))</f>
        <v/>
      </c>
      <c r="Y399" s="23" t="str">
        <f aca="false">IF(X399="","",(LEN(X399)+1)/7)</f>
        <v/>
      </c>
      <c r="Z399" s="23" t="str">
        <f aca="false">IF(X399="","",LEFT(X399,6))</f>
        <v/>
      </c>
      <c r="AA399" s="23" t="str">
        <f aca="false">IF(X399="","",IF(Y399&gt;=3,MID(X399,8,6),""))</f>
        <v/>
      </c>
      <c r="AB399" s="23" t="str">
        <f aca="false">IF(X399="","",IF(Y399&gt;=4,MID(X399,15,6),""))</f>
        <v/>
      </c>
      <c r="AC399" s="23" t="str">
        <f aca="false">IF(X399="","",IF(Y399&gt;=5,MID(X399,22,6),""))</f>
        <v/>
      </c>
      <c r="AD399" s="23" t="str">
        <f aca="false">IF(X399="","",RIGHT(X399,6))</f>
        <v/>
      </c>
      <c r="AE399" s="23" t="str">
        <f aca="false">IF(F399="","",IF(ISNUMBER(SEARCH("-TK",UPPER(F399))),0,1))</f>
        <v/>
      </c>
      <c r="AF399" s="23" t="str">
        <f aca="false">IF(F399="","",IF(ISNUMBER(SEARCH("-LED",UPPER(F399))),1,0))</f>
        <v/>
      </c>
      <c r="AG399" s="24" t="n">
        <f aca="false">IF(Z399="",0,IFERROR(INDEX(Resep!$C$5:$C$7,MATCH(LEFT(Z399,3),Resep!$B$5:$B$7,0)),0))</f>
        <v>0</v>
      </c>
      <c r="AH399" s="24" t="n">
        <f aca="false">IF(AA399="",0,IFERROR(INDEX(Resep!$C$9:$C$13,MATCH(LEFT(AA399,3),Resep!$B$9:$B$13,0)),0))</f>
        <v>0</v>
      </c>
      <c r="AI399" s="24" t="n">
        <f aca="false">IF(AB399="",0,IFERROR(INDEX(Resep!$C$9:$C$13,MATCH(LEFT(AB399,3),Resep!$B$9:$B$13,0)),0))</f>
        <v>0</v>
      </c>
      <c r="AJ399" s="24" t="n">
        <f aca="false">IF(AC399="",0,IFERROR(INDEX(Resep!$C$9:$C$13,MATCH(LEFT(AC399,3),Resep!$B$9:$B$13,0)),0))</f>
        <v>0</v>
      </c>
      <c r="AK399" s="24" t="n">
        <f aca="false">IF(AD399="",0,IFERROR(INDEX(Resep!$C$15:$C$18,MATCH(LEFT(AD399,3),Resep!$B$15:$B$18,0)),0))</f>
        <v>0</v>
      </c>
      <c r="AL399" s="24" t="str">
        <f aca="false">IF(X399="","",AG399+AH399+AI399+AJ399+AK399)</f>
        <v/>
      </c>
      <c r="AM399" s="22" t="str">
        <f aca="false">IF(X399="","",AL399*(Pengaturan!$B$6+Pengaturan!$B$7)+Pengaturan!$B$8+AE399*Pengaturan!$B$9+AF399*Pengaturan!$B$10)</f>
        <v/>
      </c>
      <c r="AN399" s="22" t="str">
        <f aca="false">IF(X399="","",N(G399)-AM399)</f>
        <v/>
      </c>
      <c r="AO399" s="25" t="str">
        <f aca="false">IF(OR(X399="",N(G399)=0),"",AN399/G399)</f>
        <v/>
      </c>
    </row>
    <row r="400" customFormat="false" ht="15" hidden="false" customHeight="false" outlineLevel="0" collapsed="false">
      <c r="A400" s="19"/>
      <c r="B400" s="20"/>
      <c r="C400" s="19"/>
      <c r="D400" s="19"/>
      <c r="E400" s="19"/>
      <c r="F400" s="19"/>
      <c r="G400" s="21"/>
      <c r="H400" s="19"/>
      <c r="I400" s="21"/>
      <c r="J400" s="19"/>
      <c r="K400" s="20"/>
      <c r="L400" s="20"/>
      <c r="M400" s="19"/>
      <c r="N400" s="19"/>
      <c r="O400" s="20"/>
      <c r="P400" s="20"/>
      <c r="Q400" s="19"/>
      <c r="R400" s="22" t="str">
        <f aca="false">IF(A400="","",N(G400)+N(I400))</f>
        <v/>
      </c>
      <c r="S400" s="23" t="str">
        <f aca="false">IF(OR(K400="",O400=""),"",O400-K400)</f>
        <v/>
      </c>
      <c r="T400" s="23" t="str">
        <f aca="true">IF(AND(C400="Cetak",L400&lt;&gt;"",L400&lt;TODAY()),"YA","")</f>
        <v/>
      </c>
      <c r="U400" s="23" t="str">
        <f aca="false">IF(B400="","",TEXT(B400,"yyyy-mm"))</f>
        <v/>
      </c>
      <c r="V400" s="23" t="str">
        <f aca="false">IF(K400="","",TEXT(K400,"yyyy-mm"))</f>
        <v/>
      </c>
      <c r="W400" s="23" t="n">
        <f aca="false">IF(OR(C400="Cetak",C400="Dikirim",C400="Selesai"),1,0)</f>
        <v>0</v>
      </c>
      <c r="X400" s="23" t="str">
        <f aca="false">IF(F400="","",SUBSTITUTE(SUBSTITUTE(MID(UPPER(TRIM(F400)),4,99),"-LED",""),"-TK",""))</f>
        <v/>
      </c>
      <c r="Y400" s="23" t="str">
        <f aca="false">IF(X400="","",(LEN(X400)+1)/7)</f>
        <v/>
      </c>
      <c r="Z400" s="23" t="str">
        <f aca="false">IF(X400="","",LEFT(X400,6))</f>
        <v/>
      </c>
      <c r="AA400" s="23" t="str">
        <f aca="false">IF(X400="","",IF(Y400&gt;=3,MID(X400,8,6),""))</f>
        <v/>
      </c>
      <c r="AB400" s="23" t="str">
        <f aca="false">IF(X400="","",IF(Y400&gt;=4,MID(X400,15,6),""))</f>
        <v/>
      </c>
      <c r="AC400" s="23" t="str">
        <f aca="false">IF(X400="","",IF(Y400&gt;=5,MID(X400,22,6),""))</f>
        <v/>
      </c>
      <c r="AD400" s="23" t="str">
        <f aca="false">IF(X400="","",RIGHT(X400,6))</f>
        <v/>
      </c>
      <c r="AE400" s="23" t="str">
        <f aca="false">IF(F400="","",IF(ISNUMBER(SEARCH("-TK",UPPER(F400))),0,1))</f>
        <v/>
      </c>
      <c r="AF400" s="23" t="str">
        <f aca="false">IF(F400="","",IF(ISNUMBER(SEARCH("-LED",UPPER(F400))),1,0))</f>
        <v/>
      </c>
      <c r="AG400" s="24" t="n">
        <f aca="false">IF(Z400="",0,IFERROR(INDEX(Resep!$C$5:$C$7,MATCH(LEFT(Z400,3),Resep!$B$5:$B$7,0)),0))</f>
        <v>0</v>
      </c>
      <c r="AH400" s="24" t="n">
        <f aca="false">IF(AA400="",0,IFERROR(INDEX(Resep!$C$9:$C$13,MATCH(LEFT(AA400,3),Resep!$B$9:$B$13,0)),0))</f>
        <v>0</v>
      </c>
      <c r="AI400" s="24" t="n">
        <f aca="false">IF(AB400="",0,IFERROR(INDEX(Resep!$C$9:$C$13,MATCH(LEFT(AB400,3),Resep!$B$9:$B$13,0)),0))</f>
        <v>0</v>
      </c>
      <c r="AJ400" s="24" t="n">
        <f aca="false">IF(AC400="",0,IFERROR(INDEX(Resep!$C$9:$C$13,MATCH(LEFT(AC400,3),Resep!$B$9:$B$13,0)),0))</f>
        <v>0</v>
      </c>
      <c r="AK400" s="24" t="n">
        <f aca="false">IF(AD400="",0,IFERROR(INDEX(Resep!$C$15:$C$18,MATCH(LEFT(AD400,3),Resep!$B$15:$B$18,0)),0))</f>
        <v>0</v>
      </c>
      <c r="AL400" s="24" t="str">
        <f aca="false">IF(X400="","",AG400+AH400+AI400+AJ400+AK400)</f>
        <v/>
      </c>
      <c r="AM400" s="22" t="str">
        <f aca="false">IF(X400="","",AL400*(Pengaturan!$B$6+Pengaturan!$B$7)+Pengaturan!$B$8+AE400*Pengaturan!$B$9+AF400*Pengaturan!$B$10)</f>
        <v/>
      </c>
      <c r="AN400" s="22" t="str">
        <f aca="false">IF(X400="","",N(G400)-AM400)</f>
        <v/>
      </c>
      <c r="AO400" s="25" t="str">
        <f aca="false">IF(OR(X400="",N(G400)=0),"",AN400/G400)</f>
        <v/>
      </c>
    </row>
    <row r="401" customFormat="false" ht="15" hidden="false" customHeight="false" outlineLevel="0" collapsed="false">
      <c r="A401" s="19"/>
      <c r="B401" s="20"/>
      <c r="C401" s="19"/>
      <c r="D401" s="19"/>
      <c r="E401" s="19"/>
      <c r="F401" s="19"/>
      <c r="G401" s="21"/>
      <c r="H401" s="19"/>
      <c r="I401" s="21"/>
      <c r="J401" s="19"/>
      <c r="K401" s="20"/>
      <c r="L401" s="20"/>
      <c r="M401" s="19"/>
      <c r="N401" s="19"/>
      <c r="O401" s="20"/>
      <c r="P401" s="20"/>
      <c r="Q401" s="19"/>
      <c r="R401" s="22" t="str">
        <f aca="false">IF(A401="","",N(G401)+N(I401))</f>
        <v/>
      </c>
      <c r="S401" s="23" t="str">
        <f aca="false">IF(OR(K401="",O401=""),"",O401-K401)</f>
        <v/>
      </c>
      <c r="T401" s="23" t="str">
        <f aca="true">IF(AND(C401="Cetak",L401&lt;&gt;"",L401&lt;TODAY()),"YA","")</f>
        <v/>
      </c>
      <c r="U401" s="23" t="str">
        <f aca="false">IF(B401="","",TEXT(B401,"yyyy-mm"))</f>
        <v/>
      </c>
      <c r="V401" s="23" t="str">
        <f aca="false">IF(K401="","",TEXT(K401,"yyyy-mm"))</f>
        <v/>
      </c>
      <c r="W401" s="23" t="n">
        <f aca="false">IF(OR(C401="Cetak",C401="Dikirim",C401="Selesai"),1,0)</f>
        <v>0</v>
      </c>
      <c r="X401" s="23" t="str">
        <f aca="false">IF(F401="","",SUBSTITUTE(SUBSTITUTE(MID(UPPER(TRIM(F401)),4,99),"-LED",""),"-TK",""))</f>
        <v/>
      </c>
      <c r="Y401" s="23" t="str">
        <f aca="false">IF(X401="","",(LEN(X401)+1)/7)</f>
        <v/>
      </c>
      <c r="Z401" s="23" t="str">
        <f aca="false">IF(X401="","",LEFT(X401,6))</f>
        <v/>
      </c>
      <c r="AA401" s="23" t="str">
        <f aca="false">IF(X401="","",IF(Y401&gt;=3,MID(X401,8,6),""))</f>
        <v/>
      </c>
      <c r="AB401" s="23" t="str">
        <f aca="false">IF(X401="","",IF(Y401&gt;=4,MID(X401,15,6),""))</f>
        <v/>
      </c>
      <c r="AC401" s="23" t="str">
        <f aca="false">IF(X401="","",IF(Y401&gt;=5,MID(X401,22,6),""))</f>
        <v/>
      </c>
      <c r="AD401" s="23" t="str">
        <f aca="false">IF(X401="","",RIGHT(X401,6))</f>
        <v/>
      </c>
      <c r="AE401" s="23" t="str">
        <f aca="false">IF(F401="","",IF(ISNUMBER(SEARCH("-TK",UPPER(F401))),0,1))</f>
        <v/>
      </c>
      <c r="AF401" s="23" t="str">
        <f aca="false">IF(F401="","",IF(ISNUMBER(SEARCH("-LED",UPPER(F401))),1,0))</f>
        <v/>
      </c>
      <c r="AG401" s="24" t="n">
        <f aca="false">IF(Z401="",0,IFERROR(INDEX(Resep!$C$5:$C$7,MATCH(LEFT(Z401,3),Resep!$B$5:$B$7,0)),0))</f>
        <v>0</v>
      </c>
      <c r="AH401" s="24" t="n">
        <f aca="false">IF(AA401="",0,IFERROR(INDEX(Resep!$C$9:$C$13,MATCH(LEFT(AA401,3),Resep!$B$9:$B$13,0)),0))</f>
        <v>0</v>
      </c>
      <c r="AI401" s="24" t="n">
        <f aca="false">IF(AB401="",0,IFERROR(INDEX(Resep!$C$9:$C$13,MATCH(LEFT(AB401,3),Resep!$B$9:$B$13,0)),0))</f>
        <v>0</v>
      </c>
      <c r="AJ401" s="24" t="n">
        <f aca="false">IF(AC401="",0,IFERROR(INDEX(Resep!$C$9:$C$13,MATCH(LEFT(AC401,3),Resep!$B$9:$B$13,0)),0))</f>
        <v>0</v>
      </c>
      <c r="AK401" s="24" t="n">
        <f aca="false">IF(AD401="",0,IFERROR(INDEX(Resep!$C$15:$C$18,MATCH(LEFT(AD401,3),Resep!$B$15:$B$18,0)),0))</f>
        <v>0</v>
      </c>
      <c r="AL401" s="24" t="str">
        <f aca="false">IF(X401="","",AG401+AH401+AI401+AJ401+AK401)</f>
        <v/>
      </c>
      <c r="AM401" s="22" t="str">
        <f aca="false">IF(X401="","",AL401*(Pengaturan!$B$6+Pengaturan!$B$7)+Pengaturan!$B$8+AE401*Pengaturan!$B$9+AF401*Pengaturan!$B$10)</f>
        <v/>
      </c>
      <c r="AN401" s="22" t="str">
        <f aca="false">IF(X401="","",N(G401)-AM401)</f>
        <v/>
      </c>
      <c r="AO401" s="25" t="str">
        <f aca="false">IF(OR(X401="",N(G401)=0),"",AN401/G401)</f>
        <v/>
      </c>
    </row>
    <row r="402" customFormat="false" ht="15" hidden="false" customHeight="false" outlineLevel="0" collapsed="false">
      <c r="A402" s="19"/>
      <c r="B402" s="20"/>
      <c r="C402" s="19"/>
      <c r="D402" s="19"/>
      <c r="E402" s="19"/>
      <c r="F402" s="19"/>
      <c r="G402" s="21"/>
      <c r="H402" s="19"/>
      <c r="I402" s="21"/>
      <c r="J402" s="19"/>
      <c r="K402" s="20"/>
      <c r="L402" s="20"/>
      <c r="M402" s="19"/>
      <c r="N402" s="19"/>
      <c r="O402" s="20"/>
      <c r="P402" s="20"/>
      <c r="Q402" s="19"/>
      <c r="R402" s="22" t="str">
        <f aca="false">IF(A402="","",N(G402)+N(I402))</f>
        <v/>
      </c>
      <c r="S402" s="23" t="str">
        <f aca="false">IF(OR(K402="",O402=""),"",O402-K402)</f>
        <v/>
      </c>
      <c r="T402" s="23" t="str">
        <f aca="true">IF(AND(C402="Cetak",L402&lt;&gt;"",L402&lt;TODAY()),"YA","")</f>
        <v/>
      </c>
      <c r="U402" s="23" t="str">
        <f aca="false">IF(B402="","",TEXT(B402,"yyyy-mm"))</f>
        <v/>
      </c>
      <c r="V402" s="23" t="str">
        <f aca="false">IF(K402="","",TEXT(K402,"yyyy-mm"))</f>
        <v/>
      </c>
      <c r="W402" s="23" t="n">
        <f aca="false">IF(OR(C402="Cetak",C402="Dikirim",C402="Selesai"),1,0)</f>
        <v>0</v>
      </c>
      <c r="X402" s="23" t="str">
        <f aca="false">IF(F402="","",SUBSTITUTE(SUBSTITUTE(MID(UPPER(TRIM(F402)),4,99),"-LED",""),"-TK",""))</f>
        <v/>
      </c>
      <c r="Y402" s="23" t="str">
        <f aca="false">IF(X402="","",(LEN(X402)+1)/7)</f>
        <v/>
      </c>
      <c r="Z402" s="23" t="str">
        <f aca="false">IF(X402="","",LEFT(X402,6))</f>
        <v/>
      </c>
      <c r="AA402" s="23" t="str">
        <f aca="false">IF(X402="","",IF(Y402&gt;=3,MID(X402,8,6),""))</f>
        <v/>
      </c>
      <c r="AB402" s="23" t="str">
        <f aca="false">IF(X402="","",IF(Y402&gt;=4,MID(X402,15,6),""))</f>
        <v/>
      </c>
      <c r="AC402" s="23" t="str">
        <f aca="false">IF(X402="","",IF(Y402&gt;=5,MID(X402,22,6),""))</f>
        <v/>
      </c>
      <c r="AD402" s="23" t="str">
        <f aca="false">IF(X402="","",RIGHT(X402,6))</f>
        <v/>
      </c>
      <c r="AE402" s="23" t="str">
        <f aca="false">IF(F402="","",IF(ISNUMBER(SEARCH("-TK",UPPER(F402))),0,1))</f>
        <v/>
      </c>
      <c r="AF402" s="23" t="str">
        <f aca="false">IF(F402="","",IF(ISNUMBER(SEARCH("-LED",UPPER(F402))),1,0))</f>
        <v/>
      </c>
      <c r="AG402" s="24" t="n">
        <f aca="false">IF(Z402="",0,IFERROR(INDEX(Resep!$C$5:$C$7,MATCH(LEFT(Z402,3),Resep!$B$5:$B$7,0)),0))</f>
        <v>0</v>
      </c>
      <c r="AH402" s="24" t="n">
        <f aca="false">IF(AA402="",0,IFERROR(INDEX(Resep!$C$9:$C$13,MATCH(LEFT(AA402,3),Resep!$B$9:$B$13,0)),0))</f>
        <v>0</v>
      </c>
      <c r="AI402" s="24" t="n">
        <f aca="false">IF(AB402="",0,IFERROR(INDEX(Resep!$C$9:$C$13,MATCH(LEFT(AB402,3),Resep!$B$9:$B$13,0)),0))</f>
        <v>0</v>
      </c>
      <c r="AJ402" s="24" t="n">
        <f aca="false">IF(AC402="",0,IFERROR(INDEX(Resep!$C$9:$C$13,MATCH(LEFT(AC402,3),Resep!$B$9:$B$13,0)),0))</f>
        <v>0</v>
      </c>
      <c r="AK402" s="24" t="n">
        <f aca="false">IF(AD402="",0,IFERROR(INDEX(Resep!$C$15:$C$18,MATCH(LEFT(AD402,3),Resep!$B$15:$B$18,0)),0))</f>
        <v>0</v>
      </c>
      <c r="AL402" s="24" t="str">
        <f aca="false">IF(X402="","",AG402+AH402+AI402+AJ402+AK402)</f>
        <v/>
      </c>
      <c r="AM402" s="22" t="str">
        <f aca="false">IF(X402="","",AL402*(Pengaturan!$B$6+Pengaturan!$B$7)+Pengaturan!$B$8+AE402*Pengaturan!$B$9+AF402*Pengaturan!$B$10)</f>
        <v/>
      </c>
      <c r="AN402" s="22" t="str">
        <f aca="false">IF(X402="","",N(G402)-AM402)</f>
        <v/>
      </c>
      <c r="AO402" s="25" t="str">
        <f aca="false">IF(OR(X402="",N(G402)=0),"",AN402/G402)</f>
        <v/>
      </c>
    </row>
    <row r="403" customFormat="false" ht="15" hidden="false" customHeight="false" outlineLevel="0" collapsed="false">
      <c r="A403" s="19"/>
      <c r="B403" s="20"/>
      <c r="C403" s="19"/>
      <c r="D403" s="19"/>
      <c r="E403" s="19"/>
      <c r="F403" s="19"/>
      <c r="G403" s="21"/>
      <c r="H403" s="19"/>
      <c r="I403" s="21"/>
      <c r="J403" s="19"/>
      <c r="K403" s="20"/>
      <c r="L403" s="20"/>
      <c r="M403" s="19"/>
      <c r="N403" s="19"/>
      <c r="O403" s="20"/>
      <c r="P403" s="20"/>
      <c r="Q403" s="19"/>
      <c r="R403" s="22" t="str">
        <f aca="false">IF(A403="","",N(G403)+N(I403))</f>
        <v/>
      </c>
      <c r="S403" s="23" t="str">
        <f aca="false">IF(OR(K403="",O403=""),"",O403-K403)</f>
        <v/>
      </c>
      <c r="T403" s="23" t="str">
        <f aca="true">IF(AND(C403="Cetak",L403&lt;&gt;"",L403&lt;TODAY()),"YA","")</f>
        <v/>
      </c>
      <c r="U403" s="23" t="str">
        <f aca="false">IF(B403="","",TEXT(B403,"yyyy-mm"))</f>
        <v/>
      </c>
      <c r="V403" s="23" t="str">
        <f aca="false">IF(K403="","",TEXT(K403,"yyyy-mm"))</f>
        <v/>
      </c>
      <c r="W403" s="23" t="n">
        <f aca="false">IF(OR(C403="Cetak",C403="Dikirim",C403="Selesai"),1,0)</f>
        <v>0</v>
      </c>
      <c r="X403" s="23" t="str">
        <f aca="false">IF(F403="","",SUBSTITUTE(SUBSTITUTE(MID(UPPER(TRIM(F403)),4,99),"-LED",""),"-TK",""))</f>
        <v/>
      </c>
      <c r="Y403" s="23" t="str">
        <f aca="false">IF(X403="","",(LEN(X403)+1)/7)</f>
        <v/>
      </c>
      <c r="Z403" s="23" t="str">
        <f aca="false">IF(X403="","",LEFT(X403,6))</f>
        <v/>
      </c>
      <c r="AA403" s="23" t="str">
        <f aca="false">IF(X403="","",IF(Y403&gt;=3,MID(X403,8,6),""))</f>
        <v/>
      </c>
      <c r="AB403" s="23" t="str">
        <f aca="false">IF(X403="","",IF(Y403&gt;=4,MID(X403,15,6),""))</f>
        <v/>
      </c>
      <c r="AC403" s="23" t="str">
        <f aca="false">IF(X403="","",IF(Y403&gt;=5,MID(X403,22,6),""))</f>
        <v/>
      </c>
      <c r="AD403" s="23" t="str">
        <f aca="false">IF(X403="","",RIGHT(X403,6))</f>
        <v/>
      </c>
      <c r="AE403" s="23" t="str">
        <f aca="false">IF(F403="","",IF(ISNUMBER(SEARCH("-TK",UPPER(F403))),0,1))</f>
        <v/>
      </c>
      <c r="AF403" s="23" t="str">
        <f aca="false">IF(F403="","",IF(ISNUMBER(SEARCH("-LED",UPPER(F403))),1,0))</f>
        <v/>
      </c>
      <c r="AG403" s="24" t="n">
        <f aca="false">IF(Z403="",0,IFERROR(INDEX(Resep!$C$5:$C$7,MATCH(LEFT(Z403,3),Resep!$B$5:$B$7,0)),0))</f>
        <v>0</v>
      </c>
      <c r="AH403" s="24" t="n">
        <f aca="false">IF(AA403="",0,IFERROR(INDEX(Resep!$C$9:$C$13,MATCH(LEFT(AA403,3),Resep!$B$9:$B$13,0)),0))</f>
        <v>0</v>
      </c>
      <c r="AI403" s="24" t="n">
        <f aca="false">IF(AB403="",0,IFERROR(INDEX(Resep!$C$9:$C$13,MATCH(LEFT(AB403,3),Resep!$B$9:$B$13,0)),0))</f>
        <v>0</v>
      </c>
      <c r="AJ403" s="24" t="n">
        <f aca="false">IF(AC403="",0,IFERROR(INDEX(Resep!$C$9:$C$13,MATCH(LEFT(AC403,3),Resep!$B$9:$B$13,0)),0))</f>
        <v>0</v>
      </c>
      <c r="AK403" s="24" t="n">
        <f aca="false">IF(AD403="",0,IFERROR(INDEX(Resep!$C$15:$C$18,MATCH(LEFT(AD403,3),Resep!$B$15:$B$18,0)),0))</f>
        <v>0</v>
      </c>
      <c r="AL403" s="24" t="str">
        <f aca="false">IF(X403="","",AG403+AH403+AI403+AJ403+AK403)</f>
        <v/>
      </c>
      <c r="AM403" s="22" t="str">
        <f aca="false">IF(X403="","",AL403*(Pengaturan!$B$6+Pengaturan!$B$7)+Pengaturan!$B$8+AE403*Pengaturan!$B$9+AF403*Pengaturan!$B$10)</f>
        <v/>
      </c>
      <c r="AN403" s="22" t="str">
        <f aca="false">IF(X403="","",N(G403)-AM403)</f>
        <v/>
      </c>
      <c r="AO403" s="25" t="str">
        <f aca="false">IF(OR(X403="",N(G403)=0),"",AN403/G403)</f>
        <v/>
      </c>
    </row>
    <row r="404" customFormat="false" ht="15" hidden="false" customHeight="false" outlineLevel="0" collapsed="false">
      <c r="A404" s="19"/>
      <c r="B404" s="20"/>
      <c r="C404" s="19"/>
      <c r="D404" s="19"/>
      <c r="E404" s="19"/>
      <c r="F404" s="19"/>
      <c r="G404" s="21"/>
      <c r="H404" s="19"/>
      <c r="I404" s="21"/>
      <c r="J404" s="19"/>
      <c r="K404" s="20"/>
      <c r="L404" s="20"/>
      <c r="M404" s="19"/>
      <c r="N404" s="19"/>
      <c r="O404" s="20"/>
      <c r="P404" s="20"/>
      <c r="Q404" s="19"/>
      <c r="R404" s="22" t="str">
        <f aca="false">IF(A404="","",N(G404)+N(I404))</f>
        <v/>
      </c>
      <c r="S404" s="23" t="str">
        <f aca="false">IF(OR(K404="",O404=""),"",O404-K404)</f>
        <v/>
      </c>
      <c r="T404" s="23" t="str">
        <f aca="true">IF(AND(C404="Cetak",L404&lt;&gt;"",L404&lt;TODAY()),"YA","")</f>
        <v/>
      </c>
      <c r="U404" s="23" t="str">
        <f aca="false">IF(B404="","",TEXT(B404,"yyyy-mm"))</f>
        <v/>
      </c>
      <c r="V404" s="23" t="str">
        <f aca="false">IF(K404="","",TEXT(K404,"yyyy-mm"))</f>
        <v/>
      </c>
      <c r="W404" s="23" t="n">
        <f aca="false">IF(OR(C404="Cetak",C404="Dikirim",C404="Selesai"),1,0)</f>
        <v>0</v>
      </c>
      <c r="X404" s="23" t="str">
        <f aca="false">IF(F404="","",SUBSTITUTE(SUBSTITUTE(MID(UPPER(TRIM(F404)),4,99),"-LED",""),"-TK",""))</f>
        <v/>
      </c>
      <c r="Y404" s="23" t="str">
        <f aca="false">IF(X404="","",(LEN(X404)+1)/7)</f>
        <v/>
      </c>
      <c r="Z404" s="23" t="str">
        <f aca="false">IF(X404="","",LEFT(X404,6))</f>
        <v/>
      </c>
      <c r="AA404" s="23" t="str">
        <f aca="false">IF(X404="","",IF(Y404&gt;=3,MID(X404,8,6),""))</f>
        <v/>
      </c>
      <c r="AB404" s="23" t="str">
        <f aca="false">IF(X404="","",IF(Y404&gt;=4,MID(X404,15,6),""))</f>
        <v/>
      </c>
      <c r="AC404" s="23" t="str">
        <f aca="false">IF(X404="","",IF(Y404&gt;=5,MID(X404,22,6),""))</f>
        <v/>
      </c>
      <c r="AD404" s="23" t="str">
        <f aca="false">IF(X404="","",RIGHT(X404,6))</f>
        <v/>
      </c>
      <c r="AE404" s="23" t="str">
        <f aca="false">IF(F404="","",IF(ISNUMBER(SEARCH("-TK",UPPER(F404))),0,1))</f>
        <v/>
      </c>
      <c r="AF404" s="23" t="str">
        <f aca="false">IF(F404="","",IF(ISNUMBER(SEARCH("-LED",UPPER(F404))),1,0))</f>
        <v/>
      </c>
      <c r="AG404" s="24" t="n">
        <f aca="false">IF(Z404="",0,IFERROR(INDEX(Resep!$C$5:$C$7,MATCH(LEFT(Z404,3),Resep!$B$5:$B$7,0)),0))</f>
        <v>0</v>
      </c>
      <c r="AH404" s="24" t="n">
        <f aca="false">IF(AA404="",0,IFERROR(INDEX(Resep!$C$9:$C$13,MATCH(LEFT(AA404,3),Resep!$B$9:$B$13,0)),0))</f>
        <v>0</v>
      </c>
      <c r="AI404" s="24" t="n">
        <f aca="false">IF(AB404="",0,IFERROR(INDEX(Resep!$C$9:$C$13,MATCH(LEFT(AB404,3),Resep!$B$9:$B$13,0)),0))</f>
        <v>0</v>
      </c>
      <c r="AJ404" s="24" t="n">
        <f aca="false">IF(AC404="",0,IFERROR(INDEX(Resep!$C$9:$C$13,MATCH(LEFT(AC404,3),Resep!$B$9:$B$13,0)),0))</f>
        <v>0</v>
      </c>
      <c r="AK404" s="24" t="n">
        <f aca="false">IF(AD404="",0,IFERROR(INDEX(Resep!$C$15:$C$18,MATCH(LEFT(AD404,3),Resep!$B$15:$B$18,0)),0))</f>
        <v>0</v>
      </c>
      <c r="AL404" s="24" t="str">
        <f aca="false">IF(X404="","",AG404+AH404+AI404+AJ404+AK404)</f>
        <v/>
      </c>
      <c r="AM404" s="22" t="str">
        <f aca="false">IF(X404="","",AL404*(Pengaturan!$B$6+Pengaturan!$B$7)+Pengaturan!$B$8+AE404*Pengaturan!$B$9+AF404*Pengaturan!$B$10)</f>
        <v/>
      </c>
      <c r="AN404" s="22" t="str">
        <f aca="false">IF(X404="","",N(G404)-AM404)</f>
        <v/>
      </c>
      <c r="AO404" s="25" t="str">
        <f aca="false">IF(OR(X404="",N(G404)=0),"",AN404/G404)</f>
        <v/>
      </c>
    </row>
    <row r="405" customFormat="false" ht="15" hidden="false" customHeight="false" outlineLevel="0" collapsed="false">
      <c r="A405" s="19"/>
      <c r="B405" s="20"/>
      <c r="C405" s="19"/>
      <c r="D405" s="19"/>
      <c r="E405" s="19"/>
      <c r="F405" s="19"/>
      <c r="G405" s="21"/>
      <c r="H405" s="19"/>
      <c r="I405" s="21"/>
      <c r="J405" s="19"/>
      <c r="K405" s="20"/>
      <c r="L405" s="20"/>
      <c r="M405" s="19"/>
      <c r="N405" s="19"/>
      <c r="O405" s="20"/>
      <c r="P405" s="20"/>
      <c r="Q405" s="19"/>
      <c r="R405" s="22" t="str">
        <f aca="false">IF(A405="","",N(G405)+N(I405))</f>
        <v/>
      </c>
      <c r="S405" s="23" t="str">
        <f aca="false">IF(OR(K405="",O405=""),"",O405-K405)</f>
        <v/>
      </c>
      <c r="T405" s="23" t="str">
        <f aca="true">IF(AND(C405="Cetak",L405&lt;&gt;"",L405&lt;TODAY()),"YA","")</f>
        <v/>
      </c>
      <c r="U405" s="23" t="str">
        <f aca="false">IF(B405="","",TEXT(B405,"yyyy-mm"))</f>
        <v/>
      </c>
      <c r="V405" s="23" t="str">
        <f aca="false">IF(K405="","",TEXT(K405,"yyyy-mm"))</f>
        <v/>
      </c>
      <c r="W405" s="23" t="n">
        <f aca="false">IF(OR(C405="Cetak",C405="Dikirim",C405="Selesai"),1,0)</f>
        <v>0</v>
      </c>
      <c r="X405" s="23" t="str">
        <f aca="false">IF(F405="","",SUBSTITUTE(SUBSTITUTE(MID(UPPER(TRIM(F405)),4,99),"-LED",""),"-TK",""))</f>
        <v/>
      </c>
      <c r="Y405" s="23" t="str">
        <f aca="false">IF(X405="","",(LEN(X405)+1)/7)</f>
        <v/>
      </c>
      <c r="Z405" s="23" t="str">
        <f aca="false">IF(X405="","",LEFT(X405,6))</f>
        <v/>
      </c>
      <c r="AA405" s="23" t="str">
        <f aca="false">IF(X405="","",IF(Y405&gt;=3,MID(X405,8,6),""))</f>
        <v/>
      </c>
      <c r="AB405" s="23" t="str">
        <f aca="false">IF(X405="","",IF(Y405&gt;=4,MID(X405,15,6),""))</f>
        <v/>
      </c>
      <c r="AC405" s="23" t="str">
        <f aca="false">IF(X405="","",IF(Y405&gt;=5,MID(X405,22,6),""))</f>
        <v/>
      </c>
      <c r="AD405" s="23" t="str">
        <f aca="false">IF(X405="","",RIGHT(X405,6))</f>
        <v/>
      </c>
      <c r="AE405" s="23" t="str">
        <f aca="false">IF(F405="","",IF(ISNUMBER(SEARCH("-TK",UPPER(F405))),0,1))</f>
        <v/>
      </c>
      <c r="AF405" s="23" t="str">
        <f aca="false">IF(F405="","",IF(ISNUMBER(SEARCH("-LED",UPPER(F405))),1,0))</f>
        <v/>
      </c>
      <c r="AG405" s="24" t="n">
        <f aca="false">IF(Z405="",0,IFERROR(INDEX(Resep!$C$5:$C$7,MATCH(LEFT(Z405,3),Resep!$B$5:$B$7,0)),0))</f>
        <v>0</v>
      </c>
      <c r="AH405" s="24" t="n">
        <f aca="false">IF(AA405="",0,IFERROR(INDEX(Resep!$C$9:$C$13,MATCH(LEFT(AA405,3),Resep!$B$9:$B$13,0)),0))</f>
        <v>0</v>
      </c>
      <c r="AI405" s="24" t="n">
        <f aca="false">IF(AB405="",0,IFERROR(INDEX(Resep!$C$9:$C$13,MATCH(LEFT(AB405,3),Resep!$B$9:$B$13,0)),0))</f>
        <v>0</v>
      </c>
      <c r="AJ405" s="24" t="n">
        <f aca="false">IF(AC405="",0,IFERROR(INDEX(Resep!$C$9:$C$13,MATCH(LEFT(AC405,3),Resep!$B$9:$B$13,0)),0))</f>
        <v>0</v>
      </c>
      <c r="AK405" s="24" t="n">
        <f aca="false">IF(AD405="",0,IFERROR(INDEX(Resep!$C$15:$C$18,MATCH(LEFT(AD405,3),Resep!$B$15:$B$18,0)),0))</f>
        <v>0</v>
      </c>
      <c r="AL405" s="24" t="str">
        <f aca="false">IF(X405="","",AG405+AH405+AI405+AJ405+AK405)</f>
        <v/>
      </c>
      <c r="AM405" s="22" t="str">
        <f aca="false">IF(X405="","",AL405*(Pengaturan!$B$6+Pengaturan!$B$7)+Pengaturan!$B$8+AE405*Pengaturan!$B$9+AF405*Pengaturan!$B$10)</f>
        <v/>
      </c>
      <c r="AN405" s="22" t="str">
        <f aca="false">IF(X405="","",N(G405)-AM405)</f>
        <v/>
      </c>
      <c r="AO405" s="25" t="str">
        <f aca="false">IF(OR(X405="",N(G405)=0),"",AN405/G405)</f>
        <v/>
      </c>
    </row>
    <row r="406" customFormat="false" ht="15" hidden="false" customHeight="false" outlineLevel="0" collapsed="false">
      <c r="A406" s="19"/>
      <c r="B406" s="20"/>
      <c r="C406" s="19"/>
      <c r="D406" s="19"/>
      <c r="E406" s="19"/>
      <c r="F406" s="19"/>
      <c r="G406" s="21"/>
      <c r="H406" s="19"/>
      <c r="I406" s="21"/>
      <c r="J406" s="19"/>
      <c r="K406" s="20"/>
      <c r="L406" s="20"/>
      <c r="M406" s="19"/>
      <c r="N406" s="19"/>
      <c r="O406" s="20"/>
      <c r="P406" s="20"/>
      <c r="Q406" s="19"/>
      <c r="R406" s="22" t="str">
        <f aca="false">IF(A406="","",N(G406)+N(I406))</f>
        <v/>
      </c>
      <c r="S406" s="23" t="str">
        <f aca="false">IF(OR(K406="",O406=""),"",O406-K406)</f>
        <v/>
      </c>
      <c r="T406" s="23" t="str">
        <f aca="true">IF(AND(C406="Cetak",L406&lt;&gt;"",L406&lt;TODAY()),"YA","")</f>
        <v/>
      </c>
      <c r="U406" s="23" t="str">
        <f aca="false">IF(B406="","",TEXT(B406,"yyyy-mm"))</f>
        <v/>
      </c>
      <c r="V406" s="23" t="str">
        <f aca="false">IF(K406="","",TEXT(K406,"yyyy-mm"))</f>
        <v/>
      </c>
      <c r="W406" s="23" t="n">
        <f aca="false">IF(OR(C406="Cetak",C406="Dikirim",C406="Selesai"),1,0)</f>
        <v>0</v>
      </c>
      <c r="X406" s="23" t="str">
        <f aca="false">IF(F406="","",SUBSTITUTE(SUBSTITUTE(MID(UPPER(TRIM(F406)),4,99),"-LED",""),"-TK",""))</f>
        <v/>
      </c>
      <c r="Y406" s="23" t="str">
        <f aca="false">IF(X406="","",(LEN(X406)+1)/7)</f>
        <v/>
      </c>
      <c r="Z406" s="23" t="str">
        <f aca="false">IF(X406="","",LEFT(X406,6))</f>
        <v/>
      </c>
      <c r="AA406" s="23" t="str">
        <f aca="false">IF(X406="","",IF(Y406&gt;=3,MID(X406,8,6),""))</f>
        <v/>
      </c>
      <c r="AB406" s="23" t="str">
        <f aca="false">IF(X406="","",IF(Y406&gt;=4,MID(X406,15,6),""))</f>
        <v/>
      </c>
      <c r="AC406" s="23" t="str">
        <f aca="false">IF(X406="","",IF(Y406&gt;=5,MID(X406,22,6),""))</f>
        <v/>
      </c>
      <c r="AD406" s="23" t="str">
        <f aca="false">IF(X406="","",RIGHT(X406,6))</f>
        <v/>
      </c>
      <c r="AE406" s="23" t="str">
        <f aca="false">IF(F406="","",IF(ISNUMBER(SEARCH("-TK",UPPER(F406))),0,1))</f>
        <v/>
      </c>
      <c r="AF406" s="23" t="str">
        <f aca="false">IF(F406="","",IF(ISNUMBER(SEARCH("-LED",UPPER(F406))),1,0))</f>
        <v/>
      </c>
      <c r="AG406" s="24" t="n">
        <f aca="false">IF(Z406="",0,IFERROR(INDEX(Resep!$C$5:$C$7,MATCH(LEFT(Z406,3),Resep!$B$5:$B$7,0)),0))</f>
        <v>0</v>
      </c>
      <c r="AH406" s="24" t="n">
        <f aca="false">IF(AA406="",0,IFERROR(INDEX(Resep!$C$9:$C$13,MATCH(LEFT(AA406,3),Resep!$B$9:$B$13,0)),0))</f>
        <v>0</v>
      </c>
      <c r="AI406" s="24" t="n">
        <f aca="false">IF(AB406="",0,IFERROR(INDEX(Resep!$C$9:$C$13,MATCH(LEFT(AB406,3),Resep!$B$9:$B$13,0)),0))</f>
        <v>0</v>
      </c>
      <c r="AJ406" s="24" t="n">
        <f aca="false">IF(AC406="",0,IFERROR(INDEX(Resep!$C$9:$C$13,MATCH(LEFT(AC406,3),Resep!$B$9:$B$13,0)),0))</f>
        <v>0</v>
      </c>
      <c r="AK406" s="24" t="n">
        <f aca="false">IF(AD406="",0,IFERROR(INDEX(Resep!$C$15:$C$18,MATCH(LEFT(AD406,3),Resep!$B$15:$B$18,0)),0))</f>
        <v>0</v>
      </c>
      <c r="AL406" s="24" t="str">
        <f aca="false">IF(X406="","",AG406+AH406+AI406+AJ406+AK406)</f>
        <v/>
      </c>
      <c r="AM406" s="22" t="str">
        <f aca="false">IF(X406="","",AL406*(Pengaturan!$B$6+Pengaturan!$B$7)+Pengaturan!$B$8+AE406*Pengaturan!$B$9+AF406*Pengaturan!$B$10)</f>
        <v/>
      </c>
      <c r="AN406" s="22" t="str">
        <f aca="false">IF(X406="","",N(G406)-AM406)</f>
        <v/>
      </c>
      <c r="AO406" s="25" t="str">
        <f aca="false">IF(OR(X406="",N(G406)=0),"",AN406/G406)</f>
        <v/>
      </c>
    </row>
    <row r="407" customFormat="false" ht="15" hidden="false" customHeight="false" outlineLevel="0" collapsed="false">
      <c r="A407" s="19"/>
      <c r="B407" s="20"/>
      <c r="C407" s="19"/>
      <c r="D407" s="19"/>
      <c r="E407" s="19"/>
      <c r="F407" s="19"/>
      <c r="G407" s="21"/>
      <c r="H407" s="19"/>
      <c r="I407" s="21"/>
      <c r="J407" s="19"/>
      <c r="K407" s="20"/>
      <c r="L407" s="20"/>
      <c r="M407" s="19"/>
      <c r="N407" s="19"/>
      <c r="O407" s="20"/>
      <c r="P407" s="20"/>
      <c r="Q407" s="19"/>
      <c r="R407" s="22" t="str">
        <f aca="false">IF(A407="","",N(G407)+N(I407))</f>
        <v/>
      </c>
      <c r="S407" s="23" t="str">
        <f aca="false">IF(OR(K407="",O407=""),"",O407-K407)</f>
        <v/>
      </c>
      <c r="T407" s="23" t="str">
        <f aca="true">IF(AND(C407="Cetak",L407&lt;&gt;"",L407&lt;TODAY()),"YA","")</f>
        <v/>
      </c>
      <c r="U407" s="23" t="str">
        <f aca="false">IF(B407="","",TEXT(B407,"yyyy-mm"))</f>
        <v/>
      </c>
      <c r="V407" s="23" t="str">
        <f aca="false">IF(K407="","",TEXT(K407,"yyyy-mm"))</f>
        <v/>
      </c>
      <c r="W407" s="23" t="n">
        <f aca="false">IF(OR(C407="Cetak",C407="Dikirim",C407="Selesai"),1,0)</f>
        <v>0</v>
      </c>
      <c r="X407" s="23" t="str">
        <f aca="false">IF(F407="","",SUBSTITUTE(SUBSTITUTE(MID(UPPER(TRIM(F407)),4,99),"-LED",""),"-TK",""))</f>
        <v/>
      </c>
      <c r="Y407" s="23" t="str">
        <f aca="false">IF(X407="","",(LEN(X407)+1)/7)</f>
        <v/>
      </c>
      <c r="Z407" s="23" t="str">
        <f aca="false">IF(X407="","",LEFT(X407,6))</f>
        <v/>
      </c>
      <c r="AA407" s="23" t="str">
        <f aca="false">IF(X407="","",IF(Y407&gt;=3,MID(X407,8,6),""))</f>
        <v/>
      </c>
      <c r="AB407" s="23" t="str">
        <f aca="false">IF(X407="","",IF(Y407&gt;=4,MID(X407,15,6),""))</f>
        <v/>
      </c>
      <c r="AC407" s="23" t="str">
        <f aca="false">IF(X407="","",IF(Y407&gt;=5,MID(X407,22,6),""))</f>
        <v/>
      </c>
      <c r="AD407" s="23" t="str">
        <f aca="false">IF(X407="","",RIGHT(X407,6))</f>
        <v/>
      </c>
      <c r="AE407" s="23" t="str">
        <f aca="false">IF(F407="","",IF(ISNUMBER(SEARCH("-TK",UPPER(F407))),0,1))</f>
        <v/>
      </c>
      <c r="AF407" s="23" t="str">
        <f aca="false">IF(F407="","",IF(ISNUMBER(SEARCH("-LED",UPPER(F407))),1,0))</f>
        <v/>
      </c>
      <c r="AG407" s="24" t="n">
        <f aca="false">IF(Z407="",0,IFERROR(INDEX(Resep!$C$5:$C$7,MATCH(LEFT(Z407,3),Resep!$B$5:$B$7,0)),0))</f>
        <v>0</v>
      </c>
      <c r="AH407" s="24" t="n">
        <f aca="false">IF(AA407="",0,IFERROR(INDEX(Resep!$C$9:$C$13,MATCH(LEFT(AA407,3),Resep!$B$9:$B$13,0)),0))</f>
        <v>0</v>
      </c>
      <c r="AI407" s="24" t="n">
        <f aca="false">IF(AB407="",0,IFERROR(INDEX(Resep!$C$9:$C$13,MATCH(LEFT(AB407,3),Resep!$B$9:$B$13,0)),0))</f>
        <v>0</v>
      </c>
      <c r="AJ407" s="24" t="n">
        <f aca="false">IF(AC407="",0,IFERROR(INDEX(Resep!$C$9:$C$13,MATCH(LEFT(AC407,3),Resep!$B$9:$B$13,0)),0))</f>
        <v>0</v>
      </c>
      <c r="AK407" s="24" t="n">
        <f aca="false">IF(AD407="",0,IFERROR(INDEX(Resep!$C$15:$C$18,MATCH(LEFT(AD407,3),Resep!$B$15:$B$18,0)),0))</f>
        <v>0</v>
      </c>
      <c r="AL407" s="24" t="str">
        <f aca="false">IF(X407="","",AG407+AH407+AI407+AJ407+AK407)</f>
        <v/>
      </c>
      <c r="AM407" s="22" t="str">
        <f aca="false">IF(X407="","",AL407*(Pengaturan!$B$6+Pengaturan!$B$7)+Pengaturan!$B$8+AE407*Pengaturan!$B$9+AF407*Pengaturan!$B$10)</f>
        <v/>
      </c>
      <c r="AN407" s="22" t="str">
        <f aca="false">IF(X407="","",N(G407)-AM407)</f>
        <v/>
      </c>
      <c r="AO407" s="25" t="str">
        <f aca="false">IF(OR(X407="",N(G407)=0),"",AN407/G407)</f>
        <v/>
      </c>
    </row>
    <row r="408" customFormat="false" ht="15" hidden="false" customHeight="false" outlineLevel="0" collapsed="false">
      <c r="A408" s="19"/>
      <c r="B408" s="20"/>
      <c r="C408" s="19"/>
      <c r="D408" s="19"/>
      <c r="E408" s="19"/>
      <c r="F408" s="19"/>
      <c r="G408" s="21"/>
      <c r="H408" s="19"/>
      <c r="I408" s="21"/>
      <c r="J408" s="19"/>
      <c r="K408" s="20"/>
      <c r="L408" s="20"/>
      <c r="M408" s="19"/>
      <c r="N408" s="19"/>
      <c r="O408" s="20"/>
      <c r="P408" s="20"/>
      <c r="Q408" s="19"/>
      <c r="R408" s="22" t="str">
        <f aca="false">IF(A408="","",N(G408)+N(I408))</f>
        <v/>
      </c>
      <c r="S408" s="23" t="str">
        <f aca="false">IF(OR(K408="",O408=""),"",O408-K408)</f>
        <v/>
      </c>
      <c r="T408" s="23" t="str">
        <f aca="true">IF(AND(C408="Cetak",L408&lt;&gt;"",L408&lt;TODAY()),"YA","")</f>
        <v/>
      </c>
      <c r="U408" s="23" t="str">
        <f aca="false">IF(B408="","",TEXT(B408,"yyyy-mm"))</f>
        <v/>
      </c>
      <c r="V408" s="23" t="str">
        <f aca="false">IF(K408="","",TEXT(K408,"yyyy-mm"))</f>
        <v/>
      </c>
      <c r="W408" s="23" t="n">
        <f aca="false">IF(OR(C408="Cetak",C408="Dikirim",C408="Selesai"),1,0)</f>
        <v>0</v>
      </c>
      <c r="X408" s="23" t="str">
        <f aca="false">IF(F408="","",SUBSTITUTE(SUBSTITUTE(MID(UPPER(TRIM(F408)),4,99),"-LED",""),"-TK",""))</f>
        <v/>
      </c>
      <c r="Y408" s="23" t="str">
        <f aca="false">IF(X408="","",(LEN(X408)+1)/7)</f>
        <v/>
      </c>
      <c r="Z408" s="23" t="str">
        <f aca="false">IF(X408="","",LEFT(X408,6))</f>
        <v/>
      </c>
      <c r="AA408" s="23" t="str">
        <f aca="false">IF(X408="","",IF(Y408&gt;=3,MID(X408,8,6),""))</f>
        <v/>
      </c>
      <c r="AB408" s="23" t="str">
        <f aca="false">IF(X408="","",IF(Y408&gt;=4,MID(X408,15,6),""))</f>
        <v/>
      </c>
      <c r="AC408" s="23" t="str">
        <f aca="false">IF(X408="","",IF(Y408&gt;=5,MID(X408,22,6),""))</f>
        <v/>
      </c>
      <c r="AD408" s="23" t="str">
        <f aca="false">IF(X408="","",RIGHT(X408,6))</f>
        <v/>
      </c>
      <c r="AE408" s="23" t="str">
        <f aca="false">IF(F408="","",IF(ISNUMBER(SEARCH("-TK",UPPER(F408))),0,1))</f>
        <v/>
      </c>
      <c r="AF408" s="23" t="str">
        <f aca="false">IF(F408="","",IF(ISNUMBER(SEARCH("-LED",UPPER(F408))),1,0))</f>
        <v/>
      </c>
      <c r="AG408" s="24" t="n">
        <f aca="false">IF(Z408="",0,IFERROR(INDEX(Resep!$C$5:$C$7,MATCH(LEFT(Z408,3),Resep!$B$5:$B$7,0)),0))</f>
        <v>0</v>
      </c>
      <c r="AH408" s="24" t="n">
        <f aca="false">IF(AA408="",0,IFERROR(INDEX(Resep!$C$9:$C$13,MATCH(LEFT(AA408,3),Resep!$B$9:$B$13,0)),0))</f>
        <v>0</v>
      </c>
      <c r="AI408" s="24" t="n">
        <f aca="false">IF(AB408="",0,IFERROR(INDEX(Resep!$C$9:$C$13,MATCH(LEFT(AB408,3),Resep!$B$9:$B$13,0)),0))</f>
        <v>0</v>
      </c>
      <c r="AJ408" s="24" t="n">
        <f aca="false">IF(AC408="",0,IFERROR(INDEX(Resep!$C$9:$C$13,MATCH(LEFT(AC408,3),Resep!$B$9:$B$13,0)),0))</f>
        <v>0</v>
      </c>
      <c r="AK408" s="24" t="n">
        <f aca="false">IF(AD408="",0,IFERROR(INDEX(Resep!$C$15:$C$18,MATCH(LEFT(AD408,3),Resep!$B$15:$B$18,0)),0))</f>
        <v>0</v>
      </c>
      <c r="AL408" s="24" t="str">
        <f aca="false">IF(X408="","",AG408+AH408+AI408+AJ408+AK408)</f>
        <v/>
      </c>
      <c r="AM408" s="22" t="str">
        <f aca="false">IF(X408="","",AL408*(Pengaturan!$B$6+Pengaturan!$B$7)+Pengaturan!$B$8+AE408*Pengaturan!$B$9+AF408*Pengaturan!$B$10)</f>
        <v/>
      </c>
      <c r="AN408" s="22" t="str">
        <f aca="false">IF(X408="","",N(G408)-AM408)</f>
        <v/>
      </c>
      <c r="AO408" s="25" t="str">
        <f aca="false">IF(OR(X408="",N(G408)=0),"",AN408/G408)</f>
        <v/>
      </c>
    </row>
    <row r="409" customFormat="false" ht="15" hidden="false" customHeight="false" outlineLevel="0" collapsed="false">
      <c r="A409" s="19"/>
      <c r="B409" s="20"/>
      <c r="C409" s="19"/>
      <c r="D409" s="19"/>
      <c r="E409" s="19"/>
      <c r="F409" s="19"/>
      <c r="G409" s="21"/>
      <c r="H409" s="19"/>
      <c r="I409" s="21"/>
      <c r="J409" s="19"/>
      <c r="K409" s="20"/>
      <c r="L409" s="20"/>
      <c r="M409" s="19"/>
      <c r="N409" s="19"/>
      <c r="O409" s="20"/>
      <c r="P409" s="20"/>
      <c r="Q409" s="19"/>
      <c r="R409" s="22" t="str">
        <f aca="false">IF(A409="","",N(G409)+N(I409))</f>
        <v/>
      </c>
      <c r="S409" s="23" t="str">
        <f aca="false">IF(OR(K409="",O409=""),"",O409-K409)</f>
        <v/>
      </c>
      <c r="T409" s="23" t="str">
        <f aca="true">IF(AND(C409="Cetak",L409&lt;&gt;"",L409&lt;TODAY()),"YA","")</f>
        <v/>
      </c>
      <c r="U409" s="23" t="str">
        <f aca="false">IF(B409="","",TEXT(B409,"yyyy-mm"))</f>
        <v/>
      </c>
      <c r="V409" s="23" t="str">
        <f aca="false">IF(K409="","",TEXT(K409,"yyyy-mm"))</f>
        <v/>
      </c>
      <c r="W409" s="23" t="n">
        <f aca="false">IF(OR(C409="Cetak",C409="Dikirim",C409="Selesai"),1,0)</f>
        <v>0</v>
      </c>
      <c r="X409" s="23" t="str">
        <f aca="false">IF(F409="","",SUBSTITUTE(SUBSTITUTE(MID(UPPER(TRIM(F409)),4,99),"-LED",""),"-TK",""))</f>
        <v/>
      </c>
      <c r="Y409" s="23" t="str">
        <f aca="false">IF(X409="","",(LEN(X409)+1)/7)</f>
        <v/>
      </c>
      <c r="Z409" s="23" t="str">
        <f aca="false">IF(X409="","",LEFT(X409,6))</f>
        <v/>
      </c>
      <c r="AA409" s="23" t="str">
        <f aca="false">IF(X409="","",IF(Y409&gt;=3,MID(X409,8,6),""))</f>
        <v/>
      </c>
      <c r="AB409" s="23" t="str">
        <f aca="false">IF(X409="","",IF(Y409&gt;=4,MID(X409,15,6),""))</f>
        <v/>
      </c>
      <c r="AC409" s="23" t="str">
        <f aca="false">IF(X409="","",IF(Y409&gt;=5,MID(X409,22,6),""))</f>
        <v/>
      </c>
      <c r="AD409" s="23" t="str">
        <f aca="false">IF(X409="","",RIGHT(X409,6))</f>
        <v/>
      </c>
      <c r="AE409" s="23" t="str">
        <f aca="false">IF(F409="","",IF(ISNUMBER(SEARCH("-TK",UPPER(F409))),0,1))</f>
        <v/>
      </c>
      <c r="AF409" s="23" t="str">
        <f aca="false">IF(F409="","",IF(ISNUMBER(SEARCH("-LED",UPPER(F409))),1,0))</f>
        <v/>
      </c>
      <c r="AG409" s="24" t="n">
        <f aca="false">IF(Z409="",0,IFERROR(INDEX(Resep!$C$5:$C$7,MATCH(LEFT(Z409,3),Resep!$B$5:$B$7,0)),0))</f>
        <v>0</v>
      </c>
      <c r="AH409" s="24" t="n">
        <f aca="false">IF(AA409="",0,IFERROR(INDEX(Resep!$C$9:$C$13,MATCH(LEFT(AA409,3),Resep!$B$9:$B$13,0)),0))</f>
        <v>0</v>
      </c>
      <c r="AI409" s="24" t="n">
        <f aca="false">IF(AB409="",0,IFERROR(INDEX(Resep!$C$9:$C$13,MATCH(LEFT(AB409,3),Resep!$B$9:$B$13,0)),0))</f>
        <v>0</v>
      </c>
      <c r="AJ409" s="24" t="n">
        <f aca="false">IF(AC409="",0,IFERROR(INDEX(Resep!$C$9:$C$13,MATCH(LEFT(AC409,3),Resep!$B$9:$B$13,0)),0))</f>
        <v>0</v>
      </c>
      <c r="AK409" s="24" t="n">
        <f aca="false">IF(AD409="",0,IFERROR(INDEX(Resep!$C$15:$C$18,MATCH(LEFT(AD409,3),Resep!$B$15:$B$18,0)),0))</f>
        <v>0</v>
      </c>
      <c r="AL409" s="24" t="str">
        <f aca="false">IF(X409="","",AG409+AH409+AI409+AJ409+AK409)</f>
        <v/>
      </c>
      <c r="AM409" s="22" t="str">
        <f aca="false">IF(X409="","",AL409*(Pengaturan!$B$6+Pengaturan!$B$7)+Pengaturan!$B$8+AE409*Pengaturan!$B$9+AF409*Pengaturan!$B$10)</f>
        <v/>
      </c>
      <c r="AN409" s="22" t="str">
        <f aca="false">IF(X409="","",N(G409)-AM409)</f>
        <v/>
      </c>
      <c r="AO409" s="25" t="str">
        <f aca="false">IF(OR(X409="",N(G409)=0),"",AN409/G409)</f>
        <v/>
      </c>
    </row>
    <row r="410" customFormat="false" ht="15" hidden="false" customHeight="false" outlineLevel="0" collapsed="false">
      <c r="A410" s="19"/>
      <c r="B410" s="20"/>
      <c r="C410" s="19"/>
      <c r="D410" s="19"/>
      <c r="E410" s="19"/>
      <c r="F410" s="19"/>
      <c r="G410" s="21"/>
      <c r="H410" s="19"/>
      <c r="I410" s="21"/>
      <c r="J410" s="19"/>
      <c r="K410" s="20"/>
      <c r="L410" s="20"/>
      <c r="M410" s="19"/>
      <c r="N410" s="19"/>
      <c r="O410" s="20"/>
      <c r="P410" s="20"/>
      <c r="Q410" s="19"/>
      <c r="R410" s="22" t="str">
        <f aca="false">IF(A410="","",N(G410)+N(I410))</f>
        <v/>
      </c>
      <c r="S410" s="23" t="str">
        <f aca="false">IF(OR(K410="",O410=""),"",O410-K410)</f>
        <v/>
      </c>
      <c r="T410" s="23" t="str">
        <f aca="true">IF(AND(C410="Cetak",L410&lt;&gt;"",L410&lt;TODAY()),"YA","")</f>
        <v/>
      </c>
      <c r="U410" s="23" t="str">
        <f aca="false">IF(B410="","",TEXT(B410,"yyyy-mm"))</f>
        <v/>
      </c>
      <c r="V410" s="23" t="str">
        <f aca="false">IF(K410="","",TEXT(K410,"yyyy-mm"))</f>
        <v/>
      </c>
      <c r="W410" s="23" t="n">
        <f aca="false">IF(OR(C410="Cetak",C410="Dikirim",C410="Selesai"),1,0)</f>
        <v>0</v>
      </c>
      <c r="X410" s="23" t="str">
        <f aca="false">IF(F410="","",SUBSTITUTE(SUBSTITUTE(MID(UPPER(TRIM(F410)),4,99),"-LED",""),"-TK",""))</f>
        <v/>
      </c>
      <c r="Y410" s="23" t="str">
        <f aca="false">IF(X410="","",(LEN(X410)+1)/7)</f>
        <v/>
      </c>
      <c r="Z410" s="23" t="str">
        <f aca="false">IF(X410="","",LEFT(X410,6))</f>
        <v/>
      </c>
      <c r="AA410" s="23" t="str">
        <f aca="false">IF(X410="","",IF(Y410&gt;=3,MID(X410,8,6),""))</f>
        <v/>
      </c>
      <c r="AB410" s="23" t="str">
        <f aca="false">IF(X410="","",IF(Y410&gt;=4,MID(X410,15,6),""))</f>
        <v/>
      </c>
      <c r="AC410" s="23" t="str">
        <f aca="false">IF(X410="","",IF(Y410&gt;=5,MID(X410,22,6),""))</f>
        <v/>
      </c>
      <c r="AD410" s="23" t="str">
        <f aca="false">IF(X410="","",RIGHT(X410,6))</f>
        <v/>
      </c>
      <c r="AE410" s="23" t="str">
        <f aca="false">IF(F410="","",IF(ISNUMBER(SEARCH("-TK",UPPER(F410))),0,1))</f>
        <v/>
      </c>
      <c r="AF410" s="23" t="str">
        <f aca="false">IF(F410="","",IF(ISNUMBER(SEARCH("-LED",UPPER(F410))),1,0))</f>
        <v/>
      </c>
      <c r="AG410" s="24" t="n">
        <f aca="false">IF(Z410="",0,IFERROR(INDEX(Resep!$C$5:$C$7,MATCH(LEFT(Z410,3),Resep!$B$5:$B$7,0)),0))</f>
        <v>0</v>
      </c>
      <c r="AH410" s="24" t="n">
        <f aca="false">IF(AA410="",0,IFERROR(INDEX(Resep!$C$9:$C$13,MATCH(LEFT(AA410,3),Resep!$B$9:$B$13,0)),0))</f>
        <v>0</v>
      </c>
      <c r="AI410" s="24" t="n">
        <f aca="false">IF(AB410="",0,IFERROR(INDEX(Resep!$C$9:$C$13,MATCH(LEFT(AB410,3),Resep!$B$9:$B$13,0)),0))</f>
        <v>0</v>
      </c>
      <c r="AJ410" s="24" t="n">
        <f aca="false">IF(AC410="",0,IFERROR(INDEX(Resep!$C$9:$C$13,MATCH(LEFT(AC410,3),Resep!$B$9:$B$13,0)),0))</f>
        <v>0</v>
      </c>
      <c r="AK410" s="24" t="n">
        <f aca="false">IF(AD410="",0,IFERROR(INDEX(Resep!$C$15:$C$18,MATCH(LEFT(AD410,3),Resep!$B$15:$B$18,0)),0))</f>
        <v>0</v>
      </c>
      <c r="AL410" s="24" t="str">
        <f aca="false">IF(X410="","",AG410+AH410+AI410+AJ410+AK410)</f>
        <v/>
      </c>
      <c r="AM410" s="22" t="str">
        <f aca="false">IF(X410="","",AL410*(Pengaturan!$B$6+Pengaturan!$B$7)+Pengaturan!$B$8+AE410*Pengaturan!$B$9+AF410*Pengaturan!$B$10)</f>
        <v/>
      </c>
      <c r="AN410" s="22" t="str">
        <f aca="false">IF(X410="","",N(G410)-AM410)</f>
        <v/>
      </c>
      <c r="AO410" s="25" t="str">
        <f aca="false">IF(OR(X410="",N(G410)=0),"",AN410/G410)</f>
        <v/>
      </c>
    </row>
    <row r="411" customFormat="false" ht="15" hidden="false" customHeight="false" outlineLevel="0" collapsed="false">
      <c r="A411" s="19"/>
      <c r="B411" s="20"/>
      <c r="C411" s="19"/>
      <c r="D411" s="19"/>
      <c r="E411" s="19"/>
      <c r="F411" s="19"/>
      <c r="G411" s="21"/>
      <c r="H411" s="19"/>
      <c r="I411" s="21"/>
      <c r="J411" s="19"/>
      <c r="K411" s="20"/>
      <c r="L411" s="20"/>
      <c r="M411" s="19"/>
      <c r="N411" s="19"/>
      <c r="O411" s="20"/>
      <c r="P411" s="20"/>
      <c r="Q411" s="19"/>
      <c r="R411" s="22" t="str">
        <f aca="false">IF(A411="","",N(G411)+N(I411))</f>
        <v/>
      </c>
      <c r="S411" s="23" t="str">
        <f aca="false">IF(OR(K411="",O411=""),"",O411-K411)</f>
        <v/>
      </c>
      <c r="T411" s="23" t="str">
        <f aca="true">IF(AND(C411="Cetak",L411&lt;&gt;"",L411&lt;TODAY()),"YA","")</f>
        <v/>
      </c>
      <c r="U411" s="23" t="str">
        <f aca="false">IF(B411="","",TEXT(B411,"yyyy-mm"))</f>
        <v/>
      </c>
      <c r="V411" s="23" t="str">
        <f aca="false">IF(K411="","",TEXT(K411,"yyyy-mm"))</f>
        <v/>
      </c>
      <c r="W411" s="23" t="n">
        <f aca="false">IF(OR(C411="Cetak",C411="Dikirim",C411="Selesai"),1,0)</f>
        <v>0</v>
      </c>
      <c r="X411" s="23" t="str">
        <f aca="false">IF(F411="","",SUBSTITUTE(SUBSTITUTE(MID(UPPER(TRIM(F411)),4,99),"-LED",""),"-TK",""))</f>
        <v/>
      </c>
      <c r="Y411" s="23" t="str">
        <f aca="false">IF(X411="","",(LEN(X411)+1)/7)</f>
        <v/>
      </c>
      <c r="Z411" s="23" t="str">
        <f aca="false">IF(X411="","",LEFT(X411,6))</f>
        <v/>
      </c>
      <c r="AA411" s="23" t="str">
        <f aca="false">IF(X411="","",IF(Y411&gt;=3,MID(X411,8,6),""))</f>
        <v/>
      </c>
      <c r="AB411" s="23" t="str">
        <f aca="false">IF(X411="","",IF(Y411&gt;=4,MID(X411,15,6),""))</f>
        <v/>
      </c>
      <c r="AC411" s="23" t="str">
        <f aca="false">IF(X411="","",IF(Y411&gt;=5,MID(X411,22,6),""))</f>
        <v/>
      </c>
      <c r="AD411" s="23" t="str">
        <f aca="false">IF(X411="","",RIGHT(X411,6))</f>
        <v/>
      </c>
      <c r="AE411" s="23" t="str">
        <f aca="false">IF(F411="","",IF(ISNUMBER(SEARCH("-TK",UPPER(F411))),0,1))</f>
        <v/>
      </c>
      <c r="AF411" s="23" t="str">
        <f aca="false">IF(F411="","",IF(ISNUMBER(SEARCH("-LED",UPPER(F411))),1,0))</f>
        <v/>
      </c>
      <c r="AG411" s="24" t="n">
        <f aca="false">IF(Z411="",0,IFERROR(INDEX(Resep!$C$5:$C$7,MATCH(LEFT(Z411,3),Resep!$B$5:$B$7,0)),0))</f>
        <v>0</v>
      </c>
      <c r="AH411" s="24" t="n">
        <f aca="false">IF(AA411="",0,IFERROR(INDEX(Resep!$C$9:$C$13,MATCH(LEFT(AA411,3),Resep!$B$9:$B$13,0)),0))</f>
        <v>0</v>
      </c>
      <c r="AI411" s="24" t="n">
        <f aca="false">IF(AB411="",0,IFERROR(INDEX(Resep!$C$9:$C$13,MATCH(LEFT(AB411,3),Resep!$B$9:$B$13,0)),0))</f>
        <v>0</v>
      </c>
      <c r="AJ411" s="24" t="n">
        <f aca="false">IF(AC411="",0,IFERROR(INDEX(Resep!$C$9:$C$13,MATCH(LEFT(AC411,3),Resep!$B$9:$B$13,0)),0))</f>
        <v>0</v>
      </c>
      <c r="AK411" s="24" t="n">
        <f aca="false">IF(AD411="",0,IFERROR(INDEX(Resep!$C$15:$C$18,MATCH(LEFT(AD411,3),Resep!$B$15:$B$18,0)),0))</f>
        <v>0</v>
      </c>
      <c r="AL411" s="24" t="str">
        <f aca="false">IF(X411="","",AG411+AH411+AI411+AJ411+AK411)</f>
        <v/>
      </c>
      <c r="AM411" s="22" t="str">
        <f aca="false">IF(X411="","",AL411*(Pengaturan!$B$6+Pengaturan!$B$7)+Pengaturan!$B$8+AE411*Pengaturan!$B$9+AF411*Pengaturan!$B$10)</f>
        <v/>
      </c>
      <c r="AN411" s="22" t="str">
        <f aca="false">IF(X411="","",N(G411)-AM411)</f>
        <v/>
      </c>
      <c r="AO411" s="25" t="str">
        <f aca="false">IF(OR(X411="",N(G411)=0),"",AN411/G411)</f>
        <v/>
      </c>
    </row>
    <row r="412" customFormat="false" ht="15" hidden="false" customHeight="false" outlineLevel="0" collapsed="false">
      <c r="A412" s="19"/>
      <c r="B412" s="20"/>
      <c r="C412" s="19"/>
      <c r="D412" s="19"/>
      <c r="E412" s="19"/>
      <c r="F412" s="19"/>
      <c r="G412" s="21"/>
      <c r="H412" s="19"/>
      <c r="I412" s="21"/>
      <c r="J412" s="19"/>
      <c r="K412" s="20"/>
      <c r="L412" s="20"/>
      <c r="M412" s="19"/>
      <c r="N412" s="19"/>
      <c r="O412" s="20"/>
      <c r="P412" s="20"/>
      <c r="Q412" s="19"/>
      <c r="R412" s="22" t="str">
        <f aca="false">IF(A412="","",N(G412)+N(I412))</f>
        <v/>
      </c>
      <c r="S412" s="23" t="str">
        <f aca="false">IF(OR(K412="",O412=""),"",O412-K412)</f>
        <v/>
      </c>
      <c r="T412" s="23" t="str">
        <f aca="true">IF(AND(C412="Cetak",L412&lt;&gt;"",L412&lt;TODAY()),"YA","")</f>
        <v/>
      </c>
      <c r="U412" s="23" t="str">
        <f aca="false">IF(B412="","",TEXT(B412,"yyyy-mm"))</f>
        <v/>
      </c>
      <c r="V412" s="23" t="str">
        <f aca="false">IF(K412="","",TEXT(K412,"yyyy-mm"))</f>
        <v/>
      </c>
      <c r="W412" s="23" t="n">
        <f aca="false">IF(OR(C412="Cetak",C412="Dikirim",C412="Selesai"),1,0)</f>
        <v>0</v>
      </c>
      <c r="X412" s="23" t="str">
        <f aca="false">IF(F412="","",SUBSTITUTE(SUBSTITUTE(MID(UPPER(TRIM(F412)),4,99),"-LED",""),"-TK",""))</f>
        <v/>
      </c>
      <c r="Y412" s="23" t="str">
        <f aca="false">IF(X412="","",(LEN(X412)+1)/7)</f>
        <v/>
      </c>
      <c r="Z412" s="23" t="str">
        <f aca="false">IF(X412="","",LEFT(X412,6))</f>
        <v/>
      </c>
      <c r="AA412" s="23" t="str">
        <f aca="false">IF(X412="","",IF(Y412&gt;=3,MID(X412,8,6),""))</f>
        <v/>
      </c>
      <c r="AB412" s="23" t="str">
        <f aca="false">IF(X412="","",IF(Y412&gt;=4,MID(X412,15,6),""))</f>
        <v/>
      </c>
      <c r="AC412" s="23" t="str">
        <f aca="false">IF(X412="","",IF(Y412&gt;=5,MID(X412,22,6),""))</f>
        <v/>
      </c>
      <c r="AD412" s="23" t="str">
        <f aca="false">IF(X412="","",RIGHT(X412,6))</f>
        <v/>
      </c>
      <c r="AE412" s="23" t="str">
        <f aca="false">IF(F412="","",IF(ISNUMBER(SEARCH("-TK",UPPER(F412))),0,1))</f>
        <v/>
      </c>
      <c r="AF412" s="23" t="str">
        <f aca="false">IF(F412="","",IF(ISNUMBER(SEARCH("-LED",UPPER(F412))),1,0))</f>
        <v/>
      </c>
      <c r="AG412" s="24" t="n">
        <f aca="false">IF(Z412="",0,IFERROR(INDEX(Resep!$C$5:$C$7,MATCH(LEFT(Z412,3),Resep!$B$5:$B$7,0)),0))</f>
        <v>0</v>
      </c>
      <c r="AH412" s="24" t="n">
        <f aca="false">IF(AA412="",0,IFERROR(INDEX(Resep!$C$9:$C$13,MATCH(LEFT(AA412,3),Resep!$B$9:$B$13,0)),0))</f>
        <v>0</v>
      </c>
      <c r="AI412" s="24" t="n">
        <f aca="false">IF(AB412="",0,IFERROR(INDEX(Resep!$C$9:$C$13,MATCH(LEFT(AB412,3),Resep!$B$9:$B$13,0)),0))</f>
        <v>0</v>
      </c>
      <c r="AJ412" s="24" t="n">
        <f aca="false">IF(AC412="",0,IFERROR(INDEX(Resep!$C$9:$C$13,MATCH(LEFT(AC412,3),Resep!$B$9:$B$13,0)),0))</f>
        <v>0</v>
      </c>
      <c r="AK412" s="24" t="n">
        <f aca="false">IF(AD412="",0,IFERROR(INDEX(Resep!$C$15:$C$18,MATCH(LEFT(AD412,3),Resep!$B$15:$B$18,0)),0))</f>
        <v>0</v>
      </c>
      <c r="AL412" s="24" t="str">
        <f aca="false">IF(X412="","",AG412+AH412+AI412+AJ412+AK412)</f>
        <v/>
      </c>
      <c r="AM412" s="22" t="str">
        <f aca="false">IF(X412="","",AL412*(Pengaturan!$B$6+Pengaturan!$B$7)+Pengaturan!$B$8+AE412*Pengaturan!$B$9+AF412*Pengaturan!$B$10)</f>
        <v/>
      </c>
      <c r="AN412" s="22" t="str">
        <f aca="false">IF(X412="","",N(G412)-AM412)</f>
        <v/>
      </c>
      <c r="AO412" s="25" t="str">
        <f aca="false">IF(OR(X412="",N(G412)=0),"",AN412/G412)</f>
        <v/>
      </c>
    </row>
    <row r="413" customFormat="false" ht="15" hidden="false" customHeight="false" outlineLevel="0" collapsed="false">
      <c r="A413" s="19"/>
      <c r="B413" s="20"/>
      <c r="C413" s="19"/>
      <c r="D413" s="19"/>
      <c r="E413" s="19"/>
      <c r="F413" s="19"/>
      <c r="G413" s="21"/>
      <c r="H413" s="19"/>
      <c r="I413" s="21"/>
      <c r="J413" s="19"/>
      <c r="K413" s="20"/>
      <c r="L413" s="20"/>
      <c r="M413" s="19"/>
      <c r="N413" s="19"/>
      <c r="O413" s="20"/>
      <c r="P413" s="20"/>
      <c r="Q413" s="19"/>
      <c r="R413" s="22" t="str">
        <f aca="false">IF(A413="","",N(G413)+N(I413))</f>
        <v/>
      </c>
      <c r="S413" s="23" t="str">
        <f aca="false">IF(OR(K413="",O413=""),"",O413-K413)</f>
        <v/>
      </c>
      <c r="T413" s="23" t="str">
        <f aca="true">IF(AND(C413="Cetak",L413&lt;&gt;"",L413&lt;TODAY()),"YA","")</f>
        <v/>
      </c>
      <c r="U413" s="23" t="str">
        <f aca="false">IF(B413="","",TEXT(B413,"yyyy-mm"))</f>
        <v/>
      </c>
      <c r="V413" s="23" t="str">
        <f aca="false">IF(K413="","",TEXT(K413,"yyyy-mm"))</f>
        <v/>
      </c>
      <c r="W413" s="23" t="n">
        <f aca="false">IF(OR(C413="Cetak",C413="Dikirim",C413="Selesai"),1,0)</f>
        <v>0</v>
      </c>
      <c r="X413" s="23" t="str">
        <f aca="false">IF(F413="","",SUBSTITUTE(SUBSTITUTE(MID(UPPER(TRIM(F413)),4,99),"-LED",""),"-TK",""))</f>
        <v/>
      </c>
      <c r="Y413" s="23" t="str">
        <f aca="false">IF(X413="","",(LEN(X413)+1)/7)</f>
        <v/>
      </c>
      <c r="Z413" s="23" t="str">
        <f aca="false">IF(X413="","",LEFT(X413,6))</f>
        <v/>
      </c>
      <c r="AA413" s="23" t="str">
        <f aca="false">IF(X413="","",IF(Y413&gt;=3,MID(X413,8,6),""))</f>
        <v/>
      </c>
      <c r="AB413" s="23" t="str">
        <f aca="false">IF(X413="","",IF(Y413&gt;=4,MID(X413,15,6),""))</f>
        <v/>
      </c>
      <c r="AC413" s="23" t="str">
        <f aca="false">IF(X413="","",IF(Y413&gt;=5,MID(X413,22,6),""))</f>
        <v/>
      </c>
      <c r="AD413" s="23" t="str">
        <f aca="false">IF(X413="","",RIGHT(X413,6))</f>
        <v/>
      </c>
      <c r="AE413" s="23" t="str">
        <f aca="false">IF(F413="","",IF(ISNUMBER(SEARCH("-TK",UPPER(F413))),0,1))</f>
        <v/>
      </c>
      <c r="AF413" s="23" t="str">
        <f aca="false">IF(F413="","",IF(ISNUMBER(SEARCH("-LED",UPPER(F413))),1,0))</f>
        <v/>
      </c>
      <c r="AG413" s="24" t="n">
        <f aca="false">IF(Z413="",0,IFERROR(INDEX(Resep!$C$5:$C$7,MATCH(LEFT(Z413,3),Resep!$B$5:$B$7,0)),0))</f>
        <v>0</v>
      </c>
      <c r="AH413" s="24" t="n">
        <f aca="false">IF(AA413="",0,IFERROR(INDEX(Resep!$C$9:$C$13,MATCH(LEFT(AA413,3),Resep!$B$9:$B$13,0)),0))</f>
        <v>0</v>
      </c>
      <c r="AI413" s="24" t="n">
        <f aca="false">IF(AB413="",0,IFERROR(INDEX(Resep!$C$9:$C$13,MATCH(LEFT(AB413,3),Resep!$B$9:$B$13,0)),0))</f>
        <v>0</v>
      </c>
      <c r="AJ413" s="24" t="n">
        <f aca="false">IF(AC413="",0,IFERROR(INDEX(Resep!$C$9:$C$13,MATCH(LEFT(AC413,3),Resep!$B$9:$B$13,0)),0))</f>
        <v>0</v>
      </c>
      <c r="AK413" s="24" t="n">
        <f aca="false">IF(AD413="",0,IFERROR(INDEX(Resep!$C$15:$C$18,MATCH(LEFT(AD413,3),Resep!$B$15:$B$18,0)),0))</f>
        <v>0</v>
      </c>
      <c r="AL413" s="24" t="str">
        <f aca="false">IF(X413="","",AG413+AH413+AI413+AJ413+AK413)</f>
        <v/>
      </c>
      <c r="AM413" s="22" t="str">
        <f aca="false">IF(X413="","",AL413*(Pengaturan!$B$6+Pengaturan!$B$7)+Pengaturan!$B$8+AE413*Pengaturan!$B$9+AF413*Pengaturan!$B$10)</f>
        <v/>
      </c>
      <c r="AN413" s="22" t="str">
        <f aca="false">IF(X413="","",N(G413)-AM413)</f>
        <v/>
      </c>
      <c r="AO413" s="25" t="str">
        <f aca="false">IF(OR(X413="",N(G413)=0),"",AN413/G413)</f>
        <v/>
      </c>
    </row>
    <row r="414" customFormat="false" ht="15" hidden="false" customHeight="false" outlineLevel="0" collapsed="false">
      <c r="A414" s="19"/>
      <c r="B414" s="20"/>
      <c r="C414" s="19"/>
      <c r="D414" s="19"/>
      <c r="E414" s="19"/>
      <c r="F414" s="19"/>
      <c r="G414" s="21"/>
      <c r="H414" s="19"/>
      <c r="I414" s="21"/>
      <c r="J414" s="19"/>
      <c r="K414" s="20"/>
      <c r="L414" s="20"/>
      <c r="M414" s="19"/>
      <c r="N414" s="19"/>
      <c r="O414" s="20"/>
      <c r="P414" s="20"/>
      <c r="Q414" s="19"/>
      <c r="R414" s="22" t="str">
        <f aca="false">IF(A414="","",N(G414)+N(I414))</f>
        <v/>
      </c>
      <c r="S414" s="23" t="str">
        <f aca="false">IF(OR(K414="",O414=""),"",O414-K414)</f>
        <v/>
      </c>
      <c r="T414" s="23" t="str">
        <f aca="true">IF(AND(C414="Cetak",L414&lt;&gt;"",L414&lt;TODAY()),"YA","")</f>
        <v/>
      </c>
      <c r="U414" s="23" t="str">
        <f aca="false">IF(B414="","",TEXT(B414,"yyyy-mm"))</f>
        <v/>
      </c>
      <c r="V414" s="23" t="str">
        <f aca="false">IF(K414="","",TEXT(K414,"yyyy-mm"))</f>
        <v/>
      </c>
      <c r="W414" s="23" t="n">
        <f aca="false">IF(OR(C414="Cetak",C414="Dikirim",C414="Selesai"),1,0)</f>
        <v>0</v>
      </c>
      <c r="X414" s="23" t="str">
        <f aca="false">IF(F414="","",SUBSTITUTE(SUBSTITUTE(MID(UPPER(TRIM(F414)),4,99),"-LED",""),"-TK",""))</f>
        <v/>
      </c>
      <c r="Y414" s="23" t="str">
        <f aca="false">IF(X414="","",(LEN(X414)+1)/7)</f>
        <v/>
      </c>
      <c r="Z414" s="23" t="str">
        <f aca="false">IF(X414="","",LEFT(X414,6))</f>
        <v/>
      </c>
      <c r="AA414" s="23" t="str">
        <f aca="false">IF(X414="","",IF(Y414&gt;=3,MID(X414,8,6),""))</f>
        <v/>
      </c>
      <c r="AB414" s="23" t="str">
        <f aca="false">IF(X414="","",IF(Y414&gt;=4,MID(X414,15,6),""))</f>
        <v/>
      </c>
      <c r="AC414" s="23" t="str">
        <f aca="false">IF(X414="","",IF(Y414&gt;=5,MID(X414,22,6),""))</f>
        <v/>
      </c>
      <c r="AD414" s="23" t="str">
        <f aca="false">IF(X414="","",RIGHT(X414,6))</f>
        <v/>
      </c>
      <c r="AE414" s="23" t="str">
        <f aca="false">IF(F414="","",IF(ISNUMBER(SEARCH("-TK",UPPER(F414))),0,1))</f>
        <v/>
      </c>
      <c r="AF414" s="23" t="str">
        <f aca="false">IF(F414="","",IF(ISNUMBER(SEARCH("-LED",UPPER(F414))),1,0))</f>
        <v/>
      </c>
      <c r="AG414" s="24" t="n">
        <f aca="false">IF(Z414="",0,IFERROR(INDEX(Resep!$C$5:$C$7,MATCH(LEFT(Z414,3),Resep!$B$5:$B$7,0)),0))</f>
        <v>0</v>
      </c>
      <c r="AH414" s="24" t="n">
        <f aca="false">IF(AA414="",0,IFERROR(INDEX(Resep!$C$9:$C$13,MATCH(LEFT(AA414,3),Resep!$B$9:$B$13,0)),0))</f>
        <v>0</v>
      </c>
      <c r="AI414" s="24" t="n">
        <f aca="false">IF(AB414="",0,IFERROR(INDEX(Resep!$C$9:$C$13,MATCH(LEFT(AB414,3),Resep!$B$9:$B$13,0)),0))</f>
        <v>0</v>
      </c>
      <c r="AJ414" s="24" t="n">
        <f aca="false">IF(AC414="",0,IFERROR(INDEX(Resep!$C$9:$C$13,MATCH(LEFT(AC414,3),Resep!$B$9:$B$13,0)),0))</f>
        <v>0</v>
      </c>
      <c r="AK414" s="24" t="n">
        <f aca="false">IF(AD414="",0,IFERROR(INDEX(Resep!$C$15:$C$18,MATCH(LEFT(AD414,3),Resep!$B$15:$B$18,0)),0))</f>
        <v>0</v>
      </c>
      <c r="AL414" s="24" t="str">
        <f aca="false">IF(X414="","",AG414+AH414+AI414+AJ414+AK414)</f>
        <v/>
      </c>
      <c r="AM414" s="22" t="str">
        <f aca="false">IF(X414="","",AL414*(Pengaturan!$B$6+Pengaturan!$B$7)+Pengaturan!$B$8+AE414*Pengaturan!$B$9+AF414*Pengaturan!$B$10)</f>
        <v/>
      </c>
      <c r="AN414" s="22" t="str">
        <f aca="false">IF(X414="","",N(G414)-AM414)</f>
        <v/>
      </c>
      <c r="AO414" s="25" t="str">
        <f aca="false">IF(OR(X414="",N(G414)=0),"",AN414/G414)</f>
        <v/>
      </c>
    </row>
    <row r="415" customFormat="false" ht="15" hidden="false" customHeight="false" outlineLevel="0" collapsed="false">
      <c r="A415" s="19"/>
      <c r="B415" s="20"/>
      <c r="C415" s="19"/>
      <c r="D415" s="19"/>
      <c r="E415" s="19"/>
      <c r="F415" s="19"/>
      <c r="G415" s="21"/>
      <c r="H415" s="19"/>
      <c r="I415" s="21"/>
      <c r="J415" s="19"/>
      <c r="K415" s="20"/>
      <c r="L415" s="20"/>
      <c r="M415" s="19"/>
      <c r="N415" s="19"/>
      <c r="O415" s="20"/>
      <c r="P415" s="20"/>
      <c r="Q415" s="19"/>
      <c r="R415" s="22" t="str">
        <f aca="false">IF(A415="","",N(G415)+N(I415))</f>
        <v/>
      </c>
      <c r="S415" s="23" t="str">
        <f aca="false">IF(OR(K415="",O415=""),"",O415-K415)</f>
        <v/>
      </c>
      <c r="T415" s="23" t="str">
        <f aca="true">IF(AND(C415="Cetak",L415&lt;&gt;"",L415&lt;TODAY()),"YA","")</f>
        <v/>
      </c>
      <c r="U415" s="23" t="str">
        <f aca="false">IF(B415="","",TEXT(B415,"yyyy-mm"))</f>
        <v/>
      </c>
      <c r="V415" s="23" t="str">
        <f aca="false">IF(K415="","",TEXT(K415,"yyyy-mm"))</f>
        <v/>
      </c>
      <c r="W415" s="23" t="n">
        <f aca="false">IF(OR(C415="Cetak",C415="Dikirim",C415="Selesai"),1,0)</f>
        <v>0</v>
      </c>
      <c r="X415" s="23" t="str">
        <f aca="false">IF(F415="","",SUBSTITUTE(SUBSTITUTE(MID(UPPER(TRIM(F415)),4,99),"-LED",""),"-TK",""))</f>
        <v/>
      </c>
      <c r="Y415" s="23" t="str">
        <f aca="false">IF(X415="","",(LEN(X415)+1)/7)</f>
        <v/>
      </c>
      <c r="Z415" s="23" t="str">
        <f aca="false">IF(X415="","",LEFT(X415,6))</f>
        <v/>
      </c>
      <c r="AA415" s="23" t="str">
        <f aca="false">IF(X415="","",IF(Y415&gt;=3,MID(X415,8,6),""))</f>
        <v/>
      </c>
      <c r="AB415" s="23" t="str">
        <f aca="false">IF(X415="","",IF(Y415&gt;=4,MID(X415,15,6),""))</f>
        <v/>
      </c>
      <c r="AC415" s="23" t="str">
        <f aca="false">IF(X415="","",IF(Y415&gt;=5,MID(X415,22,6),""))</f>
        <v/>
      </c>
      <c r="AD415" s="23" t="str">
        <f aca="false">IF(X415="","",RIGHT(X415,6))</f>
        <v/>
      </c>
      <c r="AE415" s="23" t="str">
        <f aca="false">IF(F415="","",IF(ISNUMBER(SEARCH("-TK",UPPER(F415))),0,1))</f>
        <v/>
      </c>
      <c r="AF415" s="23" t="str">
        <f aca="false">IF(F415="","",IF(ISNUMBER(SEARCH("-LED",UPPER(F415))),1,0))</f>
        <v/>
      </c>
      <c r="AG415" s="24" t="n">
        <f aca="false">IF(Z415="",0,IFERROR(INDEX(Resep!$C$5:$C$7,MATCH(LEFT(Z415,3),Resep!$B$5:$B$7,0)),0))</f>
        <v>0</v>
      </c>
      <c r="AH415" s="24" t="n">
        <f aca="false">IF(AA415="",0,IFERROR(INDEX(Resep!$C$9:$C$13,MATCH(LEFT(AA415,3),Resep!$B$9:$B$13,0)),0))</f>
        <v>0</v>
      </c>
      <c r="AI415" s="24" t="n">
        <f aca="false">IF(AB415="",0,IFERROR(INDEX(Resep!$C$9:$C$13,MATCH(LEFT(AB415,3),Resep!$B$9:$B$13,0)),0))</f>
        <v>0</v>
      </c>
      <c r="AJ415" s="24" t="n">
        <f aca="false">IF(AC415="",0,IFERROR(INDEX(Resep!$C$9:$C$13,MATCH(LEFT(AC415,3),Resep!$B$9:$B$13,0)),0))</f>
        <v>0</v>
      </c>
      <c r="AK415" s="24" t="n">
        <f aca="false">IF(AD415="",0,IFERROR(INDEX(Resep!$C$15:$C$18,MATCH(LEFT(AD415,3),Resep!$B$15:$B$18,0)),0))</f>
        <v>0</v>
      </c>
      <c r="AL415" s="24" t="str">
        <f aca="false">IF(X415="","",AG415+AH415+AI415+AJ415+AK415)</f>
        <v/>
      </c>
      <c r="AM415" s="22" t="str">
        <f aca="false">IF(X415="","",AL415*(Pengaturan!$B$6+Pengaturan!$B$7)+Pengaturan!$B$8+AE415*Pengaturan!$B$9+AF415*Pengaturan!$B$10)</f>
        <v/>
      </c>
      <c r="AN415" s="22" t="str">
        <f aca="false">IF(X415="","",N(G415)-AM415)</f>
        <v/>
      </c>
      <c r="AO415" s="25" t="str">
        <f aca="false">IF(OR(X415="",N(G415)=0),"",AN415/G415)</f>
        <v/>
      </c>
    </row>
    <row r="416" customFormat="false" ht="15" hidden="false" customHeight="false" outlineLevel="0" collapsed="false">
      <c r="A416" s="19"/>
      <c r="B416" s="20"/>
      <c r="C416" s="19"/>
      <c r="D416" s="19"/>
      <c r="E416" s="19"/>
      <c r="F416" s="19"/>
      <c r="G416" s="21"/>
      <c r="H416" s="19"/>
      <c r="I416" s="21"/>
      <c r="J416" s="19"/>
      <c r="K416" s="20"/>
      <c r="L416" s="20"/>
      <c r="M416" s="19"/>
      <c r="N416" s="19"/>
      <c r="O416" s="20"/>
      <c r="P416" s="20"/>
      <c r="Q416" s="19"/>
      <c r="R416" s="22" t="str">
        <f aca="false">IF(A416="","",N(G416)+N(I416))</f>
        <v/>
      </c>
      <c r="S416" s="23" t="str">
        <f aca="false">IF(OR(K416="",O416=""),"",O416-K416)</f>
        <v/>
      </c>
      <c r="T416" s="23" t="str">
        <f aca="true">IF(AND(C416="Cetak",L416&lt;&gt;"",L416&lt;TODAY()),"YA","")</f>
        <v/>
      </c>
      <c r="U416" s="23" t="str">
        <f aca="false">IF(B416="","",TEXT(B416,"yyyy-mm"))</f>
        <v/>
      </c>
      <c r="V416" s="23" t="str">
        <f aca="false">IF(K416="","",TEXT(K416,"yyyy-mm"))</f>
        <v/>
      </c>
      <c r="W416" s="23" t="n">
        <f aca="false">IF(OR(C416="Cetak",C416="Dikirim",C416="Selesai"),1,0)</f>
        <v>0</v>
      </c>
      <c r="X416" s="23" t="str">
        <f aca="false">IF(F416="","",SUBSTITUTE(SUBSTITUTE(MID(UPPER(TRIM(F416)),4,99),"-LED",""),"-TK",""))</f>
        <v/>
      </c>
      <c r="Y416" s="23" t="str">
        <f aca="false">IF(X416="","",(LEN(X416)+1)/7)</f>
        <v/>
      </c>
      <c r="Z416" s="23" t="str">
        <f aca="false">IF(X416="","",LEFT(X416,6))</f>
        <v/>
      </c>
      <c r="AA416" s="23" t="str">
        <f aca="false">IF(X416="","",IF(Y416&gt;=3,MID(X416,8,6),""))</f>
        <v/>
      </c>
      <c r="AB416" s="23" t="str">
        <f aca="false">IF(X416="","",IF(Y416&gt;=4,MID(X416,15,6),""))</f>
        <v/>
      </c>
      <c r="AC416" s="23" t="str">
        <f aca="false">IF(X416="","",IF(Y416&gt;=5,MID(X416,22,6),""))</f>
        <v/>
      </c>
      <c r="AD416" s="23" t="str">
        <f aca="false">IF(X416="","",RIGHT(X416,6))</f>
        <v/>
      </c>
      <c r="AE416" s="23" t="str">
        <f aca="false">IF(F416="","",IF(ISNUMBER(SEARCH("-TK",UPPER(F416))),0,1))</f>
        <v/>
      </c>
      <c r="AF416" s="23" t="str">
        <f aca="false">IF(F416="","",IF(ISNUMBER(SEARCH("-LED",UPPER(F416))),1,0))</f>
        <v/>
      </c>
      <c r="AG416" s="24" t="n">
        <f aca="false">IF(Z416="",0,IFERROR(INDEX(Resep!$C$5:$C$7,MATCH(LEFT(Z416,3),Resep!$B$5:$B$7,0)),0))</f>
        <v>0</v>
      </c>
      <c r="AH416" s="24" t="n">
        <f aca="false">IF(AA416="",0,IFERROR(INDEX(Resep!$C$9:$C$13,MATCH(LEFT(AA416,3),Resep!$B$9:$B$13,0)),0))</f>
        <v>0</v>
      </c>
      <c r="AI416" s="24" t="n">
        <f aca="false">IF(AB416="",0,IFERROR(INDEX(Resep!$C$9:$C$13,MATCH(LEFT(AB416,3),Resep!$B$9:$B$13,0)),0))</f>
        <v>0</v>
      </c>
      <c r="AJ416" s="24" t="n">
        <f aca="false">IF(AC416="",0,IFERROR(INDEX(Resep!$C$9:$C$13,MATCH(LEFT(AC416,3),Resep!$B$9:$B$13,0)),0))</f>
        <v>0</v>
      </c>
      <c r="AK416" s="24" t="n">
        <f aca="false">IF(AD416="",0,IFERROR(INDEX(Resep!$C$15:$C$18,MATCH(LEFT(AD416,3),Resep!$B$15:$B$18,0)),0))</f>
        <v>0</v>
      </c>
      <c r="AL416" s="24" t="str">
        <f aca="false">IF(X416="","",AG416+AH416+AI416+AJ416+AK416)</f>
        <v/>
      </c>
      <c r="AM416" s="22" t="str">
        <f aca="false">IF(X416="","",AL416*(Pengaturan!$B$6+Pengaturan!$B$7)+Pengaturan!$B$8+AE416*Pengaturan!$B$9+AF416*Pengaturan!$B$10)</f>
        <v/>
      </c>
      <c r="AN416" s="22" t="str">
        <f aca="false">IF(X416="","",N(G416)-AM416)</f>
        <v/>
      </c>
      <c r="AO416" s="25" t="str">
        <f aca="false">IF(OR(X416="",N(G416)=0),"",AN416/G416)</f>
        <v/>
      </c>
    </row>
    <row r="417" customFormat="false" ht="15" hidden="false" customHeight="false" outlineLevel="0" collapsed="false">
      <c r="A417" s="19"/>
      <c r="B417" s="20"/>
      <c r="C417" s="19"/>
      <c r="D417" s="19"/>
      <c r="E417" s="19"/>
      <c r="F417" s="19"/>
      <c r="G417" s="21"/>
      <c r="H417" s="19"/>
      <c r="I417" s="21"/>
      <c r="J417" s="19"/>
      <c r="K417" s="20"/>
      <c r="L417" s="20"/>
      <c r="M417" s="19"/>
      <c r="N417" s="19"/>
      <c r="O417" s="20"/>
      <c r="P417" s="20"/>
      <c r="Q417" s="19"/>
      <c r="R417" s="22" t="str">
        <f aca="false">IF(A417="","",N(G417)+N(I417))</f>
        <v/>
      </c>
      <c r="S417" s="23" t="str">
        <f aca="false">IF(OR(K417="",O417=""),"",O417-K417)</f>
        <v/>
      </c>
      <c r="T417" s="23" t="str">
        <f aca="true">IF(AND(C417="Cetak",L417&lt;&gt;"",L417&lt;TODAY()),"YA","")</f>
        <v/>
      </c>
      <c r="U417" s="23" t="str">
        <f aca="false">IF(B417="","",TEXT(B417,"yyyy-mm"))</f>
        <v/>
      </c>
      <c r="V417" s="23" t="str">
        <f aca="false">IF(K417="","",TEXT(K417,"yyyy-mm"))</f>
        <v/>
      </c>
      <c r="W417" s="23" t="n">
        <f aca="false">IF(OR(C417="Cetak",C417="Dikirim",C417="Selesai"),1,0)</f>
        <v>0</v>
      </c>
      <c r="X417" s="23" t="str">
        <f aca="false">IF(F417="","",SUBSTITUTE(SUBSTITUTE(MID(UPPER(TRIM(F417)),4,99),"-LED",""),"-TK",""))</f>
        <v/>
      </c>
      <c r="Y417" s="23" t="str">
        <f aca="false">IF(X417="","",(LEN(X417)+1)/7)</f>
        <v/>
      </c>
      <c r="Z417" s="23" t="str">
        <f aca="false">IF(X417="","",LEFT(X417,6))</f>
        <v/>
      </c>
      <c r="AA417" s="23" t="str">
        <f aca="false">IF(X417="","",IF(Y417&gt;=3,MID(X417,8,6),""))</f>
        <v/>
      </c>
      <c r="AB417" s="23" t="str">
        <f aca="false">IF(X417="","",IF(Y417&gt;=4,MID(X417,15,6),""))</f>
        <v/>
      </c>
      <c r="AC417" s="23" t="str">
        <f aca="false">IF(X417="","",IF(Y417&gt;=5,MID(X417,22,6),""))</f>
        <v/>
      </c>
      <c r="AD417" s="23" t="str">
        <f aca="false">IF(X417="","",RIGHT(X417,6))</f>
        <v/>
      </c>
      <c r="AE417" s="23" t="str">
        <f aca="false">IF(F417="","",IF(ISNUMBER(SEARCH("-TK",UPPER(F417))),0,1))</f>
        <v/>
      </c>
      <c r="AF417" s="23" t="str">
        <f aca="false">IF(F417="","",IF(ISNUMBER(SEARCH("-LED",UPPER(F417))),1,0))</f>
        <v/>
      </c>
      <c r="AG417" s="24" t="n">
        <f aca="false">IF(Z417="",0,IFERROR(INDEX(Resep!$C$5:$C$7,MATCH(LEFT(Z417,3),Resep!$B$5:$B$7,0)),0))</f>
        <v>0</v>
      </c>
      <c r="AH417" s="24" t="n">
        <f aca="false">IF(AA417="",0,IFERROR(INDEX(Resep!$C$9:$C$13,MATCH(LEFT(AA417,3),Resep!$B$9:$B$13,0)),0))</f>
        <v>0</v>
      </c>
      <c r="AI417" s="24" t="n">
        <f aca="false">IF(AB417="",0,IFERROR(INDEX(Resep!$C$9:$C$13,MATCH(LEFT(AB417,3),Resep!$B$9:$B$13,0)),0))</f>
        <v>0</v>
      </c>
      <c r="AJ417" s="24" t="n">
        <f aca="false">IF(AC417="",0,IFERROR(INDEX(Resep!$C$9:$C$13,MATCH(LEFT(AC417,3),Resep!$B$9:$B$13,0)),0))</f>
        <v>0</v>
      </c>
      <c r="AK417" s="24" t="n">
        <f aca="false">IF(AD417="",0,IFERROR(INDEX(Resep!$C$15:$C$18,MATCH(LEFT(AD417,3),Resep!$B$15:$B$18,0)),0))</f>
        <v>0</v>
      </c>
      <c r="AL417" s="24" t="str">
        <f aca="false">IF(X417="","",AG417+AH417+AI417+AJ417+AK417)</f>
        <v/>
      </c>
      <c r="AM417" s="22" t="str">
        <f aca="false">IF(X417="","",AL417*(Pengaturan!$B$6+Pengaturan!$B$7)+Pengaturan!$B$8+AE417*Pengaturan!$B$9+AF417*Pengaturan!$B$10)</f>
        <v/>
      </c>
      <c r="AN417" s="22" t="str">
        <f aca="false">IF(X417="","",N(G417)-AM417)</f>
        <v/>
      </c>
      <c r="AO417" s="25" t="str">
        <f aca="false">IF(OR(X417="",N(G417)=0),"",AN417/G417)</f>
        <v/>
      </c>
    </row>
    <row r="418" customFormat="false" ht="15" hidden="false" customHeight="false" outlineLevel="0" collapsed="false">
      <c r="A418" s="19"/>
      <c r="B418" s="20"/>
      <c r="C418" s="19"/>
      <c r="D418" s="19"/>
      <c r="E418" s="19"/>
      <c r="F418" s="19"/>
      <c r="G418" s="21"/>
      <c r="H418" s="19"/>
      <c r="I418" s="21"/>
      <c r="J418" s="19"/>
      <c r="K418" s="20"/>
      <c r="L418" s="20"/>
      <c r="M418" s="19"/>
      <c r="N418" s="19"/>
      <c r="O418" s="20"/>
      <c r="P418" s="20"/>
      <c r="Q418" s="19"/>
      <c r="R418" s="22" t="str">
        <f aca="false">IF(A418="","",N(G418)+N(I418))</f>
        <v/>
      </c>
      <c r="S418" s="23" t="str">
        <f aca="false">IF(OR(K418="",O418=""),"",O418-K418)</f>
        <v/>
      </c>
      <c r="T418" s="23" t="str">
        <f aca="true">IF(AND(C418="Cetak",L418&lt;&gt;"",L418&lt;TODAY()),"YA","")</f>
        <v/>
      </c>
      <c r="U418" s="23" t="str">
        <f aca="false">IF(B418="","",TEXT(B418,"yyyy-mm"))</f>
        <v/>
      </c>
      <c r="V418" s="23" t="str">
        <f aca="false">IF(K418="","",TEXT(K418,"yyyy-mm"))</f>
        <v/>
      </c>
      <c r="W418" s="23" t="n">
        <f aca="false">IF(OR(C418="Cetak",C418="Dikirim",C418="Selesai"),1,0)</f>
        <v>0</v>
      </c>
      <c r="X418" s="23" t="str">
        <f aca="false">IF(F418="","",SUBSTITUTE(SUBSTITUTE(MID(UPPER(TRIM(F418)),4,99),"-LED",""),"-TK",""))</f>
        <v/>
      </c>
      <c r="Y418" s="23" t="str">
        <f aca="false">IF(X418="","",(LEN(X418)+1)/7)</f>
        <v/>
      </c>
      <c r="Z418" s="23" t="str">
        <f aca="false">IF(X418="","",LEFT(X418,6))</f>
        <v/>
      </c>
      <c r="AA418" s="23" t="str">
        <f aca="false">IF(X418="","",IF(Y418&gt;=3,MID(X418,8,6),""))</f>
        <v/>
      </c>
      <c r="AB418" s="23" t="str">
        <f aca="false">IF(X418="","",IF(Y418&gt;=4,MID(X418,15,6),""))</f>
        <v/>
      </c>
      <c r="AC418" s="23" t="str">
        <f aca="false">IF(X418="","",IF(Y418&gt;=5,MID(X418,22,6),""))</f>
        <v/>
      </c>
      <c r="AD418" s="23" t="str">
        <f aca="false">IF(X418="","",RIGHT(X418,6))</f>
        <v/>
      </c>
      <c r="AE418" s="23" t="str">
        <f aca="false">IF(F418="","",IF(ISNUMBER(SEARCH("-TK",UPPER(F418))),0,1))</f>
        <v/>
      </c>
      <c r="AF418" s="23" t="str">
        <f aca="false">IF(F418="","",IF(ISNUMBER(SEARCH("-LED",UPPER(F418))),1,0))</f>
        <v/>
      </c>
      <c r="AG418" s="24" t="n">
        <f aca="false">IF(Z418="",0,IFERROR(INDEX(Resep!$C$5:$C$7,MATCH(LEFT(Z418,3),Resep!$B$5:$B$7,0)),0))</f>
        <v>0</v>
      </c>
      <c r="AH418" s="24" t="n">
        <f aca="false">IF(AA418="",0,IFERROR(INDEX(Resep!$C$9:$C$13,MATCH(LEFT(AA418,3),Resep!$B$9:$B$13,0)),0))</f>
        <v>0</v>
      </c>
      <c r="AI418" s="24" t="n">
        <f aca="false">IF(AB418="",0,IFERROR(INDEX(Resep!$C$9:$C$13,MATCH(LEFT(AB418,3),Resep!$B$9:$B$13,0)),0))</f>
        <v>0</v>
      </c>
      <c r="AJ418" s="24" t="n">
        <f aca="false">IF(AC418="",0,IFERROR(INDEX(Resep!$C$9:$C$13,MATCH(LEFT(AC418,3),Resep!$B$9:$B$13,0)),0))</f>
        <v>0</v>
      </c>
      <c r="AK418" s="24" t="n">
        <f aca="false">IF(AD418="",0,IFERROR(INDEX(Resep!$C$15:$C$18,MATCH(LEFT(AD418,3),Resep!$B$15:$B$18,0)),0))</f>
        <v>0</v>
      </c>
      <c r="AL418" s="24" t="str">
        <f aca="false">IF(X418="","",AG418+AH418+AI418+AJ418+AK418)</f>
        <v/>
      </c>
      <c r="AM418" s="22" t="str">
        <f aca="false">IF(X418="","",AL418*(Pengaturan!$B$6+Pengaturan!$B$7)+Pengaturan!$B$8+AE418*Pengaturan!$B$9+AF418*Pengaturan!$B$10)</f>
        <v/>
      </c>
      <c r="AN418" s="22" t="str">
        <f aca="false">IF(X418="","",N(G418)-AM418)</f>
        <v/>
      </c>
      <c r="AO418" s="25" t="str">
        <f aca="false">IF(OR(X418="",N(G418)=0),"",AN418/G418)</f>
        <v/>
      </c>
    </row>
    <row r="419" customFormat="false" ht="15" hidden="false" customHeight="false" outlineLevel="0" collapsed="false">
      <c r="A419" s="19"/>
      <c r="B419" s="20"/>
      <c r="C419" s="19"/>
      <c r="D419" s="19"/>
      <c r="E419" s="19"/>
      <c r="F419" s="19"/>
      <c r="G419" s="21"/>
      <c r="H419" s="19"/>
      <c r="I419" s="21"/>
      <c r="J419" s="19"/>
      <c r="K419" s="20"/>
      <c r="L419" s="20"/>
      <c r="M419" s="19"/>
      <c r="N419" s="19"/>
      <c r="O419" s="20"/>
      <c r="P419" s="20"/>
      <c r="Q419" s="19"/>
      <c r="R419" s="22" t="str">
        <f aca="false">IF(A419="","",N(G419)+N(I419))</f>
        <v/>
      </c>
      <c r="S419" s="23" t="str">
        <f aca="false">IF(OR(K419="",O419=""),"",O419-K419)</f>
        <v/>
      </c>
      <c r="T419" s="23" t="str">
        <f aca="true">IF(AND(C419="Cetak",L419&lt;&gt;"",L419&lt;TODAY()),"YA","")</f>
        <v/>
      </c>
      <c r="U419" s="23" t="str">
        <f aca="false">IF(B419="","",TEXT(B419,"yyyy-mm"))</f>
        <v/>
      </c>
      <c r="V419" s="23" t="str">
        <f aca="false">IF(K419="","",TEXT(K419,"yyyy-mm"))</f>
        <v/>
      </c>
      <c r="W419" s="23" t="n">
        <f aca="false">IF(OR(C419="Cetak",C419="Dikirim",C419="Selesai"),1,0)</f>
        <v>0</v>
      </c>
      <c r="X419" s="23" t="str">
        <f aca="false">IF(F419="","",SUBSTITUTE(SUBSTITUTE(MID(UPPER(TRIM(F419)),4,99),"-LED",""),"-TK",""))</f>
        <v/>
      </c>
      <c r="Y419" s="23" t="str">
        <f aca="false">IF(X419="","",(LEN(X419)+1)/7)</f>
        <v/>
      </c>
      <c r="Z419" s="23" t="str">
        <f aca="false">IF(X419="","",LEFT(X419,6))</f>
        <v/>
      </c>
      <c r="AA419" s="23" t="str">
        <f aca="false">IF(X419="","",IF(Y419&gt;=3,MID(X419,8,6),""))</f>
        <v/>
      </c>
      <c r="AB419" s="23" t="str">
        <f aca="false">IF(X419="","",IF(Y419&gt;=4,MID(X419,15,6),""))</f>
        <v/>
      </c>
      <c r="AC419" s="23" t="str">
        <f aca="false">IF(X419="","",IF(Y419&gt;=5,MID(X419,22,6),""))</f>
        <v/>
      </c>
      <c r="AD419" s="23" t="str">
        <f aca="false">IF(X419="","",RIGHT(X419,6))</f>
        <v/>
      </c>
      <c r="AE419" s="23" t="str">
        <f aca="false">IF(F419="","",IF(ISNUMBER(SEARCH("-TK",UPPER(F419))),0,1))</f>
        <v/>
      </c>
      <c r="AF419" s="23" t="str">
        <f aca="false">IF(F419="","",IF(ISNUMBER(SEARCH("-LED",UPPER(F419))),1,0))</f>
        <v/>
      </c>
      <c r="AG419" s="24" t="n">
        <f aca="false">IF(Z419="",0,IFERROR(INDEX(Resep!$C$5:$C$7,MATCH(LEFT(Z419,3),Resep!$B$5:$B$7,0)),0))</f>
        <v>0</v>
      </c>
      <c r="AH419" s="24" t="n">
        <f aca="false">IF(AA419="",0,IFERROR(INDEX(Resep!$C$9:$C$13,MATCH(LEFT(AA419,3),Resep!$B$9:$B$13,0)),0))</f>
        <v>0</v>
      </c>
      <c r="AI419" s="24" t="n">
        <f aca="false">IF(AB419="",0,IFERROR(INDEX(Resep!$C$9:$C$13,MATCH(LEFT(AB419,3),Resep!$B$9:$B$13,0)),0))</f>
        <v>0</v>
      </c>
      <c r="AJ419" s="24" t="n">
        <f aca="false">IF(AC419="",0,IFERROR(INDEX(Resep!$C$9:$C$13,MATCH(LEFT(AC419,3),Resep!$B$9:$B$13,0)),0))</f>
        <v>0</v>
      </c>
      <c r="AK419" s="24" t="n">
        <f aca="false">IF(AD419="",0,IFERROR(INDEX(Resep!$C$15:$C$18,MATCH(LEFT(AD419,3),Resep!$B$15:$B$18,0)),0))</f>
        <v>0</v>
      </c>
      <c r="AL419" s="24" t="str">
        <f aca="false">IF(X419="","",AG419+AH419+AI419+AJ419+AK419)</f>
        <v/>
      </c>
      <c r="AM419" s="22" t="str">
        <f aca="false">IF(X419="","",AL419*(Pengaturan!$B$6+Pengaturan!$B$7)+Pengaturan!$B$8+AE419*Pengaturan!$B$9+AF419*Pengaturan!$B$10)</f>
        <v/>
      </c>
      <c r="AN419" s="22" t="str">
        <f aca="false">IF(X419="","",N(G419)-AM419)</f>
        <v/>
      </c>
      <c r="AO419" s="25" t="str">
        <f aca="false">IF(OR(X419="",N(G419)=0),"",AN419/G419)</f>
        <v/>
      </c>
    </row>
    <row r="420" customFormat="false" ht="15" hidden="false" customHeight="false" outlineLevel="0" collapsed="false">
      <c r="A420" s="19"/>
      <c r="B420" s="20"/>
      <c r="C420" s="19"/>
      <c r="D420" s="19"/>
      <c r="E420" s="19"/>
      <c r="F420" s="19"/>
      <c r="G420" s="21"/>
      <c r="H420" s="19"/>
      <c r="I420" s="21"/>
      <c r="J420" s="19"/>
      <c r="K420" s="20"/>
      <c r="L420" s="20"/>
      <c r="M420" s="19"/>
      <c r="N420" s="19"/>
      <c r="O420" s="20"/>
      <c r="P420" s="20"/>
      <c r="Q420" s="19"/>
      <c r="R420" s="22" t="str">
        <f aca="false">IF(A420="","",N(G420)+N(I420))</f>
        <v/>
      </c>
      <c r="S420" s="23" t="str">
        <f aca="false">IF(OR(K420="",O420=""),"",O420-K420)</f>
        <v/>
      </c>
      <c r="T420" s="23" t="str">
        <f aca="true">IF(AND(C420="Cetak",L420&lt;&gt;"",L420&lt;TODAY()),"YA","")</f>
        <v/>
      </c>
      <c r="U420" s="23" t="str">
        <f aca="false">IF(B420="","",TEXT(B420,"yyyy-mm"))</f>
        <v/>
      </c>
      <c r="V420" s="23" t="str">
        <f aca="false">IF(K420="","",TEXT(K420,"yyyy-mm"))</f>
        <v/>
      </c>
      <c r="W420" s="23" t="n">
        <f aca="false">IF(OR(C420="Cetak",C420="Dikirim",C420="Selesai"),1,0)</f>
        <v>0</v>
      </c>
      <c r="X420" s="23" t="str">
        <f aca="false">IF(F420="","",SUBSTITUTE(SUBSTITUTE(MID(UPPER(TRIM(F420)),4,99),"-LED",""),"-TK",""))</f>
        <v/>
      </c>
      <c r="Y420" s="23" t="str">
        <f aca="false">IF(X420="","",(LEN(X420)+1)/7)</f>
        <v/>
      </c>
      <c r="Z420" s="23" t="str">
        <f aca="false">IF(X420="","",LEFT(X420,6))</f>
        <v/>
      </c>
      <c r="AA420" s="23" t="str">
        <f aca="false">IF(X420="","",IF(Y420&gt;=3,MID(X420,8,6),""))</f>
        <v/>
      </c>
      <c r="AB420" s="23" t="str">
        <f aca="false">IF(X420="","",IF(Y420&gt;=4,MID(X420,15,6),""))</f>
        <v/>
      </c>
      <c r="AC420" s="23" t="str">
        <f aca="false">IF(X420="","",IF(Y420&gt;=5,MID(X420,22,6),""))</f>
        <v/>
      </c>
      <c r="AD420" s="23" t="str">
        <f aca="false">IF(X420="","",RIGHT(X420,6))</f>
        <v/>
      </c>
      <c r="AE420" s="23" t="str">
        <f aca="false">IF(F420="","",IF(ISNUMBER(SEARCH("-TK",UPPER(F420))),0,1))</f>
        <v/>
      </c>
      <c r="AF420" s="23" t="str">
        <f aca="false">IF(F420="","",IF(ISNUMBER(SEARCH("-LED",UPPER(F420))),1,0))</f>
        <v/>
      </c>
      <c r="AG420" s="24" t="n">
        <f aca="false">IF(Z420="",0,IFERROR(INDEX(Resep!$C$5:$C$7,MATCH(LEFT(Z420,3),Resep!$B$5:$B$7,0)),0))</f>
        <v>0</v>
      </c>
      <c r="AH420" s="24" t="n">
        <f aca="false">IF(AA420="",0,IFERROR(INDEX(Resep!$C$9:$C$13,MATCH(LEFT(AA420,3),Resep!$B$9:$B$13,0)),0))</f>
        <v>0</v>
      </c>
      <c r="AI420" s="24" t="n">
        <f aca="false">IF(AB420="",0,IFERROR(INDEX(Resep!$C$9:$C$13,MATCH(LEFT(AB420,3),Resep!$B$9:$B$13,0)),0))</f>
        <v>0</v>
      </c>
      <c r="AJ420" s="24" t="n">
        <f aca="false">IF(AC420="",0,IFERROR(INDEX(Resep!$C$9:$C$13,MATCH(LEFT(AC420,3),Resep!$B$9:$B$13,0)),0))</f>
        <v>0</v>
      </c>
      <c r="AK420" s="24" t="n">
        <f aca="false">IF(AD420="",0,IFERROR(INDEX(Resep!$C$15:$C$18,MATCH(LEFT(AD420,3),Resep!$B$15:$B$18,0)),0))</f>
        <v>0</v>
      </c>
      <c r="AL420" s="24" t="str">
        <f aca="false">IF(X420="","",AG420+AH420+AI420+AJ420+AK420)</f>
        <v/>
      </c>
      <c r="AM420" s="22" t="str">
        <f aca="false">IF(X420="","",AL420*(Pengaturan!$B$6+Pengaturan!$B$7)+Pengaturan!$B$8+AE420*Pengaturan!$B$9+AF420*Pengaturan!$B$10)</f>
        <v/>
      </c>
      <c r="AN420" s="22" t="str">
        <f aca="false">IF(X420="","",N(G420)-AM420)</f>
        <v/>
      </c>
      <c r="AO420" s="25" t="str">
        <f aca="false">IF(OR(X420="",N(G420)=0),"",AN420/G420)</f>
        <v/>
      </c>
    </row>
    <row r="421" customFormat="false" ht="15" hidden="false" customHeight="false" outlineLevel="0" collapsed="false">
      <c r="A421" s="19"/>
      <c r="B421" s="20"/>
      <c r="C421" s="19"/>
      <c r="D421" s="19"/>
      <c r="E421" s="19"/>
      <c r="F421" s="19"/>
      <c r="G421" s="21"/>
      <c r="H421" s="19"/>
      <c r="I421" s="21"/>
      <c r="J421" s="19"/>
      <c r="K421" s="20"/>
      <c r="L421" s="20"/>
      <c r="M421" s="19"/>
      <c r="N421" s="19"/>
      <c r="O421" s="20"/>
      <c r="P421" s="20"/>
      <c r="Q421" s="19"/>
      <c r="R421" s="22" t="str">
        <f aca="false">IF(A421="","",N(G421)+N(I421))</f>
        <v/>
      </c>
      <c r="S421" s="23" t="str">
        <f aca="false">IF(OR(K421="",O421=""),"",O421-K421)</f>
        <v/>
      </c>
      <c r="T421" s="23" t="str">
        <f aca="true">IF(AND(C421="Cetak",L421&lt;&gt;"",L421&lt;TODAY()),"YA","")</f>
        <v/>
      </c>
      <c r="U421" s="23" t="str">
        <f aca="false">IF(B421="","",TEXT(B421,"yyyy-mm"))</f>
        <v/>
      </c>
      <c r="V421" s="23" t="str">
        <f aca="false">IF(K421="","",TEXT(K421,"yyyy-mm"))</f>
        <v/>
      </c>
      <c r="W421" s="23" t="n">
        <f aca="false">IF(OR(C421="Cetak",C421="Dikirim",C421="Selesai"),1,0)</f>
        <v>0</v>
      </c>
      <c r="X421" s="23" t="str">
        <f aca="false">IF(F421="","",SUBSTITUTE(SUBSTITUTE(MID(UPPER(TRIM(F421)),4,99),"-LED",""),"-TK",""))</f>
        <v/>
      </c>
      <c r="Y421" s="23" t="str">
        <f aca="false">IF(X421="","",(LEN(X421)+1)/7)</f>
        <v/>
      </c>
      <c r="Z421" s="23" t="str">
        <f aca="false">IF(X421="","",LEFT(X421,6))</f>
        <v/>
      </c>
      <c r="AA421" s="23" t="str">
        <f aca="false">IF(X421="","",IF(Y421&gt;=3,MID(X421,8,6),""))</f>
        <v/>
      </c>
      <c r="AB421" s="23" t="str">
        <f aca="false">IF(X421="","",IF(Y421&gt;=4,MID(X421,15,6),""))</f>
        <v/>
      </c>
      <c r="AC421" s="23" t="str">
        <f aca="false">IF(X421="","",IF(Y421&gt;=5,MID(X421,22,6),""))</f>
        <v/>
      </c>
      <c r="AD421" s="23" t="str">
        <f aca="false">IF(X421="","",RIGHT(X421,6))</f>
        <v/>
      </c>
      <c r="AE421" s="23" t="str">
        <f aca="false">IF(F421="","",IF(ISNUMBER(SEARCH("-TK",UPPER(F421))),0,1))</f>
        <v/>
      </c>
      <c r="AF421" s="23" t="str">
        <f aca="false">IF(F421="","",IF(ISNUMBER(SEARCH("-LED",UPPER(F421))),1,0))</f>
        <v/>
      </c>
      <c r="AG421" s="24" t="n">
        <f aca="false">IF(Z421="",0,IFERROR(INDEX(Resep!$C$5:$C$7,MATCH(LEFT(Z421,3),Resep!$B$5:$B$7,0)),0))</f>
        <v>0</v>
      </c>
      <c r="AH421" s="24" t="n">
        <f aca="false">IF(AA421="",0,IFERROR(INDEX(Resep!$C$9:$C$13,MATCH(LEFT(AA421,3),Resep!$B$9:$B$13,0)),0))</f>
        <v>0</v>
      </c>
      <c r="AI421" s="24" t="n">
        <f aca="false">IF(AB421="",0,IFERROR(INDEX(Resep!$C$9:$C$13,MATCH(LEFT(AB421,3),Resep!$B$9:$B$13,0)),0))</f>
        <v>0</v>
      </c>
      <c r="AJ421" s="24" t="n">
        <f aca="false">IF(AC421="",0,IFERROR(INDEX(Resep!$C$9:$C$13,MATCH(LEFT(AC421,3),Resep!$B$9:$B$13,0)),0))</f>
        <v>0</v>
      </c>
      <c r="AK421" s="24" t="n">
        <f aca="false">IF(AD421="",0,IFERROR(INDEX(Resep!$C$15:$C$18,MATCH(LEFT(AD421,3),Resep!$B$15:$B$18,0)),0))</f>
        <v>0</v>
      </c>
      <c r="AL421" s="24" t="str">
        <f aca="false">IF(X421="","",AG421+AH421+AI421+AJ421+AK421)</f>
        <v/>
      </c>
      <c r="AM421" s="22" t="str">
        <f aca="false">IF(X421="","",AL421*(Pengaturan!$B$6+Pengaturan!$B$7)+Pengaturan!$B$8+AE421*Pengaturan!$B$9+AF421*Pengaturan!$B$10)</f>
        <v/>
      </c>
      <c r="AN421" s="22" t="str">
        <f aca="false">IF(X421="","",N(G421)-AM421)</f>
        <v/>
      </c>
      <c r="AO421" s="25" t="str">
        <f aca="false">IF(OR(X421="",N(G421)=0),"",AN421/G421)</f>
        <v/>
      </c>
    </row>
    <row r="422" customFormat="false" ht="15" hidden="false" customHeight="false" outlineLevel="0" collapsed="false">
      <c r="A422" s="19"/>
      <c r="B422" s="20"/>
      <c r="C422" s="19"/>
      <c r="D422" s="19"/>
      <c r="E422" s="19"/>
      <c r="F422" s="19"/>
      <c r="G422" s="21"/>
      <c r="H422" s="19"/>
      <c r="I422" s="21"/>
      <c r="J422" s="19"/>
      <c r="K422" s="20"/>
      <c r="L422" s="20"/>
      <c r="M422" s="19"/>
      <c r="N422" s="19"/>
      <c r="O422" s="20"/>
      <c r="P422" s="20"/>
      <c r="Q422" s="19"/>
      <c r="R422" s="22" t="str">
        <f aca="false">IF(A422="","",N(G422)+N(I422))</f>
        <v/>
      </c>
      <c r="S422" s="23" t="str">
        <f aca="false">IF(OR(K422="",O422=""),"",O422-K422)</f>
        <v/>
      </c>
      <c r="T422" s="23" t="str">
        <f aca="true">IF(AND(C422="Cetak",L422&lt;&gt;"",L422&lt;TODAY()),"YA","")</f>
        <v/>
      </c>
      <c r="U422" s="23" t="str">
        <f aca="false">IF(B422="","",TEXT(B422,"yyyy-mm"))</f>
        <v/>
      </c>
      <c r="V422" s="23" t="str">
        <f aca="false">IF(K422="","",TEXT(K422,"yyyy-mm"))</f>
        <v/>
      </c>
      <c r="W422" s="23" t="n">
        <f aca="false">IF(OR(C422="Cetak",C422="Dikirim",C422="Selesai"),1,0)</f>
        <v>0</v>
      </c>
      <c r="X422" s="23" t="str">
        <f aca="false">IF(F422="","",SUBSTITUTE(SUBSTITUTE(MID(UPPER(TRIM(F422)),4,99),"-LED",""),"-TK",""))</f>
        <v/>
      </c>
      <c r="Y422" s="23" t="str">
        <f aca="false">IF(X422="","",(LEN(X422)+1)/7)</f>
        <v/>
      </c>
      <c r="Z422" s="23" t="str">
        <f aca="false">IF(X422="","",LEFT(X422,6))</f>
        <v/>
      </c>
      <c r="AA422" s="23" t="str">
        <f aca="false">IF(X422="","",IF(Y422&gt;=3,MID(X422,8,6),""))</f>
        <v/>
      </c>
      <c r="AB422" s="23" t="str">
        <f aca="false">IF(X422="","",IF(Y422&gt;=4,MID(X422,15,6),""))</f>
        <v/>
      </c>
      <c r="AC422" s="23" t="str">
        <f aca="false">IF(X422="","",IF(Y422&gt;=5,MID(X422,22,6),""))</f>
        <v/>
      </c>
      <c r="AD422" s="23" t="str">
        <f aca="false">IF(X422="","",RIGHT(X422,6))</f>
        <v/>
      </c>
      <c r="AE422" s="23" t="str">
        <f aca="false">IF(F422="","",IF(ISNUMBER(SEARCH("-TK",UPPER(F422))),0,1))</f>
        <v/>
      </c>
      <c r="AF422" s="23" t="str">
        <f aca="false">IF(F422="","",IF(ISNUMBER(SEARCH("-LED",UPPER(F422))),1,0))</f>
        <v/>
      </c>
      <c r="AG422" s="24" t="n">
        <f aca="false">IF(Z422="",0,IFERROR(INDEX(Resep!$C$5:$C$7,MATCH(LEFT(Z422,3),Resep!$B$5:$B$7,0)),0))</f>
        <v>0</v>
      </c>
      <c r="AH422" s="24" t="n">
        <f aca="false">IF(AA422="",0,IFERROR(INDEX(Resep!$C$9:$C$13,MATCH(LEFT(AA422,3),Resep!$B$9:$B$13,0)),0))</f>
        <v>0</v>
      </c>
      <c r="AI422" s="24" t="n">
        <f aca="false">IF(AB422="",0,IFERROR(INDEX(Resep!$C$9:$C$13,MATCH(LEFT(AB422,3),Resep!$B$9:$B$13,0)),0))</f>
        <v>0</v>
      </c>
      <c r="AJ422" s="24" t="n">
        <f aca="false">IF(AC422="",0,IFERROR(INDEX(Resep!$C$9:$C$13,MATCH(LEFT(AC422,3),Resep!$B$9:$B$13,0)),0))</f>
        <v>0</v>
      </c>
      <c r="AK422" s="24" t="n">
        <f aca="false">IF(AD422="",0,IFERROR(INDEX(Resep!$C$15:$C$18,MATCH(LEFT(AD422,3),Resep!$B$15:$B$18,0)),0))</f>
        <v>0</v>
      </c>
      <c r="AL422" s="24" t="str">
        <f aca="false">IF(X422="","",AG422+AH422+AI422+AJ422+AK422)</f>
        <v/>
      </c>
      <c r="AM422" s="22" t="str">
        <f aca="false">IF(X422="","",AL422*(Pengaturan!$B$6+Pengaturan!$B$7)+Pengaturan!$B$8+AE422*Pengaturan!$B$9+AF422*Pengaturan!$B$10)</f>
        <v/>
      </c>
      <c r="AN422" s="22" t="str">
        <f aca="false">IF(X422="","",N(G422)-AM422)</f>
        <v/>
      </c>
      <c r="AO422" s="25" t="str">
        <f aca="false">IF(OR(X422="",N(G422)=0),"",AN422/G422)</f>
        <v/>
      </c>
    </row>
    <row r="423" customFormat="false" ht="15" hidden="false" customHeight="false" outlineLevel="0" collapsed="false">
      <c r="A423" s="19"/>
      <c r="B423" s="20"/>
      <c r="C423" s="19"/>
      <c r="D423" s="19"/>
      <c r="E423" s="19"/>
      <c r="F423" s="19"/>
      <c r="G423" s="21"/>
      <c r="H423" s="19"/>
      <c r="I423" s="21"/>
      <c r="J423" s="19"/>
      <c r="K423" s="20"/>
      <c r="L423" s="20"/>
      <c r="M423" s="19"/>
      <c r="N423" s="19"/>
      <c r="O423" s="20"/>
      <c r="P423" s="20"/>
      <c r="Q423" s="19"/>
      <c r="R423" s="22" t="str">
        <f aca="false">IF(A423="","",N(G423)+N(I423))</f>
        <v/>
      </c>
      <c r="S423" s="23" t="str">
        <f aca="false">IF(OR(K423="",O423=""),"",O423-K423)</f>
        <v/>
      </c>
      <c r="T423" s="23" t="str">
        <f aca="true">IF(AND(C423="Cetak",L423&lt;&gt;"",L423&lt;TODAY()),"YA","")</f>
        <v/>
      </c>
      <c r="U423" s="23" t="str">
        <f aca="false">IF(B423="","",TEXT(B423,"yyyy-mm"))</f>
        <v/>
      </c>
      <c r="V423" s="23" t="str">
        <f aca="false">IF(K423="","",TEXT(K423,"yyyy-mm"))</f>
        <v/>
      </c>
      <c r="W423" s="23" t="n">
        <f aca="false">IF(OR(C423="Cetak",C423="Dikirim",C423="Selesai"),1,0)</f>
        <v>0</v>
      </c>
      <c r="X423" s="23" t="str">
        <f aca="false">IF(F423="","",SUBSTITUTE(SUBSTITUTE(MID(UPPER(TRIM(F423)),4,99),"-LED",""),"-TK",""))</f>
        <v/>
      </c>
      <c r="Y423" s="23" t="str">
        <f aca="false">IF(X423="","",(LEN(X423)+1)/7)</f>
        <v/>
      </c>
      <c r="Z423" s="23" t="str">
        <f aca="false">IF(X423="","",LEFT(X423,6))</f>
        <v/>
      </c>
      <c r="AA423" s="23" t="str">
        <f aca="false">IF(X423="","",IF(Y423&gt;=3,MID(X423,8,6),""))</f>
        <v/>
      </c>
      <c r="AB423" s="23" t="str">
        <f aca="false">IF(X423="","",IF(Y423&gt;=4,MID(X423,15,6),""))</f>
        <v/>
      </c>
      <c r="AC423" s="23" t="str">
        <f aca="false">IF(X423="","",IF(Y423&gt;=5,MID(X423,22,6),""))</f>
        <v/>
      </c>
      <c r="AD423" s="23" t="str">
        <f aca="false">IF(X423="","",RIGHT(X423,6))</f>
        <v/>
      </c>
      <c r="AE423" s="23" t="str">
        <f aca="false">IF(F423="","",IF(ISNUMBER(SEARCH("-TK",UPPER(F423))),0,1))</f>
        <v/>
      </c>
      <c r="AF423" s="23" t="str">
        <f aca="false">IF(F423="","",IF(ISNUMBER(SEARCH("-LED",UPPER(F423))),1,0))</f>
        <v/>
      </c>
      <c r="AG423" s="24" t="n">
        <f aca="false">IF(Z423="",0,IFERROR(INDEX(Resep!$C$5:$C$7,MATCH(LEFT(Z423,3),Resep!$B$5:$B$7,0)),0))</f>
        <v>0</v>
      </c>
      <c r="AH423" s="24" t="n">
        <f aca="false">IF(AA423="",0,IFERROR(INDEX(Resep!$C$9:$C$13,MATCH(LEFT(AA423,3),Resep!$B$9:$B$13,0)),0))</f>
        <v>0</v>
      </c>
      <c r="AI423" s="24" t="n">
        <f aca="false">IF(AB423="",0,IFERROR(INDEX(Resep!$C$9:$C$13,MATCH(LEFT(AB423,3),Resep!$B$9:$B$13,0)),0))</f>
        <v>0</v>
      </c>
      <c r="AJ423" s="24" t="n">
        <f aca="false">IF(AC423="",0,IFERROR(INDEX(Resep!$C$9:$C$13,MATCH(LEFT(AC423,3),Resep!$B$9:$B$13,0)),0))</f>
        <v>0</v>
      </c>
      <c r="AK423" s="24" t="n">
        <f aca="false">IF(AD423="",0,IFERROR(INDEX(Resep!$C$15:$C$18,MATCH(LEFT(AD423,3),Resep!$B$15:$B$18,0)),0))</f>
        <v>0</v>
      </c>
      <c r="AL423" s="24" t="str">
        <f aca="false">IF(X423="","",AG423+AH423+AI423+AJ423+AK423)</f>
        <v/>
      </c>
      <c r="AM423" s="22" t="str">
        <f aca="false">IF(X423="","",AL423*(Pengaturan!$B$6+Pengaturan!$B$7)+Pengaturan!$B$8+AE423*Pengaturan!$B$9+AF423*Pengaturan!$B$10)</f>
        <v/>
      </c>
      <c r="AN423" s="22" t="str">
        <f aca="false">IF(X423="","",N(G423)-AM423)</f>
        <v/>
      </c>
      <c r="AO423" s="25" t="str">
        <f aca="false">IF(OR(X423="",N(G423)=0),"",AN423/G423)</f>
        <v/>
      </c>
    </row>
    <row r="424" customFormat="false" ht="15" hidden="false" customHeight="false" outlineLevel="0" collapsed="false">
      <c r="A424" s="19"/>
      <c r="B424" s="20"/>
      <c r="C424" s="19"/>
      <c r="D424" s="19"/>
      <c r="E424" s="19"/>
      <c r="F424" s="19"/>
      <c r="G424" s="21"/>
      <c r="H424" s="19"/>
      <c r="I424" s="21"/>
      <c r="J424" s="19"/>
      <c r="K424" s="20"/>
      <c r="L424" s="20"/>
      <c r="M424" s="19"/>
      <c r="N424" s="19"/>
      <c r="O424" s="20"/>
      <c r="P424" s="20"/>
      <c r="Q424" s="19"/>
      <c r="R424" s="22" t="str">
        <f aca="false">IF(A424="","",N(G424)+N(I424))</f>
        <v/>
      </c>
      <c r="S424" s="23" t="str">
        <f aca="false">IF(OR(K424="",O424=""),"",O424-K424)</f>
        <v/>
      </c>
      <c r="T424" s="23" t="str">
        <f aca="true">IF(AND(C424="Cetak",L424&lt;&gt;"",L424&lt;TODAY()),"YA","")</f>
        <v/>
      </c>
      <c r="U424" s="23" t="str">
        <f aca="false">IF(B424="","",TEXT(B424,"yyyy-mm"))</f>
        <v/>
      </c>
      <c r="V424" s="23" t="str">
        <f aca="false">IF(K424="","",TEXT(K424,"yyyy-mm"))</f>
        <v/>
      </c>
      <c r="W424" s="23" t="n">
        <f aca="false">IF(OR(C424="Cetak",C424="Dikirim",C424="Selesai"),1,0)</f>
        <v>0</v>
      </c>
      <c r="X424" s="23" t="str">
        <f aca="false">IF(F424="","",SUBSTITUTE(SUBSTITUTE(MID(UPPER(TRIM(F424)),4,99),"-LED",""),"-TK",""))</f>
        <v/>
      </c>
      <c r="Y424" s="23" t="str">
        <f aca="false">IF(X424="","",(LEN(X424)+1)/7)</f>
        <v/>
      </c>
      <c r="Z424" s="23" t="str">
        <f aca="false">IF(X424="","",LEFT(X424,6))</f>
        <v/>
      </c>
      <c r="AA424" s="23" t="str">
        <f aca="false">IF(X424="","",IF(Y424&gt;=3,MID(X424,8,6),""))</f>
        <v/>
      </c>
      <c r="AB424" s="23" t="str">
        <f aca="false">IF(X424="","",IF(Y424&gt;=4,MID(X424,15,6),""))</f>
        <v/>
      </c>
      <c r="AC424" s="23" t="str">
        <f aca="false">IF(X424="","",IF(Y424&gt;=5,MID(X424,22,6),""))</f>
        <v/>
      </c>
      <c r="AD424" s="23" t="str">
        <f aca="false">IF(X424="","",RIGHT(X424,6))</f>
        <v/>
      </c>
      <c r="AE424" s="23" t="str">
        <f aca="false">IF(F424="","",IF(ISNUMBER(SEARCH("-TK",UPPER(F424))),0,1))</f>
        <v/>
      </c>
      <c r="AF424" s="23" t="str">
        <f aca="false">IF(F424="","",IF(ISNUMBER(SEARCH("-LED",UPPER(F424))),1,0))</f>
        <v/>
      </c>
      <c r="AG424" s="24" t="n">
        <f aca="false">IF(Z424="",0,IFERROR(INDEX(Resep!$C$5:$C$7,MATCH(LEFT(Z424,3),Resep!$B$5:$B$7,0)),0))</f>
        <v>0</v>
      </c>
      <c r="AH424" s="24" t="n">
        <f aca="false">IF(AA424="",0,IFERROR(INDEX(Resep!$C$9:$C$13,MATCH(LEFT(AA424,3),Resep!$B$9:$B$13,0)),0))</f>
        <v>0</v>
      </c>
      <c r="AI424" s="24" t="n">
        <f aca="false">IF(AB424="",0,IFERROR(INDEX(Resep!$C$9:$C$13,MATCH(LEFT(AB424,3),Resep!$B$9:$B$13,0)),0))</f>
        <v>0</v>
      </c>
      <c r="AJ424" s="24" t="n">
        <f aca="false">IF(AC424="",0,IFERROR(INDEX(Resep!$C$9:$C$13,MATCH(LEFT(AC424,3),Resep!$B$9:$B$13,0)),0))</f>
        <v>0</v>
      </c>
      <c r="AK424" s="24" t="n">
        <f aca="false">IF(AD424="",0,IFERROR(INDEX(Resep!$C$15:$C$18,MATCH(LEFT(AD424,3),Resep!$B$15:$B$18,0)),0))</f>
        <v>0</v>
      </c>
      <c r="AL424" s="24" t="str">
        <f aca="false">IF(X424="","",AG424+AH424+AI424+AJ424+AK424)</f>
        <v/>
      </c>
      <c r="AM424" s="22" t="str">
        <f aca="false">IF(X424="","",AL424*(Pengaturan!$B$6+Pengaturan!$B$7)+Pengaturan!$B$8+AE424*Pengaturan!$B$9+AF424*Pengaturan!$B$10)</f>
        <v/>
      </c>
      <c r="AN424" s="22" t="str">
        <f aca="false">IF(X424="","",N(G424)-AM424)</f>
        <v/>
      </c>
      <c r="AO424" s="25" t="str">
        <f aca="false">IF(OR(X424="",N(G424)=0),"",AN424/G424)</f>
        <v/>
      </c>
    </row>
    <row r="425" customFormat="false" ht="15" hidden="false" customHeight="false" outlineLevel="0" collapsed="false">
      <c r="A425" s="19"/>
      <c r="B425" s="20"/>
      <c r="C425" s="19"/>
      <c r="D425" s="19"/>
      <c r="E425" s="19"/>
      <c r="F425" s="19"/>
      <c r="G425" s="21"/>
      <c r="H425" s="19"/>
      <c r="I425" s="21"/>
      <c r="J425" s="19"/>
      <c r="K425" s="20"/>
      <c r="L425" s="20"/>
      <c r="M425" s="19"/>
      <c r="N425" s="19"/>
      <c r="O425" s="20"/>
      <c r="P425" s="20"/>
      <c r="Q425" s="19"/>
      <c r="R425" s="22" t="str">
        <f aca="false">IF(A425="","",N(G425)+N(I425))</f>
        <v/>
      </c>
      <c r="S425" s="23" t="str">
        <f aca="false">IF(OR(K425="",O425=""),"",O425-K425)</f>
        <v/>
      </c>
      <c r="T425" s="23" t="str">
        <f aca="true">IF(AND(C425="Cetak",L425&lt;&gt;"",L425&lt;TODAY()),"YA","")</f>
        <v/>
      </c>
      <c r="U425" s="23" t="str">
        <f aca="false">IF(B425="","",TEXT(B425,"yyyy-mm"))</f>
        <v/>
      </c>
      <c r="V425" s="23" t="str">
        <f aca="false">IF(K425="","",TEXT(K425,"yyyy-mm"))</f>
        <v/>
      </c>
      <c r="W425" s="23" t="n">
        <f aca="false">IF(OR(C425="Cetak",C425="Dikirim",C425="Selesai"),1,0)</f>
        <v>0</v>
      </c>
      <c r="X425" s="23" t="str">
        <f aca="false">IF(F425="","",SUBSTITUTE(SUBSTITUTE(MID(UPPER(TRIM(F425)),4,99),"-LED",""),"-TK",""))</f>
        <v/>
      </c>
      <c r="Y425" s="23" t="str">
        <f aca="false">IF(X425="","",(LEN(X425)+1)/7)</f>
        <v/>
      </c>
      <c r="Z425" s="23" t="str">
        <f aca="false">IF(X425="","",LEFT(X425,6))</f>
        <v/>
      </c>
      <c r="AA425" s="23" t="str">
        <f aca="false">IF(X425="","",IF(Y425&gt;=3,MID(X425,8,6),""))</f>
        <v/>
      </c>
      <c r="AB425" s="23" t="str">
        <f aca="false">IF(X425="","",IF(Y425&gt;=4,MID(X425,15,6),""))</f>
        <v/>
      </c>
      <c r="AC425" s="23" t="str">
        <f aca="false">IF(X425="","",IF(Y425&gt;=5,MID(X425,22,6),""))</f>
        <v/>
      </c>
      <c r="AD425" s="23" t="str">
        <f aca="false">IF(X425="","",RIGHT(X425,6))</f>
        <v/>
      </c>
      <c r="AE425" s="23" t="str">
        <f aca="false">IF(F425="","",IF(ISNUMBER(SEARCH("-TK",UPPER(F425))),0,1))</f>
        <v/>
      </c>
      <c r="AF425" s="23" t="str">
        <f aca="false">IF(F425="","",IF(ISNUMBER(SEARCH("-LED",UPPER(F425))),1,0))</f>
        <v/>
      </c>
      <c r="AG425" s="24" t="n">
        <f aca="false">IF(Z425="",0,IFERROR(INDEX(Resep!$C$5:$C$7,MATCH(LEFT(Z425,3),Resep!$B$5:$B$7,0)),0))</f>
        <v>0</v>
      </c>
      <c r="AH425" s="24" t="n">
        <f aca="false">IF(AA425="",0,IFERROR(INDEX(Resep!$C$9:$C$13,MATCH(LEFT(AA425,3),Resep!$B$9:$B$13,0)),0))</f>
        <v>0</v>
      </c>
      <c r="AI425" s="24" t="n">
        <f aca="false">IF(AB425="",0,IFERROR(INDEX(Resep!$C$9:$C$13,MATCH(LEFT(AB425,3),Resep!$B$9:$B$13,0)),0))</f>
        <v>0</v>
      </c>
      <c r="AJ425" s="24" t="n">
        <f aca="false">IF(AC425="",0,IFERROR(INDEX(Resep!$C$9:$C$13,MATCH(LEFT(AC425,3),Resep!$B$9:$B$13,0)),0))</f>
        <v>0</v>
      </c>
      <c r="AK425" s="24" t="n">
        <f aca="false">IF(AD425="",0,IFERROR(INDEX(Resep!$C$15:$C$18,MATCH(LEFT(AD425,3),Resep!$B$15:$B$18,0)),0))</f>
        <v>0</v>
      </c>
      <c r="AL425" s="24" t="str">
        <f aca="false">IF(X425="","",AG425+AH425+AI425+AJ425+AK425)</f>
        <v/>
      </c>
      <c r="AM425" s="22" t="str">
        <f aca="false">IF(X425="","",AL425*(Pengaturan!$B$6+Pengaturan!$B$7)+Pengaturan!$B$8+AE425*Pengaturan!$B$9+AF425*Pengaturan!$B$10)</f>
        <v/>
      </c>
      <c r="AN425" s="22" t="str">
        <f aca="false">IF(X425="","",N(G425)-AM425)</f>
        <v/>
      </c>
      <c r="AO425" s="25" t="str">
        <f aca="false">IF(OR(X425="",N(G425)=0),"",AN425/G425)</f>
        <v/>
      </c>
    </row>
    <row r="426" customFormat="false" ht="15" hidden="false" customHeight="false" outlineLevel="0" collapsed="false">
      <c r="A426" s="19"/>
      <c r="B426" s="20"/>
      <c r="C426" s="19"/>
      <c r="D426" s="19"/>
      <c r="E426" s="19"/>
      <c r="F426" s="19"/>
      <c r="G426" s="21"/>
      <c r="H426" s="19"/>
      <c r="I426" s="21"/>
      <c r="J426" s="19"/>
      <c r="K426" s="20"/>
      <c r="L426" s="20"/>
      <c r="M426" s="19"/>
      <c r="N426" s="19"/>
      <c r="O426" s="20"/>
      <c r="P426" s="20"/>
      <c r="Q426" s="19"/>
      <c r="R426" s="22" t="str">
        <f aca="false">IF(A426="","",N(G426)+N(I426))</f>
        <v/>
      </c>
      <c r="S426" s="23" t="str">
        <f aca="false">IF(OR(K426="",O426=""),"",O426-K426)</f>
        <v/>
      </c>
      <c r="T426" s="23" t="str">
        <f aca="true">IF(AND(C426="Cetak",L426&lt;&gt;"",L426&lt;TODAY()),"YA","")</f>
        <v/>
      </c>
      <c r="U426" s="23" t="str">
        <f aca="false">IF(B426="","",TEXT(B426,"yyyy-mm"))</f>
        <v/>
      </c>
      <c r="V426" s="23" t="str">
        <f aca="false">IF(K426="","",TEXT(K426,"yyyy-mm"))</f>
        <v/>
      </c>
      <c r="W426" s="23" t="n">
        <f aca="false">IF(OR(C426="Cetak",C426="Dikirim",C426="Selesai"),1,0)</f>
        <v>0</v>
      </c>
      <c r="X426" s="23" t="str">
        <f aca="false">IF(F426="","",SUBSTITUTE(SUBSTITUTE(MID(UPPER(TRIM(F426)),4,99),"-LED",""),"-TK",""))</f>
        <v/>
      </c>
      <c r="Y426" s="23" t="str">
        <f aca="false">IF(X426="","",(LEN(X426)+1)/7)</f>
        <v/>
      </c>
      <c r="Z426" s="23" t="str">
        <f aca="false">IF(X426="","",LEFT(X426,6))</f>
        <v/>
      </c>
      <c r="AA426" s="23" t="str">
        <f aca="false">IF(X426="","",IF(Y426&gt;=3,MID(X426,8,6),""))</f>
        <v/>
      </c>
      <c r="AB426" s="23" t="str">
        <f aca="false">IF(X426="","",IF(Y426&gt;=4,MID(X426,15,6),""))</f>
        <v/>
      </c>
      <c r="AC426" s="23" t="str">
        <f aca="false">IF(X426="","",IF(Y426&gt;=5,MID(X426,22,6),""))</f>
        <v/>
      </c>
      <c r="AD426" s="23" t="str">
        <f aca="false">IF(X426="","",RIGHT(X426,6))</f>
        <v/>
      </c>
      <c r="AE426" s="23" t="str">
        <f aca="false">IF(F426="","",IF(ISNUMBER(SEARCH("-TK",UPPER(F426))),0,1))</f>
        <v/>
      </c>
      <c r="AF426" s="23" t="str">
        <f aca="false">IF(F426="","",IF(ISNUMBER(SEARCH("-LED",UPPER(F426))),1,0))</f>
        <v/>
      </c>
      <c r="AG426" s="24" t="n">
        <f aca="false">IF(Z426="",0,IFERROR(INDEX(Resep!$C$5:$C$7,MATCH(LEFT(Z426,3),Resep!$B$5:$B$7,0)),0))</f>
        <v>0</v>
      </c>
      <c r="AH426" s="24" t="n">
        <f aca="false">IF(AA426="",0,IFERROR(INDEX(Resep!$C$9:$C$13,MATCH(LEFT(AA426,3),Resep!$B$9:$B$13,0)),0))</f>
        <v>0</v>
      </c>
      <c r="AI426" s="24" t="n">
        <f aca="false">IF(AB426="",0,IFERROR(INDEX(Resep!$C$9:$C$13,MATCH(LEFT(AB426,3),Resep!$B$9:$B$13,0)),0))</f>
        <v>0</v>
      </c>
      <c r="AJ426" s="24" t="n">
        <f aca="false">IF(AC426="",0,IFERROR(INDEX(Resep!$C$9:$C$13,MATCH(LEFT(AC426,3),Resep!$B$9:$B$13,0)),0))</f>
        <v>0</v>
      </c>
      <c r="AK426" s="24" t="n">
        <f aca="false">IF(AD426="",0,IFERROR(INDEX(Resep!$C$15:$C$18,MATCH(LEFT(AD426,3),Resep!$B$15:$B$18,0)),0))</f>
        <v>0</v>
      </c>
      <c r="AL426" s="24" t="str">
        <f aca="false">IF(X426="","",AG426+AH426+AI426+AJ426+AK426)</f>
        <v/>
      </c>
      <c r="AM426" s="22" t="str">
        <f aca="false">IF(X426="","",AL426*(Pengaturan!$B$6+Pengaturan!$B$7)+Pengaturan!$B$8+AE426*Pengaturan!$B$9+AF426*Pengaturan!$B$10)</f>
        <v/>
      </c>
      <c r="AN426" s="22" t="str">
        <f aca="false">IF(X426="","",N(G426)-AM426)</f>
        <v/>
      </c>
      <c r="AO426" s="25" t="str">
        <f aca="false">IF(OR(X426="",N(G426)=0),"",AN426/G426)</f>
        <v/>
      </c>
    </row>
    <row r="427" customFormat="false" ht="15" hidden="false" customHeight="false" outlineLevel="0" collapsed="false">
      <c r="A427" s="19"/>
      <c r="B427" s="20"/>
      <c r="C427" s="19"/>
      <c r="D427" s="19"/>
      <c r="E427" s="19"/>
      <c r="F427" s="19"/>
      <c r="G427" s="21"/>
      <c r="H427" s="19"/>
      <c r="I427" s="21"/>
      <c r="J427" s="19"/>
      <c r="K427" s="20"/>
      <c r="L427" s="20"/>
      <c r="M427" s="19"/>
      <c r="N427" s="19"/>
      <c r="O427" s="20"/>
      <c r="P427" s="20"/>
      <c r="Q427" s="19"/>
      <c r="R427" s="22" t="str">
        <f aca="false">IF(A427="","",N(G427)+N(I427))</f>
        <v/>
      </c>
      <c r="S427" s="23" t="str">
        <f aca="false">IF(OR(K427="",O427=""),"",O427-K427)</f>
        <v/>
      </c>
      <c r="T427" s="23" t="str">
        <f aca="true">IF(AND(C427="Cetak",L427&lt;&gt;"",L427&lt;TODAY()),"YA","")</f>
        <v/>
      </c>
      <c r="U427" s="23" t="str">
        <f aca="false">IF(B427="","",TEXT(B427,"yyyy-mm"))</f>
        <v/>
      </c>
      <c r="V427" s="23" t="str">
        <f aca="false">IF(K427="","",TEXT(K427,"yyyy-mm"))</f>
        <v/>
      </c>
      <c r="W427" s="23" t="n">
        <f aca="false">IF(OR(C427="Cetak",C427="Dikirim",C427="Selesai"),1,0)</f>
        <v>0</v>
      </c>
      <c r="X427" s="23" t="str">
        <f aca="false">IF(F427="","",SUBSTITUTE(SUBSTITUTE(MID(UPPER(TRIM(F427)),4,99),"-LED",""),"-TK",""))</f>
        <v/>
      </c>
      <c r="Y427" s="23" t="str">
        <f aca="false">IF(X427="","",(LEN(X427)+1)/7)</f>
        <v/>
      </c>
      <c r="Z427" s="23" t="str">
        <f aca="false">IF(X427="","",LEFT(X427,6))</f>
        <v/>
      </c>
      <c r="AA427" s="23" t="str">
        <f aca="false">IF(X427="","",IF(Y427&gt;=3,MID(X427,8,6),""))</f>
        <v/>
      </c>
      <c r="AB427" s="23" t="str">
        <f aca="false">IF(X427="","",IF(Y427&gt;=4,MID(X427,15,6),""))</f>
        <v/>
      </c>
      <c r="AC427" s="23" t="str">
        <f aca="false">IF(X427="","",IF(Y427&gt;=5,MID(X427,22,6),""))</f>
        <v/>
      </c>
      <c r="AD427" s="23" t="str">
        <f aca="false">IF(X427="","",RIGHT(X427,6))</f>
        <v/>
      </c>
      <c r="AE427" s="23" t="str">
        <f aca="false">IF(F427="","",IF(ISNUMBER(SEARCH("-TK",UPPER(F427))),0,1))</f>
        <v/>
      </c>
      <c r="AF427" s="23" t="str">
        <f aca="false">IF(F427="","",IF(ISNUMBER(SEARCH("-LED",UPPER(F427))),1,0))</f>
        <v/>
      </c>
      <c r="AG427" s="24" t="n">
        <f aca="false">IF(Z427="",0,IFERROR(INDEX(Resep!$C$5:$C$7,MATCH(LEFT(Z427,3),Resep!$B$5:$B$7,0)),0))</f>
        <v>0</v>
      </c>
      <c r="AH427" s="24" t="n">
        <f aca="false">IF(AA427="",0,IFERROR(INDEX(Resep!$C$9:$C$13,MATCH(LEFT(AA427,3),Resep!$B$9:$B$13,0)),0))</f>
        <v>0</v>
      </c>
      <c r="AI427" s="24" t="n">
        <f aca="false">IF(AB427="",0,IFERROR(INDEX(Resep!$C$9:$C$13,MATCH(LEFT(AB427,3),Resep!$B$9:$B$13,0)),0))</f>
        <v>0</v>
      </c>
      <c r="AJ427" s="24" t="n">
        <f aca="false">IF(AC427="",0,IFERROR(INDEX(Resep!$C$9:$C$13,MATCH(LEFT(AC427,3),Resep!$B$9:$B$13,0)),0))</f>
        <v>0</v>
      </c>
      <c r="AK427" s="24" t="n">
        <f aca="false">IF(AD427="",0,IFERROR(INDEX(Resep!$C$15:$C$18,MATCH(LEFT(AD427,3),Resep!$B$15:$B$18,0)),0))</f>
        <v>0</v>
      </c>
      <c r="AL427" s="24" t="str">
        <f aca="false">IF(X427="","",AG427+AH427+AI427+AJ427+AK427)</f>
        <v/>
      </c>
      <c r="AM427" s="22" t="str">
        <f aca="false">IF(X427="","",AL427*(Pengaturan!$B$6+Pengaturan!$B$7)+Pengaturan!$B$8+AE427*Pengaturan!$B$9+AF427*Pengaturan!$B$10)</f>
        <v/>
      </c>
      <c r="AN427" s="22" t="str">
        <f aca="false">IF(X427="","",N(G427)-AM427)</f>
        <v/>
      </c>
      <c r="AO427" s="25" t="str">
        <f aca="false">IF(OR(X427="",N(G427)=0),"",AN427/G427)</f>
        <v/>
      </c>
    </row>
    <row r="428" customFormat="false" ht="15" hidden="false" customHeight="false" outlineLevel="0" collapsed="false">
      <c r="A428" s="19"/>
      <c r="B428" s="20"/>
      <c r="C428" s="19"/>
      <c r="D428" s="19"/>
      <c r="E428" s="19"/>
      <c r="F428" s="19"/>
      <c r="G428" s="21"/>
      <c r="H428" s="19"/>
      <c r="I428" s="21"/>
      <c r="J428" s="19"/>
      <c r="K428" s="20"/>
      <c r="L428" s="20"/>
      <c r="M428" s="19"/>
      <c r="N428" s="19"/>
      <c r="O428" s="20"/>
      <c r="P428" s="20"/>
      <c r="Q428" s="19"/>
      <c r="R428" s="22" t="str">
        <f aca="false">IF(A428="","",N(G428)+N(I428))</f>
        <v/>
      </c>
      <c r="S428" s="23" t="str">
        <f aca="false">IF(OR(K428="",O428=""),"",O428-K428)</f>
        <v/>
      </c>
      <c r="T428" s="23" t="str">
        <f aca="true">IF(AND(C428="Cetak",L428&lt;&gt;"",L428&lt;TODAY()),"YA","")</f>
        <v/>
      </c>
      <c r="U428" s="23" t="str">
        <f aca="false">IF(B428="","",TEXT(B428,"yyyy-mm"))</f>
        <v/>
      </c>
      <c r="V428" s="23" t="str">
        <f aca="false">IF(K428="","",TEXT(K428,"yyyy-mm"))</f>
        <v/>
      </c>
      <c r="W428" s="23" t="n">
        <f aca="false">IF(OR(C428="Cetak",C428="Dikirim",C428="Selesai"),1,0)</f>
        <v>0</v>
      </c>
      <c r="X428" s="23" t="str">
        <f aca="false">IF(F428="","",SUBSTITUTE(SUBSTITUTE(MID(UPPER(TRIM(F428)),4,99),"-LED",""),"-TK",""))</f>
        <v/>
      </c>
      <c r="Y428" s="23" t="str">
        <f aca="false">IF(X428="","",(LEN(X428)+1)/7)</f>
        <v/>
      </c>
      <c r="Z428" s="23" t="str">
        <f aca="false">IF(X428="","",LEFT(X428,6))</f>
        <v/>
      </c>
      <c r="AA428" s="23" t="str">
        <f aca="false">IF(X428="","",IF(Y428&gt;=3,MID(X428,8,6),""))</f>
        <v/>
      </c>
      <c r="AB428" s="23" t="str">
        <f aca="false">IF(X428="","",IF(Y428&gt;=4,MID(X428,15,6),""))</f>
        <v/>
      </c>
      <c r="AC428" s="23" t="str">
        <f aca="false">IF(X428="","",IF(Y428&gt;=5,MID(X428,22,6),""))</f>
        <v/>
      </c>
      <c r="AD428" s="23" t="str">
        <f aca="false">IF(X428="","",RIGHT(X428,6))</f>
        <v/>
      </c>
      <c r="AE428" s="23" t="str">
        <f aca="false">IF(F428="","",IF(ISNUMBER(SEARCH("-TK",UPPER(F428))),0,1))</f>
        <v/>
      </c>
      <c r="AF428" s="23" t="str">
        <f aca="false">IF(F428="","",IF(ISNUMBER(SEARCH("-LED",UPPER(F428))),1,0))</f>
        <v/>
      </c>
      <c r="AG428" s="24" t="n">
        <f aca="false">IF(Z428="",0,IFERROR(INDEX(Resep!$C$5:$C$7,MATCH(LEFT(Z428,3),Resep!$B$5:$B$7,0)),0))</f>
        <v>0</v>
      </c>
      <c r="AH428" s="24" t="n">
        <f aca="false">IF(AA428="",0,IFERROR(INDEX(Resep!$C$9:$C$13,MATCH(LEFT(AA428,3),Resep!$B$9:$B$13,0)),0))</f>
        <v>0</v>
      </c>
      <c r="AI428" s="24" t="n">
        <f aca="false">IF(AB428="",0,IFERROR(INDEX(Resep!$C$9:$C$13,MATCH(LEFT(AB428,3),Resep!$B$9:$B$13,0)),0))</f>
        <v>0</v>
      </c>
      <c r="AJ428" s="24" t="n">
        <f aca="false">IF(AC428="",0,IFERROR(INDEX(Resep!$C$9:$C$13,MATCH(LEFT(AC428,3),Resep!$B$9:$B$13,0)),0))</f>
        <v>0</v>
      </c>
      <c r="AK428" s="24" t="n">
        <f aca="false">IF(AD428="",0,IFERROR(INDEX(Resep!$C$15:$C$18,MATCH(LEFT(AD428,3),Resep!$B$15:$B$18,0)),0))</f>
        <v>0</v>
      </c>
      <c r="AL428" s="24" t="str">
        <f aca="false">IF(X428="","",AG428+AH428+AI428+AJ428+AK428)</f>
        <v/>
      </c>
      <c r="AM428" s="22" t="str">
        <f aca="false">IF(X428="","",AL428*(Pengaturan!$B$6+Pengaturan!$B$7)+Pengaturan!$B$8+AE428*Pengaturan!$B$9+AF428*Pengaturan!$B$10)</f>
        <v/>
      </c>
      <c r="AN428" s="22" t="str">
        <f aca="false">IF(X428="","",N(G428)-AM428)</f>
        <v/>
      </c>
      <c r="AO428" s="25" t="str">
        <f aca="false">IF(OR(X428="",N(G428)=0),"",AN428/G428)</f>
        <v/>
      </c>
    </row>
    <row r="429" customFormat="false" ht="15" hidden="false" customHeight="false" outlineLevel="0" collapsed="false">
      <c r="A429" s="19"/>
      <c r="B429" s="20"/>
      <c r="C429" s="19"/>
      <c r="D429" s="19"/>
      <c r="E429" s="19"/>
      <c r="F429" s="19"/>
      <c r="G429" s="21"/>
      <c r="H429" s="19"/>
      <c r="I429" s="21"/>
      <c r="J429" s="19"/>
      <c r="K429" s="20"/>
      <c r="L429" s="20"/>
      <c r="M429" s="19"/>
      <c r="N429" s="19"/>
      <c r="O429" s="20"/>
      <c r="P429" s="20"/>
      <c r="Q429" s="19"/>
      <c r="R429" s="22" t="str">
        <f aca="false">IF(A429="","",N(G429)+N(I429))</f>
        <v/>
      </c>
      <c r="S429" s="23" t="str">
        <f aca="false">IF(OR(K429="",O429=""),"",O429-K429)</f>
        <v/>
      </c>
      <c r="T429" s="23" t="str">
        <f aca="true">IF(AND(C429="Cetak",L429&lt;&gt;"",L429&lt;TODAY()),"YA","")</f>
        <v/>
      </c>
      <c r="U429" s="23" t="str">
        <f aca="false">IF(B429="","",TEXT(B429,"yyyy-mm"))</f>
        <v/>
      </c>
      <c r="V429" s="23" t="str">
        <f aca="false">IF(K429="","",TEXT(K429,"yyyy-mm"))</f>
        <v/>
      </c>
      <c r="W429" s="23" t="n">
        <f aca="false">IF(OR(C429="Cetak",C429="Dikirim",C429="Selesai"),1,0)</f>
        <v>0</v>
      </c>
      <c r="X429" s="23" t="str">
        <f aca="false">IF(F429="","",SUBSTITUTE(SUBSTITUTE(MID(UPPER(TRIM(F429)),4,99),"-LED",""),"-TK",""))</f>
        <v/>
      </c>
      <c r="Y429" s="23" t="str">
        <f aca="false">IF(X429="","",(LEN(X429)+1)/7)</f>
        <v/>
      </c>
      <c r="Z429" s="23" t="str">
        <f aca="false">IF(X429="","",LEFT(X429,6))</f>
        <v/>
      </c>
      <c r="AA429" s="23" t="str">
        <f aca="false">IF(X429="","",IF(Y429&gt;=3,MID(X429,8,6),""))</f>
        <v/>
      </c>
      <c r="AB429" s="23" t="str">
        <f aca="false">IF(X429="","",IF(Y429&gt;=4,MID(X429,15,6),""))</f>
        <v/>
      </c>
      <c r="AC429" s="23" t="str">
        <f aca="false">IF(X429="","",IF(Y429&gt;=5,MID(X429,22,6),""))</f>
        <v/>
      </c>
      <c r="AD429" s="23" t="str">
        <f aca="false">IF(X429="","",RIGHT(X429,6))</f>
        <v/>
      </c>
      <c r="AE429" s="23" t="str">
        <f aca="false">IF(F429="","",IF(ISNUMBER(SEARCH("-TK",UPPER(F429))),0,1))</f>
        <v/>
      </c>
      <c r="AF429" s="23" t="str">
        <f aca="false">IF(F429="","",IF(ISNUMBER(SEARCH("-LED",UPPER(F429))),1,0))</f>
        <v/>
      </c>
      <c r="AG429" s="24" t="n">
        <f aca="false">IF(Z429="",0,IFERROR(INDEX(Resep!$C$5:$C$7,MATCH(LEFT(Z429,3),Resep!$B$5:$B$7,0)),0))</f>
        <v>0</v>
      </c>
      <c r="AH429" s="24" t="n">
        <f aca="false">IF(AA429="",0,IFERROR(INDEX(Resep!$C$9:$C$13,MATCH(LEFT(AA429,3),Resep!$B$9:$B$13,0)),0))</f>
        <v>0</v>
      </c>
      <c r="AI429" s="24" t="n">
        <f aca="false">IF(AB429="",0,IFERROR(INDEX(Resep!$C$9:$C$13,MATCH(LEFT(AB429,3),Resep!$B$9:$B$13,0)),0))</f>
        <v>0</v>
      </c>
      <c r="AJ429" s="24" t="n">
        <f aca="false">IF(AC429="",0,IFERROR(INDEX(Resep!$C$9:$C$13,MATCH(LEFT(AC429,3),Resep!$B$9:$B$13,0)),0))</f>
        <v>0</v>
      </c>
      <c r="AK429" s="24" t="n">
        <f aca="false">IF(AD429="",0,IFERROR(INDEX(Resep!$C$15:$C$18,MATCH(LEFT(AD429,3),Resep!$B$15:$B$18,0)),0))</f>
        <v>0</v>
      </c>
      <c r="AL429" s="24" t="str">
        <f aca="false">IF(X429="","",AG429+AH429+AI429+AJ429+AK429)</f>
        <v/>
      </c>
      <c r="AM429" s="22" t="str">
        <f aca="false">IF(X429="","",AL429*(Pengaturan!$B$6+Pengaturan!$B$7)+Pengaturan!$B$8+AE429*Pengaturan!$B$9+AF429*Pengaturan!$B$10)</f>
        <v/>
      </c>
      <c r="AN429" s="22" t="str">
        <f aca="false">IF(X429="","",N(G429)-AM429)</f>
        <v/>
      </c>
      <c r="AO429" s="25" t="str">
        <f aca="false">IF(OR(X429="",N(G429)=0),"",AN429/G429)</f>
        <v/>
      </c>
    </row>
    <row r="430" customFormat="false" ht="15" hidden="false" customHeight="false" outlineLevel="0" collapsed="false">
      <c r="A430" s="19"/>
      <c r="B430" s="20"/>
      <c r="C430" s="19"/>
      <c r="D430" s="19"/>
      <c r="E430" s="19"/>
      <c r="F430" s="19"/>
      <c r="G430" s="21"/>
      <c r="H430" s="19"/>
      <c r="I430" s="21"/>
      <c r="J430" s="19"/>
      <c r="K430" s="20"/>
      <c r="L430" s="20"/>
      <c r="M430" s="19"/>
      <c r="N430" s="19"/>
      <c r="O430" s="20"/>
      <c r="P430" s="20"/>
      <c r="Q430" s="19"/>
      <c r="R430" s="22" t="str">
        <f aca="false">IF(A430="","",N(G430)+N(I430))</f>
        <v/>
      </c>
      <c r="S430" s="23" t="str">
        <f aca="false">IF(OR(K430="",O430=""),"",O430-K430)</f>
        <v/>
      </c>
      <c r="T430" s="23" t="str">
        <f aca="true">IF(AND(C430="Cetak",L430&lt;&gt;"",L430&lt;TODAY()),"YA","")</f>
        <v/>
      </c>
      <c r="U430" s="23" t="str">
        <f aca="false">IF(B430="","",TEXT(B430,"yyyy-mm"))</f>
        <v/>
      </c>
      <c r="V430" s="23" t="str">
        <f aca="false">IF(K430="","",TEXT(K430,"yyyy-mm"))</f>
        <v/>
      </c>
      <c r="W430" s="23" t="n">
        <f aca="false">IF(OR(C430="Cetak",C430="Dikirim",C430="Selesai"),1,0)</f>
        <v>0</v>
      </c>
      <c r="X430" s="23" t="str">
        <f aca="false">IF(F430="","",SUBSTITUTE(SUBSTITUTE(MID(UPPER(TRIM(F430)),4,99),"-LED",""),"-TK",""))</f>
        <v/>
      </c>
      <c r="Y430" s="23" t="str">
        <f aca="false">IF(X430="","",(LEN(X430)+1)/7)</f>
        <v/>
      </c>
      <c r="Z430" s="23" t="str">
        <f aca="false">IF(X430="","",LEFT(X430,6))</f>
        <v/>
      </c>
      <c r="AA430" s="23" t="str">
        <f aca="false">IF(X430="","",IF(Y430&gt;=3,MID(X430,8,6),""))</f>
        <v/>
      </c>
      <c r="AB430" s="23" t="str">
        <f aca="false">IF(X430="","",IF(Y430&gt;=4,MID(X430,15,6),""))</f>
        <v/>
      </c>
      <c r="AC430" s="23" t="str">
        <f aca="false">IF(X430="","",IF(Y430&gt;=5,MID(X430,22,6),""))</f>
        <v/>
      </c>
      <c r="AD430" s="23" t="str">
        <f aca="false">IF(X430="","",RIGHT(X430,6))</f>
        <v/>
      </c>
      <c r="AE430" s="23" t="str">
        <f aca="false">IF(F430="","",IF(ISNUMBER(SEARCH("-TK",UPPER(F430))),0,1))</f>
        <v/>
      </c>
      <c r="AF430" s="23" t="str">
        <f aca="false">IF(F430="","",IF(ISNUMBER(SEARCH("-LED",UPPER(F430))),1,0))</f>
        <v/>
      </c>
      <c r="AG430" s="24" t="n">
        <f aca="false">IF(Z430="",0,IFERROR(INDEX(Resep!$C$5:$C$7,MATCH(LEFT(Z430,3),Resep!$B$5:$B$7,0)),0))</f>
        <v>0</v>
      </c>
      <c r="AH430" s="24" t="n">
        <f aca="false">IF(AA430="",0,IFERROR(INDEX(Resep!$C$9:$C$13,MATCH(LEFT(AA430,3),Resep!$B$9:$B$13,0)),0))</f>
        <v>0</v>
      </c>
      <c r="AI430" s="24" t="n">
        <f aca="false">IF(AB430="",0,IFERROR(INDEX(Resep!$C$9:$C$13,MATCH(LEFT(AB430,3),Resep!$B$9:$B$13,0)),0))</f>
        <v>0</v>
      </c>
      <c r="AJ430" s="24" t="n">
        <f aca="false">IF(AC430="",0,IFERROR(INDEX(Resep!$C$9:$C$13,MATCH(LEFT(AC430,3),Resep!$B$9:$B$13,0)),0))</f>
        <v>0</v>
      </c>
      <c r="AK430" s="24" t="n">
        <f aca="false">IF(AD430="",0,IFERROR(INDEX(Resep!$C$15:$C$18,MATCH(LEFT(AD430,3),Resep!$B$15:$B$18,0)),0))</f>
        <v>0</v>
      </c>
      <c r="AL430" s="24" t="str">
        <f aca="false">IF(X430="","",AG430+AH430+AI430+AJ430+AK430)</f>
        <v/>
      </c>
      <c r="AM430" s="22" t="str">
        <f aca="false">IF(X430="","",AL430*(Pengaturan!$B$6+Pengaturan!$B$7)+Pengaturan!$B$8+AE430*Pengaturan!$B$9+AF430*Pengaturan!$B$10)</f>
        <v/>
      </c>
      <c r="AN430" s="22" t="str">
        <f aca="false">IF(X430="","",N(G430)-AM430)</f>
        <v/>
      </c>
      <c r="AO430" s="25" t="str">
        <f aca="false">IF(OR(X430="",N(G430)=0),"",AN430/G430)</f>
        <v/>
      </c>
    </row>
    <row r="431" customFormat="false" ht="15" hidden="false" customHeight="false" outlineLevel="0" collapsed="false">
      <c r="A431" s="19"/>
      <c r="B431" s="20"/>
      <c r="C431" s="19"/>
      <c r="D431" s="19"/>
      <c r="E431" s="19"/>
      <c r="F431" s="19"/>
      <c r="G431" s="21"/>
      <c r="H431" s="19"/>
      <c r="I431" s="21"/>
      <c r="J431" s="19"/>
      <c r="K431" s="20"/>
      <c r="L431" s="20"/>
      <c r="M431" s="19"/>
      <c r="N431" s="19"/>
      <c r="O431" s="20"/>
      <c r="P431" s="20"/>
      <c r="Q431" s="19"/>
      <c r="R431" s="22" t="str">
        <f aca="false">IF(A431="","",N(G431)+N(I431))</f>
        <v/>
      </c>
      <c r="S431" s="23" t="str">
        <f aca="false">IF(OR(K431="",O431=""),"",O431-K431)</f>
        <v/>
      </c>
      <c r="T431" s="23" t="str">
        <f aca="true">IF(AND(C431="Cetak",L431&lt;&gt;"",L431&lt;TODAY()),"YA","")</f>
        <v/>
      </c>
      <c r="U431" s="23" t="str">
        <f aca="false">IF(B431="","",TEXT(B431,"yyyy-mm"))</f>
        <v/>
      </c>
      <c r="V431" s="23" t="str">
        <f aca="false">IF(K431="","",TEXT(K431,"yyyy-mm"))</f>
        <v/>
      </c>
      <c r="W431" s="23" t="n">
        <f aca="false">IF(OR(C431="Cetak",C431="Dikirim",C431="Selesai"),1,0)</f>
        <v>0</v>
      </c>
      <c r="X431" s="23" t="str">
        <f aca="false">IF(F431="","",SUBSTITUTE(SUBSTITUTE(MID(UPPER(TRIM(F431)),4,99),"-LED",""),"-TK",""))</f>
        <v/>
      </c>
      <c r="Y431" s="23" t="str">
        <f aca="false">IF(X431="","",(LEN(X431)+1)/7)</f>
        <v/>
      </c>
      <c r="Z431" s="23" t="str">
        <f aca="false">IF(X431="","",LEFT(X431,6))</f>
        <v/>
      </c>
      <c r="AA431" s="23" t="str">
        <f aca="false">IF(X431="","",IF(Y431&gt;=3,MID(X431,8,6),""))</f>
        <v/>
      </c>
      <c r="AB431" s="23" t="str">
        <f aca="false">IF(X431="","",IF(Y431&gt;=4,MID(X431,15,6),""))</f>
        <v/>
      </c>
      <c r="AC431" s="23" t="str">
        <f aca="false">IF(X431="","",IF(Y431&gt;=5,MID(X431,22,6),""))</f>
        <v/>
      </c>
      <c r="AD431" s="23" t="str">
        <f aca="false">IF(X431="","",RIGHT(X431,6))</f>
        <v/>
      </c>
      <c r="AE431" s="23" t="str">
        <f aca="false">IF(F431="","",IF(ISNUMBER(SEARCH("-TK",UPPER(F431))),0,1))</f>
        <v/>
      </c>
      <c r="AF431" s="23" t="str">
        <f aca="false">IF(F431="","",IF(ISNUMBER(SEARCH("-LED",UPPER(F431))),1,0))</f>
        <v/>
      </c>
      <c r="AG431" s="24" t="n">
        <f aca="false">IF(Z431="",0,IFERROR(INDEX(Resep!$C$5:$C$7,MATCH(LEFT(Z431,3),Resep!$B$5:$B$7,0)),0))</f>
        <v>0</v>
      </c>
      <c r="AH431" s="24" t="n">
        <f aca="false">IF(AA431="",0,IFERROR(INDEX(Resep!$C$9:$C$13,MATCH(LEFT(AA431,3),Resep!$B$9:$B$13,0)),0))</f>
        <v>0</v>
      </c>
      <c r="AI431" s="24" t="n">
        <f aca="false">IF(AB431="",0,IFERROR(INDEX(Resep!$C$9:$C$13,MATCH(LEFT(AB431,3),Resep!$B$9:$B$13,0)),0))</f>
        <v>0</v>
      </c>
      <c r="AJ431" s="24" t="n">
        <f aca="false">IF(AC431="",0,IFERROR(INDEX(Resep!$C$9:$C$13,MATCH(LEFT(AC431,3),Resep!$B$9:$B$13,0)),0))</f>
        <v>0</v>
      </c>
      <c r="AK431" s="24" t="n">
        <f aca="false">IF(AD431="",0,IFERROR(INDEX(Resep!$C$15:$C$18,MATCH(LEFT(AD431,3),Resep!$B$15:$B$18,0)),0))</f>
        <v>0</v>
      </c>
      <c r="AL431" s="24" t="str">
        <f aca="false">IF(X431="","",AG431+AH431+AI431+AJ431+AK431)</f>
        <v/>
      </c>
      <c r="AM431" s="22" t="str">
        <f aca="false">IF(X431="","",AL431*(Pengaturan!$B$6+Pengaturan!$B$7)+Pengaturan!$B$8+AE431*Pengaturan!$B$9+AF431*Pengaturan!$B$10)</f>
        <v/>
      </c>
      <c r="AN431" s="22" t="str">
        <f aca="false">IF(X431="","",N(G431)-AM431)</f>
        <v/>
      </c>
      <c r="AO431" s="25" t="str">
        <f aca="false">IF(OR(X431="",N(G431)=0),"",AN431/G431)</f>
        <v/>
      </c>
    </row>
    <row r="432" customFormat="false" ht="15" hidden="false" customHeight="false" outlineLevel="0" collapsed="false">
      <c r="A432" s="19"/>
      <c r="B432" s="20"/>
      <c r="C432" s="19"/>
      <c r="D432" s="19"/>
      <c r="E432" s="19"/>
      <c r="F432" s="19"/>
      <c r="G432" s="21"/>
      <c r="H432" s="19"/>
      <c r="I432" s="21"/>
      <c r="J432" s="19"/>
      <c r="K432" s="20"/>
      <c r="L432" s="20"/>
      <c r="M432" s="19"/>
      <c r="N432" s="19"/>
      <c r="O432" s="20"/>
      <c r="P432" s="20"/>
      <c r="Q432" s="19"/>
      <c r="R432" s="22" t="str">
        <f aca="false">IF(A432="","",N(G432)+N(I432))</f>
        <v/>
      </c>
      <c r="S432" s="23" t="str">
        <f aca="false">IF(OR(K432="",O432=""),"",O432-K432)</f>
        <v/>
      </c>
      <c r="T432" s="23" t="str">
        <f aca="true">IF(AND(C432="Cetak",L432&lt;&gt;"",L432&lt;TODAY()),"YA","")</f>
        <v/>
      </c>
      <c r="U432" s="23" t="str">
        <f aca="false">IF(B432="","",TEXT(B432,"yyyy-mm"))</f>
        <v/>
      </c>
      <c r="V432" s="23" t="str">
        <f aca="false">IF(K432="","",TEXT(K432,"yyyy-mm"))</f>
        <v/>
      </c>
      <c r="W432" s="23" t="n">
        <f aca="false">IF(OR(C432="Cetak",C432="Dikirim",C432="Selesai"),1,0)</f>
        <v>0</v>
      </c>
      <c r="X432" s="23" t="str">
        <f aca="false">IF(F432="","",SUBSTITUTE(SUBSTITUTE(MID(UPPER(TRIM(F432)),4,99),"-LED",""),"-TK",""))</f>
        <v/>
      </c>
      <c r="Y432" s="23" t="str">
        <f aca="false">IF(X432="","",(LEN(X432)+1)/7)</f>
        <v/>
      </c>
      <c r="Z432" s="23" t="str">
        <f aca="false">IF(X432="","",LEFT(X432,6))</f>
        <v/>
      </c>
      <c r="AA432" s="23" t="str">
        <f aca="false">IF(X432="","",IF(Y432&gt;=3,MID(X432,8,6),""))</f>
        <v/>
      </c>
      <c r="AB432" s="23" t="str">
        <f aca="false">IF(X432="","",IF(Y432&gt;=4,MID(X432,15,6),""))</f>
        <v/>
      </c>
      <c r="AC432" s="23" t="str">
        <f aca="false">IF(X432="","",IF(Y432&gt;=5,MID(X432,22,6),""))</f>
        <v/>
      </c>
      <c r="AD432" s="23" t="str">
        <f aca="false">IF(X432="","",RIGHT(X432,6))</f>
        <v/>
      </c>
      <c r="AE432" s="23" t="str">
        <f aca="false">IF(F432="","",IF(ISNUMBER(SEARCH("-TK",UPPER(F432))),0,1))</f>
        <v/>
      </c>
      <c r="AF432" s="23" t="str">
        <f aca="false">IF(F432="","",IF(ISNUMBER(SEARCH("-LED",UPPER(F432))),1,0))</f>
        <v/>
      </c>
      <c r="AG432" s="24" t="n">
        <f aca="false">IF(Z432="",0,IFERROR(INDEX(Resep!$C$5:$C$7,MATCH(LEFT(Z432,3),Resep!$B$5:$B$7,0)),0))</f>
        <v>0</v>
      </c>
      <c r="AH432" s="24" t="n">
        <f aca="false">IF(AA432="",0,IFERROR(INDEX(Resep!$C$9:$C$13,MATCH(LEFT(AA432,3),Resep!$B$9:$B$13,0)),0))</f>
        <v>0</v>
      </c>
      <c r="AI432" s="24" t="n">
        <f aca="false">IF(AB432="",0,IFERROR(INDEX(Resep!$C$9:$C$13,MATCH(LEFT(AB432,3),Resep!$B$9:$B$13,0)),0))</f>
        <v>0</v>
      </c>
      <c r="AJ432" s="24" t="n">
        <f aca="false">IF(AC432="",0,IFERROR(INDEX(Resep!$C$9:$C$13,MATCH(LEFT(AC432,3),Resep!$B$9:$B$13,0)),0))</f>
        <v>0</v>
      </c>
      <c r="AK432" s="24" t="n">
        <f aca="false">IF(AD432="",0,IFERROR(INDEX(Resep!$C$15:$C$18,MATCH(LEFT(AD432,3),Resep!$B$15:$B$18,0)),0))</f>
        <v>0</v>
      </c>
      <c r="AL432" s="24" t="str">
        <f aca="false">IF(X432="","",AG432+AH432+AI432+AJ432+AK432)</f>
        <v/>
      </c>
      <c r="AM432" s="22" t="str">
        <f aca="false">IF(X432="","",AL432*(Pengaturan!$B$6+Pengaturan!$B$7)+Pengaturan!$B$8+AE432*Pengaturan!$B$9+AF432*Pengaturan!$B$10)</f>
        <v/>
      </c>
      <c r="AN432" s="22" t="str">
        <f aca="false">IF(X432="","",N(G432)-AM432)</f>
        <v/>
      </c>
      <c r="AO432" s="25" t="str">
        <f aca="false">IF(OR(X432="",N(G432)=0),"",AN432/G432)</f>
        <v/>
      </c>
    </row>
    <row r="433" customFormat="false" ht="15" hidden="false" customHeight="false" outlineLevel="0" collapsed="false">
      <c r="A433" s="19"/>
      <c r="B433" s="20"/>
      <c r="C433" s="19"/>
      <c r="D433" s="19"/>
      <c r="E433" s="19"/>
      <c r="F433" s="19"/>
      <c r="G433" s="21"/>
      <c r="H433" s="19"/>
      <c r="I433" s="21"/>
      <c r="J433" s="19"/>
      <c r="K433" s="20"/>
      <c r="L433" s="20"/>
      <c r="M433" s="19"/>
      <c r="N433" s="19"/>
      <c r="O433" s="20"/>
      <c r="P433" s="20"/>
      <c r="Q433" s="19"/>
      <c r="R433" s="22" t="str">
        <f aca="false">IF(A433="","",N(G433)+N(I433))</f>
        <v/>
      </c>
      <c r="S433" s="23" t="str">
        <f aca="false">IF(OR(K433="",O433=""),"",O433-K433)</f>
        <v/>
      </c>
      <c r="T433" s="23" t="str">
        <f aca="true">IF(AND(C433="Cetak",L433&lt;&gt;"",L433&lt;TODAY()),"YA","")</f>
        <v/>
      </c>
      <c r="U433" s="23" t="str">
        <f aca="false">IF(B433="","",TEXT(B433,"yyyy-mm"))</f>
        <v/>
      </c>
      <c r="V433" s="23" t="str">
        <f aca="false">IF(K433="","",TEXT(K433,"yyyy-mm"))</f>
        <v/>
      </c>
      <c r="W433" s="23" t="n">
        <f aca="false">IF(OR(C433="Cetak",C433="Dikirim",C433="Selesai"),1,0)</f>
        <v>0</v>
      </c>
      <c r="X433" s="23" t="str">
        <f aca="false">IF(F433="","",SUBSTITUTE(SUBSTITUTE(MID(UPPER(TRIM(F433)),4,99),"-LED",""),"-TK",""))</f>
        <v/>
      </c>
      <c r="Y433" s="23" t="str">
        <f aca="false">IF(X433="","",(LEN(X433)+1)/7)</f>
        <v/>
      </c>
      <c r="Z433" s="23" t="str">
        <f aca="false">IF(X433="","",LEFT(X433,6))</f>
        <v/>
      </c>
      <c r="AA433" s="23" t="str">
        <f aca="false">IF(X433="","",IF(Y433&gt;=3,MID(X433,8,6),""))</f>
        <v/>
      </c>
      <c r="AB433" s="23" t="str">
        <f aca="false">IF(X433="","",IF(Y433&gt;=4,MID(X433,15,6),""))</f>
        <v/>
      </c>
      <c r="AC433" s="23" t="str">
        <f aca="false">IF(X433="","",IF(Y433&gt;=5,MID(X433,22,6),""))</f>
        <v/>
      </c>
      <c r="AD433" s="23" t="str">
        <f aca="false">IF(X433="","",RIGHT(X433,6))</f>
        <v/>
      </c>
      <c r="AE433" s="23" t="str">
        <f aca="false">IF(F433="","",IF(ISNUMBER(SEARCH("-TK",UPPER(F433))),0,1))</f>
        <v/>
      </c>
      <c r="AF433" s="23" t="str">
        <f aca="false">IF(F433="","",IF(ISNUMBER(SEARCH("-LED",UPPER(F433))),1,0))</f>
        <v/>
      </c>
      <c r="AG433" s="24" t="n">
        <f aca="false">IF(Z433="",0,IFERROR(INDEX(Resep!$C$5:$C$7,MATCH(LEFT(Z433,3),Resep!$B$5:$B$7,0)),0))</f>
        <v>0</v>
      </c>
      <c r="AH433" s="24" t="n">
        <f aca="false">IF(AA433="",0,IFERROR(INDEX(Resep!$C$9:$C$13,MATCH(LEFT(AA433,3),Resep!$B$9:$B$13,0)),0))</f>
        <v>0</v>
      </c>
      <c r="AI433" s="24" t="n">
        <f aca="false">IF(AB433="",0,IFERROR(INDEX(Resep!$C$9:$C$13,MATCH(LEFT(AB433,3),Resep!$B$9:$B$13,0)),0))</f>
        <v>0</v>
      </c>
      <c r="AJ433" s="24" t="n">
        <f aca="false">IF(AC433="",0,IFERROR(INDEX(Resep!$C$9:$C$13,MATCH(LEFT(AC433,3),Resep!$B$9:$B$13,0)),0))</f>
        <v>0</v>
      </c>
      <c r="AK433" s="24" t="n">
        <f aca="false">IF(AD433="",0,IFERROR(INDEX(Resep!$C$15:$C$18,MATCH(LEFT(AD433,3),Resep!$B$15:$B$18,0)),0))</f>
        <v>0</v>
      </c>
      <c r="AL433" s="24" t="str">
        <f aca="false">IF(X433="","",AG433+AH433+AI433+AJ433+AK433)</f>
        <v/>
      </c>
      <c r="AM433" s="22" t="str">
        <f aca="false">IF(X433="","",AL433*(Pengaturan!$B$6+Pengaturan!$B$7)+Pengaturan!$B$8+AE433*Pengaturan!$B$9+AF433*Pengaturan!$B$10)</f>
        <v/>
      </c>
      <c r="AN433" s="22" t="str">
        <f aca="false">IF(X433="","",N(G433)-AM433)</f>
        <v/>
      </c>
      <c r="AO433" s="25" t="str">
        <f aca="false">IF(OR(X433="",N(G433)=0),"",AN433/G433)</f>
        <v/>
      </c>
    </row>
    <row r="434" customFormat="false" ht="15" hidden="false" customHeight="false" outlineLevel="0" collapsed="false">
      <c r="A434" s="19"/>
      <c r="B434" s="20"/>
      <c r="C434" s="19"/>
      <c r="D434" s="19"/>
      <c r="E434" s="19"/>
      <c r="F434" s="19"/>
      <c r="G434" s="21"/>
      <c r="H434" s="19"/>
      <c r="I434" s="21"/>
      <c r="J434" s="19"/>
      <c r="K434" s="20"/>
      <c r="L434" s="20"/>
      <c r="M434" s="19"/>
      <c r="N434" s="19"/>
      <c r="O434" s="20"/>
      <c r="P434" s="20"/>
      <c r="Q434" s="19"/>
      <c r="R434" s="22" t="str">
        <f aca="false">IF(A434="","",N(G434)+N(I434))</f>
        <v/>
      </c>
      <c r="S434" s="23" t="str">
        <f aca="false">IF(OR(K434="",O434=""),"",O434-K434)</f>
        <v/>
      </c>
      <c r="T434" s="23" t="str">
        <f aca="true">IF(AND(C434="Cetak",L434&lt;&gt;"",L434&lt;TODAY()),"YA","")</f>
        <v/>
      </c>
      <c r="U434" s="23" t="str">
        <f aca="false">IF(B434="","",TEXT(B434,"yyyy-mm"))</f>
        <v/>
      </c>
      <c r="V434" s="23" t="str">
        <f aca="false">IF(K434="","",TEXT(K434,"yyyy-mm"))</f>
        <v/>
      </c>
      <c r="W434" s="23" t="n">
        <f aca="false">IF(OR(C434="Cetak",C434="Dikirim",C434="Selesai"),1,0)</f>
        <v>0</v>
      </c>
      <c r="X434" s="23" t="str">
        <f aca="false">IF(F434="","",SUBSTITUTE(SUBSTITUTE(MID(UPPER(TRIM(F434)),4,99),"-LED",""),"-TK",""))</f>
        <v/>
      </c>
      <c r="Y434" s="23" t="str">
        <f aca="false">IF(X434="","",(LEN(X434)+1)/7)</f>
        <v/>
      </c>
      <c r="Z434" s="23" t="str">
        <f aca="false">IF(X434="","",LEFT(X434,6))</f>
        <v/>
      </c>
      <c r="AA434" s="23" t="str">
        <f aca="false">IF(X434="","",IF(Y434&gt;=3,MID(X434,8,6),""))</f>
        <v/>
      </c>
      <c r="AB434" s="23" t="str">
        <f aca="false">IF(X434="","",IF(Y434&gt;=4,MID(X434,15,6),""))</f>
        <v/>
      </c>
      <c r="AC434" s="23" t="str">
        <f aca="false">IF(X434="","",IF(Y434&gt;=5,MID(X434,22,6),""))</f>
        <v/>
      </c>
      <c r="AD434" s="23" t="str">
        <f aca="false">IF(X434="","",RIGHT(X434,6))</f>
        <v/>
      </c>
      <c r="AE434" s="23" t="str">
        <f aca="false">IF(F434="","",IF(ISNUMBER(SEARCH("-TK",UPPER(F434))),0,1))</f>
        <v/>
      </c>
      <c r="AF434" s="23" t="str">
        <f aca="false">IF(F434="","",IF(ISNUMBER(SEARCH("-LED",UPPER(F434))),1,0))</f>
        <v/>
      </c>
      <c r="AG434" s="24" t="n">
        <f aca="false">IF(Z434="",0,IFERROR(INDEX(Resep!$C$5:$C$7,MATCH(LEFT(Z434,3),Resep!$B$5:$B$7,0)),0))</f>
        <v>0</v>
      </c>
      <c r="AH434" s="24" t="n">
        <f aca="false">IF(AA434="",0,IFERROR(INDEX(Resep!$C$9:$C$13,MATCH(LEFT(AA434,3),Resep!$B$9:$B$13,0)),0))</f>
        <v>0</v>
      </c>
      <c r="AI434" s="24" t="n">
        <f aca="false">IF(AB434="",0,IFERROR(INDEX(Resep!$C$9:$C$13,MATCH(LEFT(AB434,3),Resep!$B$9:$B$13,0)),0))</f>
        <v>0</v>
      </c>
      <c r="AJ434" s="24" t="n">
        <f aca="false">IF(AC434="",0,IFERROR(INDEX(Resep!$C$9:$C$13,MATCH(LEFT(AC434,3),Resep!$B$9:$B$13,0)),0))</f>
        <v>0</v>
      </c>
      <c r="AK434" s="24" t="n">
        <f aca="false">IF(AD434="",0,IFERROR(INDEX(Resep!$C$15:$C$18,MATCH(LEFT(AD434,3),Resep!$B$15:$B$18,0)),0))</f>
        <v>0</v>
      </c>
      <c r="AL434" s="24" t="str">
        <f aca="false">IF(X434="","",AG434+AH434+AI434+AJ434+AK434)</f>
        <v/>
      </c>
      <c r="AM434" s="22" t="str">
        <f aca="false">IF(X434="","",AL434*(Pengaturan!$B$6+Pengaturan!$B$7)+Pengaturan!$B$8+AE434*Pengaturan!$B$9+AF434*Pengaturan!$B$10)</f>
        <v/>
      </c>
      <c r="AN434" s="22" t="str">
        <f aca="false">IF(X434="","",N(G434)-AM434)</f>
        <v/>
      </c>
      <c r="AO434" s="25" t="str">
        <f aca="false">IF(OR(X434="",N(G434)=0),"",AN434/G434)</f>
        <v/>
      </c>
    </row>
    <row r="435" customFormat="false" ht="15" hidden="false" customHeight="false" outlineLevel="0" collapsed="false">
      <c r="A435" s="19"/>
      <c r="B435" s="20"/>
      <c r="C435" s="19"/>
      <c r="D435" s="19"/>
      <c r="E435" s="19"/>
      <c r="F435" s="19"/>
      <c r="G435" s="21"/>
      <c r="H435" s="19"/>
      <c r="I435" s="21"/>
      <c r="J435" s="19"/>
      <c r="K435" s="20"/>
      <c r="L435" s="20"/>
      <c r="M435" s="19"/>
      <c r="N435" s="19"/>
      <c r="O435" s="20"/>
      <c r="P435" s="20"/>
      <c r="Q435" s="19"/>
      <c r="R435" s="22" t="str">
        <f aca="false">IF(A435="","",N(G435)+N(I435))</f>
        <v/>
      </c>
      <c r="S435" s="23" t="str">
        <f aca="false">IF(OR(K435="",O435=""),"",O435-K435)</f>
        <v/>
      </c>
      <c r="T435" s="23" t="str">
        <f aca="true">IF(AND(C435="Cetak",L435&lt;&gt;"",L435&lt;TODAY()),"YA","")</f>
        <v/>
      </c>
      <c r="U435" s="23" t="str">
        <f aca="false">IF(B435="","",TEXT(B435,"yyyy-mm"))</f>
        <v/>
      </c>
      <c r="V435" s="23" t="str">
        <f aca="false">IF(K435="","",TEXT(K435,"yyyy-mm"))</f>
        <v/>
      </c>
      <c r="W435" s="23" t="n">
        <f aca="false">IF(OR(C435="Cetak",C435="Dikirim",C435="Selesai"),1,0)</f>
        <v>0</v>
      </c>
      <c r="X435" s="23" t="str">
        <f aca="false">IF(F435="","",SUBSTITUTE(SUBSTITUTE(MID(UPPER(TRIM(F435)),4,99),"-LED",""),"-TK",""))</f>
        <v/>
      </c>
      <c r="Y435" s="23" t="str">
        <f aca="false">IF(X435="","",(LEN(X435)+1)/7)</f>
        <v/>
      </c>
      <c r="Z435" s="23" t="str">
        <f aca="false">IF(X435="","",LEFT(X435,6))</f>
        <v/>
      </c>
      <c r="AA435" s="23" t="str">
        <f aca="false">IF(X435="","",IF(Y435&gt;=3,MID(X435,8,6),""))</f>
        <v/>
      </c>
      <c r="AB435" s="23" t="str">
        <f aca="false">IF(X435="","",IF(Y435&gt;=4,MID(X435,15,6),""))</f>
        <v/>
      </c>
      <c r="AC435" s="23" t="str">
        <f aca="false">IF(X435="","",IF(Y435&gt;=5,MID(X435,22,6),""))</f>
        <v/>
      </c>
      <c r="AD435" s="23" t="str">
        <f aca="false">IF(X435="","",RIGHT(X435,6))</f>
        <v/>
      </c>
      <c r="AE435" s="23" t="str">
        <f aca="false">IF(F435="","",IF(ISNUMBER(SEARCH("-TK",UPPER(F435))),0,1))</f>
        <v/>
      </c>
      <c r="AF435" s="23" t="str">
        <f aca="false">IF(F435="","",IF(ISNUMBER(SEARCH("-LED",UPPER(F435))),1,0))</f>
        <v/>
      </c>
      <c r="AG435" s="24" t="n">
        <f aca="false">IF(Z435="",0,IFERROR(INDEX(Resep!$C$5:$C$7,MATCH(LEFT(Z435,3),Resep!$B$5:$B$7,0)),0))</f>
        <v>0</v>
      </c>
      <c r="AH435" s="24" t="n">
        <f aca="false">IF(AA435="",0,IFERROR(INDEX(Resep!$C$9:$C$13,MATCH(LEFT(AA435,3),Resep!$B$9:$B$13,0)),0))</f>
        <v>0</v>
      </c>
      <c r="AI435" s="24" t="n">
        <f aca="false">IF(AB435="",0,IFERROR(INDEX(Resep!$C$9:$C$13,MATCH(LEFT(AB435,3),Resep!$B$9:$B$13,0)),0))</f>
        <v>0</v>
      </c>
      <c r="AJ435" s="24" t="n">
        <f aca="false">IF(AC435="",0,IFERROR(INDEX(Resep!$C$9:$C$13,MATCH(LEFT(AC435,3),Resep!$B$9:$B$13,0)),0))</f>
        <v>0</v>
      </c>
      <c r="AK435" s="24" t="n">
        <f aca="false">IF(AD435="",0,IFERROR(INDEX(Resep!$C$15:$C$18,MATCH(LEFT(AD435,3),Resep!$B$15:$B$18,0)),0))</f>
        <v>0</v>
      </c>
      <c r="AL435" s="24" t="str">
        <f aca="false">IF(X435="","",AG435+AH435+AI435+AJ435+AK435)</f>
        <v/>
      </c>
      <c r="AM435" s="22" t="str">
        <f aca="false">IF(X435="","",AL435*(Pengaturan!$B$6+Pengaturan!$B$7)+Pengaturan!$B$8+AE435*Pengaturan!$B$9+AF435*Pengaturan!$B$10)</f>
        <v/>
      </c>
      <c r="AN435" s="22" t="str">
        <f aca="false">IF(X435="","",N(G435)-AM435)</f>
        <v/>
      </c>
      <c r="AO435" s="25" t="str">
        <f aca="false">IF(OR(X435="",N(G435)=0),"",AN435/G435)</f>
        <v/>
      </c>
    </row>
    <row r="436" customFormat="false" ht="15" hidden="false" customHeight="false" outlineLevel="0" collapsed="false">
      <c r="A436" s="19"/>
      <c r="B436" s="20"/>
      <c r="C436" s="19"/>
      <c r="D436" s="19"/>
      <c r="E436" s="19"/>
      <c r="F436" s="19"/>
      <c r="G436" s="21"/>
      <c r="H436" s="19"/>
      <c r="I436" s="21"/>
      <c r="J436" s="19"/>
      <c r="K436" s="20"/>
      <c r="L436" s="20"/>
      <c r="M436" s="19"/>
      <c r="N436" s="19"/>
      <c r="O436" s="20"/>
      <c r="P436" s="20"/>
      <c r="Q436" s="19"/>
      <c r="R436" s="22" t="str">
        <f aca="false">IF(A436="","",N(G436)+N(I436))</f>
        <v/>
      </c>
      <c r="S436" s="23" t="str">
        <f aca="false">IF(OR(K436="",O436=""),"",O436-K436)</f>
        <v/>
      </c>
      <c r="T436" s="23" t="str">
        <f aca="true">IF(AND(C436="Cetak",L436&lt;&gt;"",L436&lt;TODAY()),"YA","")</f>
        <v/>
      </c>
      <c r="U436" s="23" t="str">
        <f aca="false">IF(B436="","",TEXT(B436,"yyyy-mm"))</f>
        <v/>
      </c>
      <c r="V436" s="23" t="str">
        <f aca="false">IF(K436="","",TEXT(K436,"yyyy-mm"))</f>
        <v/>
      </c>
      <c r="W436" s="23" t="n">
        <f aca="false">IF(OR(C436="Cetak",C436="Dikirim",C436="Selesai"),1,0)</f>
        <v>0</v>
      </c>
      <c r="X436" s="23" t="str">
        <f aca="false">IF(F436="","",SUBSTITUTE(SUBSTITUTE(MID(UPPER(TRIM(F436)),4,99),"-LED",""),"-TK",""))</f>
        <v/>
      </c>
      <c r="Y436" s="23" t="str">
        <f aca="false">IF(X436="","",(LEN(X436)+1)/7)</f>
        <v/>
      </c>
      <c r="Z436" s="23" t="str">
        <f aca="false">IF(X436="","",LEFT(X436,6))</f>
        <v/>
      </c>
      <c r="AA436" s="23" t="str">
        <f aca="false">IF(X436="","",IF(Y436&gt;=3,MID(X436,8,6),""))</f>
        <v/>
      </c>
      <c r="AB436" s="23" t="str">
        <f aca="false">IF(X436="","",IF(Y436&gt;=4,MID(X436,15,6),""))</f>
        <v/>
      </c>
      <c r="AC436" s="23" t="str">
        <f aca="false">IF(X436="","",IF(Y436&gt;=5,MID(X436,22,6),""))</f>
        <v/>
      </c>
      <c r="AD436" s="23" t="str">
        <f aca="false">IF(X436="","",RIGHT(X436,6))</f>
        <v/>
      </c>
      <c r="AE436" s="23" t="str">
        <f aca="false">IF(F436="","",IF(ISNUMBER(SEARCH("-TK",UPPER(F436))),0,1))</f>
        <v/>
      </c>
      <c r="AF436" s="23" t="str">
        <f aca="false">IF(F436="","",IF(ISNUMBER(SEARCH("-LED",UPPER(F436))),1,0))</f>
        <v/>
      </c>
      <c r="AG436" s="24" t="n">
        <f aca="false">IF(Z436="",0,IFERROR(INDEX(Resep!$C$5:$C$7,MATCH(LEFT(Z436,3),Resep!$B$5:$B$7,0)),0))</f>
        <v>0</v>
      </c>
      <c r="AH436" s="24" t="n">
        <f aca="false">IF(AA436="",0,IFERROR(INDEX(Resep!$C$9:$C$13,MATCH(LEFT(AA436,3),Resep!$B$9:$B$13,0)),0))</f>
        <v>0</v>
      </c>
      <c r="AI436" s="24" t="n">
        <f aca="false">IF(AB436="",0,IFERROR(INDEX(Resep!$C$9:$C$13,MATCH(LEFT(AB436,3),Resep!$B$9:$B$13,0)),0))</f>
        <v>0</v>
      </c>
      <c r="AJ436" s="24" t="n">
        <f aca="false">IF(AC436="",0,IFERROR(INDEX(Resep!$C$9:$C$13,MATCH(LEFT(AC436,3),Resep!$B$9:$B$13,0)),0))</f>
        <v>0</v>
      </c>
      <c r="AK436" s="24" t="n">
        <f aca="false">IF(AD436="",0,IFERROR(INDEX(Resep!$C$15:$C$18,MATCH(LEFT(AD436,3),Resep!$B$15:$B$18,0)),0))</f>
        <v>0</v>
      </c>
      <c r="AL436" s="24" t="str">
        <f aca="false">IF(X436="","",AG436+AH436+AI436+AJ436+AK436)</f>
        <v/>
      </c>
      <c r="AM436" s="22" t="str">
        <f aca="false">IF(X436="","",AL436*(Pengaturan!$B$6+Pengaturan!$B$7)+Pengaturan!$B$8+AE436*Pengaturan!$B$9+AF436*Pengaturan!$B$10)</f>
        <v/>
      </c>
      <c r="AN436" s="22" t="str">
        <f aca="false">IF(X436="","",N(G436)-AM436)</f>
        <v/>
      </c>
      <c r="AO436" s="25" t="str">
        <f aca="false">IF(OR(X436="",N(G436)=0),"",AN436/G436)</f>
        <v/>
      </c>
    </row>
    <row r="437" customFormat="false" ht="15" hidden="false" customHeight="false" outlineLevel="0" collapsed="false">
      <c r="A437" s="19"/>
      <c r="B437" s="20"/>
      <c r="C437" s="19"/>
      <c r="D437" s="19"/>
      <c r="E437" s="19"/>
      <c r="F437" s="19"/>
      <c r="G437" s="21"/>
      <c r="H437" s="19"/>
      <c r="I437" s="21"/>
      <c r="J437" s="19"/>
      <c r="K437" s="20"/>
      <c r="L437" s="20"/>
      <c r="M437" s="19"/>
      <c r="N437" s="19"/>
      <c r="O437" s="20"/>
      <c r="P437" s="20"/>
      <c r="Q437" s="19"/>
      <c r="R437" s="22" t="str">
        <f aca="false">IF(A437="","",N(G437)+N(I437))</f>
        <v/>
      </c>
      <c r="S437" s="23" t="str">
        <f aca="false">IF(OR(K437="",O437=""),"",O437-K437)</f>
        <v/>
      </c>
      <c r="T437" s="23" t="str">
        <f aca="true">IF(AND(C437="Cetak",L437&lt;&gt;"",L437&lt;TODAY()),"YA","")</f>
        <v/>
      </c>
      <c r="U437" s="23" t="str">
        <f aca="false">IF(B437="","",TEXT(B437,"yyyy-mm"))</f>
        <v/>
      </c>
      <c r="V437" s="23" t="str">
        <f aca="false">IF(K437="","",TEXT(K437,"yyyy-mm"))</f>
        <v/>
      </c>
      <c r="W437" s="23" t="n">
        <f aca="false">IF(OR(C437="Cetak",C437="Dikirim",C437="Selesai"),1,0)</f>
        <v>0</v>
      </c>
      <c r="X437" s="23" t="str">
        <f aca="false">IF(F437="","",SUBSTITUTE(SUBSTITUTE(MID(UPPER(TRIM(F437)),4,99),"-LED",""),"-TK",""))</f>
        <v/>
      </c>
      <c r="Y437" s="23" t="str">
        <f aca="false">IF(X437="","",(LEN(X437)+1)/7)</f>
        <v/>
      </c>
      <c r="Z437" s="23" t="str">
        <f aca="false">IF(X437="","",LEFT(X437,6))</f>
        <v/>
      </c>
      <c r="AA437" s="23" t="str">
        <f aca="false">IF(X437="","",IF(Y437&gt;=3,MID(X437,8,6),""))</f>
        <v/>
      </c>
      <c r="AB437" s="23" t="str">
        <f aca="false">IF(X437="","",IF(Y437&gt;=4,MID(X437,15,6),""))</f>
        <v/>
      </c>
      <c r="AC437" s="23" t="str">
        <f aca="false">IF(X437="","",IF(Y437&gt;=5,MID(X437,22,6),""))</f>
        <v/>
      </c>
      <c r="AD437" s="23" t="str">
        <f aca="false">IF(X437="","",RIGHT(X437,6))</f>
        <v/>
      </c>
      <c r="AE437" s="23" t="str">
        <f aca="false">IF(F437="","",IF(ISNUMBER(SEARCH("-TK",UPPER(F437))),0,1))</f>
        <v/>
      </c>
      <c r="AF437" s="23" t="str">
        <f aca="false">IF(F437="","",IF(ISNUMBER(SEARCH("-LED",UPPER(F437))),1,0))</f>
        <v/>
      </c>
      <c r="AG437" s="24" t="n">
        <f aca="false">IF(Z437="",0,IFERROR(INDEX(Resep!$C$5:$C$7,MATCH(LEFT(Z437,3),Resep!$B$5:$B$7,0)),0))</f>
        <v>0</v>
      </c>
      <c r="AH437" s="24" t="n">
        <f aca="false">IF(AA437="",0,IFERROR(INDEX(Resep!$C$9:$C$13,MATCH(LEFT(AA437,3),Resep!$B$9:$B$13,0)),0))</f>
        <v>0</v>
      </c>
      <c r="AI437" s="24" t="n">
        <f aca="false">IF(AB437="",0,IFERROR(INDEX(Resep!$C$9:$C$13,MATCH(LEFT(AB437,3),Resep!$B$9:$B$13,0)),0))</f>
        <v>0</v>
      </c>
      <c r="AJ437" s="24" t="n">
        <f aca="false">IF(AC437="",0,IFERROR(INDEX(Resep!$C$9:$C$13,MATCH(LEFT(AC437,3),Resep!$B$9:$B$13,0)),0))</f>
        <v>0</v>
      </c>
      <c r="AK437" s="24" t="n">
        <f aca="false">IF(AD437="",0,IFERROR(INDEX(Resep!$C$15:$C$18,MATCH(LEFT(AD437,3),Resep!$B$15:$B$18,0)),0))</f>
        <v>0</v>
      </c>
      <c r="AL437" s="24" t="str">
        <f aca="false">IF(X437="","",AG437+AH437+AI437+AJ437+AK437)</f>
        <v/>
      </c>
      <c r="AM437" s="22" t="str">
        <f aca="false">IF(X437="","",AL437*(Pengaturan!$B$6+Pengaturan!$B$7)+Pengaturan!$B$8+AE437*Pengaturan!$B$9+AF437*Pengaturan!$B$10)</f>
        <v/>
      </c>
      <c r="AN437" s="22" t="str">
        <f aca="false">IF(X437="","",N(G437)-AM437)</f>
        <v/>
      </c>
      <c r="AO437" s="25" t="str">
        <f aca="false">IF(OR(X437="",N(G437)=0),"",AN437/G437)</f>
        <v/>
      </c>
    </row>
    <row r="438" customFormat="false" ht="15" hidden="false" customHeight="false" outlineLevel="0" collapsed="false">
      <c r="A438" s="19"/>
      <c r="B438" s="20"/>
      <c r="C438" s="19"/>
      <c r="D438" s="19"/>
      <c r="E438" s="19"/>
      <c r="F438" s="19"/>
      <c r="G438" s="21"/>
      <c r="H438" s="19"/>
      <c r="I438" s="21"/>
      <c r="J438" s="19"/>
      <c r="K438" s="20"/>
      <c r="L438" s="20"/>
      <c r="M438" s="19"/>
      <c r="N438" s="19"/>
      <c r="O438" s="20"/>
      <c r="P438" s="20"/>
      <c r="Q438" s="19"/>
      <c r="R438" s="22" t="str">
        <f aca="false">IF(A438="","",N(G438)+N(I438))</f>
        <v/>
      </c>
      <c r="S438" s="23" t="str">
        <f aca="false">IF(OR(K438="",O438=""),"",O438-K438)</f>
        <v/>
      </c>
      <c r="T438" s="23" t="str">
        <f aca="true">IF(AND(C438="Cetak",L438&lt;&gt;"",L438&lt;TODAY()),"YA","")</f>
        <v/>
      </c>
      <c r="U438" s="23" t="str">
        <f aca="false">IF(B438="","",TEXT(B438,"yyyy-mm"))</f>
        <v/>
      </c>
      <c r="V438" s="23" t="str">
        <f aca="false">IF(K438="","",TEXT(K438,"yyyy-mm"))</f>
        <v/>
      </c>
      <c r="W438" s="23" t="n">
        <f aca="false">IF(OR(C438="Cetak",C438="Dikirim",C438="Selesai"),1,0)</f>
        <v>0</v>
      </c>
      <c r="X438" s="23" t="str">
        <f aca="false">IF(F438="","",SUBSTITUTE(SUBSTITUTE(MID(UPPER(TRIM(F438)),4,99),"-LED",""),"-TK",""))</f>
        <v/>
      </c>
      <c r="Y438" s="23" t="str">
        <f aca="false">IF(X438="","",(LEN(X438)+1)/7)</f>
        <v/>
      </c>
      <c r="Z438" s="23" t="str">
        <f aca="false">IF(X438="","",LEFT(X438,6))</f>
        <v/>
      </c>
      <c r="AA438" s="23" t="str">
        <f aca="false">IF(X438="","",IF(Y438&gt;=3,MID(X438,8,6),""))</f>
        <v/>
      </c>
      <c r="AB438" s="23" t="str">
        <f aca="false">IF(X438="","",IF(Y438&gt;=4,MID(X438,15,6),""))</f>
        <v/>
      </c>
      <c r="AC438" s="23" t="str">
        <f aca="false">IF(X438="","",IF(Y438&gt;=5,MID(X438,22,6),""))</f>
        <v/>
      </c>
      <c r="AD438" s="23" t="str">
        <f aca="false">IF(X438="","",RIGHT(X438,6))</f>
        <v/>
      </c>
      <c r="AE438" s="23" t="str">
        <f aca="false">IF(F438="","",IF(ISNUMBER(SEARCH("-TK",UPPER(F438))),0,1))</f>
        <v/>
      </c>
      <c r="AF438" s="23" t="str">
        <f aca="false">IF(F438="","",IF(ISNUMBER(SEARCH("-LED",UPPER(F438))),1,0))</f>
        <v/>
      </c>
      <c r="AG438" s="24" t="n">
        <f aca="false">IF(Z438="",0,IFERROR(INDEX(Resep!$C$5:$C$7,MATCH(LEFT(Z438,3),Resep!$B$5:$B$7,0)),0))</f>
        <v>0</v>
      </c>
      <c r="AH438" s="24" t="n">
        <f aca="false">IF(AA438="",0,IFERROR(INDEX(Resep!$C$9:$C$13,MATCH(LEFT(AA438,3),Resep!$B$9:$B$13,0)),0))</f>
        <v>0</v>
      </c>
      <c r="AI438" s="24" t="n">
        <f aca="false">IF(AB438="",0,IFERROR(INDEX(Resep!$C$9:$C$13,MATCH(LEFT(AB438,3),Resep!$B$9:$B$13,0)),0))</f>
        <v>0</v>
      </c>
      <c r="AJ438" s="24" t="n">
        <f aca="false">IF(AC438="",0,IFERROR(INDEX(Resep!$C$9:$C$13,MATCH(LEFT(AC438,3),Resep!$B$9:$B$13,0)),0))</f>
        <v>0</v>
      </c>
      <c r="AK438" s="24" t="n">
        <f aca="false">IF(AD438="",0,IFERROR(INDEX(Resep!$C$15:$C$18,MATCH(LEFT(AD438,3),Resep!$B$15:$B$18,0)),0))</f>
        <v>0</v>
      </c>
      <c r="AL438" s="24" t="str">
        <f aca="false">IF(X438="","",AG438+AH438+AI438+AJ438+AK438)</f>
        <v/>
      </c>
      <c r="AM438" s="22" t="str">
        <f aca="false">IF(X438="","",AL438*(Pengaturan!$B$6+Pengaturan!$B$7)+Pengaturan!$B$8+AE438*Pengaturan!$B$9+AF438*Pengaturan!$B$10)</f>
        <v/>
      </c>
      <c r="AN438" s="22" t="str">
        <f aca="false">IF(X438="","",N(G438)-AM438)</f>
        <v/>
      </c>
      <c r="AO438" s="25" t="str">
        <f aca="false">IF(OR(X438="",N(G438)=0),"",AN438/G438)</f>
        <v/>
      </c>
    </row>
    <row r="439" customFormat="false" ht="15" hidden="false" customHeight="false" outlineLevel="0" collapsed="false">
      <c r="A439" s="19"/>
      <c r="B439" s="20"/>
      <c r="C439" s="19"/>
      <c r="D439" s="19"/>
      <c r="E439" s="19"/>
      <c r="F439" s="19"/>
      <c r="G439" s="21"/>
      <c r="H439" s="19"/>
      <c r="I439" s="21"/>
      <c r="J439" s="19"/>
      <c r="K439" s="20"/>
      <c r="L439" s="20"/>
      <c r="M439" s="19"/>
      <c r="N439" s="19"/>
      <c r="O439" s="20"/>
      <c r="P439" s="20"/>
      <c r="Q439" s="19"/>
      <c r="R439" s="22" t="str">
        <f aca="false">IF(A439="","",N(G439)+N(I439))</f>
        <v/>
      </c>
      <c r="S439" s="23" t="str">
        <f aca="false">IF(OR(K439="",O439=""),"",O439-K439)</f>
        <v/>
      </c>
      <c r="T439" s="23" t="str">
        <f aca="true">IF(AND(C439="Cetak",L439&lt;&gt;"",L439&lt;TODAY()),"YA","")</f>
        <v/>
      </c>
      <c r="U439" s="23" t="str">
        <f aca="false">IF(B439="","",TEXT(B439,"yyyy-mm"))</f>
        <v/>
      </c>
      <c r="V439" s="23" t="str">
        <f aca="false">IF(K439="","",TEXT(K439,"yyyy-mm"))</f>
        <v/>
      </c>
      <c r="W439" s="23" t="n">
        <f aca="false">IF(OR(C439="Cetak",C439="Dikirim",C439="Selesai"),1,0)</f>
        <v>0</v>
      </c>
      <c r="X439" s="23" t="str">
        <f aca="false">IF(F439="","",SUBSTITUTE(SUBSTITUTE(MID(UPPER(TRIM(F439)),4,99),"-LED",""),"-TK",""))</f>
        <v/>
      </c>
      <c r="Y439" s="23" t="str">
        <f aca="false">IF(X439="","",(LEN(X439)+1)/7)</f>
        <v/>
      </c>
      <c r="Z439" s="23" t="str">
        <f aca="false">IF(X439="","",LEFT(X439,6))</f>
        <v/>
      </c>
      <c r="AA439" s="23" t="str">
        <f aca="false">IF(X439="","",IF(Y439&gt;=3,MID(X439,8,6),""))</f>
        <v/>
      </c>
      <c r="AB439" s="23" t="str">
        <f aca="false">IF(X439="","",IF(Y439&gt;=4,MID(X439,15,6),""))</f>
        <v/>
      </c>
      <c r="AC439" s="23" t="str">
        <f aca="false">IF(X439="","",IF(Y439&gt;=5,MID(X439,22,6),""))</f>
        <v/>
      </c>
      <c r="AD439" s="23" t="str">
        <f aca="false">IF(X439="","",RIGHT(X439,6))</f>
        <v/>
      </c>
      <c r="AE439" s="23" t="str">
        <f aca="false">IF(F439="","",IF(ISNUMBER(SEARCH("-TK",UPPER(F439))),0,1))</f>
        <v/>
      </c>
      <c r="AF439" s="23" t="str">
        <f aca="false">IF(F439="","",IF(ISNUMBER(SEARCH("-LED",UPPER(F439))),1,0))</f>
        <v/>
      </c>
      <c r="AG439" s="24" t="n">
        <f aca="false">IF(Z439="",0,IFERROR(INDEX(Resep!$C$5:$C$7,MATCH(LEFT(Z439,3),Resep!$B$5:$B$7,0)),0))</f>
        <v>0</v>
      </c>
      <c r="AH439" s="24" t="n">
        <f aca="false">IF(AA439="",0,IFERROR(INDEX(Resep!$C$9:$C$13,MATCH(LEFT(AA439,3),Resep!$B$9:$B$13,0)),0))</f>
        <v>0</v>
      </c>
      <c r="AI439" s="24" t="n">
        <f aca="false">IF(AB439="",0,IFERROR(INDEX(Resep!$C$9:$C$13,MATCH(LEFT(AB439,3),Resep!$B$9:$B$13,0)),0))</f>
        <v>0</v>
      </c>
      <c r="AJ439" s="24" t="n">
        <f aca="false">IF(AC439="",0,IFERROR(INDEX(Resep!$C$9:$C$13,MATCH(LEFT(AC439,3),Resep!$B$9:$B$13,0)),0))</f>
        <v>0</v>
      </c>
      <c r="AK439" s="24" t="n">
        <f aca="false">IF(AD439="",0,IFERROR(INDEX(Resep!$C$15:$C$18,MATCH(LEFT(AD439,3),Resep!$B$15:$B$18,0)),0))</f>
        <v>0</v>
      </c>
      <c r="AL439" s="24" t="str">
        <f aca="false">IF(X439="","",AG439+AH439+AI439+AJ439+AK439)</f>
        <v/>
      </c>
      <c r="AM439" s="22" t="str">
        <f aca="false">IF(X439="","",AL439*(Pengaturan!$B$6+Pengaturan!$B$7)+Pengaturan!$B$8+AE439*Pengaturan!$B$9+AF439*Pengaturan!$B$10)</f>
        <v/>
      </c>
      <c r="AN439" s="22" t="str">
        <f aca="false">IF(X439="","",N(G439)-AM439)</f>
        <v/>
      </c>
      <c r="AO439" s="25" t="str">
        <f aca="false">IF(OR(X439="",N(G439)=0),"",AN439/G439)</f>
        <v/>
      </c>
    </row>
    <row r="440" customFormat="false" ht="15" hidden="false" customHeight="false" outlineLevel="0" collapsed="false">
      <c r="A440" s="19"/>
      <c r="B440" s="20"/>
      <c r="C440" s="19"/>
      <c r="D440" s="19"/>
      <c r="E440" s="19"/>
      <c r="F440" s="19"/>
      <c r="G440" s="21"/>
      <c r="H440" s="19"/>
      <c r="I440" s="21"/>
      <c r="J440" s="19"/>
      <c r="K440" s="20"/>
      <c r="L440" s="20"/>
      <c r="M440" s="19"/>
      <c r="N440" s="19"/>
      <c r="O440" s="20"/>
      <c r="P440" s="20"/>
      <c r="Q440" s="19"/>
      <c r="R440" s="22" t="str">
        <f aca="false">IF(A440="","",N(G440)+N(I440))</f>
        <v/>
      </c>
      <c r="S440" s="23" t="str">
        <f aca="false">IF(OR(K440="",O440=""),"",O440-K440)</f>
        <v/>
      </c>
      <c r="T440" s="23" t="str">
        <f aca="true">IF(AND(C440="Cetak",L440&lt;&gt;"",L440&lt;TODAY()),"YA","")</f>
        <v/>
      </c>
      <c r="U440" s="23" t="str">
        <f aca="false">IF(B440="","",TEXT(B440,"yyyy-mm"))</f>
        <v/>
      </c>
      <c r="V440" s="23" t="str">
        <f aca="false">IF(K440="","",TEXT(K440,"yyyy-mm"))</f>
        <v/>
      </c>
      <c r="W440" s="23" t="n">
        <f aca="false">IF(OR(C440="Cetak",C440="Dikirim",C440="Selesai"),1,0)</f>
        <v>0</v>
      </c>
      <c r="X440" s="23" t="str">
        <f aca="false">IF(F440="","",SUBSTITUTE(SUBSTITUTE(MID(UPPER(TRIM(F440)),4,99),"-LED",""),"-TK",""))</f>
        <v/>
      </c>
      <c r="Y440" s="23" t="str">
        <f aca="false">IF(X440="","",(LEN(X440)+1)/7)</f>
        <v/>
      </c>
      <c r="Z440" s="23" t="str">
        <f aca="false">IF(X440="","",LEFT(X440,6))</f>
        <v/>
      </c>
      <c r="AA440" s="23" t="str">
        <f aca="false">IF(X440="","",IF(Y440&gt;=3,MID(X440,8,6),""))</f>
        <v/>
      </c>
      <c r="AB440" s="23" t="str">
        <f aca="false">IF(X440="","",IF(Y440&gt;=4,MID(X440,15,6),""))</f>
        <v/>
      </c>
      <c r="AC440" s="23" t="str">
        <f aca="false">IF(X440="","",IF(Y440&gt;=5,MID(X440,22,6),""))</f>
        <v/>
      </c>
      <c r="AD440" s="23" t="str">
        <f aca="false">IF(X440="","",RIGHT(X440,6))</f>
        <v/>
      </c>
      <c r="AE440" s="23" t="str">
        <f aca="false">IF(F440="","",IF(ISNUMBER(SEARCH("-TK",UPPER(F440))),0,1))</f>
        <v/>
      </c>
      <c r="AF440" s="23" t="str">
        <f aca="false">IF(F440="","",IF(ISNUMBER(SEARCH("-LED",UPPER(F440))),1,0))</f>
        <v/>
      </c>
      <c r="AG440" s="24" t="n">
        <f aca="false">IF(Z440="",0,IFERROR(INDEX(Resep!$C$5:$C$7,MATCH(LEFT(Z440,3),Resep!$B$5:$B$7,0)),0))</f>
        <v>0</v>
      </c>
      <c r="AH440" s="24" t="n">
        <f aca="false">IF(AA440="",0,IFERROR(INDEX(Resep!$C$9:$C$13,MATCH(LEFT(AA440,3),Resep!$B$9:$B$13,0)),0))</f>
        <v>0</v>
      </c>
      <c r="AI440" s="24" t="n">
        <f aca="false">IF(AB440="",0,IFERROR(INDEX(Resep!$C$9:$C$13,MATCH(LEFT(AB440,3),Resep!$B$9:$B$13,0)),0))</f>
        <v>0</v>
      </c>
      <c r="AJ440" s="24" t="n">
        <f aca="false">IF(AC440="",0,IFERROR(INDEX(Resep!$C$9:$C$13,MATCH(LEFT(AC440,3),Resep!$B$9:$B$13,0)),0))</f>
        <v>0</v>
      </c>
      <c r="AK440" s="24" t="n">
        <f aca="false">IF(AD440="",0,IFERROR(INDEX(Resep!$C$15:$C$18,MATCH(LEFT(AD440,3),Resep!$B$15:$B$18,0)),0))</f>
        <v>0</v>
      </c>
      <c r="AL440" s="24" t="str">
        <f aca="false">IF(X440="","",AG440+AH440+AI440+AJ440+AK440)</f>
        <v/>
      </c>
      <c r="AM440" s="22" t="str">
        <f aca="false">IF(X440="","",AL440*(Pengaturan!$B$6+Pengaturan!$B$7)+Pengaturan!$B$8+AE440*Pengaturan!$B$9+AF440*Pengaturan!$B$10)</f>
        <v/>
      </c>
      <c r="AN440" s="22" t="str">
        <f aca="false">IF(X440="","",N(G440)-AM440)</f>
        <v/>
      </c>
      <c r="AO440" s="25" t="str">
        <f aca="false">IF(OR(X440="",N(G440)=0),"",AN440/G440)</f>
        <v/>
      </c>
    </row>
    <row r="441" customFormat="false" ht="15" hidden="false" customHeight="false" outlineLevel="0" collapsed="false">
      <c r="A441" s="19"/>
      <c r="B441" s="20"/>
      <c r="C441" s="19"/>
      <c r="D441" s="19"/>
      <c r="E441" s="19"/>
      <c r="F441" s="19"/>
      <c r="G441" s="21"/>
      <c r="H441" s="19"/>
      <c r="I441" s="21"/>
      <c r="J441" s="19"/>
      <c r="K441" s="20"/>
      <c r="L441" s="20"/>
      <c r="M441" s="19"/>
      <c r="N441" s="19"/>
      <c r="O441" s="20"/>
      <c r="P441" s="20"/>
      <c r="Q441" s="19"/>
      <c r="R441" s="22" t="str">
        <f aca="false">IF(A441="","",N(G441)+N(I441))</f>
        <v/>
      </c>
      <c r="S441" s="23" t="str">
        <f aca="false">IF(OR(K441="",O441=""),"",O441-K441)</f>
        <v/>
      </c>
      <c r="T441" s="23" t="str">
        <f aca="true">IF(AND(C441="Cetak",L441&lt;&gt;"",L441&lt;TODAY()),"YA","")</f>
        <v/>
      </c>
      <c r="U441" s="23" t="str">
        <f aca="false">IF(B441="","",TEXT(B441,"yyyy-mm"))</f>
        <v/>
      </c>
      <c r="V441" s="23" t="str">
        <f aca="false">IF(K441="","",TEXT(K441,"yyyy-mm"))</f>
        <v/>
      </c>
      <c r="W441" s="23" t="n">
        <f aca="false">IF(OR(C441="Cetak",C441="Dikirim",C441="Selesai"),1,0)</f>
        <v>0</v>
      </c>
      <c r="X441" s="23" t="str">
        <f aca="false">IF(F441="","",SUBSTITUTE(SUBSTITUTE(MID(UPPER(TRIM(F441)),4,99),"-LED",""),"-TK",""))</f>
        <v/>
      </c>
      <c r="Y441" s="23" t="str">
        <f aca="false">IF(X441="","",(LEN(X441)+1)/7)</f>
        <v/>
      </c>
      <c r="Z441" s="23" t="str">
        <f aca="false">IF(X441="","",LEFT(X441,6))</f>
        <v/>
      </c>
      <c r="AA441" s="23" t="str">
        <f aca="false">IF(X441="","",IF(Y441&gt;=3,MID(X441,8,6),""))</f>
        <v/>
      </c>
      <c r="AB441" s="23" t="str">
        <f aca="false">IF(X441="","",IF(Y441&gt;=4,MID(X441,15,6),""))</f>
        <v/>
      </c>
      <c r="AC441" s="23" t="str">
        <f aca="false">IF(X441="","",IF(Y441&gt;=5,MID(X441,22,6),""))</f>
        <v/>
      </c>
      <c r="AD441" s="23" t="str">
        <f aca="false">IF(X441="","",RIGHT(X441,6))</f>
        <v/>
      </c>
      <c r="AE441" s="23" t="str">
        <f aca="false">IF(F441="","",IF(ISNUMBER(SEARCH("-TK",UPPER(F441))),0,1))</f>
        <v/>
      </c>
      <c r="AF441" s="23" t="str">
        <f aca="false">IF(F441="","",IF(ISNUMBER(SEARCH("-LED",UPPER(F441))),1,0))</f>
        <v/>
      </c>
      <c r="AG441" s="24" t="n">
        <f aca="false">IF(Z441="",0,IFERROR(INDEX(Resep!$C$5:$C$7,MATCH(LEFT(Z441,3),Resep!$B$5:$B$7,0)),0))</f>
        <v>0</v>
      </c>
      <c r="AH441" s="24" t="n">
        <f aca="false">IF(AA441="",0,IFERROR(INDEX(Resep!$C$9:$C$13,MATCH(LEFT(AA441,3),Resep!$B$9:$B$13,0)),0))</f>
        <v>0</v>
      </c>
      <c r="AI441" s="24" t="n">
        <f aca="false">IF(AB441="",0,IFERROR(INDEX(Resep!$C$9:$C$13,MATCH(LEFT(AB441,3),Resep!$B$9:$B$13,0)),0))</f>
        <v>0</v>
      </c>
      <c r="AJ441" s="24" t="n">
        <f aca="false">IF(AC441="",0,IFERROR(INDEX(Resep!$C$9:$C$13,MATCH(LEFT(AC441,3),Resep!$B$9:$B$13,0)),0))</f>
        <v>0</v>
      </c>
      <c r="AK441" s="24" t="n">
        <f aca="false">IF(AD441="",0,IFERROR(INDEX(Resep!$C$15:$C$18,MATCH(LEFT(AD441,3),Resep!$B$15:$B$18,0)),0))</f>
        <v>0</v>
      </c>
      <c r="AL441" s="24" t="str">
        <f aca="false">IF(X441="","",AG441+AH441+AI441+AJ441+AK441)</f>
        <v/>
      </c>
      <c r="AM441" s="22" t="str">
        <f aca="false">IF(X441="","",AL441*(Pengaturan!$B$6+Pengaturan!$B$7)+Pengaturan!$B$8+AE441*Pengaturan!$B$9+AF441*Pengaturan!$B$10)</f>
        <v/>
      </c>
      <c r="AN441" s="22" t="str">
        <f aca="false">IF(X441="","",N(G441)-AM441)</f>
        <v/>
      </c>
      <c r="AO441" s="25" t="str">
        <f aca="false">IF(OR(X441="",N(G441)=0),"",AN441/G441)</f>
        <v/>
      </c>
    </row>
    <row r="442" customFormat="false" ht="15" hidden="false" customHeight="false" outlineLevel="0" collapsed="false">
      <c r="A442" s="19"/>
      <c r="B442" s="20"/>
      <c r="C442" s="19"/>
      <c r="D442" s="19"/>
      <c r="E442" s="19"/>
      <c r="F442" s="19"/>
      <c r="G442" s="21"/>
      <c r="H442" s="19"/>
      <c r="I442" s="21"/>
      <c r="J442" s="19"/>
      <c r="K442" s="20"/>
      <c r="L442" s="20"/>
      <c r="M442" s="19"/>
      <c r="N442" s="19"/>
      <c r="O442" s="20"/>
      <c r="P442" s="20"/>
      <c r="Q442" s="19"/>
      <c r="R442" s="22" t="str">
        <f aca="false">IF(A442="","",N(G442)+N(I442))</f>
        <v/>
      </c>
      <c r="S442" s="23" t="str">
        <f aca="false">IF(OR(K442="",O442=""),"",O442-K442)</f>
        <v/>
      </c>
      <c r="T442" s="23" t="str">
        <f aca="true">IF(AND(C442="Cetak",L442&lt;&gt;"",L442&lt;TODAY()),"YA","")</f>
        <v/>
      </c>
      <c r="U442" s="23" t="str">
        <f aca="false">IF(B442="","",TEXT(B442,"yyyy-mm"))</f>
        <v/>
      </c>
      <c r="V442" s="23" t="str">
        <f aca="false">IF(K442="","",TEXT(K442,"yyyy-mm"))</f>
        <v/>
      </c>
      <c r="W442" s="23" t="n">
        <f aca="false">IF(OR(C442="Cetak",C442="Dikirim",C442="Selesai"),1,0)</f>
        <v>0</v>
      </c>
      <c r="X442" s="23" t="str">
        <f aca="false">IF(F442="","",SUBSTITUTE(SUBSTITUTE(MID(UPPER(TRIM(F442)),4,99),"-LED",""),"-TK",""))</f>
        <v/>
      </c>
      <c r="Y442" s="23" t="str">
        <f aca="false">IF(X442="","",(LEN(X442)+1)/7)</f>
        <v/>
      </c>
      <c r="Z442" s="23" t="str">
        <f aca="false">IF(X442="","",LEFT(X442,6))</f>
        <v/>
      </c>
      <c r="AA442" s="23" t="str">
        <f aca="false">IF(X442="","",IF(Y442&gt;=3,MID(X442,8,6),""))</f>
        <v/>
      </c>
      <c r="AB442" s="23" t="str">
        <f aca="false">IF(X442="","",IF(Y442&gt;=4,MID(X442,15,6),""))</f>
        <v/>
      </c>
      <c r="AC442" s="23" t="str">
        <f aca="false">IF(X442="","",IF(Y442&gt;=5,MID(X442,22,6),""))</f>
        <v/>
      </c>
      <c r="AD442" s="23" t="str">
        <f aca="false">IF(X442="","",RIGHT(X442,6))</f>
        <v/>
      </c>
      <c r="AE442" s="23" t="str">
        <f aca="false">IF(F442="","",IF(ISNUMBER(SEARCH("-TK",UPPER(F442))),0,1))</f>
        <v/>
      </c>
      <c r="AF442" s="23" t="str">
        <f aca="false">IF(F442="","",IF(ISNUMBER(SEARCH("-LED",UPPER(F442))),1,0))</f>
        <v/>
      </c>
      <c r="AG442" s="24" t="n">
        <f aca="false">IF(Z442="",0,IFERROR(INDEX(Resep!$C$5:$C$7,MATCH(LEFT(Z442,3),Resep!$B$5:$B$7,0)),0))</f>
        <v>0</v>
      </c>
      <c r="AH442" s="24" t="n">
        <f aca="false">IF(AA442="",0,IFERROR(INDEX(Resep!$C$9:$C$13,MATCH(LEFT(AA442,3),Resep!$B$9:$B$13,0)),0))</f>
        <v>0</v>
      </c>
      <c r="AI442" s="24" t="n">
        <f aca="false">IF(AB442="",0,IFERROR(INDEX(Resep!$C$9:$C$13,MATCH(LEFT(AB442,3),Resep!$B$9:$B$13,0)),0))</f>
        <v>0</v>
      </c>
      <c r="AJ442" s="24" t="n">
        <f aca="false">IF(AC442="",0,IFERROR(INDEX(Resep!$C$9:$C$13,MATCH(LEFT(AC442,3),Resep!$B$9:$B$13,0)),0))</f>
        <v>0</v>
      </c>
      <c r="AK442" s="24" t="n">
        <f aca="false">IF(AD442="",0,IFERROR(INDEX(Resep!$C$15:$C$18,MATCH(LEFT(AD442,3),Resep!$B$15:$B$18,0)),0))</f>
        <v>0</v>
      </c>
      <c r="AL442" s="24" t="str">
        <f aca="false">IF(X442="","",AG442+AH442+AI442+AJ442+AK442)</f>
        <v/>
      </c>
      <c r="AM442" s="22" t="str">
        <f aca="false">IF(X442="","",AL442*(Pengaturan!$B$6+Pengaturan!$B$7)+Pengaturan!$B$8+AE442*Pengaturan!$B$9+AF442*Pengaturan!$B$10)</f>
        <v/>
      </c>
      <c r="AN442" s="22" t="str">
        <f aca="false">IF(X442="","",N(G442)-AM442)</f>
        <v/>
      </c>
      <c r="AO442" s="25" t="str">
        <f aca="false">IF(OR(X442="",N(G442)=0),"",AN442/G442)</f>
        <v/>
      </c>
    </row>
    <row r="443" customFormat="false" ht="15" hidden="false" customHeight="false" outlineLevel="0" collapsed="false">
      <c r="A443" s="19"/>
      <c r="B443" s="20"/>
      <c r="C443" s="19"/>
      <c r="D443" s="19"/>
      <c r="E443" s="19"/>
      <c r="F443" s="19"/>
      <c r="G443" s="21"/>
      <c r="H443" s="19"/>
      <c r="I443" s="21"/>
      <c r="J443" s="19"/>
      <c r="K443" s="20"/>
      <c r="L443" s="20"/>
      <c r="M443" s="19"/>
      <c r="N443" s="19"/>
      <c r="O443" s="20"/>
      <c r="P443" s="20"/>
      <c r="Q443" s="19"/>
      <c r="R443" s="22" t="str">
        <f aca="false">IF(A443="","",N(G443)+N(I443))</f>
        <v/>
      </c>
      <c r="S443" s="23" t="str">
        <f aca="false">IF(OR(K443="",O443=""),"",O443-K443)</f>
        <v/>
      </c>
      <c r="T443" s="23" t="str">
        <f aca="true">IF(AND(C443="Cetak",L443&lt;&gt;"",L443&lt;TODAY()),"YA","")</f>
        <v/>
      </c>
      <c r="U443" s="23" t="str">
        <f aca="false">IF(B443="","",TEXT(B443,"yyyy-mm"))</f>
        <v/>
      </c>
      <c r="V443" s="23" t="str">
        <f aca="false">IF(K443="","",TEXT(K443,"yyyy-mm"))</f>
        <v/>
      </c>
      <c r="W443" s="23" t="n">
        <f aca="false">IF(OR(C443="Cetak",C443="Dikirim",C443="Selesai"),1,0)</f>
        <v>0</v>
      </c>
      <c r="X443" s="23" t="str">
        <f aca="false">IF(F443="","",SUBSTITUTE(SUBSTITUTE(MID(UPPER(TRIM(F443)),4,99),"-LED",""),"-TK",""))</f>
        <v/>
      </c>
      <c r="Y443" s="23" t="str">
        <f aca="false">IF(X443="","",(LEN(X443)+1)/7)</f>
        <v/>
      </c>
      <c r="Z443" s="23" t="str">
        <f aca="false">IF(X443="","",LEFT(X443,6))</f>
        <v/>
      </c>
      <c r="AA443" s="23" t="str">
        <f aca="false">IF(X443="","",IF(Y443&gt;=3,MID(X443,8,6),""))</f>
        <v/>
      </c>
      <c r="AB443" s="23" t="str">
        <f aca="false">IF(X443="","",IF(Y443&gt;=4,MID(X443,15,6),""))</f>
        <v/>
      </c>
      <c r="AC443" s="23" t="str">
        <f aca="false">IF(X443="","",IF(Y443&gt;=5,MID(X443,22,6),""))</f>
        <v/>
      </c>
      <c r="AD443" s="23" t="str">
        <f aca="false">IF(X443="","",RIGHT(X443,6))</f>
        <v/>
      </c>
      <c r="AE443" s="23" t="str">
        <f aca="false">IF(F443="","",IF(ISNUMBER(SEARCH("-TK",UPPER(F443))),0,1))</f>
        <v/>
      </c>
      <c r="AF443" s="23" t="str">
        <f aca="false">IF(F443="","",IF(ISNUMBER(SEARCH("-LED",UPPER(F443))),1,0))</f>
        <v/>
      </c>
      <c r="AG443" s="24" t="n">
        <f aca="false">IF(Z443="",0,IFERROR(INDEX(Resep!$C$5:$C$7,MATCH(LEFT(Z443,3),Resep!$B$5:$B$7,0)),0))</f>
        <v>0</v>
      </c>
      <c r="AH443" s="24" t="n">
        <f aca="false">IF(AA443="",0,IFERROR(INDEX(Resep!$C$9:$C$13,MATCH(LEFT(AA443,3),Resep!$B$9:$B$13,0)),0))</f>
        <v>0</v>
      </c>
      <c r="AI443" s="24" t="n">
        <f aca="false">IF(AB443="",0,IFERROR(INDEX(Resep!$C$9:$C$13,MATCH(LEFT(AB443,3),Resep!$B$9:$B$13,0)),0))</f>
        <v>0</v>
      </c>
      <c r="AJ443" s="24" t="n">
        <f aca="false">IF(AC443="",0,IFERROR(INDEX(Resep!$C$9:$C$13,MATCH(LEFT(AC443,3),Resep!$B$9:$B$13,0)),0))</f>
        <v>0</v>
      </c>
      <c r="AK443" s="24" t="n">
        <f aca="false">IF(AD443="",0,IFERROR(INDEX(Resep!$C$15:$C$18,MATCH(LEFT(AD443,3),Resep!$B$15:$B$18,0)),0))</f>
        <v>0</v>
      </c>
      <c r="AL443" s="24" t="str">
        <f aca="false">IF(X443="","",AG443+AH443+AI443+AJ443+AK443)</f>
        <v/>
      </c>
      <c r="AM443" s="22" t="str">
        <f aca="false">IF(X443="","",AL443*(Pengaturan!$B$6+Pengaturan!$B$7)+Pengaturan!$B$8+AE443*Pengaturan!$B$9+AF443*Pengaturan!$B$10)</f>
        <v/>
      </c>
      <c r="AN443" s="22" t="str">
        <f aca="false">IF(X443="","",N(G443)-AM443)</f>
        <v/>
      </c>
      <c r="AO443" s="25" t="str">
        <f aca="false">IF(OR(X443="",N(G443)=0),"",AN443/G443)</f>
        <v/>
      </c>
    </row>
    <row r="444" customFormat="false" ht="15" hidden="false" customHeight="false" outlineLevel="0" collapsed="false">
      <c r="A444" s="19"/>
      <c r="B444" s="20"/>
      <c r="C444" s="19"/>
      <c r="D444" s="19"/>
      <c r="E444" s="19"/>
      <c r="F444" s="19"/>
      <c r="G444" s="21"/>
      <c r="H444" s="19"/>
      <c r="I444" s="21"/>
      <c r="J444" s="19"/>
      <c r="K444" s="20"/>
      <c r="L444" s="20"/>
      <c r="M444" s="19"/>
      <c r="N444" s="19"/>
      <c r="O444" s="20"/>
      <c r="P444" s="20"/>
      <c r="Q444" s="19"/>
      <c r="R444" s="22" t="str">
        <f aca="false">IF(A444="","",N(G444)+N(I444))</f>
        <v/>
      </c>
      <c r="S444" s="23" t="str">
        <f aca="false">IF(OR(K444="",O444=""),"",O444-K444)</f>
        <v/>
      </c>
      <c r="T444" s="23" t="str">
        <f aca="true">IF(AND(C444="Cetak",L444&lt;&gt;"",L444&lt;TODAY()),"YA","")</f>
        <v/>
      </c>
      <c r="U444" s="23" t="str">
        <f aca="false">IF(B444="","",TEXT(B444,"yyyy-mm"))</f>
        <v/>
      </c>
      <c r="V444" s="23" t="str">
        <f aca="false">IF(K444="","",TEXT(K444,"yyyy-mm"))</f>
        <v/>
      </c>
      <c r="W444" s="23" t="n">
        <f aca="false">IF(OR(C444="Cetak",C444="Dikirim",C444="Selesai"),1,0)</f>
        <v>0</v>
      </c>
      <c r="X444" s="23" t="str">
        <f aca="false">IF(F444="","",SUBSTITUTE(SUBSTITUTE(MID(UPPER(TRIM(F444)),4,99),"-LED",""),"-TK",""))</f>
        <v/>
      </c>
      <c r="Y444" s="23" t="str">
        <f aca="false">IF(X444="","",(LEN(X444)+1)/7)</f>
        <v/>
      </c>
      <c r="Z444" s="23" t="str">
        <f aca="false">IF(X444="","",LEFT(X444,6))</f>
        <v/>
      </c>
      <c r="AA444" s="23" t="str">
        <f aca="false">IF(X444="","",IF(Y444&gt;=3,MID(X444,8,6),""))</f>
        <v/>
      </c>
      <c r="AB444" s="23" t="str">
        <f aca="false">IF(X444="","",IF(Y444&gt;=4,MID(X444,15,6),""))</f>
        <v/>
      </c>
      <c r="AC444" s="23" t="str">
        <f aca="false">IF(X444="","",IF(Y444&gt;=5,MID(X444,22,6),""))</f>
        <v/>
      </c>
      <c r="AD444" s="23" t="str">
        <f aca="false">IF(X444="","",RIGHT(X444,6))</f>
        <v/>
      </c>
      <c r="AE444" s="23" t="str">
        <f aca="false">IF(F444="","",IF(ISNUMBER(SEARCH("-TK",UPPER(F444))),0,1))</f>
        <v/>
      </c>
      <c r="AF444" s="23" t="str">
        <f aca="false">IF(F444="","",IF(ISNUMBER(SEARCH("-LED",UPPER(F444))),1,0))</f>
        <v/>
      </c>
      <c r="AG444" s="24" t="n">
        <f aca="false">IF(Z444="",0,IFERROR(INDEX(Resep!$C$5:$C$7,MATCH(LEFT(Z444,3),Resep!$B$5:$B$7,0)),0))</f>
        <v>0</v>
      </c>
      <c r="AH444" s="24" t="n">
        <f aca="false">IF(AA444="",0,IFERROR(INDEX(Resep!$C$9:$C$13,MATCH(LEFT(AA444,3),Resep!$B$9:$B$13,0)),0))</f>
        <v>0</v>
      </c>
      <c r="AI444" s="24" t="n">
        <f aca="false">IF(AB444="",0,IFERROR(INDEX(Resep!$C$9:$C$13,MATCH(LEFT(AB444,3),Resep!$B$9:$B$13,0)),0))</f>
        <v>0</v>
      </c>
      <c r="AJ444" s="24" t="n">
        <f aca="false">IF(AC444="",0,IFERROR(INDEX(Resep!$C$9:$C$13,MATCH(LEFT(AC444,3),Resep!$B$9:$B$13,0)),0))</f>
        <v>0</v>
      </c>
      <c r="AK444" s="24" t="n">
        <f aca="false">IF(AD444="",0,IFERROR(INDEX(Resep!$C$15:$C$18,MATCH(LEFT(AD444,3),Resep!$B$15:$B$18,0)),0))</f>
        <v>0</v>
      </c>
      <c r="AL444" s="24" t="str">
        <f aca="false">IF(X444="","",AG444+AH444+AI444+AJ444+AK444)</f>
        <v/>
      </c>
      <c r="AM444" s="22" t="str">
        <f aca="false">IF(X444="","",AL444*(Pengaturan!$B$6+Pengaturan!$B$7)+Pengaturan!$B$8+AE444*Pengaturan!$B$9+AF444*Pengaturan!$B$10)</f>
        <v/>
      </c>
      <c r="AN444" s="22" t="str">
        <f aca="false">IF(X444="","",N(G444)-AM444)</f>
        <v/>
      </c>
      <c r="AO444" s="25" t="str">
        <f aca="false">IF(OR(X444="",N(G444)=0),"",AN444/G444)</f>
        <v/>
      </c>
    </row>
    <row r="445" customFormat="false" ht="15" hidden="false" customHeight="false" outlineLevel="0" collapsed="false">
      <c r="A445" s="19"/>
      <c r="B445" s="20"/>
      <c r="C445" s="19"/>
      <c r="D445" s="19"/>
      <c r="E445" s="19"/>
      <c r="F445" s="19"/>
      <c r="G445" s="21"/>
      <c r="H445" s="19"/>
      <c r="I445" s="21"/>
      <c r="J445" s="19"/>
      <c r="K445" s="20"/>
      <c r="L445" s="20"/>
      <c r="M445" s="19"/>
      <c r="N445" s="19"/>
      <c r="O445" s="20"/>
      <c r="P445" s="20"/>
      <c r="Q445" s="19"/>
      <c r="R445" s="22" t="str">
        <f aca="false">IF(A445="","",N(G445)+N(I445))</f>
        <v/>
      </c>
      <c r="S445" s="23" t="str">
        <f aca="false">IF(OR(K445="",O445=""),"",O445-K445)</f>
        <v/>
      </c>
      <c r="T445" s="23" t="str">
        <f aca="true">IF(AND(C445="Cetak",L445&lt;&gt;"",L445&lt;TODAY()),"YA","")</f>
        <v/>
      </c>
      <c r="U445" s="23" t="str">
        <f aca="false">IF(B445="","",TEXT(B445,"yyyy-mm"))</f>
        <v/>
      </c>
      <c r="V445" s="23" t="str">
        <f aca="false">IF(K445="","",TEXT(K445,"yyyy-mm"))</f>
        <v/>
      </c>
      <c r="W445" s="23" t="n">
        <f aca="false">IF(OR(C445="Cetak",C445="Dikirim",C445="Selesai"),1,0)</f>
        <v>0</v>
      </c>
      <c r="X445" s="23" t="str">
        <f aca="false">IF(F445="","",SUBSTITUTE(SUBSTITUTE(MID(UPPER(TRIM(F445)),4,99),"-LED",""),"-TK",""))</f>
        <v/>
      </c>
      <c r="Y445" s="23" t="str">
        <f aca="false">IF(X445="","",(LEN(X445)+1)/7)</f>
        <v/>
      </c>
      <c r="Z445" s="23" t="str">
        <f aca="false">IF(X445="","",LEFT(X445,6))</f>
        <v/>
      </c>
      <c r="AA445" s="23" t="str">
        <f aca="false">IF(X445="","",IF(Y445&gt;=3,MID(X445,8,6),""))</f>
        <v/>
      </c>
      <c r="AB445" s="23" t="str">
        <f aca="false">IF(X445="","",IF(Y445&gt;=4,MID(X445,15,6),""))</f>
        <v/>
      </c>
      <c r="AC445" s="23" t="str">
        <f aca="false">IF(X445="","",IF(Y445&gt;=5,MID(X445,22,6),""))</f>
        <v/>
      </c>
      <c r="AD445" s="23" t="str">
        <f aca="false">IF(X445="","",RIGHT(X445,6))</f>
        <v/>
      </c>
      <c r="AE445" s="23" t="str">
        <f aca="false">IF(F445="","",IF(ISNUMBER(SEARCH("-TK",UPPER(F445))),0,1))</f>
        <v/>
      </c>
      <c r="AF445" s="23" t="str">
        <f aca="false">IF(F445="","",IF(ISNUMBER(SEARCH("-LED",UPPER(F445))),1,0))</f>
        <v/>
      </c>
      <c r="AG445" s="24" t="n">
        <f aca="false">IF(Z445="",0,IFERROR(INDEX(Resep!$C$5:$C$7,MATCH(LEFT(Z445,3),Resep!$B$5:$B$7,0)),0))</f>
        <v>0</v>
      </c>
      <c r="AH445" s="24" t="n">
        <f aca="false">IF(AA445="",0,IFERROR(INDEX(Resep!$C$9:$C$13,MATCH(LEFT(AA445,3),Resep!$B$9:$B$13,0)),0))</f>
        <v>0</v>
      </c>
      <c r="AI445" s="24" t="n">
        <f aca="false">IF(AB445="",0,IFERROR(INDEX(Resep!$C$9:$C$13,MATCH(LEFT(AB445,3),Resep!$B$9:$B$13,0)),0))</f>
        <v>0</v>
      </c>
      <c r="AJ445" s="24" t="n">
        <f aca="false">IF(AC445="",0,IFERROR(INDEX(Resep!$C$9:$C$13,MATCH(LEFT(AC445,3),Resep!$B$9:$B$13,0)),0))</f>
        <v>0</v>
      </c>
      <c r="AK445" s="24" t="n">
        <f aca="false">IF(AD445="",0,IFERROR(INDEX(Resep!$C$15:$C$18,MATCH(LEFT(AD445,3),Resep!$B$15:$B$18,0)),0))</f>
        <v>0</v>
      </c>
      <c r="AL445" s="24" t="str">
        <f aca="false">IF(X445="","",AG445+AH445+AI445+AJ445+AK445)</f>
        <v/>
      </c>
      <c r="AM445" s="22" t="str">
        <f aca="false">IF(X445="","",AL445*(Pengaturan!$B$6+Pengaturan!$B$7)+Pengaturan!$B$8+AE445*Pengaturan!$B$9+AF445*Pengaturan!$B$10)</f>
        <v/>
      </c>
      <c r="AN445" s="22" t="str">
        <f aca="false">IF(X445="","",N(G445)-AM445)</f>
        <v/>
      </c>
      <c r="AO445" s="25" t="str">
        <f aca="false">IF(OR(X445="",N(G445)=0),"",AN445/G445)</f>
        <v/>
      </c>
    </row>
    <row r="446" customFormat="false" ht="15" hidden="false" customHeight="false" outlineLevel="0" collapsed="false">
      <c r="A446" s="19"/>
      <c r="B446" s="20"/>
      <c r="C446" s="19"/>
      <c r="D446" s="19"/>
      <c r="E446" s="19"/>
      <c r="F446" s="19"/>
      <c r="G446" s="21"/>
      <c r="H446" s="19"/>
      <c r="I446" s="21"/>
      <c r="J446" s="19"/>
      <c r="K446" s="20"/>
      <c r="L446" s="20"/>
      <c r="M446" s="19"/>
      <c r="N446" s="19"/>
      <c r="O446" s="20"/>
      <c r="P446" s="20"/>
      <c r="Q446" s="19"/>
      <c r="R446" s="22" t="str">
        <f aca="false">IF(A446="","",N(G446)+N(I446))</f>
        <v/>
      </c>
      <c r="S446" s="23" t="str">
        <f aca="false">IF(OR(K446="",O446=""),"",O446-K446)</f>
        <v/>
      </c>
      <c r="T446" s="23" t="str">
        <f aca="true">IF(AND(C446="Cetak",L446&lt;&gt;"",L446&lt;TODAY()),"YA","")</f>
        <v/>
      </c>
      <c r="U446" s="23" t="str">
        <f aca="false">IF(B446="","",TEXT(B446,"yyyy-mm"))</f>
        <v/>
      </c>
      <c r="V446" s="23" t="str">
        <f aca="false">IF(K446="","",TEXT(K446,"yyyy-mm"))</f>
        <v/>
      </c>
      <c r="W446" s="23" t="n">
        <f aca="false">IF(OR(C446="Cetak",C446="Dikirim",C446="Selesai"),1,0)</f>
        <v>0</v>
      </c>
      <c r="X446" s="23" t="str">
        <f aca="false">IF(F446="","",SUBSTITUTE(SUBSTITUTE(MID(UPPER(TRIM(F446)),4,99),"-LED",""),"-TK",""))</f>
        <v/>
      </c>
      <c r="Y446" s="23" t="str">
        <f aca="false">IF(X446="","",(LEN(X446)+1)/7)</f>
        <v/>
      </c>
      <c r="Z446" s="23" t="str">
        <f aca="false">IF(X446="","",LEFT(X446,6))</f>
        <v/>
      </c>
      <c r="AA446" s="23" t="str">
        <f aca="false">IF(X446="","",IF(Y446&gt;=3,MID(X446,8,6),""))</f>
        <v/>
      </c>
      <c r="AB446" s="23" t="str">
        <f aca="false">IF(X446="","",IF(Y446&gt;=4,MID(X446,15,6),""))</f>
        <v/>
      </c>
      <c r="AC446" s="23" t="str">
        <f aca="false">IF(X446="","",IF(Y446&gt;=5,MID(X446,22,6),""))</f>
        <v/>
      </c>
      <c r="AD446" s="23" t="str">
        <f aca="false">IF(X446="","",RIGHT(X446,6))</f>
        <v/>
      </c>
      <c r="AE446" s="23" t="str">
        <f aca="false">IF(F446="","",IF(ISNUMBER(SEARCH("-TK",UPPER(F446))),0,1))</f>
        <v/>
      </c>
      <c r="AF446" s="23" t="str">
        <f aca="false">IF(F446="","",IF(ISNUMBER(SEARCH("-LED",UPPER(F446))),1,0))</f>
        <v/>
      </c>
      <c r="AG446" s="24" t="n">
        <f aca="false">IF(Z446="",0,IFERROR(INDEX(Resep!$C$5:$C$7,MATCH(LEFT(Z446,3),Resep!$B$5:$B$7,0)),0))</f>
        <v>0</v>
      </c>
      <c r="AH446" s="24" t="n">
        <f aca="false">IF(AA446="",0,IFERROR(INDEX(Resep!$C$9:$C$13,MATCH(LEFT(AA446,3),Resep!$B$9:$B$13,0)),0))</f>
        <v>0</v>
      </c>
      <c r="AI446" s="24" t="n">
        <f aca="false">IF(AB446="",0,IFERROR(INDEX(Resep!$C$9:$C$13,MATCH(LEFT(AB446,3),Resep!$B$9:$B$13,0)),0))</f>
        <v>0</v>
      </c>
      <c r="AJ446" s="24" t="n">
        <f aca="false">IF(AC446="",0,IFERROR(INDEX(Resep!$C$9:$C$13,MATCH(LEFT(AC446,3),Resep!$B$9:$B$13,0)),0))</f>
        <v>0</v>
      </c>
      <c r="AK446" s="24" t="n">
        <f aca="false">IF(AD446="",0,IFERROR(INDEX(Resep!$C$15:$C$18,MATCH(LEFT(AD446,3),Resep!$B$15:$B$18,0)),0))</f>
        <v>0</v>
      </c>
      <c r="AL446" s="24" t="str">
        <f aca="false">IF(X446="","",AG446+AH446+AI446+AJ446+AK446)</f>
        <v/>
      </c>
      <c r="AM446" s="22" t="str">
        <f aca="false">IF(X446="","",AL446*(Pengaturan!$B$6+Pengaturan!$B$7)+Pengaturan!$B$8+AE446*Pengaturan!$B$9+AF446*Pengaturan!$B$10)</f>
        <v/>
      </c>
      <c r="AN446" s="22" t="str">
        <f aca="false">IF(X446="","",N(G446)-AM446)</f>
        <v/>
      </c>
      <c r="AO446" s="25" t="str">
        <f aca="false">IF(OR(X446="",N(G446)=0),"",AN446/G446)</f>
        <v/>
      </c>
    </row>
    <row r="447" customFormat="false" ht="15" hidden="false" customHeight="false" outlineLevel="0" collapsed="false">
      <c r="A447" s="19"/>
      <c r="B447" s="20"/>
      <c r="C447" s="19"/>
      <c r="D447" s="19"/>
      <c r="E447" s="19"/>
      <c r="F447" s="19"/>
      <c r="G447" s="21"/>
      <c r="H447" s="19"/>
      <c r="I447" s="21"/>
      <c r="J447" s="19"/>
      <c r="K447" s="20"/>
      <c r="L447" s="20"/>
      <c r="M447" s="19"/>
      <c r="N447" s="19"/>
      <c r="O447" s="20"/>
      <c r="P447" s="20"/>
      <c r="Q447" s="19"/>
      <c r="R447" s="22" t="str">
        <f aca="false">IF(A447="","",N(G447)+N(I447))</f>
        <v/>
      </c>
      <c r="S447" s="23" t="str">
        <f aca="false">IF(OR(K447="",O447=""),"",O447-K447)</f>
        <v/>
      </c>
      <c r="T447" s="23" t="str">
        <f aca="true">IF(AND(C447="Cetak",L447&lt;&gt;"",L447&lt;TODAY()),"YA","")</f>
        <v/>
      </c>
      <c r="U447" s="23" t="str">
        <f aca="false">IF(B447="","",TEXT(B447,"yyyy-mm"))</f>
        <v/>
      </c>
      <c r="V447" s="23" t="str">
        <f aca="false">IF(K447="","",TEXT(K447,"yyyy-mm"))</f>
        <v/>
      </c>
      <c r="W447" s="23" t="n">
        <f aca="false">IF(OR(C447="Cetak",C447="Dikirim",C447="Selesai"),1,0)</f>
        <v>0</v>
      </c>
      <c r="X447" s="23" t="str">
        <f aca="false">IF(F447="","",SUBSTITUTE(SUBSTITUTE(MID(UPPER(TRIM(F447)),4,99),"-LED",""),"-TK",""))</f>
        <v/>
      </c>
      <c r="Y447" s="23" t="str">
        <f aca="false">IF(X447="","",(LEN(X447)+1)/7)</f>
        <v/>
      </c>
      <c r="Z447" s="23" t="str">
        <f aca="false">IF(X447="","",LEFT(X447,6))</f>
        <v/>
      </c>
      <c r="AA447" s="23" t="str">
        <f aca="false">IF(X447="","",IF(Y447&gt;=3,MID(X447,8,6),""))</f>
        <v/>
      </c>
      <c r="AB447" s="23" t="str">
        <f aca="false">IF(X447="","",IF(Y447&gt;=4,MID(X447,15,6),""))</f>
        <v/>
      </c>
      <c r="AC447" s="23" t="str">
        <f aca="false">IF(X447="","",IF(Y447&gt;=5,MID(X447,22,6),""))</f>
        <v/>
      </c>
      <c r="AD447" s="23" t="str">
        <f aca="false">IF(X447="","",RIGHT(X447,6))</f>
        <v/>
      </c>
      <c r="AE447" s="23" t="str">
        <f aca="false">IF(F447="","",IF(ISNUMBER(SEARCH("-TK",UPPER(F447))),0,1))</f>
        <v/>
      </c>
      <c r="AF447" s="23" t="str">
        <f aca="false">IF(F447="","",IF(ISNUMBER(SEARCH("-LED",UPPER(F447))),1,0))</f>
        <v/>
      </c>
      <c r="AG447" s="24" t="n">
        <f aca="false">IF(Z447="",0,IFERROR(INDEX(Resep!$C$5:$C$7,MATCH(LEFT(Z447,3),Resep!$B$5:$B$7,0)),0))</f>
        <v>0</v>
      </c>
      <c r="AH447" s="24" t="n">
        <f aca="false">IF(AA447="",0,IFERROR(INDEX(Resep!$C$9:$C$13,MATCH(LEFT(AA447,3),Resep!$B$9:$B$13,0)),0))</f>
        <v>0</v>
      </c>
      <c r="AI447" s="24" t="n">
        <f aca="false">IF(AB447="",0,IFERROR(INDEX(Resep!$C$9:$C$13,MATCH(LEFT(AB447,3),Resep!$B$9:$B$13,0)),0))</f>
        <v>0</v>
      </c>
      <c r="AJ447" s="24" t="n">
        <f aca="false">IF(AC447="",0,IFERROR(INDEX(Resep!$C$9:$C$13,MATCH(LEFT(AC447,3),Resep!$B$9:$B$13,0)),0))</f>
        <v>0</v>
      </c>
      <c r="AK447" s="24" t="n">
        <f aca="false">IF(AD447="",0,IFERROR(INDEX(Resep!$C$15:$C$18,MATCH(LEFT(AD447,3),Resep!$B$15:$B$18,0)),0))</f>
        <v>0</v>
      </c>
      <c r="AL447" s="24" t="str">
        <f aca="false">IF(X447="","",AG447+AH447+AI447+AJ447+AK447)</f>
        <v/>
      </c>
      <c r="AM447" s="22" t="str">
        <f aca="false">IF(X447="","",AL447*(Pengaturan!$B$6+Pengaturan!$B$7)+Pengaturan!$B$8+AE447*Pengaturan!$B$9+AF447*Pengaturan!$B$10)</f>
        <v/>
      </c>
      <c r="AN447" s="22" t="str">
        <f aca="false">IF(X447="","",N(G447)-AM447)</f>
        <v/>
      </c>
      <c r="AO447" s="25" t="str">
        <f aca="false">IF(OR(X447="",N(G447)=0),"",AN447/G447)</f>
        <v/>
      </c>
    </row>
    <row r="448" customFormat="false" ht="15" hidden="false" customHeight="false" outlineLevel="0" collapsed="false">
      <c r="A448" s="19"/>
      <c r="B448" s="20"/>
      <c r="C448" s="19"/>
      <c r="D448" s="19"/>
      <c r="E448" s="19"/>
      <c r="F448" s="19"/>
      <c r="G448" s="21"/>
      <c r="H448" s="19"/>
      <c r="I448" s="21"/>
      <c r="J448" s="19"/>
      <c r="K448" s="20"/>
      <c r="L448" s="20"/>
      <c r="M448" s="19"/>
      <c r="N448" s="19"/>
      <c r="O448" s="20"/>
      <c r="P448" s="20"/>
      <c r="Q448" s="19"/>
      <c r="R448" s="22" t="str">
        <f aca="false">IF(A448="","",N(G448)+N(I448))</f>
        <v/>
      </c>
      <c r="S448" s="23" t="str">
        <f aca="false">IF(OR(K448="",O448=""),"",O448-K448)</f>
        <v/>
      </c>
      <c r="T448" s="23" t="str">
        <f aca="true">IF(AND(C448="Cetak",L448&lt;&gt;"",L448&lt;TODAY()),"YA","")</f>
        <v/>
      </c>
      <c r="U448" s="23" t="str">
        <f aca="false">IF(B448="","",TEXT(B448,"yyyy-mm"))</f>
        <v/>
      </c>
      <c r="V448" s="23" t="str">
        <f aca="false">IF(K448="","",TEXT(K448,"yyyy-mm"))</f>
        <v/>
      </c>
      <c r="W448" s="23" t="n">
        <f aca="false">IF(OR(C448="Cetak",C448="Dikirim",C448="Selesai"),1,0)</f>
        <v>0</v>
      </c>
      <c r="X448" s="23" t="str">
        <f aca="false">IF(F448="","",SUBSTITUTE(SUBSTITUTE(MID(UPPER(TRIM(F448)),4,99),"-LED",""),"-TK",""))</f>
        <v/>
      </c>
      <c r="Y448" s="23" t="str">
        <f aca="false">IF(X448="","",(LEN(X448)+1)/7)</f>
        <v/>
      </c>
      <c r="Z448" s="23" t="str">
        <f aca="false">IF(X448="","",LEFT(X448,6))</f>
        <v/>
      </c>
      <c r="AA448" s="23" t="str">
        <f aca="false">IF(X448="","",IF(Y448&gt;=3,MID(X448,8,6),""))</f>
        <v/>
      </c>
      <c r="AB448" s="23" t="str">
        <f aca="false">IF(X448="","",IF(Y448&gt;=4,MID(X448,15,6),""))</f>
        <v/>
      </c>
      <c r="AC448" s="23" t="str">
        <f aca="false">IF(X448="","",IF(Y448&gt;=5,MID(X448,22,6),""))</f>
        <v/>
      </c>
      <c r="AD448" s="23" t="str">
        <f aca="false">IF(X448="","",RIGHT(X448,6))</f>
        <v/>
      </c>
      <c r="AE448" s="23" t="str">
        <f aca="false">IF(F448="","",IF(ISNUMBER(SEARCH("-TK",UPPER(F448))),0,1))</f>
        <v/>
      </c>
      <c r="AF448" s="23" t="str">
        <f aca="false">IF(F448="","",IF(ISNUMBER(SEARCH("-LED",UPPER(F448))),1,0))</f>
        <v/>
      </c>
      <c r="AG448" s="24" t="n">
        <f aca="false">IF(Z448="",0,IFERROR(INDEX(Resep!$C$5:$C$7,MATCH(LEFT(Z448,3),Resep!$B$5:$B$7,0)),0))</f>
        <v>0</v>
      </c>
      <c r="AH448" s="24" t="n">
        <f aca="false">IF(AA448="",0,IFERROR(INDEX(Resep!$C$9:$C$13,MATCH(LEFT(AA448,3),Resep!$B$9:$B$13,0)),0))</f>
        <v>0</v>
      </c>
      <c r="AI448" s="24" t="n">
        <f aca="false">IF(AB448="",0,IFERROR(INDEX(Resep!$C$9:$C$13,MATCH(LEFT(AB448,3),Resep!$B$9:$B$13,0)),0))</f>
        <v>0</v>
      </c>
      <c r="AJ448" s="24" t="n">
        <f aca="false">IF(AC448="",0,IFERROR(INDEX(Resep!$C$9:$C$13,MATCH(LEFT(AC448,3),Resep!$B$9:$B$13,0)),0))</f>
        <v>0</v>
      </c>
      <c r="AK448" s="24" t="n">
        <f aca="false">IF(AD448="",0,IFERROR(INDEX(Resep!$C$15:$C$18,MATCH(LEFT(AD448,3),Resep!$B$15:$B$18,0)),0))</f>
        <v>0</v>
      </c>
      <c r="AL448" s="24" t="str">
        <f aca="false">IF(X448="","",AG448+AH448+AI448+AJ448+AK448)</f>
        <v/>
      </c>
      <c r="AM448" s="22" t="str">
        <f aca="false">IF(X448="","",AL448*(Pengaturan!$B$6+Pengaturan!$B$7)+Pengaturan!$B$8+AE448*Pengaturan!$B$9+AF448*Pengaturan!$B$10)</f>
        <v/>
      </c>
      <c r="AN448" s="22" t="str">
        <f aca="false">IF(X448="","",N(G448)-AM448)</f>
        <v/>
      </c>
      <c r="AO448" s="25" t="str">
        <f aca="false">IF(OR(X448="",N(G448)=0),"",AN448/G448)</f>
        <v/>
      </c>
    </row>
    <row r="449" customFormat="false" ht="15" hidden="false" customHeight="false" outlineLevel="0" collapsed="false">
      <c r="A449" s="19"/>
      <c r="B449" s="20"/>
      <c r="C449" s="19"/>
      <c r="D449" s="19"/>
      <c r="E449" s="19"/>
      <c r="F449" s="19"/>
      <c r="G449" s="21"/>
      <c r="H449" s="19"/>
      <c r="I449" s="21"/>
      <c r="J449" s="19"/>
      <c r="K449" s="20"/>
      <c r="L449" s="20"/>
      <c r="M449" s="19"/>
      <c r="N449" s="19"/>
      <c r="O449" s="20"/>
      <c r="P449" s="20"/>
      <c r="Q449" s="19"/>
      <c r="R449" s="22" t="str">
        <f aca="false">IF(A449="","",N(G449)+N(I449))</f>
        <v/>
      </c>
      <c r="S449" s="23" t="str">
        <f aca="false">IF(OR(K449="",O449=""),"",O449-K449)</f>
        <v/>
      </c>
      <c r="T449" s="23" t="str">
        <f aca="true">IF(AND(C449="Cetak",L449&lt;&gt;"",L449&lt;TODAY()),"YA","")</f>
        <v/>
      </c>
      <c r="U449" s="23" t="str">
        <f aca="false">IF(B449="","",TEXT(B449,"yyyy-mm"))</f>
        <v/>
      </c>
      <c r="V449" s="23" t="str">
        <f aca="false">IF(K449="","",TEXT(K449,"yyyy-mm"))</f>
        <v/>
      </c>
      <c r="W449" s="23" t="n">
        <f aca="false">IF(OR(C449="Cetak",C449="Dikirim",C449="Selesai"),1,0)</f>
        <v>0</v>
      </c>
      <c r="X449" s="23" t="str">
        <f aca="false">IF(F449="","",SUBSTITUTE(SUBSTITUTE(MID(UPPER(TRIM(F449)),4,99),"-LED",""),"-TK",""))</f>
        <v/>
      </c>
      <c r="Y449" s="23" t="str">
        <f aca="false">IF(X449="","",(LEN(X449)+1)/7)</f>
        <v/>
      </c>
      <c r="Z449" s="23" t="str">
        <f aca="false">IF(X449="","",LEFT(X449,6))</f>
        <v/>
      </c>
      <c r="AA449" s="23" t="str">
        <f aca="false">IF(X449="","",IF(Y449&gt;=3,MID(X449,8,6),""))</f>
        <v/>
      </c>
      <c r="AB449" s="23" t="str">
        <f aca="false">IF(X449="","",IF(Y449&gt;=4,MID(X449,15,6),""))</f>
        <v/>
      </c>
      <c r="AC449" s="23" t="str">
        <f aca="false">IF(X449="","",IF(Y449&gt;=5,MID(X449,22,6),""))</f>
        <v/>
      </c>
      <c r="AD449" s="23" t="str">
        <f aca="false">IF(X449="","",RIGHT(X449,6))</f>
        <v/>
      </c>
      <c r="AE449" s="23" t="str">
        <f aca="false">IF(F449="","",IF(ISNUMBER(SEARCH("-TK",UPPER(F449))),0,1))</f>
        <v/>
      </c>
      <c r="AF449" s="23" t="str">
        <f aca="false">IF(F449="","",IF(ISNUMBER(SEARCH("-LED",UPPER(F449))),1,0))</f>
        <v/>
      </c>
      <c r="AG449" s="24" t="n">
        <f aca="false">IF(Z449="",0,IFERROR(INDEX(Resep!$C$5:$C$7,MATCH(LEFT(Z449,3),Resep!$B$5:$B$7,0)),0))</f>
        <v>0</v>
      </c>
      <c r="AH449" s="24" t="n">
        <f aca="false">IF(AA449="",0,IFERROR(INDEX(Resep!$C$9:$C$13,MATCH(LEFT(AA449,3),Resep!$B$9:$B$13,0)),0))</f>
        <v>0</v>
      </c>
      <c r="AI449" s="24" t="n">
        <f aca="false">IF(AB449="",0,IFERROR(INDEX(Resep!$C$9:$C$13,MATCH(LEFT(AB449,3),Resep!$B$9:$B$13,0)),0))</f>
        <v>0</v>
      </c>
      <c r="AJ449" s="24" t="n">
        <f aca="false">IF(AC449="",0,IFERROR(INDEX(Resep!$C$9:$C$13,MATCH(LEFT(AC449,3),Resep!$B$9:$B$13,0)),0))</f>
        <v>0</v>
      </c>
      <c r="AK449" s="24" t="n">
        <f aca="false">IF(AD449="",0,IFERROR(INDEX(Resep!$C$15:$C$18,MATCH(LEFT(AD449,3),Resep!$B$15:$B$18,0)),0))</f>
        <v>0</v>
      </c>
      <c r="AL449" s="24" t="str">
        <f aca="false">IF(X449="","",AG449+AH449+AI449+AJ449+AK449)</f>
        <v/>
      </c>
      <c r="AM449" s="22" t="str">
        <f aca="false">IF(X449="","",AL449*(Pengaturan!$B$6+Pengaturan!$B$7)+Pengaturan!$B$8+AE449*Pengaturan!$B$9+AF449*Pengaturan!$B$10)</f>
        <v/>
      </c>
      <c r="AN449" s="22" t="str">
        <f aca="false">IF(X449="","",N(G449)-AM449)</f>
        <v/>
      </c>
      <c r="AO449" s="25" t="str">
        <f aca="false">IF(OR(X449="",N(G449)=0),"",AN449/G449)</f>
        <v/>
      </c>
    </row>
    <row r="450" customFormat="false" ht="15" hidden="false" customHeight="false" outlineLevel="0" collapsed="false">
      <c r="A450" s="19"/>
      <c r="B450" s="20"/>
      <c r="C450" s="19"/>
      <c r="D450" s="19"/>
      <c r="E450" s="19"/>
      <c r="F450" s="19"/>
      <c r="G450" s="21"/>
      <c r="H450" s="19"/>
      <c r="I450" s="21"/>
      <c r="J450" s="19"/>
      <c r="K450" s="20"/>
      <c r="L450" s="20"/>
      <c r="M450" s="19"/>
      <c r="N450" s="19"/>
      <c r="O450" s="20"/>
      <c r="P450" s="20"/>
      <c r="Q450" s="19"/>
      <c r="R450" s="22" t="str">
        <f aca="false">IF(A450="","",N(G450)+N(I450))</f>
        <v/>
      </c>
      <c r="S450" s="23" t="str">
        <f aca="false">IF(OR(K450="",O450=""),"",O450-K450)</f>
        <v/>
      </c>
      <c r="T450" s="23" t="str">
        <f aca="true">IF(AND(C450="Cetak",L450&lt;&gt;"",L450&lt;TODAY()),"YA","")</f>
        <v/>
      </c>
      <c r="U450" s="23" t="str">
        <f aca="false">IF(B450="","",TEXT(B450,"yyyy-mm"))</f>
        <v/>
      </c>
      <c r="V450" s="23" t="str">
        <f aca="false">IF(K450="","",TEXT(K450,"yyyy-mm"))</f>
        <v/>
      </c>
      <c r="W450" s="23" t="n">
        <f aca="false">IF(OR(C450="Cetak",C450="Dikirim",C450="Selesai"),1,0)</f>
        <v>0</v>
      </c>
      <c r="X450" s="23" t="str">
        <f aca="false">IF(F450="","",SUBSTITUTE(SUBSTITUTE(MID(UPPER(TRIM(F450)),4,99),"-LED",""),"-TK",""))</f>
        <v/>
      </c>
      <c r="Y450" s="23" t="str">
        <f aca="false">IF(X450="","",(LEN(X450)+1)/7)</f>
        <v/>
      </c>
      <c r="Z450" s="23" t="str">
        <f aca="false">IF(X450="","",LEFT(X450,6))</f>
        <v/>
      </c>
      <c r="AA450" s="23" t="str">
        <f aca="false">IF(X450="","",IF(Y450&gt;=3,MID(X450,8,6),""))</f>
        <v/>
      </c>
      <c r="AB450" s="23" t="str">
        <f aca="false">IF(X450="","",IF(Y450&gt;=4,MID(X450,15,6),""))</f>
        <v/>
      </c>
      <c r="AC450" s="23" t="str">
        <f aca="false">IF(X450="","",IF(Y450&gt;=5,MID(X450,22,6),""))</f>
        <v/>
      </c>
      <c r="AD450" s="23" t="str">
        <f aca="false">IF(X450="","",RIGHT(X450,6))</f>
        <v/>
      </c>
      <c r="AE450" s="23" t="str">
        <f aca="false">IF(F450="","",IF(ISNUMBER(SEARCH("-TK",UPPER(F450))),0,1))</f>
        <v/>
      </c>
      <c r="AF450" s="23" t="str">
        <f aca="false">IF(F450="","",IF(ISNUMBER(SEARCH("-LED",UPPER(F450))),1,0))</f>
        <v/>
      </c>
      <c r="AG450" s="24" t="n">
        <f aca="false">IF(Z450="",0,IFERROR(INDEX(Resep!$C$5:$C$7,MATCH(LEFT(Z450,3),Resep!$B$5:$B$7,0)),0))</f>
        <v>0</v>
      </c>
      <c r="AH450" s="24" t="n">
        <f aca="false">IF(AA450="",0,IFERROR(INDEX(Resep!$C$9:$C$13,MATCH(LEFT(AA450,3),Resep!$B$9:$B$13,0)),0))</f>
        <v>0</v>
      </c>
      <c r="AI450" s="24" t="n">
        <f aca="false">IF(AB450="",0,IFERROR(INDEX(Resep!$C$9:$C$13,MATCH(LEFT(AB450,3),Resep!$B$9:$B$13,0)),0))</f>
        <v>0</v>
      </c>
      <c r="AJ450" s="24" t="n">
        <f aca="false">IF(AC450="",0,IFERROR(INDEX(Resep!$C$9:$C$13,MATCH(LEFT(AC450,3),Resep!$B$9:$B$13,0)),0))</f>
        <v>0</v>
      </c>
      <c r="AK450" s="24" t="n">
        <f aca="false">IF(AD450="",0,IFERROR(INDEX(Resep!$C$15:$C$18,MATCH(LEFT(AD450,3),Resep!$B$15:$B$18,0)),0))</f>
        <v>0</v>
      </c>
      <c r="AL450" s="24" t="str">
        <f aca="false">IF(X450="","",AG450+AH450+AI450+AJ450+AK450)</f>
        <v/>
      </c>
      <c r="AM450" s="22" t="str">
        <f aca="false">IF(X450="","",AL450*(Pengaturan!$B$6+Pengaturan!$B$7)+Pengaturan!$B$8+AE450*Pengaturan!$B$9+AF450*Pengaturan!$B$10)</f>
        <v/>
      </c>
      <c r="AN450" s="22" t="str">
        <f aca="false">IF(X450="","",N(G450)-AM450)</f>
        <v/>
      </c>
      <c r="AO450" s="25" t="str">
        <f aca="false">IF(OR(X450="",N(G450)=0),"",AN450/G450)</f>
        <v/>
      </c>
    </row>
    <row r="451" customFormat="false" ht="15" hidden="false" customHeight="false" outlineLevel="0" collapsed="false">
      <c r="A451" s="19"/>
      <c r="B451" s="20"/>
      <c r="C451" s="19"/>
      <c r="D451" s="19"/>
      <c r="E451" s="19"/>
      <c r="F451" s="19"/>
      <c r="G451" s="21"/>
      <c r="H451" s="19"/>
      <c r="I451" s="21"/>
      <c r="J451" s="19"/>
      <c r="K451" s="20"/>
      <c r="L451" s="20"/>
      <c r="M451" s="19"/>
      <c r="N451" s="19"/>
      <c r="O451" s="20"/>
      <c r="P451" s="20"/>
      <c r="Q451" s="19"/>
      <c r="R451" s="22" t="str">
        <f aca="false">IF(A451="","",N(G451)+N(I451))</f>
        <v/>
      </c>
      <c r="S451" s="23" t="str">
        <f aca="false">IF(OR(K451="",O451=""),"",O451-K451)</f>
        <v/>
      </c>
      <c r="T451" s="23" t="str">
        <f aca="true">IF(AND(C451="Cetak",L451&lt;&gt;"",L451&lt;TODAY()),"YA","")</f>
        <v/>
      </c>
      <c r="U451" s="23" t="str">
        <f aca="false">IF(B451="","",TEXT(B451,"yyyy-mm"))</f>
        <v/>
      </c>
      <c r="V451" s="23" t="str">
        <f aca="false">IF(K451="","",TEXT(K451,"yyyy-mm"))</f>
        <v/>
      </c>
      <c r="W451" s="23" t="n">
        <f aca="false">IF(OR(C451="Cetak",C451="Dikirim",C451="Selesai"),1,0)</f>
        <v>0</v>
      </c>
      <c r="X451" s="23" t="str">
        <f aca="false">IF(F451="","",SUBSTITUTE(SUBSTITUTE(MID(UPPER(TRIM(F451)),4,99),"-LED",""),"-TK",""))</f>
        <v/>
      </c>
      <c r="Y451" s="23" t="str">
        <f aca="false">IF(X451="","",(LEN(X451)+1)/7)</f>
        <v/>
      </c>
      <c r="Z451" s="23" t="str">
        <f aca="false">IF(X451="","",LEFT(X451,6))</f>
        <v/>
      </c>
      <c r="AA451" s="23" t="str">
        <f aca="false">IF(X451="","",IF(Y451&gt;=3,MID(X451,8,6),""))</f>
        <v/>
      </c>
      <c r="AB451" s="23" t="str">
        <f aca="false">IF(X451="","",IF(Y451&gt;=4,MID(X451,15,6),""))</f>
        <v/>
      </c>
      <c r="AC451" s="23" t="str">
        <f aca="false">IF(X451="","",IF(Y451&gt;=5,MID(X451,22,6),""))</f>
        <v/>
      </c>
      <c r="AD451" s="23" t="str">
        <f aca="false">IF(X451="","",RIGHT(X451,6))</f>
        <v/>
      </c>
      <c r="AE451" s="23" t="str">
        <f aca="false">IF(F451="","",IF(ISNUMBER(SEARCH("-TK",UPPER(F451))),0,1))</f>
        <v/>
      </c>
      <c r="AF451" s="23" t="str">
        <f aca="false">IF(F451="","",IF(ISNUMBER(SEARCH("-LED",UPPER(F451))),1,0))</f>
        <v/>
      </c>
      <c r="AG451" s="24" t="n">
        <f aca="false">IF(Z451="",0,IFERROR(INDEX(Resep!$C$5:$C$7,MATCH(LEFT(Z451,3),Resep!$B$5:$B$7,0)),0))</f>
        <v>0</v>
      </c>
      <c r="AH451" s="24" t="n">
        <f aca="false">IF(AA451="",0,IFERROR(INDEX(Resep!$C$9:$C$13,MATCH(LEFT(AA451,3),Resep!$B$9:$B$13,0)),0))</f>
        <v>0</v>
      </c>
      <c r="AI451" s="24" t="n">
        <f aca="false">IF(AB451="",0,IFERROR(INDEX(Resep!$C$9:$C$13,MATCH(LEFT(AB451,3),Resep!$B$9:$B$13,0)),0))</f>
        <v>0</v>
      </c>
      <c r="AJ451" s="24" t="n">
        <f aca="false">IF(AC451="",0,IFERROR(INDEX(Resep!$C$9:$C$13,MATCH(LEFT(AC451,3),Resep!$B$9:$B$13,0)),0))</f>
        <v>0</v>
      </c>
      <c r="AK451" s="24" t="n">
        <f aca="false">IF(AD451="",0,IFERROR(INDEX(Resep!$C$15:$C$18,MATCH(LEFT(AD451,3),Resep!$B$15:$B$18,0)),0))</f>
        <v>0</v>
      </c>
      <c r="AL451" s="24" t="str">
        <f aca="false">IF(X451="","",AG451+AH451+AI451+AJ451+AK451)</f>
        <v/>
      </c>
      <c r="AM451" s="22" t="str">
        <f aca="false">IF(X451="","",AL451*(Pengaturan!$B$6+Pengaturan!$B$7)+Pengaturan!$B$8+AE451*Pengaturan!$B$9+AF451*Pengaturan!$B$10)</f>
        <v/>
      </c>
      <c r="AN451" s="22" t="str">
        <f aca="false">IF(X451="","",N(G451)-AM451)</f>
        <v/>
      </c>
      <c r="AO451" s="25" t="str">
        <f aca="false">IF(OR(X451="",N(G451)=0),"",AN451/G451)</f>
        <v/>
      </c>
    </row>
    <row r="452" customFormat="false" ht="15" hidden="false" customHeight="false" outlineLevel="0" collapsed="false">
      <c r="A452" s="19"/>
      <c r="B452" s="20"/>
      <c r="C452" s="19"/>
      <c r="D452" s="19"/>
      <c r="E452" s="19"/>
      <c r="F452" s="19"/>
      <c r="G452" s="21"/>
      <c r="H452" s="19"/>
      <c r="I452" s="21"/>
      <c r="J452" s="19"/>
      <c r="K452" s="20"/>
      <c r="L452" s="20"/>
      <c r="M452" s="19"/>
      <c r="N452" s="19"/>
      <c r="O452" s="20"/>
      <c r="P452" s="20"/>
      <c r="Q452" s="19"/>
      <c r="R452" s="22" t="str">
        <f aca="false">IF(A452="","",N(G452)+N(I452))</f>
        <v/>
      </c>
      <c r="S452" s="23" t="str">
        <f aca="false">IF(OR(K452="",O452=""),"",O452-K452)</f>
        <v/>
      </c>
      <c r="T452" s="23" t="str">
        <f aca="true">IF(AND(C452="Cetak",L452&lt;&gt;"",L452&lt;TODAY()),"YA","")</f>
        <v/>
      </c>
      <c r="U452" s="23" t="str">
        <f aca="false">IF(B452="","",TEXT(B452,"yyyy-mm"))</f>
        <v/>
      </c>
      <c r="V452" s="23" t="str">
        <f aca="false">IF(K452="","",TEXT(K452,"yyyy-mm"))</f>
        <v/>
      </c>
      <c r="W452" s="23" t="n">
        <f aca="false">IF(OR(C452="Cetak",C452="Dikirim",C452="Selesai"),1,0)</f>
        <v>0</v>
      </c>
      <c r="X452" s="23" t="str">
        <f aca="false">IF(F452="","",SUBSTITUTE(SUBSTITUTE(MID(UPPER(TRIM(F452)),4,99),"-LED",""),"-TK",""))</f>
        <v/>
      </c>
      <c r="Y452" s="23" t="str">
        <f aca="false">IF(X452="","",(LEN(X452)+1)/7)</f>
        <v/>
      </c>
      <c r="Z452" s="23" t="str">
        <f aca="false">IF(X452="","",LEFT(X452,6))</f>
        <v/>
      </c>
      <c r="AA452" s="23" t="str">
        <f aca="false">IF(X452="","",IF(Y452&gt;=3,MID(X452,8,6),""))</f>
        <v/>
      </c>
      <c r="AB452" s="23" t="str">
        <f aca="false">IF(X452="","",IF(Y452&gt;=4,MID(X452,15,6),""))</f>
        <v/>
      </c>
      <c r="AC452" s="23" t="str">
        <f aca="false">IF(X452="","",IF(Y452&gt;=5,MID(X452,22,6),""))</f>
        <v/>
      </c>
      <c r="AD452" s="23" t="str">
        <f aca="false">IF(X452="","",RIGHT(X452,6))</f>
        <v/>
      </c>
      <c r="AE452" s="23" t="str">
        <f aca="false">IF(F452="","",IF(ISNUMBER(SEARCH("-TK",UPPER(F452))),0,1))</f>
        <v/>
      </c>
      <c r="AF452" s="23" t="str">
        <f aca="false">IF(F452="","",IF(ISNUMBER(SEARCH("-LED",UPPER(F452))),1,0))</f>
        <v/>
      </c>
      <c r="AG452" s="24" t="n">
        <f aca="false">IF(Z452="",0,IFERROR(INDEX(Resep!$C$5:$C$7,MATCH(LEFT(Z452,3),Resep!$B$5:$B$7,0)),0))</f>
        <v>0</v>
      </c>
      <c r="AH452" s="24" t="n">
        <f aca="false">IF(AA452="",0,IFERROR(INDEX(Resep!$C$9:$C$13,MATCH(LEFT(AA452,3),Resep!$B$9:$B$13,0)),0))</f>
        <v>0</v>
      </c>
      <c r="AI452" s="24" t="n">
        <f aca="false">IF(AB452="",0,IFERROR(INDEX(Resep!$C$9:$C$13,MATCH(LEFT(AB452,3),Resep!$B$9:$B$13,0)),0))</f>
        <v>0</v>
      </c>
      <c r="AJ452" s="24" t="n">
        <f aca="false">IF(AC452="",0,IFERROR(INDEX(Resep!$C$9:$C$13,MATCH(LEFT(AC452,3),Resep!$B$9:$B$13,0)),0))</f>
        <v>0</v>
      </c>
      <c r="AK452" s="24" t="n">
        <f aca="false">IF(AD452="",0,IFERROR(INDEX(Resep!$C$15:$C$18,MATCH(LEFT(AD452,3),Resep!$B$15:$B$18,0)),0))</f>
        <v>0</v>
      </c>
      <c r="AL452" s="24" t="str">
        <f aca="false">IF(X452="","",AG452+AH452+AI452+AJ452+AK452)</f>
        <v/>
      </c>
      <c r="AM452" s="22" t="str">
        <f aca="false">IF(X452="","",AL452*(Pengaturan!$B$6+Pengaturan!$B$7)+Pengaturan!$B$8+AE452*Pengaturan!$B$9+AF452*Pengaturan!$B$10)</f>
        <v/>
      </c>
      <c r="AN452" s="22" t="str">
        <f aca="false">IF(X452="","",N(G452)-AM452)</f>
        <v/>
      </c>
      <c r="AO452" s="25" t="str">
        <f aca="false">IF(OR(X452="",N(G452)=0),"",AN452/G452)</f>
        <v/>
      </c>
    </row>
    <row r="453" customFormat="false" ht="15" hidden="false" customHeight="false" outlineLevel="0" collapsed="false">
      <c r="A453" s="19"/>
      <c r="B453" s="20"/>
      <c r="C453" s="19"/>
      <c r="D453" s="19"/>
      <c r="E453" s="19"/>
      <c r="F453" s="19"/>
      <c r="G453" s="21"/>
      <c r="H453" s="19"/>
      <c r="I453" s="21"/>
      <c r="J453" s="19"/>
      <c r="K453" s="20"/>
      <c r="L453" s="20"/>
      <c r="M453" s="19"/>
      <c r="N453" s="19"/>
      <c r="O453" s="20"/>
      <c r="P453" s="20"/>
      <c r="Q453" s="19"/>
      <c r="R453" s="22" t="str">
        <f aca="false">IF(A453="","",N(G453)+N(I453))</f>
        <v/>
      </c>
      <c r="S453" s="23" t="str">
        <f aca="false">IF(OR(K453="",O453=""),"",O453-K453)</f>
        <v/>
      </c>
      <c r="T453" s="23" t="str">
        <f aca="true">IF(AND(C453="Cetak",L453&lt;&gt;"",L453&lt;TODAY()),"YA","")</f>
        <v/>
      </c>
      <c r="U453" s="23" t="str">
        <f aca="false">IF(B453="","",TEXT(B453,"yyyy-mm"))</f>
        <v/>
      </c>
      <c r="V453" s="23" t="str">
        <f aca="false">IF(K453="","",TEXT(K453,"yyyy-mm"))</f>
        <v/>
      </c>
      <c r="W453" s="23" t="n">
        <f aca="false">IF(OR(C453="Cetak",C453="Dikirim",C453="Selesai"),1,0)</f>
        <v>0</v>
      </c>
      <c r="X453" s="23" t="str">
        <f aca="false">IF(F453="","",SUBSTITUTE(SUBSTITUTE(MID(UPPER(TRIM(F453)),4,99),"-LED",""),"-TK",""))</f>
        <v/>
      </c>
      <c r="Y453" s="23" t="str">
        <f aca="false">IF(X453="","",(LEN(X453)+1)/7)</f>
        <v/>
      </c>
      <c r="Z453" s="23" t="str">
        <f aca="false">IF(X453="","",LEFT(X453,6))</f>
        <v/>
      </c>
      <c r="AA453" s="23" t="str">
        <f aca="false">IF(X453="","",IF(Y453&gt;=3,MID(X453,8,6),""))</f>
        <v/>
      </c>
      <c r="AB453" s="23" t="str">
        <f aca="false">IF(X453="","",IF(Y453&gt;=4,MID(X453,15,6),""))</f>
        <v/>
      </c>
      <c r="AC453" s="23" t="str">
        <f aca="false">IF(X453="","",IF(Y453&gt;=5,MID(X453,22,6),""))</f>
        <v/>
      </c>
      <c r="AD453" s="23" t="str">
        <f aca="false">IF(X453="","",RIGHT(X453,6))</f>
        <v/>
      </c>
      <c r="AE453" s="23" t="str">
        <f aca="false">IF(F453="","",IF(ISNUMBER(SEARCH("-TK",UPPER(F453))),0,1))</f>
        <v/>
      </c>
      <c r="AF453" s="23" t="str">
        <f aca="false">IF(F453="","",IF(ISNUMBER(SEARCH("-LED",UPPER(F453))),1,0))</f>
        <v/>
      </c>
      <c r="AG453" s="24" t="n">
        <f aca="false">IF(Z453="",0,IFERROR(INDEX(Resep!$C$5:$C$7,MATCH(LEFT(Z453,3),Resep!$B$5:$B$7,0)),0))</f>
        <v>0</v>
      </c>
      <c r="AH453" s="24" t="n">
        <f aca="false">IF(AA453="",0,IFERROR(INDEX(Resep!$C$9:$C$13,MATCH(LEFT(AA453,3),Resep!$B$9:$B$13,0)),0))</f>
        <v>0</v>
      </c>
      <c r="AI453" s="24" t="n">
        <f aca="false">IF(AB453="",0,IFERROR(INDEX(Resep!$C$9:$C$13,MATCH(LEFT(AB453,3),Resep!$B$9:$B$13,0)),0))</f>
        <v>0</v>
      </c>
      <c r="AJ453" s="24" t="n">
        <f aca="false">IF(AC453="",0,IFERROR(INDEX(Resep!$C$9:$C$13,MATCH(LEFT(AC453,3),Resep!$B$9:$B$13,0)),0))</f>
        <v>0</v>
      </c>
      <c r="AK453" s="24" t="n">
        <f aca="false">IF(AD453="",0,IFERROR(INDEX(Resep!$C$15:$C$18,MATCH(LEFT(AD453,3),Resep!$B$15:$B$18,0)),0))</f>
        <v>0</v>
      </c>
      <c r="AL453" s="24" t="str">
        <f aca="false">IF(X453="","",AG453+AH453+AI453+AJ453+AK453)</f>
        <v/>
      </c>
      <c r="AM453" s="22" t="str">
        <f aca="false">IF(X453="","",AL453*(Pengaturan!$B$6+Pengaturan!$B$7)+Pengaturan!$B$8+AE453*Pengaturan!$B$9+AF453*Pengaturan!$B$10)</f>
        <v/>
      </c>
      <c r="AN453" s="22" t="str">
        <f aca="false">IF(X453="","",N(G453)-AM453)</f>
        <v/>
      </c>
      <c r="AO453" s="25" t="str">
        <f aca="false">IF(OR(X453="",N(G453)=0),"",AN453/G453)</f>
        <v/>
      </c>
    </row>
    <row r="454" customFormat="false" ht="15" hidden="false" customHeight="false" outlineLevel="0" collapsed="false">
      <c r="A454" s="19"/>
      <c r="B454" s="20"/>
      <c r="C454" s="19"/>
      <c r="D454" s="19"/>
      <c r="E454" s="19"/>
      <c r="F454" s="19"/>
      <c r="G454" s="21"/>
      <c r="H454" s="19"/>
      <c r="I454" s="21"/>
      <c r="J454" s="19"/>
      <c r="K454" s="20"/>
      <c r="L454" s="20"/>
      <c r="M454" s="19"/>
      <c r="N454" s="19"/>
      <c r="O454" s="20"/>
      <c r="P454" s="20"/>
      <c r="Q454" s="19"/>
      <c r="R454" s="22" t="str">
        <f aca="false">IF(A454="","",N(G454)+N(I454))</f>
        <v/>
      </c>
      <c r="S454" s="23" t="str">
        <f aca="false">IF(OR(K454="",O454=""),"",O454-K454)</f>
        <v/>
      </c>
      <c r="T454" s="23" t="str">
        <f aca="true">IF(AND(C454="Cetak",L454&lt;&gt;"",L454&lt;TODAY()),"YA","")</f>
        <v/>
      </c>
      <c r="U454" s="23" t="str">
        <f aca="false">IF(B454="","",TEXT(B454,"yyyy-mm"))</f>
        <v/>
      </c>
      <c r="V454" s="23" t="str">
        <f aca="false">IF(K454="","",TEXT(K454,"yyyy-mm"))</f>
        <v/>
      </c>
      <c r="W454" s="23" t="n">
        <f aca="false">IF(OR(C454="Cetak",C454="Dikirim",C454="Selesai"),1,0)</f>
        <v>0</v>
      </c>
      <c r="X454" s="23" t="str">
        <f aca="false">IF(F454="","",SUBSTITUTE(SUBSTITUTE(MID(UPPER(TRIM(F454)),4,99),"-LED",""),"-TK",""))</f>
        <v/>
      </c>
      <c r="Y454" s="23" t="str">
        <f aca="false">IF(X454="","",(LEN(X454)+1)/7)</f>
        <v/>
      </c>
      <c r="Z454" s="23" t="str">
        <f aca="false">IF(X454="","",LEFT(X454,6))</f>
        <v/>
      </c>
      <c r="AA454" s="23" t="str">
        <f aca="false">IF(X454="","",IF(Y454&gt;=3,MID(X454,8,6),""))</f>
        <v/>
      </c>
      <c r="AB454" s="23" t="str">
        <f aca="false">IF(X454="","",IF(Y454&gt;=4,MID(X454,15,6),""))</f>
        <v/>
      </c>
      <c r="AC454" s="23" t="str">
        <f aca="false">IF(X454="","",IF(Y454&gt;=5,MID(X454,22,6),""))</f>
        <v/>
      </c>
      <c r="AD454" s="23" t="str">
        <f aca="false">IF(X454="","",RIGHT(X454,6))</f>
        <v/>
      </c>
      <c r="AE454" s="23" t="str">
        <f aca="false">IF(F454="","",IF(ISNUMBER(SEARCH("-TK",UPPER(F454))),0,1))</f>
        <v/>
      </c>
      <c r="AF454" s="23" t="str">
        <f aca="false">IF(F454="","",IF(ISNUMBER(SEARCH("-LED",UPPER(F454))),1,0))</f>
        <v/>
      </c>
      <c r="AG454" s="24" t="n">
        <f aca="false">IF(Z454="",0,IFERROR(INDEX(Resep!$C$5:$C$7,MATCH(LEFT(Z454,3),Resep!$B$5:$B$7,0)),0))</f>
        <v>0</v>
      </c>
      <c r="AH454" s="24" t="n">
        <f aca="false">IF(AA454="",0,IFERROR(INDEX(Resep!$C$9:$C$13,MATCH(LEFT(AA454,3),Resep!$B$9:$B$13,0)),0))</f>
        <v>0</v>
      </c>
      <c r="AI454" s="24" t="n">
        <f aca="false">IF(AB454="",0,IFERROR(INDEX(Resep!$C$9:$C$13,MATCH(LEFT(AB454,3),Resep!$B$9:$B$13,0)),0))</f>
        <v>0</v>
      </c>
      <c r="AJ454" s="24" t="n">
        <f aca="false">IF(AC454="",0,IFERROR(INDEX(Resep!$C$9:$C$13,MATCH(LEFT(AC454,3),Resep!$B$9:$B$13,0)),0))</f>
        <v>0</v>
      </c>
      <c r="AK454" s="24" t="n">
        <f aca="false">IF(AD454="",0,IFERROR(INDEX(Resep!$C$15:$C$18,MATCH(LEFT(AD454,3),Resep!$B$15:$B$18,0)),0))</f>
        <v>0</v>
      </c>
      <c r="AL454" s="24" t="str">
        <f aca="false">IF(X454="","",AG454+AH454+AI454+AJ454+AK454)</f>
        <v/>
      </c>
      <c r="AM454" s="22" t="str">
        <f aca="false">IF(X454="","",AL454*(Pengaturan!$B$6+Pengaturan!$B$7)+Pengaturan!$B$8+AE454*Pengaturan!$B$9+AF454*Pengaturan!$B$10)</f>
        <v/>
      </c>
      <c r="AN454" s="22" t="str">
        <f aca="false">IF(X454="","",N(G454)-AM454)</f>
        <v/>
      </c>
      <c r="AO454" s="25" t="str">
        <f aca="false">IF(OR(X454="",N(G454)=0),"",AN454/G454)</f>
        <v/>
      </c>
    </row>
    <row r="455" customFormat="false" ht="15" hidden="false" customHeight="false" outlineLevel="0" collapsed="false">
      <c r="A455" s="19"/>
      <c r="B455" s="20"/>
      <c r="C455" s="19"/>
      <c r="D455" s="19"/>
      <c r="E455" s="19"/>
      <c r="F455" s="19"/>
      <c r="G455" s="21"/>
      <c r="H455" s="19"/>
      <c r="I455" s="21"/>
      <c r="J455" s="19"/>
      <c r="K455" s="20"/>
      <c r="L455" s="20"/>
      <c r="M455" s="19"/>
      <c r="N455" s="19"/>
      <c r="O455" s="20"/>
      <c r="P455" s="20"/>
      <c r="Q455" s="19"/>
      <c r="R455" s="22" t="str">
        <f aca="false">IF(A455="","",N(G455)+N(I455))</f>
        <v/>
      </c>
      <c r="S455" s="23" t="str">
        <f aca="false">IF(OR(K455="",O455=""),"",O455-K455)</f>
        <v/>
      </c>
      <c r="T455" s="23" t="str">
        <f aca="true">IF(AND(C455="Cetak",L455&lt;&gt;"",L455&lt;TODAY()),"YA","")</f>
        <v/>
      </c>
      <c r="U455" s="23" t="str">
        <f aca="false">IF(B455="","",TEXT(B455,"yyyy-mm"))</f>
        <v/>
      </c>
      <c r="V455" s="23" t="str">
        <f aca="false">IF(K455="","",TEXT(K455,"yyyy-mm"))</f>
        <v/>
      </c>
      <c r="W455" s="23" t="n">
        <f aca="false">IF(OR(C455="Cetak",C455="Dikirim",C455="Selesai"),1,0)</f>
        <v>0</v>
      </c>
      <c r="X455" s="23" t="str">
        <f aca="false">IF(F455="","",SUBSTITUTE(SUBSTITUTE(MID(UPPER(TRIM(F455)),4,99),"-LED",""),"-TK",""))</f>
        <v/>
      </c>
      <c r="Y455" s="23" t="str">
        <f aca="false">IF(X455="","",(LEN(X455)+1)/7)</f>
        <v/>
      </c>
      <c r="Z455" s="23" t="str">
        <f aca="false">IF(X455="","",LEFT(X455,6))</f>
        <v/>
      </c>
      <c r="AA455" s="23" t="str">
        <f aca="false">IF(X455="","",IF(Y455&gt;=3,MID(X455,8,6),""))</f>
        <v/>
      </c>
      <c r="AB455" s="23" t="str">
        <f aca="false">IF(X455="","",IF(Y455&gt;=4,MID(X455,15,6),""))</f>
        <v/>
      </c>
      <c r="AC455" s="23" t="str">
        <f aca="false">IF(X455="","",IF(Y455&gt;=5,MID(X455,22,6),""))</f>
        <v/>
      </c>
      <c r="AD455" s="23" t="str">
        <f aca="false">IF(X455="","",RIGHT(X455,6))</f>
        <v/>
      </c>
      <c r="AE455" s="23" t="str">
        <f aca="false">IF(F455="","",IF(ISNUMBER(SEARCH("-TK",UPPER(F455))),0,1))</f>
        <v/>
      </c>
      <c r="AF455" s="23" t="str">
        <f aca="false">IF(F455="","",IF(ISNUMBER(SEARCH("-LED",UPPER(F455))),1,0))</f>
        <v/>
      </c>
      <c r="AG455" s="24" t="n">
        <f aca="false">IF(Z455="",0,IFERROR(INDEX(Resep!$C$5:$C$7,MATCH(LEFT(Z455,3),Resep!$B$5:$B$7,0)),0))</f>
        <v>0</v>
      </c>
      <c r="AH455" s="24" t="n">
        <f aca="false">IF(AA455="",0,IFERROR(INDEX(Resep!$C$9:$C$13,MATCH(LEFT(AA455,3),Resep!$B$9:$B$13,0)),0))</f>
        <v>0</v>
      </c>
      <c r="AI455" s="24" t="n">
        <f aca="false">IF(AB455="",0,IFERROR(INDEX(Resep!$C$9:$C$13,MATCH(LEFT(AB455,3),Resep!$B$9:$B$13,0)),0))</f>
        <v>0</v>
      </c>
      <c r="AJ455" s="24" t="n">
        <f aca="false">IF(AC455="",0,IFERROR(INDEX(Resep!$C$9:$C$13,MATCH(LEFT(AC455,3),Resep!$B$9:$B$13,0)),0))</f>
        <v>0</v>
      </c>
      <c r="AK455" s="24" t="n">
        <f aca="false">IF(AD455="",0,IFERROR(INDEX(Resep!$C$15:$C$18,MATCH(LEFT(AD455,3),Resep!$B$15:$B$18,0)),0))</f>
        <v>0</v>
      </c>
      <c r="AL455" s="24" t="str">
        <f aca="false">IF(X455="","",AG455+AH455+AI455+AJ455+AK455)</f>
        <v/>
      </c>
      <c r="AM455" s="22" t="str">
        <f aca="false">IF(X455="","",AL455*(Pengaturan!$B$6+Pengaturan!$B$7)+Pengaturan!$B$8+AE455*Pengaturan!$B$9+AF455*Pengaturan!$B$10)</f>
        <v/>
      </c>
      <c r="AN455" s="22" t="str">
        <f aca="false">IF(X455="","",N(G455)-AM455)</f>
        <v/>
      </c>
      <c r="AO455" s="25" t="str">
        <f aca="false">IF(OR(X455="",N(G455)=0),"",AN455/G455)</f>
        <v/>
      </c>
    </row>
    <row r="456" customFormat="false" ht="15" hidden="false" customHeight="false" outlineLevel="0" collapsed="false">
      <c r="A456" s="19"/>
      <c r="B456" s="20"/>
      <c r="C456" s="19"/>
      <c r="D456" s="19"/>
      <c r="E456" s="19"/>
      <c r="F456" s="19"/>
      <c r="G456" s="21"/>
      <c r="H456" s="19"/>
      <c r="I456" s="21"/>
      <c r="J456" s="19"/>
      <c r="K456" s="20"/>
      <c r="L456" s="20"/>
      <c r="M456" s="19"/>
      <c r="N456" s="19"/>
      <c r="O456" s="20"/>
      <c r="P456" s="20"/>
      <c r="Q456" s="19"/>
      <c r="R456" s="22" t="str">
        <f aca="false">IF(A456="","",N(G456)+N(I456))</f>
        <v/>
      </c>
      <c r="S456" s="23" t="str">
        <f aca="false">IF(OR(K456="",O456=""),"",O456-K456)</f>
        <v/>
      </c>
      <c r="T456" s="23" t="str">
        <f aca="true">IF(AND(C456="Cetak",L456&lt;&gt;"",L456&lt;TODAY()),"YA","")</f>
        <v/>
      </c>
      <c r="U456" s="23" t="str">
        <f aca="false">IF(B456="","",TEXT(B456,"yyyy-mm"))</f>
        <v/>
      </c>
      <c r="V456" s="23" t="str">
        <f aca="false">IF(K456="","",TEXT(K456,"yyyy-mm"))</f>
        <v/>
      </c>
      <c r="W456" s="23" t="n">
        <f aca="false">IF(OR(C456="Cetak",C456="Dikirim",C456="Selesai"),1,0)</f>
        <v>0</v>
      </c>
      <c r="X456" s="23" t="str">
        <f aca="false">IF(F456="","",SUBSTITUTE(SUBSTITUTE(MID(UPPER(TRIM(F456)),4,99),"-LED",""),"-TK",""))</f>
        <v/>
      </c>
      <c r="Y456" s="23" t="str">
        <f aca="false">IF(X456="","",(LEN(X456)+1)/7)</f>
        <v/>
      </c>
      <c r="Z456" s="23" t="str">
        <f aca="false">IF(X456="","",LEFT(X456,6))</f>
        <v/>
      </c>
      <c r="AA456" s="23" t="str">
        <f aca="false">IF(X456="","",IF(Y456&gt;=3,MID(X456,8,6),""))</f>
        <v/>
      </c>
      <c r="AB456" s="23" t="str">
        <f aca="false">IF(X456="","",IF(Y456&gt;=4,MID(X456,15,6),""))</f>
        <v/>
      </c>
      <c r="AC456" s="23" t="str">
        <f aca="false">IF(X456="","",IF(Y456&gt;=5,MID(X456,22,6),""))</f>
        <v/>
      </c>
      <c r="AD456" s="23" t="str">
        <f aca="false">IF(X456="","",RIGHT(X456,6))</f>
        <v/>
      </c>
      <c r="AE456" s="23" t="str">
        <f aca="false">IF(F456="","",IF(ISNUMBER(SEARCH("-TK",UPPER(F456))),0,1))</f>
        <v/>
      </c>
      <c r="AF456" s="23" t="str">
        <f aca="false">IF(F456="","",IF(ISNUMBER(SEARCH("-LED",UPPER(F456))),1,0))</f>
        <v/>
      </c>
      <c r="AG456" s="24" t="n">
        <f aca="false">IF(Z456="",0,IFERROR(INDEX(Resep!$C$5:$C$7,MATCH(LEFT(Z456,3),Resep!$B$5:$B$7,0)),0))</f>
        <v>0</v>
      </c>
      <c r="AH456" s="24" t="n">
        <f aca="false">IF(AA456="",0,IFERROR(INDEX(Resep!$C$9:$C$13,MATCH(LEFT(AA456,3),Resep!$B$9:$B$13,0)),0))</f>
        <v>0</v>
      </c>
      <c r="AI456" s="24" t="n">
        <f aca="false">IF(AB456="",0,IFERROR(INDEX(Resep!$C$9:$C$13,MATCH(LEFT(AB456,3),Resep!$B$9:$B$13,0)),0))</f>
        <v>0</v>
      </c>
      <c r="AJ456" s="24" t="n">
        <f aca="false">IF(AC456="",0,IFERROR(INDEX(Resep!$C$9:$C$13,MATCH(LEFT(AC456,3),Resep!$B$9:$B$13,0)),0))</f>
        <v>0</v>
      </c>
      <c r="AK456" s="24" t="n">
        <f aca="false">IF(AD456="",0,IFERROR(INDEX(Resep!$C$15:$C$18,MATCH(LEFT(AD456,3),Resep!$B$15:$B$18,0)),0))</f>
        <v>0</v>
      </c>
      <c r="AL456" s="24" t="str">
        <f aca="false">IF(X456="","",AG456+AH456+AI456+AJ456+AK456)</f>
        <v/>
      </c>
      <c r="AM456" s="22" t="str">
        <f aca="false">IF(X456="","",AL456*(Pengaturan!$B$6+Pengaturan!$B$7)+Pengaturan!$B$8+AE456*Pengaturan!$B$9+AF456*Pengaturan!$B$10)</f>
        <v/>
      </c>
      <c r="AN456" s="22" t="str">
        <f aca="false">IF(X456="","",N(G456)-AM456)</f>
        <v/>
      </c>
      <c r="AO456" s="25" t="str">
        <f aca="false">IF(OR(X456="",N(G456)=0),"",AN456/G456)</f>
        <v/>
      </c>
    </row>
    <row r="457" customFormat="false" ht="15" hidden="false" customHeight="false" outlineLevel="0" collapsed="false">
      <c r="A457" s="19"/>
      <c r="B457" s="20"/>
      <c r="C457" s="19"/>
      <c r="D457" s="19"/>
      <c r="E457" s="19"/>
      <c r="F457" s="19"/>
      <c r="G457" s="21"/>
      <c r="H457" s="19"/>
      <c r="I457" s="21"/>
      <c r="J457" s="19"/>
      <c r="K457" s="20"/>
      <c r="L457" s="20"/>
      <c r="M457" s="19"/>
      <c r="N457" s="19"/>
      <c r="O457" s="20"/>
      <c r="P457" s="20"/>
      <c r="Q457" s="19"/>
      <c r="R457" s="22" t="str">
        <f aca="false">IF(A457="","",N(G457)+N(I457))</f>
        <v/>
      </c>
      <c r="S457" s="23" t="str">
        <f aca="false">IF(OR(K457="",O457=""),"",O457-K457)</f>
        <v/>
      </c>
      <c r="T457" s="23" t="str">
        <f aca="true">IF(AND(C457="Cetak",L457&lt;&gt;"",L457&lt;TODAY()),"YA","")</f>
        <v/>
      </c>
      <c r="U457" s="23" t="str">
        <f aca="false">IF(B457="","",TEXT(B457,"yyyy-mm"))</f>
        <v/>
      </c>
      <c r="V457" s="23" t="str">
        <f aca="false">IF(K457="","",TEXT(K457,"yyyy-mm"))</f>
        <v/>
      </c>
      <c r="W457" s="23" t="n">
        <f aca="false">IF(OR(C457="Cetak",C457="Dikirim",C457="Selesai"),1,0)</f>
        <v>0</v>
      </c>
      <c r="X457" s="23" t="str">
        <f aca="false">IF(F457="","",SUBSTITUTE(SUBSTITUTE(MID(UPPER(TRIM(F457)),4,99),"-LED",""),"-TK",""))</f>
        <v/>
      </c>
      <c r="Y457" s="23" t="str">
        <f aca="false">IF(X457="","",(LEN(X457)+1)/7)</f>
        <v/>
      </c>
      <c r="Z457" s="23" t="str">
        <f aca="false">IF(X457="","",LEFT(X457,6))</f>
        <v/>
      </c>
      <c r="AA457" s="23" t="str">
        <f aca="false">IF(X457="","",IF(Y457&gt;=3,MID(X457,8,6),""))</f>
        <v/>
      </c>
      <c r="AB457" s="23" t="str">
        <f aca="false">IF(X457="","",IF(Y457&gt;=4,MID(X457,15,6),""))</f>
        <v/>
      </c>
      <c r="AC457" s="23" t="str">
        <f aca="false">IF(X457="","",IF(Y457&gt;=5,MID(X457,22,6),""))</f>
        <v/>
      </c>
      <c r="AD457" s="23" t="str">
        <f aca="false">IF(X457="","",RIGHT(X457,6))</f>
        <v/>
      </c>
      <c r="AE457" s="23" t="str">
        <f aca="false">IF(F457="","",IF(ISNUMBER(SEARCH("-TK",UPPER(F457))),0,1))</f>
        <v/>
      </c>
      <c r="AF457" s="23" t="str">
        <f aca="false">IF(F457="","",IF(ISNUMBER(SEARCH("-LED",UPPER(F457))),1,0))</f>
        <v/>
      </c>
      <c r="AG457" s="24" t="n">
        <f aca="false">IF(Z457="",0,IFERROR(INDEX(Resep!$C$5:$C$7,MATCH(LEFT(Z457,3),Resep!$B$5:$B$7,0)),0))</f>
        <v>0</v>
      </c>
      <c r="AH457" s="24" t="n">
        <f aca="false">IF(AA457="",0,IFERROR(INDEX(Resep!$C$9:$C$13,MATCH(LEFT(AA457,3),Resep!$B$9:$B$13,0)),0))</f>
        <v>0</v>
      </c>
      <c r="AI457" s="24" t="n">
        <f aca="false">IF(AB457="",0,IFERROR(INDEX(Resep!$C$9:$C$13,MATCH(LEFT(AB457,3),Resep!$B$9:$B$13,0)),0))</f>
        <v>0</v>
      </c>
      <c r="AJ457" s="24" t="n">
        <f aca="false">IF(AC457="",0,IFERROR(INDEX(Resep!$C$9:$C$13,MATCH(LEFT(AC457,3),Resep!$B$9:$B$13,0)),0))</f>
        <v>0</v>
      </c>
      <c r="AK457" s="24" t="n">
        <f aca="false">IF(AD457="",0,IFERROR(INDEX(Resep!$C$15:$C$18,MATCH(LEFT(AD457,3),Resep!$B$15:$B$18,0)),0))</f>
        <v>0</v>
      </c>
      <c r="AL457" s="24" t="str">
        <f aca="false">IF(X457="","",AG457+AH457+AI457+AJ457+AK457)</f>
        <v/>
      </c>
      <c r="AM457" s="22" t="str">
        <f aca="false">IF(X457="","",AL457*(Pengaturan!$B$6+Pengaturan!$B$7)+Pengaturan!$B$8+AE457*Pengaturan!$B$9+AF457*Pengaturan!$B$10)</f>
        <v/>
      </c>
      <c r="AN457" s="22" t="str">
        <f aca="false">IF(X457="","",N(G457)-AM457)</f>
        <v/>
      </c>
      <c r="AO457" s="25" t="str">
        <f aca="false">IF(OR(X457="",N(G457)=0),"",AN457/G457)</f>
        <v/>
      </c>
    </row>
    <row r="458" customFormat="false" ht="15" hidden="false" customHeight="false" outlineLevel="0" collapsed="false">
      <c r="A458" s="19"/>
      <c r="B458" s="20"/>
      <c r="C458" s="19"/>
      <c r="D458" s="19"/>
      <c r="E458" s="19"/>
      <c r="F458" s="19"/>
      <c r="G458" s="21"/>
      <c r="H458" s="19"/>
      <c r="I458" s="21"/>
      <c r="J458" s="19"/>
      <c r="K458" s="20"/>
      <c r="L458" s="20"/>
      <c r="M458" s="19"/>
      <c r="N458" s="19"/>
      <c r="O458" s="20"/>
      <c r="P458" s="20"/>
      <c r="Q458" s="19"/>
      <c r="R458" s="22" t="str">
        <f aca="false">IF(A458="","",N(G458)+N(I458))</f>
        <v/>
      </c>
      <c r="S458" s="23" t="str">
        <f aca="false">IF(OR(K458="",O458=""),"",O458-K458)</f>
        <v/>
      </c>
      <c r="T458" s="23" t="str">
        <f aca="true">IF(AND(C458="Cetak",L458&lt;&gt;"",L458&lt;TODAY()),"YA","")</f>
        <v/>
      </c>
      <c r="U458" s="23" t="str">
        <f aca="false">IF(B458="","",TEXT(B458,"yyyy-mm"))</f>
        <v/>
      </c>
      <c r="V458" s="23" t="str">
        <f aca="false">IF(K458="","",TEXT(K458,"yyyy-mm"))</f>
        <v/>
      </c>
      <c r="W458" s="23" t="n">
        <f aca="false">IF(OR(C458="Cetak",C458="Dikirim",C458="Selesai"),1,0)</f>
        <v>0</v>
      </c>
      <c r="X458" s="23" t="str">
        <f aca="false">IF(F458="","",SUBSTITUTE(SUBSTITUTE(MID(UPPER(TRIM(F458)),4,99),"-LED",""),"-TK",""))</f>
        <v/>
      </c>
      <c r="Y458" s="23" t="str">
        <f aca="false">IF(X458="","",(LEN(X458)+1)/7)</f>
        <v/>
      </c>
      <c r="Z458" s="23" t="str">
        <f aca="false">IF(X458="","",LEFT(X458,6))</f>
        <v/>
      </c>
      <c r="AA458" s="23" t="str">
        <f aca="false">IF(X458="","",IF(Y458&gt;=3,MID(X458,8,6),""))</f>
        <v/>
      </c>
      <c r="AB458" s="23" t="str">
        <f aca="false">IF(X458="","",IF(Y458&gt;=4,MID(X458,15,6),""))</f>
        <v/>
      </c>
      <c r="AC458" s="23" t="str">
        <f aca="false">IF(X458="","",IF(Y458&gt;=5,MID(X458,22,6),""))</f>
        <v/>
      </c>
      <c r="AD458" s="23" t="str">
        <f aca="false">IF(X458="","",RIGHT(X458,6))</f>
        <v/>
      </c>
      <c r="AE458" s="23" t="str">
        <f aca="false">IF(F458="","",IF(ISNUMBER(SEARCH("-TK",UPPER(F458))),0,1))</f>
        <v/>
      </c>
      <c r="AF458" s="23" t="str">
        <f aca="false">IF(F458="","",IF(ISNUMBER(SEARCH("-LED",UPPER(F458))),1,0))</f>
        <v/>
      </c>
      <c r="AG458" s="24" t="n">
        <f aca="false">IF(Z458="",0,IFERROR(INDEX(Resep!$C$5:$C$7,MATCH(LEFT(Z458,3),Resep!$B$5:$B$7,0)),0))</f>
        <v>0</v>
      </c>
      <c r="AH458" s="24" t="n">
        <f aca="false">IF(AA458="",0,IFERROR(INDEX(Resep!$C$9:$C$13,MATCH(LEFT(AA458,3),Resep!$B$9:$B$13,0)),0))</f>
        <v>0</v>
      </c>
      <c r="AI458" s="24" t="n">
        <f aca="false">IF(AB458="",0,IFERROR(INDEX(Resep!$C$9:$C$13,MATCH(LEFT(AB458,3),Resep!$B$9:$B$13,0)),0))</f>
        <v>0</v>
      </c>
      <c r="AJ458" s="24" t="n">
        <f aca="false">IF(AC458="",0,IFERROR(INDEX(Resep!$C$9:$C$13,MATCH(LEFT(AC458,3),Resep!$B$9:$B$13,0)),0))</f>
        <v>0</v>
      </c>
      <c r="AK458" s="24" t="n">
        <f aca="false">IF(AD458="",0,IFERROR(INDEX(Resep!$C$15:$C$18,MATCH(LEFT(AD458,3),Resep!$B$15:$B$18,0)),0))</f>
        <v>0</v>
      </c>
      <c r="AL458" s="24" t="str">
        <f aca="false">IF(X458="","",AG458+AH458+AI458+AJ458+AK458)</f>
        <v/>
      </c>
      <c r="AM458" s="22" t="str">
        <f aca="false">IF(X458="","",AL458*(Pengaturan!$B$6+Pengaturan!$B$7)+Pengaturan!$B$8+AE458*Pengaturan!$B$9+AF458*Pengaturan!$B$10)</f>
        <v/>
      </c>
      <c r="AN458" s="22" t="str">
        <f aca="false">IF(X458="","",N(G458)-AM458)</f>
        <v/>
      </c>
      <c r="AO458" s="25" t="str">
        <f aca="false">IF(OR(X458="",N(G458)=0),"",AN458/G458)</f>
        <v/>
      </c>
    </row>
    <row r="459" customFormat="false" ht="15" hidden="false" customHeight="false" outlineLevel="0" collapsed="false">
      <c r="A459" s="19"/>
      <c r="B459" s="20"/>
      <c r="C459" s="19"/>
      <c r="D459" s="19"/>
      <c r="E459" s="19"/>
      <c r="F459" s="19"/>
      <c r="G459" s="21"/>
      <c r="H459" s="19"/>
      <c r="I459" s="21"/>
      <c r="J459" s="19"/>
      <c r="K459" s="20"/>
      <c r="L459" s="20"/>
      <c r="M459" s="19"/>
      <c r="N459" s="19"/>
      <c r="O459" s="20"/>
      <c r="P459" s="20"/>
      <c r="Q459" s="19"/>
      <c r="R459" s="22" t="str">
        <f aca="false">IF(A459="","",N(G459)+N(I459))</f>
        <v/>
      </c>
      <c r="S459" s="23" t="str">
        <f aca="false">IF(OR(K459="",O459=""),"",O459-K459)</f>
        <v/>
      </c>
      <c r="T459" s="23" t="str">
        <f aca="true">IF(AND(C459="Cetak",L459&lt;&gt;"",L459&lt;TODAY()),"YA","")</f>
        <v/>
      </c>
      <c r="U459" s="23" t="str">
        <f aca="false">IF(B459="","",TEXT(B459,"yyyy-mm"))</f>
        <v/>
      </c>
      <c r="V459" s="23" t="str">
        <f aca="false">IF(K459="","",TEXT(K459,"yyyy-mm"))</f>
        <v/>
      </c>
      <c r="W459" s="23" t="n">
        <f aca="false">IF(OR(C459="Cetak",C459="Dikirim",C459="Selesai"),1,0)</f>
        <v>0</v>
      </c>
      <c r="X459" s="23" t="str">
        <f aca="false">IF(F459="","",SUBSTITUTE(SUBSTITUTE(MID(UPPER(TRIM(F459)),4,99),"-LED",""),"-TK",""))</f>
        <v/>
      </c>
      <c r="Y459" s="23" t="str">
        <f aca="false">IF(X459="","",(LEN(X459)+1)/7)</f>
        <v/>
      </c>
      <c r="Z459" s="23" t="str">
        <f aca="false">IF(X459="","",LEFT(X459,6))</f>
        <v/>
      </c>
      <c r="AA459" s="23" t="str">
        <f aca="false">IF(X459="","",IF(Y459&gt;=3,MID(X459,8,6),""))</f>
        <v/>
      </c>
      <c r="AB459" s="23" t="str">
        <f aca="false">IF(X459="","",IF(Y459&gt;=4,MID(X459,15,6),""))</f>
        <v/>
      </c>
      <c r="AC459" s="23" t="str">
        <f aca="false">IF(X459="","",IF(Y459&gt;=5,MID(X459,22,6),""))</f>
        <v/>
      </c>
      <c r="AD459" s="23" t="str">
        <f aca="false">IF(X459="","",RIGHT(X459,6))</f>
        <v/>
      </c>
      <c r="AE459" s="23" t="str">
        <f aca="false">IF(F459="","",IF(ISNUMBER(SEARCH("-TK",UPPER(F459))),0,1))</f>
        <v/>
      </c>
      <c r="AF459" s="23" t="str">
        <f aca="false">IF(F459="","",IF(ISNUMBER(SEARCH("-LED",UPPER(F459))),1,0))</f>
        <v/>
      </c>
      <c r="AG459" s="24" t="n">
        <f aca="false">IF(Z459="",0,IFERROR(INDEX(Resep!$C$5:$C$7,MATCH(LEFT(Z459,3),Resep!$B$5:$B$7,0)),0))</f>
        <v>0</v>
      </c>
      <c r="AH459" s="24" t="n">
        <f aca="false">IF(AA459="",0,IFERROR(INDEX(Resep!$C$9:$C$13,MATCH(LEFT(AA459,3),Resep!$B$9:$B$13,0)),0))</f>
        <v>0</v>
      </c>
      <c r="AI459" s="24" t="n">
        <f aca="false">IF(AB459="",0,IFERROR(INDEX(Resep!$C$9:$C$13,MATCH(LEFT(AB459,3),Resep!$B$9:$B$13,0)),0))</f>
        <v>0</v>
      </c>
      <c r="AJ459" s="24" t="n">
        <f aca="false">IF(AC459="",0,IFERROR(INDEX(Resep!$C$9:$C$13,MATCH(LEFT(AC459,3),Resep!$B$9:$B$13,0)),0))</f>
        <v>0</v>
      </c>
      <c r="AK459" s="24" t="n">
        <f aca="false">IF(AD459="",0,IFERROR(INDEX(Resep!$C$15:$C$18,MATCH(LEFT(AD459,3),Resep!$B$15:$B$18,0)),0))</f>
        <v>0</v>
      </c>
      <c r="AL459" s="24" t="str">
        <f aca="false">IF(X459="","",AG459+AH459+AI459+AJ459+AK459)</f>
        <v/>
      </c>
      <c r="AM459" s="22" t="str">
        <f aca="false">IF(X459="","",AL459*(Pengaturan!$B$6+Pengaturan!$B$7)+Pengaturan!$B$8+AE459*Pengaturan!$B$9+AF459*Pengaturan!$B$10)</f>
        <v/>
      </c>
      <c r="AN459" s="22" t="str">
        <f aca="false">IF(X459="","",N(G459)-AM459)</f>
        <v/>
      </c>
      <c r="AO459" s="25" t="str">
        <f aca="false">IF(OR(X459="",N(G459)=0),"",AN459/G459)</f>
        <v/>
      </c>
    </row>
    <row r="460" customFormat="false" ht="15" hidden="false" customHeight="false" outlineLevel="0" collapsed="false">
      <c r="A460" s="19"/>
      <c r="B460" s="20"/>
      <c r="C460" s="19"/>
      <c r="D460" s="19"/>
      <c r="E460" s="19"/>
      <c r="F460" s="19"/>
      <c r="G460" s="21"/>
      <c r="H460" s="19"/>
      <c r="I460" s="21"/>
      <c r="J460" s="19"/>
      <c r="K460" s="20"/>
      <c r="L460" s="20"/>
      <c r="M460" s="19"/>
      <c r="N460" s="19"/>
      <c r="O460" s="20"/>
      <c r="P460" s="20"/>
      <c r="Q460" s="19"/>
      <c r="R460" s="22" t="str">
        <f aca="false">IF(A460="","",N(G460)+N(I460))</f>
        <v/>
      </c>
      <c r="S460" s="23" t="str">
        <f aca="false">IF(OR(K460="",O460=""),"",O460-K460)</f>
        <v/>
      </c>
      <c r="T460" s="23" t="str">
        <f aca="true">IF(AND(C460="Cetak",L460&lt;&gt;"",L460&lt;TODAY()),"YA","")</f>
        <v/>
      </c>
      <c r="U460" s="23" t="str">
        <f aca="false">IF(B460="","",TEXT(B460,"yyyy-mm"))</f>
        <v/>
      </c>
      <c r="V460" s="23" t="str">
        <f aca="false">IF(K460="","",TEXT(K460,"yyyy-mm"))</f>
        <v/>
      </c>
      <c r="W460" s="23" t="n">
        <f aca="false">IF(OR(C460="Cetak",C460="Dikirim",C460="Selesai"),1,0)</f>
        <v>0</v>
      </c>
      <c r="X460" s="23" t="str">
        <f aca="false">IF(F460="","",SUBSTITUTE(SUBSTITUTE(MID(UPPER(TRIM(F460)),4,99),"-LED",""),"-TK",""))</f>
        <v/>
      </c>
      <c r="Y460" s="23" t="str">
        <f aca="false">IF(X460="","",(LEN(X460)+1)/7)</f>
        <v/>
      </c>
      <c r="Z460" s="23" t="str">
        <f aca="false">IF(X460="","",LEFT(X460,6))</f>
        <v/>
      </c>
      <c r="AA460" s="23" t="str">
        <f aca="false">IF(X460="","",IF(Y460&gt;=3,MID(X460,8,6),""))</f>
        <v/>
      </c>
      <c r="AB460" s="23" t="str">
        <f aca="false">IF(X460="","",IF(Y460&gt;=4,MID(X460,15,6),""))</f>
        <v/>
      </c>
      <c r="AC460" s="23" t="str">
        <f aca="false">IF(X460="","",IF(Y460&gt;=5,MID(X460,22,6),""))</f>
        <v/>
      </c>
      <c r="AD460" s="23" t="str">
        <f aca="false">IF(X460="","",RIGHT(X460,6))</f>
        <v/>
      </c>
      <c r="AE460" s="23" t="str">
        <f aca="false">IF(F460="","",IF(ISNUMBER(SEARCH("-TK",UPPER(F460))),0,1))</f>
        <v/>
      </c>
      <c r="AF460" s="23" t="str">
        <f aca="false">IF(F460="","",IF(ISNUMBER(SEARCH("-LED",UPPER(F460))),1,0))</f>
        <v/>
      </c>
      <c r="AG460" s="24" t="n">
        <f aca="false">IF(Z460="",0,IFERROR(INDEX(Resep!$C$5:$C$7,MATCH(LEFT(Z460,3),Resep!$B$5:$B$7,0)),0))</f>
        <v>0</v>
      </c>
      <c r="AH460" s="24" t="n">
        <f aca="false">IF(AA460="",0,IFERROR(INDEX(Resep!$C$9:$C$13,MATCH(LEFT(AA460,3),Resep!$B$9:$B$13,0)),0))</f>
        <v>0</v>
      </c>
      <c r="AI460" s="24" t="n">
        <f aca="false">IF(AB460="",0,IFERROR(INDEX(Resep!$C$9:$C$13,MATCH(LEFT(AB460,3),Resep!$B$9:$B$13,0)),0))</f>
        <v>0</v>
      </c>
      <c r="AJ460" s="24" t="n">
        <f aca="false">IF(AC460="",0,IFERROR(INDEX(Resep!$C$9:$C$13,MATCH(LEFT(AC460,3),Resep!$B$9:$B$13,0)),0))</f>
        <v>0</v>
      </c>
      <c r="AK460" s="24" t="n">
        <f aca="false">IF(AD460="",0,IFERROR(INDEX(Resep!$C$15:$C$18,MATCH(LEFT(AD460,3),Resep!$B$15:$B$18,0)),0))</f>
        <v>0</v>
      </c>
      <c r="AL460" s="24" t="str">
        <f aca="false">IF(X460="","",AG460+AH460+AI460+AJ460+AK460)</f>
        <v/>
      </c>
      <c r="AM460" s="22" t="str">
        <f aca="false">IF(X460="","",AL460*(Pengaturan!$B$6+Pengaturan!$B$7)+Pengaturan!$B$8+AE460*Pengaturan!$B$9+AF460*Pengaturan!$B$10)</f>
        <v/>
      </c>
      <c r="AN460" s="22" t="str">
        <f aca="false">IF(X460="","",N(G460)-AM460)</f>
        <v/>
      </c>
      <c r="AO460" s="25" t="str">
        <f aca="false">IF(OR(X460="",N(G460)=0),"",AN460/G460)</f>
        <v/>
      </c>
    </row>
    <row r="461" customFormat="false" ht="15" hidden="false" customHeight="false" outlineLevel="0" collapsed="false">
      <c r="A461" s="19"/>
      <c r="B461" s="20"/>
      <c r="C461" s="19"/>
      <c r="D461" s="19"/>
      <c r="E461" s="19"/>
      <c r="F461" s="19"/>
      <c r="G461" s="21"/>
      <c r="H461" s="19"/>
      <c r="I461" s="21"/>
      <c r="J461" s="19"/>
      <c r="K461" s="20"/>
      <c r="L461" s="20"/>
      <c r="M461" s="19"/>
      <c r="N461" s="19"/>
      <c r="O461" s="20"/>
      <c r="P461" s="20"/>
      <c r="Q461" s="19"/>
      <c r="R461" s="22" t="str">
        <f aca="false">IF(A461="","",N(G461)+N(I461))</f>
        <v/>
      </c>
      <c r="S461" s="23" t="str">
        <f aca="false">IF(OR(K461="",O461=""),"",O461-K461)</f>
        <v/>
      </c>
      <c r="T461" s="23" t="str">
        <f aca="true">IF(AND(C461="Cetak",L461&lt;&gt;"",L461&lt;TODAY()),"YA","")</f>
        <v/>
      </c>
      <c r="U461" s="23" t="str">
        <f aca="false">IF(B461="","",TEXT(B461,"yyyy-mm"))</f>
        <v/>
      </c>
      <c r="V461" s="23" t="str">
        <f aca="false">IF(K461="","",TEXT(K461,"yyyy-mm"))</f>
        <v/>
      </c>
      <c r="W461" s="23" t="n">
        <f aca="false">IF(OR(C461="Cetak",C461="Dikirim",C461="Selesai"),1,0)</f>
        <v>0</v>
      </c>
      <c r="X461" s="23" t="str">
        <f aca="false">IF(F461="","",SUBSTITUTE(SUBSTITUTE(MID(UPPER(TRIM(F461)),4,99),"-LED",""),"-TK",""))</f>
        <v/>
      </c>
      <c r="Y461" s="23" t="str">
        <f aca="false">IF(X461="","",(LEN(X461)+1)/7)</f>
        <v/>
      </c>
      <c r="Z461" s="23" t="str">
        <f aca="false">IF(X461="","",LEFT(X461,6))</f>
        <v/>
      </c>
      <c r="AA461" s="23" t="str">
        <f aca="false">IF(X461="","",IF(Y461&gt;=3,MID(X461,8,6),""))</f>
        <v/>
      </c>
      <c r="AB461" s="23" t="str">
        <f aca="false">IF(X461="","",IF(Y461&gt;=4,MID(X461,15,6),""))</f>
        <v/>
      </c>
      <c r="AC461" s="23" t="str">
        <f aca="false">IF(X461="","",IF(Y461&gt;=5,MID(X461,22,6),""))</f>
        <v/>
      </c>
      <c r="AD461" s="23" t="str">
        <f aca="false">IF(X461="","",RIGHT(X461,6))</f>
        <v/>
      </c>
      <c r="AE461" s="23" t="str">
        <f aca="false">IF(F461="","",IF(ISNUMBER(SEARCH("-TK",UPPER(F461))),0,1))</f>
        <v/>
      </c>
      <c r="AF461" s="23" t="str">
        <f aca="false">IF(F461="","",IF(ISNUMBER(SEARCH("-LED",UPPER(F461))),1,0))</f>
        <v/>
      </c>
      <c r="AG461" s="24" t="n">
        <f aca="false">IF(Z461="",0,IFERROR(INDEX(Resep!$C$5:$C$7,MATCH(LEFT(Z461,3),Resep!$B$5:$B$7,0)),0))</f>
        <v>0</v>
      </c>
      <c r="AH461" s="24" t="n">
        <f aca="false">IF(AA461="",0,IFERROR(INDEX(Resep!$C$9:$C$13,MATCH(LEFT(AA461,3),Resep!$B$9:$B$13,0)),0))</f>
        <v>0</v>
      </c>
      <c r="AI461" s="24" t="n">
        <f aca="false">IF(AB461="",0,IFERROR(INDEX(Resep!$C$9:$C$13,MATCH(LEFT(AB461,3),Resep!$B$9:$B$13,0)),0))</f>
        <v>0</v>
      </c>
      <c r="AJ461" s="24" t="n">
        <f aca="false">IF(AC461="",0,IFERROR(INDEX(Resep!$C$9:$C$13,MATCH(LEFT(AC461,3),Resep!$B$9:$B$13,0)),0))</f>
        <v>0</v>
      </c>
      <c r="AK461" s="24" t="n">
        <f aca="false">IF(AD461="",0,IFERROR(INDEX(Resep!$C$15:$C$18,MATCH(LEFT(AD461,3),Resep!$B$15:$B$18,0)),0))</f>
        <v>0</v>
      </c>
      <c r="AL461" s="24" t="str">
        <f aca="false">IF(X461="","",AG461+AH461+AI461+AJ461+AK461)</f>
        <v/>
      </c>
      <c r="AM461" s="22" t="str">
        <f aca="false">IF(X461="","",AL461*(Pengaturan!$B$6+Pengaturan!$B$7)+Pengaturan!$B$8+AE461*Pengaturan!$B$9+AF461*Pengaturan!$B$10)</f>
        <v/>
      </c>
      <c r="AN461" s="22" t="str">
        <f aca="false">IF(X461="","",N(G461)-AM461)</f>
        <v/>
      </c>
      <c r="AO461" s="25" t="str">
        <f aca="false">IF(OR(X461="",N(G461)=0),"",AN461/G461)</f>
        <v/>
      </c>
    </row>
    <row r="462" customFormat="false" ht="15" hidden="false" customHeight="false" outlineLevel="0" collapsed="false">
      <c r="A462" s="19"/>
      <c r="B462" s="20"/>
      <c r="C462" s="19"/>
      <c r="D462" s="19"/>
      <c r="E462" s="19"/>
      <c r="F462" s="19"/>
      <c r="G462" s="21"/>
      <c r="H462" s="19"/>
      <c r="I462" s="21"/>
      <c r="J462" s="19"/>
      <c r="K462" s="20"/>
      <c r="L462" s="20"/>
      <c r="M462" s="19"/>
      <c r="N462" s="19"/>
      <c r="O462" s="20"/>
      <c r="P462" s="20"/>
      <c r="Q462" s="19"/>
      <c r="R462" s="22" t="str">
        <f aca="false">IF(A462="","",N(G462)+N(I462))</f>
        <v/>
      </c>
      <c r="S462" s="23" t="str">
        <f aca="false">IF(OR(K462="",O462=""),"",O462-K462)</f>
        <v/>
      </c>
      <c r="T462" s="23" t="str">
        <f aca="true">IF(AND(C462="Cetak",L462&lt;&gt;"",L462&lt;TODAY()),"YA","")</f>
        <v/>
      </c>
      <c r="U462" s="23" t="str">
        <f aca="false">IF(B462="","",TEXT(B462,"yyyy-mm"))</f>
        <v/>
      </c>
      <c r="V462" s="23" t="str">
        <f aca="false">IF(K462="","",TEXT(K462,"yyyy-mm"))</f>
        <v/>
      </c>
      <c r="W462" s="23" t="n">
        <f aca="false">IF(OR(C462="Cetak",C462="Dikirim",C462="Selesai"),1,0)</f>
        <v>0</v>
      </c>
      <c r="X462" s="23" t="str">
        <f aca="false">IF(F462="","",SUBSTITUTE(SUBSTITUTE(MID(UPPER(TRIM(F462)),4,99),"-LED",""),"-TK",""))</f>
        <v/>
      </c>
      <c r="Y462" s="23" t="str">
        <f aca="false">IF(X462="","",(LEN(X462)+1)/7)</f>
        <v/>
      </c>
      <c r="Z462" s="23" t="str">
        <f aca="false">IF(X462="","",LEFT(X462,6))</f>
        <v/>
      </c>
      <c r="AA462" s="23" t="str">
        <f aca="false">IF(X462="","",IF(Y462&gt;=3,MID(X462,8,6),""))</f>
        <v/>
      </c>
      <c r="AB462" s="23" t="str">
        <f aca="false">IF(X462="","",IF(Y462&gt;=4,MID(X462,15,6),""))</f>
        <v/>
      </c>
      <c r="AC462" s="23" t="str">
        <f aca="false">IF(X462="","",IF(Y462&gt;=5,MID(X462,22,6),""))</f>
        <v/>
      </c>
      <c r="AD462" s="23" t="str">
        <f aca="false">IF(X462="","",RIGHT(X462,6))</f>
        <v/>
      </c>
      <c r="AE462" s="23" t="str">
        <f aca="false">IF(F462="","",IF(ISNUMBER(SEARCH("-TK",UPPER(F462))),0,1))</f>
        <v/>
      </c>
      <c r="AF462" s="23" t="str">
        <f aca="false">IF(F462="","",IF(ISNUMBER(SEARCH("-LED",UPPER(F462))),1,0))</f>
        <v/>
      </c>
      <c r="AG462" s="24" t="n">
        <f aca="false">IF(Z462="",0,IFERROR(INDEX(Resep!$C$5:$C$7,MATCH(LEFT(Z462,3),Resep!$B$5:$B$7,0)),0))</f>
        <v>0</v>
      </c>
      <c r="AH462" s="24" t="n">
        <f aca="false">IF(AA462="",0,IFERROR(INDEX(Resep!$C$9:$C$13,MATCH(LEFT(AA462,3),Resep!$B$9:$B$13,0)),0))</f>
        <v>0</v>
      </c>
      <c r="AI462" s="24" t="n">
        <f aca="false">IF(AB462="",0,IFERROR(INDEX(Resep!$C$9:$C$13,MATCH(LEFT(AB462,3),Resep!$B$9:$B$13,0)),0))</f>
        <v>0</v>
      </c>
      <c r="AJ462" s="24" t="n">
        <f aca="false">IF(AC462="",0,IFERROR(INDEX(Resep!$C$9:$C$13,MATCH(LEFT(AC462,3),Resep!$B$9:$B$13,0)),0))</f>
        <v>0</v>
      </c>
      <c r="AK462" s="24" t="n">
        <f aca="false">IF(AD462="",0,IFERROR(INDEX(Resep!$C$15:$C$18,MATCH(LEFT(AD462,3),Resep!$B$15:$B$18,0)),0))</f>
        <v>0</v>
      </c>
      <c r="AL462" s="24" t="str">
        <f aca="false">IF(X462="","",AG462+AH462+AI462+AJ462+AK462)</f>
        <v/>
      </c>
      <c r="AM462" s="22" t="str">
        <f aca="false">IF(X462="","",AL462*(Pengaturan!$B$6+Pengaturan!$B$7)+Pengaturan!$B$8+AE462*Pengaturan!$B$9+AF462*Pengaturan!$B$10)</f>
        <v/>
      </c>
      <c r="AN462" s="22" t="str">
        <f aca="false">IF(X462="","",N(G462)-AM462)</f>
        <v/>
      </c>
      <c r="AO462" s="25" t="str">
        <f aca="false">IF(OR(X462="",N(G462)=0),"",AN462/G462)</f>
        <v/>
      </c>
    </row>
    <row r="463" customFormat="false" ht="15" hidden="false" customHeight="false" outlineLevel="0" collapsed="false">
      <c r="A463" s="19"/>
      <c r="B463" s="20"/>
      <c r="C463" s="19"/>
      <c r="D463" s="19"/>
      <c r="E463" s="19"/>
      <c r="F463" s="19"/>
      <c r="G463" s="21"/>
      <c r="H463" s="19"/>
      <c r="I463" s="21"/>
      <c r="J463" s="19"/>
      <c r="K463" s="20"/>
      <c r="L463" s="20"/>
      <c r="M463" s="19"/>
      <c r="N463" s="19"/>
      <c r="O463" s="20"/>
      <c r="P463" s="20"/>
      <c r="Q463" s="19"/>
      <c r="R463" s="22" t="str">
        <f aca="false">IF(A463="","",N(G463)+N(I463))</f>
        <v/>
      </c>
      <c r="S463" s="23" t="str">
        <f aca="false">IF(OR(K463="",O463=""),"",O463-K463)</f>
        <v/>
      </c>
      <c r="T463" s="23" t="str">
        <f aca="true">IF(AND(C463="Cetak",L463&lt;&gt;"",L463&lt;TODAY()),"YA","")</f>
        <v/>
      </c>
      <c r="U463" s="23" t="str">
        <f aca="false">IF(B463="","",TEXT(B463,"yyyy-mm"))</f>
        <v/>
      </c>
      <c r="V463" s="23" t="str">
        <f aca="false">IF(K463="","",TEXT(K463,"yyyy-mm"))</f>
        <v/>
      </c>
      <c r="W463" s="23" t="n">
        <f aca="false">IF(OR(C463="Cetak",C463="Dikirim",C463="Selesai"),1,0)</f>
        <v>0</v>
      </c>
      <c r="X463" s="23" t="str">
        <f aca="false">IF(F463="","",SUBSTITUTE(SUBSTITUTE(MID(UPPER(TRIM(F463)),4,99),"-LED",""),"-TK",""))</f>
        <v/>
      </c>
      <c r="Y463" s="23" t="str">
        <f aca="false">IF(X463="","",(LEN(X463)+1)/7)</f>
        <v/>
      </c>
      <c r="Z463" s="23" t="str">
        <f aca="false">IF(X463="","",LEFT(X463,6))</f>
        <v/>
      </c>
      <c r="AA463" s="23" t="str">
        <f aca="false">IF(X463="","",IF(Y463&gt;=3,MID(X463,8,6),""))</f>
        <v/>
      </c>
      <c r="AB463" s="23" t="str">
        <f aca="false">IF(X463="","",IF(Y463&gt;=4,MID(X463,15,6),""))</f>
        <v/>
      </c>
      <c r="AC463" s="23" t="str">
        <f aca="false">IF(X463="","",IF(Y463&gt;=5,MID(X463,22,6),""))</f>
        <v/>
      </c>
      <c r="AD463" s="23" t="str">
        <f aca="false">IF(X463="","",RIGHT(X463,6))</f>
        <v/>
      </c>
      <c r="AE463" s="23" t="str">
        <f aca="false">IF(F463="","",IF(ISNUMBER(SEARCH("-TK",UPPER(F463))),0,1))</f>
        <v/>
      </c>
      <c r="AF463" s="23" t="str">
        <f aca="false">IF(F463="","",IF(ISNUMBER(SEARCH("-LED",UPPER(F463))),1,0))</f>
        <v/>
      </c>
      <c r="AG463" s="24" t="n">
        <f aca="false">IF(Z463="",0,IFERROR(INDEX(Resep!$C$5:$C$7,MATCH(LEFT(Z463,3),Resep!$B$5:$B$7,0)),0))</f>
        <v>0</v>
      </c>
      <c r="AH463" s="24" t="n">
        <f aca="false">IF(AA463="",0,IFERROR(INDEX(Resep!$C$9:$C$13,MATCH(LEFT(AA463,3),Resep!$B$9:$B$13,0)),0))</f>
        <v>0</v>
      </c>
      <c r="AI463" s="24" t="n">
        <f aca="false">IF(AB463="",0,IFERROR(INDEX(Resep!$C$9:$C$13,MATCH(LEFT(AB463,3),Resep!$B$9:$B$13,0)),0))</f>
        <v>0</v>
      </c>
      <c r="AJ463" s="24" t="n">
        <f aca="false">IF(AC463="",0,IFERROR(INDEX(Resep!$C$9:$C$13,MATCH(LEFT(AC463,3),Resep!$B$9:$B$13,0)),0))</f>
        <v>0</v>
      </c>
      <c r="AK463" s="24" t="n">
        <f aca="false">IF(AD463="",0,IFERROR(INDEX(Resep!$C$15:$C$18,MATCH(LEFT(AD463,3),Resep!$B$15:$B$18,0)),0))</f>
        <v>0</v>
      </c>
      <c r="AL463" s="24" t="str">
        <f aca="false">IF(X463="","",AG463+AH463+AI463+AJ463+AK463)</f>
        <v/>
      </c>
      <c r="AM463" s="22" t="str">
        <f aca="false">IF(X463="","",AL463*(Pengaturan!$B$6+Pengaturan!$B$7)+Pengaturan!$B$8+AE463*Pengaturan!$B$9+AF463*Pengaturan!$B$10)</f>
        <v/>
      </c>
      <c r="AN463" s="22" t="str">
        <f aca="false">IF(X463="","",N(G463)-AM463)</f>
        <v/>
      </c>
      <c r="AO463" s="25" t="str">
        <f aca="false">IF(OR(X463="",N(G463)=0),"",AN463/G463)</f>
        <v/>
      </c>
    </row>
    <row r="464" customFormat="false" ht="15" hidden="false" customHeight="false" outlineLevel="0" collapsed="false">
      <c r="A464" s="19"/>
      <c r="B464" s="20"/>
      <c r="C464" s="19"/>
      <c r="D464" s="19"/>
      <c r="E464" s="19"/>
      <c r="F464" s="19"/>
      <c r="G464" s="21"/>
      <c r="H464" s="19"/>
      <c r="I464" s="21"/>
      <c r="J464" s="19"/>
      <c r="K464" s="20"/>
      <c r="L464" s="20"/>
      <c r="M464" s="19"/>
      <c r="N464" s="19"/>
      <c r="O464" s="20"/>
      <c r="P464" s="20"/>
      <c r="Q464" s="19"/>
      <c r="R464" s="22" t="str">
        <f aca="false">IF(A464="","",N(G464)+N(I464))</f>
        <v/>
      </c>
      <c r="S464" s="23" t="str">
        <f aca="false">IF(OR(K464="",O464=""),"",O464-K464)</f>
        <v/>
      </c>
      <c r="T464" s="23" t="str">
        <f aca="true">IF(AND(C464="Cetak",L464&lt;&gt;"",L464&lt;TODAY()),"YA","")</f>
        <v/>
      </c>
      <c r="U464" s="23" t="str">
        <f aca="false">IF(B464="","",TEXT(B464,"yyyy-mm"))</f>
        <v/>
      </c>
      <c r="V464" s="23" t="str">
        <f aca="false">IF(K464="","",TEXT(K464,"yyyy-mm"))</f>
        <v/>
      </c>
      <c r="W464" s="23" t="n">
        <f aca="false">IF(OR(C464="Cetak",C464="Dikirim",C464="Selesai"),1,0)</f>
        <v>0</v>
      </c>
      <c r="X464" s="23" t="str">
        <f aca="false">IF(F464="","",SUBSTITUTE(SUBSTITUTE(MID(UPPER(TRIM(F464)),4,99),"-LED",""),"-TK",""))</f>
        <v/>
      </c>
      <c r="Y464" s="23" t="str">
        <f aca="false">IF(X464="","",(LEN(X464)+1)/7)</f>
        <v/>
      </c>
      <c r="Z464" s="23" t="str">
        <f aca="false">IF(X464="","",LEFT(X464,6))</f>
        <v/>
      </c>
      <c r="AA464" s="23" t="str">
        <f aca="false">IF(X464="","",IF(Y464&gt;=3,MID(X464,8,6),""))</f>
        <v/>
      </c>
      <c r="AB464" s="23" t="str">
        <f aca="false">IF(X464="","",IF(Y464&gt;=4,MID(X464,15,6),""))</f>
        <v/>
      </c>
      <c r="AC464" s="23" t="str">
        <f aca="false">IF(X464="","",IF(Y464&gt;=5,MID(X464,22,6),""))</f>
        <v/>
      </c>
      <c r="AD464" s="23" t="str">
        <f aca="false">IF(X464="","",RIGHT(X464,6))</f>
        <v/>
      </c>
      <c r="AE464" s="23" t="str">
        <f aca="false">IF(F464="","",IF(ISNUMBER(SEARCH("-TK",UPPER(F464))),0,1))</f>
        <v/>
      </c>
      <c r="AF464" s="23" t="str">
        <f aca="false">IF(F464="","",IF(ISNUMBER(SEARCH("-LED",UPPER(F464))),1,0))</f>
        <v/>
      </c>
      <c r="AG464" s="24" t="n">
        <f aca="false">IF(Z464="",0,IFERROR(INDEX(Resep!$C$5:$C$7,MATCH(LEFT(Z464,3),Resep!$B$5:$B$7,0)),0))</f>
        <v>0</v>
      </c>
      <c r="AH464" s="24" t="n">
        <f aca="false">IF(AA464="",0,IFERROR(INDEX(Resep!$C$9:$C$13,MATCH(LEFT(AA464,3),Resep!$B$9:$B$13,0)),0))</f>
        <v>0</v>
      </c>
      <c r="AI464" s="24" t="n">
        <f aca="false">IF(AB464="",0,IFERROR(INDEX(Resep!$C$9:$C$13,MATCH(LEFT(AB464,3),Resep!$B$9:$B$13,0)),0))</f>
        <v>0</v>
      </c>
      <c r="AJ464" s="24" t="n">
        <f aca="false">IF(AC464="",0,IFERROR(INDEX(Resep!$C$9:$C$13,MATCH(LEFT(AC464,3),Resep!$B$9:$B$13,0)),0))</f>
        <v>0</v>
      </c>
      <c r="AK464" s="24" t="n">
        <f aca="false">IF(AD464="",0,IFERROR(INDEX(Resep!$C$15:$C$18,MATCH(LEFT(AD464,3),Resep!$B$15:$B$18,0)),0))</f>
        <v>0</v>
      </c>
      <c r="AL464" s="24" t="str">
        <f aca="false">IF(X464="","",AG464+AH464+AI464+AJ464+AK464)</f>
        <v/>
      </c>
      <c r="AM464" s="22" t="str">
        <f aca="false">IF(X464="","",AL464*(Pengaturan!$B$6+Pengaturan!$B$7)+Pengaturan!$B$8+AE464*Pengaturan!$B$9+AF464*Pengaturan!$B$10)</f>
        <v/>
      </c>
      <c r="AN464" s="22" t="str">
        <f aca="false">IF(X464="","",N(G464)-AM464)</f>
        <v/>
      </c>
      <c r="AO464" s="25" t="str">
        <f aca="false">IF(OR(X464="",N(G464)=0),"",AN464/G464)</f>
        <v/>
      </c>
    </row>
    <row r="465" customFormat="false" ht="15" hidden="false" customHeight="false" outlineLevel="0" collapsed="false">
      <c r="A465" s="19"/>
      <c r="B465" s="20"/>
      <c r="C465" s="19"/>
      <c r="D465" s="19"/>
      <c r="E465" s="19"/>
      <c r="F465" s="19"/>
      <c r="G465" s="21"/>
      <c r="H465" s="19"/>
      <c r="I465" s="21"/>
      <c r="J465" s="19"/>
      <c r="K465" s="20"/>
      <c r="L465" s="20"/>
      <c r="M465" s="19"/>
      <c r="N465" s="19"/>
      <c r="O465" s="20"/>
      <c r="P465" s="20"/>
      <c r="Q465" s="19"/>
      <c r="R465" s="22" t="str">
        <f aca="false">IF(A465="","",N(G465)+N(I465))</f>
        <v/>
      </c>
      <c r="S465" s="23" t="str">
        <f aca="false">IF(OR(K465="",O465=""),"",O465-K465)</f>
        <v/>
      </c>
      <c r="T465" s="23" t="str">
        <f aca="true">IF(AND(C465="Cetak",L465&lt;&gt;"",L465&lt;TODAY()),"YA","")</f>
        <v/>
      </c>
      <c r="U465" s="23" t="str">
        <f aca="false">IF(B465="","",TEXT(B465,"yyyy-mm"))</f>
        <v/>
      </c>
      <c r="V465" s="23" t="str">
        <f aca="false">IF(K465="","",TEXT(K465,"yyyy-mm"))</f>
        <v/>
      </c>
      <c r="W465" s="23" t="n">
        <f aca="false">IF(OR(C465="Cetak",C465="Dikirim",C465="Selesai"),1,0)</f>
        <v>0</v>
      </c>
      <c r="X465" s="23" t="str">
        <f aca="false">IF(F465="","",SUBSTITUTE(SUBSTITUTE(MID(UPPER(TRIM(F465)),4,99),"-LED",""),"-TK",""))</f>
        <v/>
      </c>
      <c r="Y465" s="23" t="str">
        <f aca="false">IF(X465="","",(LEN(X465)+1)/7)</f>
        <v/>
      </c>
      <c r="Z465" s="23" t="str">
        <f aca="false">IF(X465="","",LEFT(X465,6))</f>
        <v/>
      </c>
      <c r="AA465" s="23" t="str">
        <f aca="false">IF(X465="","",IF(Y465&gt;=3,MID(X465,8,6),""))</f>
        <v/>
      </c>
      <c r="AB465" s="23" t="str">
        <f aca="false">IF(X465="","",IF(Y465&gt;=4,MID(X465,15,6),""))</f>
        <v/>
      </c>
      <c r="AC465" s="23" t="str">
        <f aca="false">IF(X465="","",IF(Y465&gt;=5,MID(X465,22,6),""))</f>
        <v/>
      </c>
      <c r="AD465" s="23" t="str">
        <f aca="false">IF(X465="","",RIGHT(X465,6))</f>
        <v/>
      </c>
      <c r="AE465" s="23" t="str">
        <f aca="false">IF(F465="","",IF(ISNUMBER(SEARCH("-TK",UPPER(F465))),0,1))</f>
        <v/>
      </c>
      <c r="AF465" s="23" t="str">
        <f aca="false">IF(F465="","",IF(ISNUMBER(SEARCH("-LED",UPPER(F465))),1,0))</f>
        <v/>
      </c>
      <c r="AG465" s="24" t="n">
        <f aca="false">IF(Z465="",0,IFERROR(INDEX(Resep!$C$5:$C$7,MATCH(LEFT(Z465,3),Resep!$B$5:$B$7,0)),0))</f>
        <v>0</v>
      </c>
      <c r="AH465" s="24" t="n">
        <f aca="false">IF(AA465="",0,IFERROR(INDEX(Resep!$C$9:$C$13,MATCH(LEFT(AA465,3),Resep!$B$9:$B$13,0)),0))</f>
        <v>0</v>
      </c>
      <c r="AI465" s="24" t="n">
        <f aca="false">IF(AB465="",0,IFERROR(INDEX(Resep!$C$9:$C$13,MATCH(LEFT(AB465,3),Resep!$B$9:$B$13,0)),0))</f>
        <v>0</v>
      </c>
      <c r="AJ465" s="24" t="n">
        <f aca="false">IF(AC465="",0,IFERROR(INDEX(Resep!$C$9:$C$13,MATCH(LEFT(AC465,3),Resep!$B$9:$B$13,0)),0))</f>
        <v>0</v>
      </c>
      <c r="AK465" s="24" t="n">
        <f aca="false">IF(AD465="",0,IFERROR(INDEX(Resep!$C$15:$C$18,MATCH(LEFT(AD465,3),Resep!$B$15:$B$18,0)),0))</f>
        <v>0</v>
      </c>
      <c r="AL465" s="24" t="str">
        <f aca="false">IF(X465="","",AG465+AH465+AI465+AJ465+AK465)</f>
        <v/>
      </c>
      <c r="AM465" s="22" t="str">
        <f aca="false">IF(X465="","",AL465*(Pengaturan!$B$6+Pengaturan!$B$7)+Pengaturan!$B$8+AE465*Pengaturan!$B$9+AF465*Pengaturan!$B$10)</f>
        <v/>
      </c>
      <c r="AN465" s="22" t="str">
        <f aca="false">IF(X465="","",N(G465)-AM465)</f>
        <v/>
      </c>
      <c r="AO465" s="25" t="str">
        <f aca="false">IF(OR(X465="",N(G465)=0),"",AN465/G465)</f>
        <v/>
      </c>
    </row>
    <row r="466" customFormat="false" ht="15" hidden="false" customHeight="false" outlineLevel="0" collapsed="false">
      <c r="A466" s="19"/>
      <c r="B466" s="20"/>
      <c r="C466" s="19"/>
      <c r="D466" s="19"/>
      <c r="E466" s="19"/>
      <c r="F466" s="19"/>
      <c r="G466" s="21"/>
      <c r="H466" s="19"/>
      <c r="I466" s="21"/>
      <c r="J466" s="19"/>
      <c r="K466" s="20"/>
      <c r="L466" s="20"/>
      <c r="M466" s="19"/>
      <c r="N466" s="19"/>
      <c r="O466" s="20"/>
      <c r="P466" s="20"/>
      <c r="Q466" s="19"/>
      <c r="R466" s="22" t="str">
        <f aca="false">IF(A466="","",N(G466)+N(I466))</f>
        <v/>
      </c>
      <c r="S466" s="23" t="str">
        <f aca="false">IF(OR(K466="",O466=""),"",O466-K466)</f>
        <v/>
      </c>
      <c r="T466" s="23" t="str">
        <f aca="true">IF(AND(C466="Cetak",L466&lt;&gt;"",L466&lt;TODAY()),"YA","")</f>
        <v/>
      </c>
      <c r="U466" s="23" t="str">
        <f aca="false">IF(B466="","",TEXT(B466,"yyyy-mm"))</f>
        <v/>
      </c>
      <c r="V466" s="23" t="str">
        <f aca="false">IF(K466="","",TEXT(K466,"yyyy-mm"))</f>
        <v/>
      </c>
      <c r="W466" s="23" t="n">
        <f aca="false">IF(OR(C466="Cetak",C466="Dikirim",C466="Selesai"),1,0)</f>
        <v>0</v>
      </c>
      <c r="X466" s="23" t="str">
        <f aca="false">IF(F466="","",SUBSTITUTE(SUBSTITUTE(MID(UPPER(TRIM(F466)),4,99),"-LED",""),"-TK",""))</f>
        <v/>
      </c>
      <c r="Y466" s="23" t="str">
        <f aca="false">IF(X466="","",(LEN(X466)+1)/7)</f>
        <v/>
      </c>
      <c r="Z466" s="23" t="str">
        <f aca="false">IF(X466="","",LEFT(X466,6))</f>
        <v/>
      </c>
      <c r="AA466" s="23" t="str">
        <f aca="false">IF(X466="","",IF(Y466&gt;=3,MID(X466,8,6),""))</f>
        <v/>
      </c>
      <c r="AB466" s="23" t="str">
        <f aca="false">IF(X466="","",IF(Y466&gt;=4,MID(X466,15,6),""))</f>
        <v/>
      </c>
      <c r="AC466" s="23" t="str">
        <f aca="false">IF(X466="","",IF(Y466&gt;=5,MID(X466,22,6),""))</f>
        <v/>
      </c>
      <c r="AD466" s="23" t="str">
        <f aca="false">IF(X466="","",RIGHT(X466,6))</f>
        <v/>
      </c>
      <c r="AE466" s="23" t="str">
        <f aca="false">IF(F466="","",IF(ISNUMBER(SEARCH("-TK",UPPER(F466))),0,1))</f>
        <v/>
      </c>
      <c r="AF466" s="23" t="str">
        <f aca="false">IF(F466="","",IF(ISNUMBER(SEARCH("-LED",UPPER(F466))),1,0))</f>
        <v/>
      </c>
      <c r="AG466" s="24" t="n">
        <f aca="false">IF(Z466="",0,IFERROR(INDEX(Resep!$C$5:$C$7,MATCH(LEFT(Z466,3),Resep!$B$5:$B$7,0)),0))</f>
        <v>0</v>
      </c>
      <c r="AH466" s="24" t="n">
        <f aca="false">IF(AA466="",0,IFERROR(INDEX(Resep!$C$9:$C$13,MATCH(LEFT(AA466,3),Resep!$B$9:$B$13,0)),0))</f>
        <v>0</v>
      </c>
      <c r="AI466" s="24" t="n">
        <f aca="false">IF(AB466="",0,IFERROR(INDEX(Resep!$C$9:$C$13,MATCH(LEFT(AB466,3),Resep!$B$9:$B$13,0)),0))</f>
        <v>0</v>
      </c>
      <c r="AJ466" s="24" t="n">
        <f aca="false">IF(AC466="",0,IFERROR(INDEX(Resep!$C$9:$C$13,MATCH(LEFT(AC466,3),Resep!$B$9:$B$13,0)),0))</f>
        <v>0</v>
      </c>
      <c r="AK466" s="24" t="n">
        <f aca="false">IF(AD466="",0,IFERROR(INDEX(Resep!$C$15:$C$18,MATCH(LEFT(AD466,3),Resep!$B$15:$B$18,0)),0))</f>
        <v>0</v>
      </c>
      <c r="AL466" s="24" t="str">
        <f aca="false">IF(X466="","",AG466+AH466+AI466+AJ466+AK466)</f>
        <v/>
      </c>
      <c r="AM466" s="22" t="str">
        <f aca="false">IF(X466="","",AL466*(Pengaturan!$B$6+Pengaturan!$B$7)+Pengaturan!$B$8+AE466*Pengaturan!$B$9+AF466*Pengaturan!$B$10)</f>
        <v/>
      </c>
      <c r="AN466" s="22" t="str">
        <f aca="false">IF(X466="","",N(G466)-AM466)</f>
        <v/>
      </c>
      <c r="AO466" s="25" t="str">
        <f aca="false">IF(OR(X466="",N(G466)=0),"",AN466/G466)</f>
        <v/>
      </c>
    </row>
    <row r="467" customFormat="false" ht="15" hidden="false" customHeight="false" outlineLevel="0" collapsed="false">
      <c r="A467" s="19"/>
      <c r="B467" s="20"/>
      <c r="C467" s="19"/>
      <c r="D467" s="19"/>
      <c r="E467" s="19"/>
      <c r="F467" s="19"/>
      <c r="G467" s="21"/>
      <c r="H467" s="19"/>
      <c r="I467" s="21"/>
      <c r="J467" s="19"/>
      <c r="K467" s="20"/>
      <c r="L467" s="20"/>
      <c r="M467" s="19"/>
      <c r="N467" s="19"/>
      <c r="O467" s="20"/>
      <c r="P467" s="20"/>
      <c r="Q467" s="19"/>
      <c r="R467" s="22" t="str">
        <f aca="false">IF(A467="","",N(G467)+N(I467))</f>
        <v/>
      </c>
      <c r="S467" s="23" t="str">
        <f aca="false">IF(OR(K467="",O467=""),"",O467-K467)</f>
        <v/>
      </c>
      <c r="T467" s="23" t="str">
        <f aca="true">IF(AND(C467="Cetak",L467&lt;&gt;"",L467&lt;TODAY()),"YA","")</f>
        <v/>
      </c>
      <c r="U467" s="23" t="str">
        <f aca="false">IF(B467="","",TEXT(B467,"yyyy-mm"))</f>
        <v/>
      </c>
      <c r="V467" s="23" t="str">
        <f aca="false">IF(K467="","",TEXT(K467,"yyyy-mm"))</f>
        <v/>
      </c>
      <c r="W467" s="23" t="n">
        <f aca="false">IF(OR(C467="Cetak",C467="Dikirim",C467="Selesai"),1,0)</f>
        <v>0</v>
      </c>
      <c r="X467" s="23" t="str">
        <f aca="false">IF(F467="","",SUBSTITUTE(SUBSTITUTE(MID(UPPER(TRIM(F467)),4,99),"-LED",""),"-TK",""))</f>
        <v/>
      </c>
      <c r="Y467" s="23" t="str">
        <f aca="false">IF(X467="","",(LEN(X467)+1)/7)</f>
        <v/>
      </c>
      <c r="Z467" s="23" t="str">
        <f aca="false">IF(X467="","",LEFT(X467,6))</f>
        <v/>
      </c>
      <c r="AA467" s="23" t="str">
        <f aca="false">IF(X467="","",IF(Y467&gt;=3,MID(X467,8,6),""))</f>
        <v/>
      </c>
      <c r="AB467" s="23" t="str">
        <f aca="false">IF(X467="","",IF(Y467&gt;=4,MID(X467,15,6),""))</f>
        <v/>
      </c>
      <c r="AC467" s="23" t="str">
        <f aca="false">IF(X467="","",IF(Y467&gt;=5,MID(X467,22,6),""))</f>
        <v/>
      </c>
      <c r="AD467" s="23" t="str">
        <f aca="false">IF(X467="","",RIGHT(X467,6))</f>
        <v/>
      </c>
      <c r="AE467" s="23" t="str">
        <f aca="false">IF(F467="","",IF(ISNUMBER(SEARCH("-TK",UPPER(F467))),0,1))</f>
        <v/>
      </c>
      <c r="AF467" s="23" t="str">
        <f aca="false">IF(F467="","",IF(ISNUMBER(SEARCH("-LED",UPPER(F467))),1,0))</f>
        <v/>
      </c>
      <c r="AG467" s="24" t="n">
        <f aca="false">IF(Z467="",0,IFERROR(INDEX(Resep!$C$5:$C$7,MATCH(LEFT(Z467,3),Resep!$B$5:$B$7,0)),0))</f>
        <v>0</v>
      </c>
      <c r="AH467" s="24" t="n">
        <f aca="false">IF(AA467="",0,IFERROR(INDEX(Resep!$C$9:$C$13,MATCH(LEFT(AA467,3),Resep!$B$9:$B$13,0)),0))</f>
        <v>0</v>
      </c>
      <c r="AI467" s="24" t="n">
        <f aca="false">IF(AB467="",0,IFERROR(INDEX(Resep!$C$9:$C$13,MATCH(LEFT(AB467,3),Resep!$B$9:$B$13,0)),0))</f>
        <v>0</v>
      </c>
      <c r="AJ467" s="24" t="n">
        <f aca="false">IF(AC467="",0,IFERROR(INDEX(Resep!$C$9:$C$13,MATCH(LEFT(AC467,3),Resep!$B$9:$B$13,0)),0))</f>
        <v>0</v>
      </c>
      <c r="AK467" s="24" t="n">
        <f aca="false">IF(AD467="",0,IFERROR(INDEX(Resep!$C$15:$C$18,MATCH(LEFT(AD467,3),Resep!$B$15:$B$18,0)),0))</f>
        <v>0</v>
      </c>
      <c r="AL467" s="24" t="str">
        <f aca="false">IF(X467="","",AG467+AH467+AI467+AJ467+AK467)</f>
        <v/>
      </c>
      <c r="AM467" s="22" t="str">
        <f aca="false">IF(X467="","",AL467*(Pengaturan!$B$6+Pengaturan!$B$7)+Pengaturan!$B$8+AE467*Pengaturan!$B$9+AF467*Pengaturan!$B$10)</f>
        <v/>
      </c>
      <c r="AN467" s="22" t="str">
        <f aca="false">IF(X467="","",N(G467)-AM467)</f>
        <v/>
      </c>
      <c r="AO467" s="25" t="str">
        <f aca="false">IF(OR(X467="",N(G467)=0),"",AN467/G467)</f>
        <v/>
      </c>
    </row>
    <row r="468" customFormat="false" ht="15" hidden="false" customHeight="false" outlineLevel="0" collapsed="false">
      <c r="A468" s="19"/>
      <c r="B468" s="20"/>
      <c r="C468" s="19"/>
      <c r="D468" s="19"/>
      <c r="E468" s="19"/>
      <c r="F468" s="19"/>
      <c r="G468" s="21"/>
      <c r="H468" s="19"/>
      <c r="I468" s="21"/>
      <c r="J468" s="19"/>
      <c r="K468" s="20"/>
      <c r="L468" s="20"/>
      <c r="M468" s="19"/>
      <c r="N468" s="19"/>
      <c r="O468" s="20"/>
      <c r="P468" s="20"/>
      <c r="Q468" s="19"/>
      <c r="R468" s="22" t="str">
        <f aca="false">IF(A468="","",N(G468)+N(I468))</f>
        <v/>
      </c>
      <c r="S468" s="23" t="str">
        <f aca="false">IF(OR(K468="",O468=""),"",O468-K468)</f>
        <v/>
      </c>
      <c r="T468" s="23" t="str">
        <f aca="true">IF(AND(C468="Cetak",L468&lt;&gt;"",L468&lt;TODAY()),"YA","")</f>
        <v/>
      </c>
      <c r="U468" s="23" t="str">
        <f aca="false">IF(B468="","",TEXT(B468,"yyyy-mm"))</f>
        <v/>
      </c>
      <c r="V468" s="23" t="str">
        <f aca="false">IF(K468="","",TEXT(K468,"yyyy-mm"))</f>
        <v/>
      </c>
      <c r="W468" s="23" t="n">
        <f aca="false">IF(OR(C468="Cetak",C468="Dikirim",C468="Selesai"),1,0)</f>
        <v>0</v>
      </c>
      <c r="X468" s="23" t="str">
        <f aca="false">IF(F468="","",SUBSTITUTE(SUBSTITUTE(MID(UPPER(TRIM(F468)),4,99),"-LED",""),"-TK",""))</f>
        <v/>
      </c>
      <c r="Y468" s="23" t="str">
        <f aca="false">IF(X468="","",(LEN(X468)+1)/7)</f>
        <v/>
      </c>
      <c r="Z468" s="23" t="str">
        <f aca="false">IF(X468="","",LEFT(X468,6))</f>
        <v/>
      </c>
      <c r="AA468" s="23" t="str">
        <f aca="false">IF(X468="","",IF(Y468&gt;=3,MID(X468,8,6),""))</f>
        <v/>
      </c>
      <c r="AB468" s="23" t="str">
        <f aca="false">IF(X468="","",IF(Y468&gt;=4,MID(X468,15,6),""))</f>
        <v/>
      </c>
      <c r="AC468" s="23" t="str">
        <f aca="false">IF(X468="","",IF(Y468&gt;=5,MID(X468,22,6),""))</f>
        <v/>
      </c>
      <c r="AD468" s="23" t="str">
        <f aca="false">IF(X468="","",RIGHT(X468,6))</f>
        <v/>
      </c>
      <c r="AE468" s="23" t="str">
        <f aca="false">IF(F468="","",IF(ISNUMBER(SEARCH("-TK",UPPER(F468))),0,1))</f>
        <v/>
      </c>
      <c r="AF468" s="23" t="str">
        <f aca="false">IF(F468="","",IF(ISNUMBER(SEARCH("-LED",UPPER(F468))),1,0))</f>
        <v/>
      </c>
      <c r="AG468" s="24" t="n">
        <f aca="false">IF(Z468="",0,IFERROR(INDEX(Resep!$C$5:$C$7,MATCH(LEFT(Z468,3),Resep!$B$5:$B$7,0)),0))</f>
        <v>0</v>
      </c>
      <c r="AH468" s="24" t="n">
        <f aca="false">IF(AA468="",0,IFERROR(INDEX(Resep!$C$9:$C$13,MATCH(LEFT(AA468,3),Resep!$B$9:$B$13,0)),0))</f>
        <v>0</v>
      </c>
      <c r="AI468" s="24" t="n">
        <f aca="false">IF(AB468="",0,IFERROR(INDEX(Resep!$C$9:$C$13,MATCH(LEFT(AB468,3),Resep!$B$9:$B$13,0)),0))</f>
        <v>0</v>
      </c>
      <c r="AJ468" s="24" t="n">
        <f aca="false">IF(AC468="",0,IFERROR(INDEX(Resep!$C$9:$C$13,MATCH(LEFT(AC468,3),Resep!$B$9:$B$13,0)),0))</f>
        <v>0</v>
      </c>
      <c r="AK468" s="24" t="n">
        <f aca="false">IF(AD468="",0,IFERROR(INDEX(Resep!$C$15:$C$18,MATCH(LEFT(AD468,3),Resep!$B$15:$B$18,0)),0))</f>
        <v>0</v>
      </c>
      <c r="AL468" s="24" t="str">
        <f aca="false">IF(X468="","",AG468+AH468+AI468+AJ468+AK468)</f>
        <v/>
      </c>
      <c r="AM468" s="22" t="str">
        <f aca="false">IF(X468="","",AL468*(Pengaturan!$B$6+Pengaturan!$B$7)+Pengaturan!$B$8+AE468*Pengaturan!$B$9+AF468*Pengaturan!$B$10)</f>
        <v/>
      </c>
      <c r="AN468" s="22" t="str">
        <f aca="false">IF(X468="","",N(G468)-AM468)</f>
        <v/>
      </c>
      <c r="AO468" s="25" t="str">
        <f aca="false">IF(OR(X468="",N(G468)=0),"",AN468/G468)</f>
        <v/>
      </c>
    </row>
    <row r="469" customFormat="false" ht="15" hidden="false" customHeight="false" outlineLevel="0" collapsed="false">
      <c r="A469" s="19"/>
      <c r="B469" s="20"/>
      <c r="C469" s="19"/>
      <c r="D469" s="19"/>
      <c r="E469" s="19"/>
      <c r="F469" s="19"/>
      <c r="G469" s="21"/>
      <c r="H469" s="19"/>
      <c r="I469" s="21"/>
      <c r="J469" s="19"/>
      <c r="K469" s="20"/>
      <c r="L469" s="20"/>
      <c r="M469" s="19"/>
      <c r="N469" s="19"/>
      <c r="O469" s="20"/>
      <c r="P469" s="20"/>
      <c r="Q469" s="19"/>
      <c r="R469" s="22" t="str">
        <f aca="false">IF(A469="","",N(G469)+N(I469))</f>
        <v/>
      </c>
      <c r="S469" s="23" t="str">
        <f aca="false">IF(OR(K469="",O469=""),"",O469-K469)</f>
        <v/>
      </c>
      <c r="T469" s="23" t="str">
        <f aca="true">IF(AND(C469="Cetak",L469&lt;&gt;"",L469&lt;TODAY()),"YA","")</f>
        <v/>
      </c>
      <c r="U469" s="23" t="str">
        <f aca="false">IF(B469="","",TEXT(B469,"yyyy-mm"))</f>
        <v/>
      </c>
      <c r="V469" s="23" t="str">
        <f aca="false">IF(K469="","",TEXT(K469,"yyyy-mm"))</f>
        <v/>
      </c>
      <c r="W469" s="23" t="n">
        <f aca="false">IF(OR(C469="Cetak",C469="Dikirim",C469="Selesai"),1,0)</f>
        <v>0</v>
      </c>
      <c r="X469" s="23" t="str">
        <f aca="false">IF(F469="","",SUBSTITUTE(SUBSTITUTE(MID(UPPER(TRIM(F469)),4,99),"-LED",""),"-TK",""))</f>
        <v/>
      </c>
      <c r="Y469" s="23" t="str">
        <f aca="false">IF(X469="","",(LEN(X469)+1)/7)</f>
        <v/>
      </c>
      <c r="Z469" s="23" t="str">
        <f aca="false">IF(X469="","",LEFT(X469,6))</f>
        <v/>
      </c>
      <c r="AA469" s="23" t="str">
        <f aca="false">IF(X469="","",IF(Y469&gt;=3,MID(X469,8,6),""))</f>
        <v/>
      </c>
      <c r="AB469" s="23" t="str">
        <f aca="false">IF(X469="","",IF(Y469&gt;=4,MID(X469,15,6),""))</f>
        <v/>
      </c>
      <c r="AC469" s="23" t="str">
        <f aca="false">IF(X469="","",IF(Y469&gt;=5,MID(X469,22,6),""))</f>
        <v/>
      </c>
      <c r="AD469" s="23" t="str">
        <f aca="false">IF(X469="","",RIGHT(X469,6))</f>
        <v/>
      </c>
      <c r="AE469" s="23" t="str">
        <f aca="false">IF(F469="","",IF(ISNUMBER(SEARCH("-TK",UPPER(F469))),0,1))</f>
        <v/>
      </c>
      <c r="AF469" s="23" t="str">
        <f aca="false">IF(F469="","",IF(ISNUMBER(SEARCH("-LED",UPPER(F469))),1,0))</f>
        <v/>
      </c>
      <c r="AG469" s="24" t="n">
        <f aca="false">IF(Z469="",0,IFERROR(INDEX(Resep!$C$5:$C$7,MATCH(LEFT(Z469,3),Resep!$B$5:$B$7,0)),0))</f>
        <v>0</v>
      </c>
      <c r="AH469" s="24" t="n">
        <f aca="false">IF(AA469="",0,IFERROR(INDEX(Resep!$C$9:$C$13,MATCH(LEFT(AA469,3),Resep!$B$9:$B$13,0)),0))</f>
        <v>0</v>
      </c>
      <c r="AI469" s="24" t="n">
        <f aca="false">IF(AB469="",0,IFERROR(INDEX(Resep!$C$9:$C$13,MATCH(LEFT(AB469,3),Resep!$B$9:$B$13,0)),0))</f>
        <v>0</v>
      </c>
      <c r="AJ469" s="24" t="n">
        <f aca="false">IF(AC469="",0,IFERROR(INDEX(Resep!$C$9:$C$13,MATCH(LEFT(AC469,3),Resep!$B$9:$B$13,0)),0))</f>
        <v>0</v>
      </c>
      <c r="AK469" s="24" t="n">
        <f aca="false">IF(AD469="",0,IFERROR(INDEX(Resep!$C$15:$C$18,MATCH(LEFT(AD469,3),Resep!$B$15:$B$18,0)),0))</f>
        <v>0</v>
      </c>
      <c r="AL469" s="24" t="str">
        <f aca="false">IF(X469="","",AG469+AH469+AI469+AJ469+AK469)</f>
        <v/>
      </c>
      <c r="AM469" s="22" t="str">
        <f aca="false">IF(X469="","",AL469*(Pengaturan!$B$6+Pengaturan!$B$7)+Pengaturan!$B$8+AE469*Pengaturan!$B$9+AF469*Pengaturan!$B$10)</f>
        <v/>
      </c>
      <c r="AN469" s="22" t="str">
        <f aca="false">IF(X469="","",N(G469)-AM469)</f>
        <v/>
      </c>
      <c r="AO469" s="25" t="str">
        <f aca="false">IF(OR(X469="",N(G469)=0),"",AN469/G469)</f>
        <v/>
      </c>
    </row>
    <row r="470" customFormat="false" ht="15" hidden="false" customHeight="false" outlineLevel="0" collapsed="false">
      <c r="A470" s="19"/>
      <c r="B470" s="20"/>
      <c r="C470" s="19"/>
      <c r="D470" s="19"/>
      <c r="E470" s="19"/>
      <c r="F470" s="19"/>
      <c r="G470" s="21"/>
      <c r="H470" s="19"/>
      <c r="I470" s="21"/>
      <c r="J470" s="19"/>
      <c r="K470" s="20"/>
      <c r="L470" s="20"/>
      <c r="M470" s="19"/>
      <c r="N470" s="19"/>
      <c r="O470" s="20"/>
      <c r="P470" s="20"/>
      <c r="Q470" s="19"/>
      <c r="R470" s="22" t="str">
        <f aca="false">IF(A470="","",N(G470)+N(I470))</f>
        <v/>
      </c>
      <c r="S470" s="23" t="str">
        <f aca="false">IF(OR(K470="",O470=""),"",O470-K470)</f>
        <v/>
      </c>
      <c r="T470" s="23" t="str">
        <f aca="true">IF(AND(C470="Cetak",L470&lt;&gt;"",L470&lt;TODAY()),"YA","")</f>
        <v/>
      </c>
      <c r="U470" s="23" t="str">
        <f aca="false">IF(B470="","",TEXT(B470,"yyyy-mm"))</f>
        <v/>
      </c>
      <c r="V470" s="23" t="str">
        <f aca="false">IF(K470="","",TEXT(K470,"yyyy-mm"))</f>
        <v/>
      </c>
      <c r="W470" s="23" t="n">
        <f aca="false">IF(OR(C470="Cetak",C470="Dikirim",C470="Selesai"),1,0)</f>
        <v>0</v>
      </c>
      <c r="X470" s="23" t="str">
        <f aca="false">IF(F470="","",SUBSTITUTE(SUBSTITUTE(MID(UPPER(TRIM(F470)),4,99),"-LED",""),"-TK",""))</f>
        <v/>
      </c>
      <c r="Y470" s="23" t="str">
        <f aca="false">IF(X470="","",(LEN(X470)+1)/7)</f>
        <v/>
      </c>
      <c r="Z470" s="23" t="str">
        <f aca="false">IF(X470="","",LEFT(X470,6))</f>
        <v/>
      </c>
      <c r="AA470" s="23" t="str">
        <f aca="false">IF(X470="","",IF(Y470&gt;=3,MID(X470,8,6),""))</f>
        <v/>
      </c>
      <c r="AB470" s="23" t="str">
        <f aca="false">IF(X470="","",IF(Y470&gt;=4,MID(X470,15,6),""))</f>
        <v/>
      </c>
      <c r="AC470" s="23" t="str">
        <f aca="false">IF(X470="","",IF(Y470&gt;=5,MID(X470,22,6),""))</f>
        <v/>
      </c>
      <c r="AD470" s="23" t="str">
        <f aca="false">IF(X470="","",RIGHT(X470,6))</f>
        <v/>
      </c>
      <c r="AE470" s="23" t="str">
        <f aca="false">IF(F470="","",IF(ISNUMBER(SEARCH("-TK",UPPER(F470))),0,1))</f>
        <v/>
      </c>
      <c r="AF470" s="23" t="str">
        <f aca="false">IF(F470="","",IF(ISNUMBER(SEARCH("-LED",UPPER(F470))),1,0))</f>
        <v/>
      </c>
      <c r="AG470" s="24" t="n">
        <f aca="false">IF(Z470="",0,IFERROR(INDEX(Resep!$C$5:$C$7,MATCH(LEFT(Z470,3),Resep!$B$5:$B$7,0)),0))</f>
        <v>0</v>
      </c>
      <c r="AH470" s="24" t="n">
        <f aca="false">IF(AA470="",0,IFERROR(INDEX(Resep!$C$9:$C$13,MATCH(LEFT(AA470,3),Resep!$B$9:$B$13,0)),0))</f>
        <v>0</v>
      </c>
      <c r="AI470" s="24" t="n">
        <f aca="false">IF(AB470="",0,IFERROR(INDEX(Resep!$C$9:$C$13,MATCH(LEFT(AB470,3),Resep!$B$9:$B$13,0)),0))</f>
        <v>0</v>
      </c>
      <c r="AJ470" s="24" t="n">
        <f aca="false">IF(AC470="",0,IFERROR(INDEX(Resep!$C$9:$C$13,MATCH(LEFT(AC470,3),Resep!$B$9:$B$13,0)),0))</f>
        <v>0</v>
      </c>
      <c r="AK470" s="24" t="n">
        <f aca="false">IF(AD470="",0,IFERROR(INDEX(Resep!$C$15:$C$18,MATCH(LEFT(AD470,3),Resep!$B$15:$B$18,0)),0))</f>
        <v>0</v>
      </c>
      <c r="AL470" s="24" t="str">
        <f aca="false">IF(X470="","",AG470+AH470+AI470+AJ470+AK470)</f>
        <v/>
      </c>
      <c r="AM470" s="22" t="str">
        <f aca="false">IF(X470="","",AL470*(Pengaturan!$B$6+Pengaturan!$B$7)+Pengaturan!$B$8+AE470*Pengaturan!$B$9+AF470*Pengaturan!$B$10)</f>
        <v/>
      </c>
      <c r="AN470" s="22" t="str">
        <f aca="false">IF(X470="","",N(G470)-AM470)</f>
        <v/>
      </c>
      <c r="AO470" s="25" t="str">
        <f aca="false">IF(OR(X470="",N(G470)=0),"",AN470/G470)</f>
        <v/>
      </c>
    </row>
    <row r="471" customFormat="false" ht="15" hidden="false" customHeight="false" outlineLevel="0" collapsed="false">
      <c r="A471" s="19"/>
      <c r="B471" s="20"/>
      <c r="C471" s="19"/>
      <c r="D471" s="19"/>
      <c r="E471" s="19"/>
      <c r="F471" s="19"/>
      <c r="G471" s="21"/>
      <c r="H471" s="19"/>
      <c r="I471" s="21"/>
      <c r="J471" s="19"/>
      <c r="K471" s="20"/>
      <c r="L471" s="20"/>
      <c r="M471" s="19"/>
      <c r="N471" s="19"/>
      <c r="O471" s="20"/>
      <c r="P471" s="20"/>
      <c r="Q471" s="19"/>
      <c r="R471" s="22" t="str">
        <f aca="false">IF(A471="","",N(G471)+N(I471))</f>
        <v/>
      </c>
      <c r="S471" s="23" t="str">
        <f aca="false">IF(OR(K471="",O471=""),"",O471-K471)</f>
        <v/>
      </c>
      <c r="T471" s="23" t="str">
        <f aca="true">IF(AND(C471="Cetak",L471&lt;&gt;"",L471&lt;TODAY()),"YA","")</f>
        <v/>
      </c>
      <c r="U471" s="23" t="str">
        <f aca="false">IF(B471="","",TEXT(B471,"yyyy-mm"))</f>
        <v/>
      </c>
      <c r="V471" s="23" t="str">
        <f aca="false">IF(K471="","",TEXT(K471,"yyyy-mm"))</f>
        <v/>
      </c>
      <c r="W471" s="23" t="n">
        <f aca="false">IF(OR(C471="Cetak",C471="Dikirim",C471="Selesai"),1,0)</f>
        <v>0</v>
      </c>
      <c r="X471" s="23" t="str">
        <f aca="false">IF(F471="","",SUBSTITUTE(SUBSTITUTE(MID(UPPER(TRIM(F471)),4,99),"-LED",""),"-TK",""))</f>
        <v/>
      </c>
      <c r="Y471" s="23" t="str">
        <f aca="false">IF(X471="","",(LEN(X471)+1)/7)</f>
        <v/>
      </c>
      <c r="Z471" s="23" t="str">
        <f aca="false">IF(X471="","",LEFT(X471,6))</f>
        <v/>
      </c>
      <c r="AA471" s="23" t="str">
        <f aca="false">IF(X471="","",IF(Y471&gt;=3,MID(X471,8,6),""))</f>
        <v/>
      </c>
      <c r="AB471" s="23" t="str">
        <f aca="false">IF(X471="","",IF(Y471&gt;=4,MID(X471,15,6),""))</f>
        <v/>
      </c>
      <c r="AC471" s="23" t="str">
        <f aca="false">IF(X471="","",IF(Y471&gt;=5,MID(X471,22,6),""))</f>
        <v/>
      </c>
      <c r="AD471" s="23" t="str">
        <f aca="false">IF(X471="","",RIGHT(X471,6))</f>
        <v/>
      </c>
      <c r="AE471" s="23" t="str">
        <f aca="false">IF(F471="","",IF(ISNUMBER(SEARCH("-TK",UPPER(F471))),0,1))</f>
        <v/>
      </c>
      <c r="AF471" s="23" t="str">
        <f aca="false">IF(F471="","",IF(ISNUMBER(SEARCH("-LED",UPPER(F471))),1,0))</f>
        <v/>
      </c>
      <c r="AG471" s="24" t="n">
        <f aca="false">IF(Z471="",0,IFERROR(INDEX(Resep!$C$5:$C$7,MATCH(LEFT(Z471,3),Resep!$B$5:$B$7,0)),0))</f>
        <v>0</v>
      </c>
      <c r="AH471" s="24" t="n">
        <f aca="false">IF(AA471="",0,IFERROR(INDEX(Resep!$C$9:$C$13,MATCH(LEFT(AA471,3),Resep!$B$9:$B$13,0)),0))</f>
        <v>0</v>
      </c>
      <c r="AI471" s="24" t="n">
        <f aca="false">IF(AB471="",0,IFERROR(INDEX(Resep!$C$9:$C$13,MATCH(LEFT(AB471,3),Resep!$B$9:$B$13,0)),0))</f>
        <v>0</v>
      </c>
      <c r="AJ471" s="24" t="n">
        <f aca="false">IF(AC471="",0,IFERROR(INDEX(Resep!$C$9:$C$13,MATCH(LEFT(AC471,3),Resep!$B$9:$B$13,0)),0))</f>
        <v>0</v>
      </c>
      <c r="AK471" s="24" t="n">
        <f aca="false">IF(AD471="",0,IFERROR(INDEX(Resep!$C$15:$C$18,MATCH(LEFT(AD471,3),Resep!$B$15:$B$18,0)),0))</f>
        <v>0</v>
      </c>
      <c r="AL471" s="24" t="str">
        <f aca="false">IF(X471="","",AG471+AH471+AI471+AJ471+AK471)</f>
        <v/>
      </c>
      <c r="AM471" s="22" t="str">
        <f aca="false">IF(X471="","",AL471*(Pengaturan!$B$6+Pengaturan!$B$7)+Pengaturan!$B$8+AE471*Pengaturan!$B$9+AF471*Pengaturan!$B$10)</f>
        <v/>
      </c>
      <c r="AN471" s="22" t="str">
        <f aca="false">IF(X471="","",N(G471)-AM471)</f>
        <v/>
      </c>
      <c r="AO471" s="25" t="str">
        <f aca="false">IF(OR(X471="",N(G471)=0),"",AN471/G471)</f>
        <v/>
      </c>
    </row>
    <row r="472" customFormat="false" ht="15" hidden="false" customHeight="false" outlineLevel="0" collapsed="false">
      <c r="A472" s="19"/>
      <c r="B472" s="20"/>
      <c r="C472" s="19"/>
      <c r="D472" s="19"/>
      <c r="E472" s="19"/>
      <c r="F472" s="19"/>
      <c r="G472" s="21"/>
      <c r="H472" s="19"/>
      <c r="I472" s="21"/>
      <c r="J472" s="19"/>
      <c r="K472" s="20"/>
      <c r="L472" s="20"/>
      <c r="M472" s="19"/>
      <c r="N472" s="19"/>
      <c r="O472" s="20"/>
      <c r="P472" s="20"/>
      <c r="Q472" s="19"/>
      <c r="R472" s="22" t="str">
        <f aca="false">IF(A472="","",N(G472)+N(I472))</f>
        <v/>
      </c>
      <c r="S472" s="23" t="str">
        <f aca="false">IF(OR(K472="",O472=""),"",O472-K472)</f>
        <v/>
      </c>
      <c r="T472" s="23" t="str">
        <f aca="true">IF(AND(C472="Cetak",L472&lt;&gt;"",L472&lt;TODAY()),"YA","")</f>
        <v/>
      </c>
      <c r="U472" s="23" t="str">
        <f aca="false">IF(B472="","",TEXT(B472,"yyyy-mm"))</f>
        <v/>
      </c>
      <c r="V472" s="23" t="str">
        <f aca="false">IF(K472="","",TEXT(K472,"yyyy-mm"))</f>
        <v/>
      </c>
      <c r="W472" s="23" t="n">
        <f aca="false">IF(OR(C472="Cetak",C472="Dikirim",C472="Selesai"),1,0)</f>
        <v>0</v>
      </c>
      <c r="X472" s="23" t="str">
        <f aca="false">IF(F472="","",SUBSTITUTE(SUBSTITUTE(MID(UPPER(TRIM(F472)),4,99),"-LED",""),"-TK",""))</f>
        <v/>
      </c>
      <c r="Y472" s="23" t="str">
        <f aca="false">IF(X472="","",(LEN(X472)+1)/7)</f>
        <v/>
      </c>
      <c r="Z472" s="23" t="str">
        <f aca="false">IF(X472="","",LEFT(X472,6))</f>
        <v/>
      </c>
      <c r="AA472" s="23" t="str">
        <f aca="false">IF(X472="","",IF(Y472&gt;=3,MID(X472,8,6),""))</f>
        <v/>
      </c>
      <c r="AB472" s="23" t="str">
        <f aca="false">IF(X472="","",IF(Y472&gt;=4,MID(X472,15,6),""))</f>
        <v/>
      </c>
      <c r="AC472" s="23" t="str">
        <f aca="false">IF(X472="","",IF(Y472&gt;=5,MID(X472,22,6),""))</f>
        <v/>
      </c>
      <c r="AD472" s="23" t="str">
        <f aca="false">IF(X472="","",RIGHT(X472,6))</f>
        <v/>
      </c>
      <c r="AE472" s="23" t="str">
        <f aca="false">IF(F472="","",IF(ISNUMBER(SEARCH("-TK",UPPER(F472))),0,1))</f>
        <v/>
      </c>
      <c r="AF472" s="23" t="str">
        <f aca="false">IF(F472="","",IF(ISNUMBER(SEARCH("-LED",UPPER(F472))),1,0))</f>
        <v/>
      </c>
      <c r="AG472" s="24" t="n">
        <f aca="false">IF(Z472="",0,IFERROR(INDEX(Resep!$C$5:$C$7,MATCH(LEFT(Z472,3),Resep!$B$5:$B$7,0)),0))</f>
        <v>0</v>
      </c>
      <c r="AH472" s="24" t="n">
        <f aca="false">IF(AA472="",0,IFERROR(INDEX(Resep!$C$9:$C$13,MATCH(LEFT(AA472,3),Resep!$B$9:$B$13,0)),0))</f>
        <v>0</v>
      </c>
      <c r="AI472" s="24" t="n">
        <f aca="false">IF(AB472="",0,IFERROR(INDEX(Resep!$C$9:$C$13,MATCH(LEFT(AB472,3),Resep!$B$9:$B$13,0)),0))</f>
        <v>0</v>
      </c>
      <c r="AJ472" s="24" t="n">
        <f aca="false">IF(AC472="",0,IFERROR(INDEX(Resep!$C$9:$C$13,MATCH(LEFT(AC472,3),Resep!$B$9:$B$13,0)),0))</f>
        <v>0</v>
      </c>
      <c r="AK472" s="24" t="n">
        <f aca="false">IF(AD472="",0,IFERROR(INDEX(Resep!$C$15:$C$18,MATCH(LEFT(AD472,3),Resep!$B$15:$B$18,0)),0))</f>
        <v>0</v>
      </c>
      <c r="AL472" s="24" t="str">
        <f aca="false">IF(X472="","",AG472+AH472+AI472+AJ472+AK472)</f>
        <v/>
      </c>
      <c r="AM472" s="22" t="str">
        <f aca="false">IF(X472="","",AL472*(Pengaturan!$B$6+Pengaturan!$B$7)+Pengaturan!$B$8+AE472*Pengaturan!$B$9+AF472*Pengaturan!$B$10)</f>
        <v/>
      </c>
      <c r="AN472" s="22" t="str">
        <f aca="false">IF(X472="","",N(G472)-AM472)</f>
        <v/>
      </c>
      <c r="AO472" s="25" t="str">
        <f aca="false">IF(OR(X472="",N(G472)=0),"",AN472/G472)</f>
        <v/>
      </c>
    </row>
    <row r="473" customFormat="false" ht="15" hidden="false" customHeight="false" outlineLevel="0" collapsed="false">
      <c r="A473" s="19"/>
      <c r="B473" s="20"/>
      <c r="C473" s="19"/>
      <c r="D473" s="19"/>
      <c r="E473" s="19"/>
      <c r="F473" s="19"/>
      <c r="G473" s="21"/>
      <c r="H473" s="19"/>
      <c r="I473" s="21"/>
      <c r="J473" s="19"/>
      <c r="K473" s="20"/>
      <c r="L473" s="20"/>
      <c r="M473" s="19"/>
      <c r="N473" s="19"/>
      <c r="O473" s="20"/>
      <c r="P473" s="20"/>
      <c r="Q473" s="19"/>
      <c r="R473" s="22" t="str">
        <f aca="false">IF(A473="","",N(G473)+N(I473))</f>
        <v/>
      </c>
      <c r="S473" s="23" t="str">
        <f aca="false">IF(OR(K473="",O473=""),"",O473-K473)</f>
        <v/>
      </c>
      <c r="T473" s="23" t="str">
        <f aca="true">IF(AND(C473="Cetak",L473&lt;&gt;"",L473&lt;TODAY()),"YA","")</f>
        <v/>
      </c>
      <c r="U473" s="23" t="str">
        <f aca="false">IF(B473="","",TEXT(B473,"yyyy-mm"))</f>
        <v/>
      </c>
      <c r="V473" s="23" t="str">
        <f aca="false">IF(K473="","",TEXT(K473,"yyyy-mm"))</f>
        <v/>
      </c>
      <c r="W473" s="23" t="n">
        <f aca="false">IF(OR(C473="Cetak",C473="Dikirim",C473="Selesai"),1,0)</f>
        <v>0</v>
      </c>
      <c r="X473" s="23" t="str">
        <f aca="false">IF(F473="","",SUBSTITUTE(SUBSTITUTE(MID(UPPER(TRIM(F473)),4,99),"-LED",""),"-TK",""))</f>
        <v/>
      </c>
      <c r="Y473" s="23" t="str">
        <f aca="false">IF(X473="","",(LEN(X473)+1)/7)</f>
        <v/>
      </c>
      <c r="Z473" s="23" t="str">
        <f aca="false">IF(X473="","",LEFT(X473,6))</f>
        <v/>
      </c>
      <c r="AA473" s="23" t="str">
        <f aca="false">IF(X473="","",IF(Y473&gt;=3,MID(X473,8,6),""))</f>
        <v/>
      </c>
      <c r="AB473" s="23" t="str">
        <f aca="false">IF(X473="","",IF(Y473&gt;=4,MID(X473,15,6),""))</f>
        <v/>
      </c>
      <c r="AC473" s="23" t="str">
        <f aca="false">IF(X473="","",IF(Y473&gt;=5,MID(X473,22,6),""))</f>
        <v/>
      </c>
      <c r="AD473" s="23" t="str">
        <f aca="false">IF(X473="","",RIGHT(X473,6))</f>
        <v/>
      </c>
      <c r="AE473" s="23" t="str">
        <f aca="false">IF(F473="","",IF(ISNUMBER(SEARCH("-TK",UPPER(F473))),0,1))</f>
        <v/>
      </c>
      <c r="AF473" s="23" t="str">
        <f aca="false">IF(F473="","",IF(ISNUMBER(SEARCH("-LED",UPPER(F473))),1,0))</f>
        <v/>
      </c>
      <c r="AG473" s="24" t="n">
        <f aca="false">IF(Z473="",0,IFERROR(INDEX(Resep!$C$5:$C$7,MATCH(LEFT(Z473,3),Resep!$B$5:$B$7,0)),0))</f>
        <v>0</v>
      </c>
      <c r="AH473" s="24" t="n">
        <f aca="false">IF(AA473="",0,IFERROR(INDEX(Resep!$C$9:$C$13,MATCH(LEFT(AA473,3),Resep!$B$9:$B$13,0)),0))</f>
        <v>0</v>
      </c>
      <c r="AI473" s="24" t="n">
        <f aca="false">IF(AB473="",0,IFERROR(INDEX(Resep!$C$9:$C$13,MATCH(LEFT(AB473,3),Resep!$B$9:$B$13,0)),0))</f>
        <v>0</v>
      </c>
      <c r="AJ473" s="24" t="n">
        <f aca="false">IF(AC473="",0,IFERROR(INDEX(Resep!$C$9:$C$13,MATCH(LEFT(AC473,3),Resep!$B$9:$B$13,0)),0))</f>
        <v>0</v>
      </c>
      <c r="AK473" s="24" t="n">
        <f aca="false">IF(AD473="",0,IFERROR(INDEX(Resep!$C$15:$C$18,MATCH(LEFT(AD473,3),Resep!$B$15:$B$18,0)),0))</f>
        <v>0</v>
      </c>
      <c r="AL473" s="24" t="str">
        <f aca="false">IF(X473="","",AG473+AH473+AI473+AJ473+AK473)</f>
        <v/>
      </c>
      <c r="AM473" s="22" t="str">
        <f aca="false">IF(X473="","",AL473*(Pengaturan!$B$6+Pengaturan!$B$7)+Pengaturan!$B$8+AE473*Pengaturan!$B$9+AF473*Pengaturan!$B$10)</f>
        <v/>
      </c>
      <c r="AN473" s="22" t="str">
        <f aca="false">IF(X473="","",N(G473)-AM473)</f>
        <v/>
      </c>
      <c r="AO473" s="25" t="str">
        <f aca="false">IF(OR(X473="",N(G473)=0),"",AN473/G473)</f>
        <v/>
      </c>
    </row>
    <row r="474" customFormat="false" ht="15" hidden="false" customHeight="false" outlineLevel="0" collapsed="false">
      <c r="A474" s="19"/>
      <c r="B474" s="20"/>
      <c r="C474" s="19"/>
      <c r="D474" s="19"/>
      <c r="E474" s="19"/>
      <c r="F474" s="19"/>
      <c r="G474" s="21"/>
      <c r="H474" s="19"/>
      <c r="I474" s="21"/>
      <c r="J474" s="19"/>
      <c r="K474" s="20"/>
      <c r="L474" s="20"/>
      <c r="M474" s="19"/>
      <c r="N474" s="19"/>
      <c r="O474" s="20"/>
      <c r="P474" s="20"/>
      <c r="Q474" s="19"/>
      <c r="R474" s="22" t="str">
        <f aca="false">IF(A474="","",N(G474)+N(I474))</f>
        <v/>
      </c>
      <c r="S474" s="23" t="str">
        <f aca="false">IF(OR(K474="",O474=""),"",O474-K474)</f>
        <v/>
      </c>
      <c r="T474" s="23" t="str">
        <f aca="true">IF(AND(C474="Cetak",L474&lt;&gt;"",L474&lt;TODAY()),"YA","")</f>
        <v/>
      </c>
      <c r="U474" s="23" t="str">
        <f aca="false">IF(B474="","",TEXT(B474,"yyyy-mm"))</f>
        <v/>
      </c>
      <c r="V474" s="23" t="str">
        <f aca="false">IF(K474="","",TEXT(K474,"yyyy-mm"))</f>
        <v/>
      </c>
      <c r="W474" s="23" t="n">
        <f aca="false">IF(OR(C474="Cetak",C474="Dikirim",C474="Selesai"),1,0)</f>
        <v>0</v>
      </c>
      <c r="X474" s="23" t="str">
        <f aca="false">IF(F474="","",SUBSTITUTE(SUBSTITUTE(MID(UPPER(TRIM(F474)),4,99),"-LED",""),"-TK",""))</f>
        <v/>
      </c>
      <c r="Y474" s="23" t="str">
        <f aca="false">IF(X474="","",(LEN(X474)+1)/7)</f>
        <v/>
      </c>
      <c r="Z474" s="23" t="str">
        <f aca="false">IF(X474="","",LEFT(X474,6))</f>
        <v/>
      </c>
      <c r="AA474" s="23" t="str">
        <f aca="false">IF(X474="","",IF(Y474&gt;=3,MID(X474,8,6),""))</f>
        <v/>
      </c>
      <c r="AB474" s="23" t="str">
        <f aca="false">IF(X474="","",IF(Y474&gt;=4,MID(X474,15,6),""))</f>
        <v/>
      </c>
      <c r="AC474" s="23" t="str">
        <f aca="false">IF(X474="","",IF(Y474&gt;=5,MID(X474,22,6),""))</f>
        <v/>
      </c>
      <c r="AD474" s="23" t="str">
        <f aca="false">IF(X474="","",RIGHT(X474,6))</f>
        <v/>
      </c>
      <c r="AE474" s="23" t="str">
        <f aca="false">IF(F474="","",IF(ISNUMBER(SEARCH("-TK",UPPER(F474))),0,1))</f>
        <v/>
      </c>
      <c r="AF474" s="23" t="str">
        <f aca="false">IF(F474="","",IF(ISNUMBER(SEARCH("-LED",UPPER(F474))),1,0))</f>
        <v/>
      </c>
      <c r="AG474" s="24" t="n">
        <f aca="false">IF(Z474="",0,IFERROR(INDEX(Resep!$C$5:$C$7,MATCH(LEFT(Z474,3),Resep!$B$5:$B$7,0)),0))</f>
        <v>0</v>
      </c>
      <c r="AH474" s="24" t="n">
        <f aca="false">IF(AA474="",0,IFERROR(INDEX(Resep!$C$9:$C$13,MATCH(LEFT(AA474,3),Resep!$B$9:$B$13,0)),0))</f>
        <v>0</v>
      </c>
      <c r="AI474" s="24" t="n">
        <f aca="false">IF(AB474="",0,IFERROR(INDEX(Resep!$C$9:$C$13,MATCH(LEFT(AB474,3),Resep!$B$9:$B$13,0)),0))</f>
        <v>0</v>
      </c>
      <c r="AJ474" s="24" t="n">
        <f aca="false">IF(AC474="",0,IFERROR(INDEX(Resep!$C$9:$C$13,MATCH(LEFT(AC474,3),Resep!$B$9:$B$13,0)),0))</f>
        <v>0</v>
      </c>
      <c r="AK474" s="24" t="n">
        <f aca="false">IF(AD474="",0,IFERROR(INDEX(Resep!$C$15:$C$18,MATCH(LEFT(AD474,3),Resep!$B$15:$B$18,0)),0))</f>
        <v>0</v>
      </c>
      <c r="AL474" s="24" t="str">
        <f aca="false">IF(X474="","",AG474+AH474+AI474+AJ474+AK474)</f>
        <v/>
      </c>
      <c r="AM474" s="22" t="str">
        <f aca="false">IF(X474="","",AL474*(Pengaturan!$B$6+Pengaturan!$B$7)+Pengaturan!$B$8+AE474*Pengaturan!$B$9+AF474*Pengaturan!$B$10)</f>
        <v/>
      </c>
      <c r="AN474" s="22" t="str">
        <f aca="false">IF(X474="","",N(G474)-AM474)</f>
        <v/>
      </c>
      <c r="AO474" s="25" t="str">
        <f aca="false">IF(OR(X474="",N(G474)=0),"",AN474/G474)</f>
        <v/>
      </c>
    </row>
    <row r="475" customFormat="false" ht="15" hidden="false" customHeight="false" outlineLevel="0" collapsed="false">
      <c r="A475" s="19"/>
      <c r="B475" s="20"/>
      <c r="C475" s="19"/>
      <c r="D475" s="19"/>
      <c r="E475" s="19"/>
      <c r="F475" s="19"/>
      <c r="G475" s="21"/>
      <c r="H475" s="19"/>
      <c r="I475" s="21"/>
      <c r="J475" s="19"/>
      <c r="K475" s="20"/>
      <c r="L475" s="20"/>
      <c r="M475" s="19"/>
      <c r="N475" s="19"/>
      <c r="O475" s="20"/>
      <c r="P475" s="20"/>
      <c r="Q475" s="19"/>
      <c r="R475" s="22" t="str">
        <f aca="false">IF(A475="","",N(G475)+N(I475))</f>
        <v/>
      </c>
      <c r="S475" s="23" t="str">
        <f aca="false">IF(OR(K475="",O475=""),"",O475-K475)</f>
        <v/>
      </c>
      <c r="T475" s="23" t="str">
        <f aca="true">IF(AND(C475="Cetak",L475&lt;&gt;"",L475&lt;TODAY()),"YA","")</f>
        <v/>
      </c>
      <c r="U475" s="23" t="str">
        <f aca="false">IF(B475="","",TEXT(B475,"yyyy-mm"))</f>
        <v/>
      </c>
      <c r="V475" s="23" t="str">
        <f aca="false">IF(K475="","",TEXT(K475,"yyyy-mm"))</f>
        <v/>
      </c>
      <c r="W475" s="23" t="n">
        <f aca="false">IF(OR(C475="Cetak",C475="Dikirim",C475="Selesai"),1,0)</f>
        <v>0</v>
      </c>
      <c r="X475" s="23" t="str">
        <f aca="false">IF(F475="","",SUBSTITUTE(SUBSTITUTE(MID(UPPER(TRIM(F475)),4,99),"-LED",""),"-TK",""))</f>
        <v/>
      </c>
      <c r="Y475" s="23" t="str">
        <f aca="false">IF(X475="","",(LEN(X475)+1)/7)</f>
        <v/>
      </c>
      <c r="Z475" s="23" t="str">
        <f aca="false">IF(X475="","",LEFT(X475,6))</f>
        <v/>
      </c>
      <c r="AA475" s="23" t="str">
        <f aca="false">IF(X475="","",IF(Y475&gt;=3,MID(X475,8,6),""))</f>
        <v/>
      </c>
      <c r="AB475" s="23" t="str">
        <f aca="false">IF(X475="","",IF(Y475&gt;=4,MID(X475,15,6),""))</f>
        <v/>
      </c>
      <c r="AC475" s="23" t="str">
        <f aca="false">IF(X475="","",IF(Y475&gt;=5,MID(X475,22,6),""))</f>
        <v/>
      </c>
      <c r="AD475" s="23" t="str">
        <f aca="false">IF(X475="","",RIGHT(X475,6))</f>
        <v/>
      </c>
      <c r="AE475" s="23" t="str">
        <f aca="false">IF(F475="","",IF(ISNUMBER(SEARCH("-TK",UPPER(F475))),0,1))</f>
        <v/>
      </c>
      <c r="AF475" s="23" t="str">
        <f aca="false">IF(F475="","",IF(ISNUMBER(SEARCH("-LED",UPPER(F475))),1,0))</f>
        <v/>
      </c>
      <c r="AG475" s="24" t="n">
        <f aca="false">IF(Z475="",0,IFERROR(INDEX(Resep!$C$5:$C$7,MATCH(LEFT(Z475,3),Resep!$B$5:$B$7,0)),0))</f>
        <v>0</v>
      </c>
      <c r="AH475" s="24" t="n">
        <f aca="false">IF(AA475="",0,IFERROR(INDEX(Resep!$C$9:$C$13,MATCH(LEFT(AA475,3),Resep!$B$9:$B$13,0)),0))</f>
        <v>0</v>
      </c>
      <c r="AI475" s="24" t="n">
        <f aca="false">IF(AB475="",0,IFERROR(INDEX(Resep!$C$9:$C$13,MATCH(LEFT(AB475,3),Resep!$B$9:$B$13,0)),0))</f>
        <v>0</v>
      </c>
      <c r="AJ475" s="24" t="n">
        <f aca="false">IF(AC475="",0,IFERROR(INDEX(Resep!$C$9:$C$13,MATCH(LEFT(AC475,3),Resep!$B$9:$B$13,0)),0))</f>
        <v>0</v>
      </c>
      <c r="AK475" s="24" t="n">
        <f aca="false">IF(AD475="",0,IFERROR(INDEX(Resep!$C$15:$C$18,MATCH(LEFT(AD475,3),Resep!$B$15:$B$18,0)),0))</f>
        <v>0</v>
      </c>
      <c r="AL475" s="24" t="str">
        <f aca="false">IF(X475="","",AG475+AH475+AI475+AJ475+AK475)</f>
        <v/>
      </c>
      <c r="AM475" s="22" t="str">
        <f aca="false">IF(X475="","",AL475*(Pengaturan!$B$6+Pengaturan!$B$7)+Pengaturan!$B$8+AE475*Pengaturan!$B$9+AF475*Pengaturan!$B$10)</f>
        <v/>
      </c>
      <c r="AN475" s="22" t="str">
        <f aca="false">IF(X475="","",N(G475)-AM475)</f>
        <v/>
      </c>
      <c r="AO475" s="25" t="str">
        <f aca="false">IF(OR(X475="",N(G475)=0),"",AN475/G475)</f>
        <v/>
      </c>
    </row>
    <row r="476" customFormat="false" ht="15" hidden="false" customHeight="false" outlineLevel="0" collapsed="false">
      <c r="A476" s="19"/>
      <c r="B476" s="20"/>
      <c r="C476" s="19"/>
      <c r="D476" s="19"/>
      <c r="E476" s="19"/>
      <c r="F476" s="19"/>
      <c r="G476" s="21"/>
      <c r="H476" s="19"/>
      <c r="I476" s="21"/>
      <c r="J476" s="19"/>
      <c r="K476" s="20"/>
      <c r="L476" s="20"/>
      <c r="M476" s="19"/>
      <c r="N476" s="19"/>
      <c r="O476" s="20"/>
      <c r="P476" s="20"/>
      <c r="Q476" s="19"/>
      <c r="R476" s="22" t="str">
        <f aca="false">IF(A476="","",N(G476)+N(I476))</f>
        <v/>
      </c>
      <c r="S476" s="23" t="str">
        <f aca="false">IF(OR(K476="",O476=""),"",O476-K476)</f>
        <v/>
      </c>
      <c r="T476" s="23" t="str">
        <f aca="true">IF(AND(C476="Cetak",L476&lt;&gt;"",L476&lt;TODAY()),"YA","")</f>
        <v/>
      </c>
      <c r="U476" s="23" t="str">
        <f aca="false">IF(B476="","",TEXT(B476,"yyyy-mm"))</f>
        <v/>
      </c>
      <c r="V476" s="23" t="str">
        <f aca="false">IF(K476="","",TEXT(K476,"yyyy-mm"))</f>
        <v/>
      </c>
      <c r="W476" s="23" t="n">
        <f aca="false">IF(OR(C476="Cetak",C476="Dikirim",C476="Selesai"),1,0)</f>
        <v>0</v>
      </c>
      <c r="X476" s="23" t="str">
        <f aca="false">IF(F476="","",SUBSTITUTE(SUBSTITUTE(MID(UPPER(TRIM(F476)),4,99),"-LED",""),"-TK",""))</f>
        <v/>
      </c>
      <c r="Y476" s="23" t="str">
        <f aca="false">IF(X476="","",(LEN(X476)+1)/7)</f>
        <v/>
      </c>
      <c r="Z476" s="23" t="str">
        <f aca="false">IF(X476="","",LEFT(X476,6))</f>
        <v/>
      </c>
      <c r="AA476" s="23" t="str">
        <f aca="false">IF(X476="","",IF(Y476&gt;=3,MID(X476,8,6),""))</f>
        <v/>
      </c>
      <c r="AB476" s="23" t="str">
        <f aca="false">IF(X476="","",IF(Y476&gt;=4,MID(X476,15,6),""))</f>
        <v/>
      </c>
      <c r="AC476" s="23" t="str">
        <f aca="false">IF(X476="","",IF(Y476&gt;=5,MID(X476,22,6),""))</f>
        <v/>
      </c>
      <c r="AD476" s="23" t="str">
        <f aca="false">IF(X476="","",RIGHT(X476,6))</f>
        <v/>
      </c>
      <c r="AE476" s="23" t="str">
        <f aca="false">IF(F476="","",IF(ISNUMBER(SEARCH("-TK",UPPER(F476))),0,1))</f>
        <v/>
      </c>
      <c r="AF476" s="23" t="str">
        <f aca="false">IF(F476="","",IF(ISNUMBER(SEARCH("-LED",UPPER(F476))),1,0))</f>
        <v/>
      </c>
      <c r="AG476" s="24" t="n">
        <f aca="false">IF(Z476="",0,IFERROR(INDEX(Resep!$C$5:$C$7,MATCH(LEFT(Z476,3),Resep!$B$5:$B$7,0)),0))</f>
        <v>0</v>
      </c>
      <c r="AH476" s="24" t="n">
        <f aca="false">IF(AA476="",0,IFERROR(INDEX(Resep!$C$9:$C$13,MATCH(LEFT(AA476,3),Resep!$B$9:$B$13,0)),0))</f>
        <v>0</v>
      </c>
      <c r="AI476" s="24" t="n">
        <f aca="false">IF(AB476="",0,IFERROR(INDEX(Resep!$C$9:$C$13,MATCH(LEFT(AB476,3),Resep!$B$9:$B$13,0)),0))</f>
        <v>0</v>
      </c>
      <c r="AJ476" s="24" t="n">
        <f aca="false">IF(AC476="",0,IFERROR(INDEX(Resep!$C$9:$C$13,MATCH(LEFT(AC476,3),Resep!$B$9:$B$13,0)),0))</f>
        <v>0</v>
      </c>
      <c r="AK476" s="24" t="n">
        <f aca="false">IF(AD476="",0,IFERROR(INDEX(Resep!$C$15:$C$18,MATCH(LEFT(AD476,3),Resep!$B$15:$B$18,0)),0))</f>
        <v>0</v>
      </c>
      <c r="AL476" s="24" t="str">
        <f aca="false">IF(X476="","",AG476+AH476+AI476+AJ476+AK476)</f>
        <v/>
      </c>
      <c r="AM476" s="22" t="str">
        <f aca="false">IF(X476="","",AL476*(Pengaturan!$B$6+Pengaturan!$B$7)+Pengaturan!$B$8+AE476*Pengaturan!$B$9+AF476*Pengaturan!$B$10)</f>
        <v/>
      </c>
      <c r="AN476" s="22" t="str">
        <f aca="false">IF(X476="","",N(G476)-AM476)</f>
        <v/>
      </c>
      <c r="AO476" s="25" t="str">
        <f aca="false">IF(OR(X476="",N(G476)=0),"",AN476/G476)</f>
        <v/>
      </c>
    </row>
    <row r="477" customFormat="false" ht="15" hidden="false" customHeight="false" outlineLevel="0" collapsed="false">
      <c r="A477" s="19"/>
      <c r="B477" s="20"/>
      <c r="C477" s="19"/>
      <c r="D477" s="19"/>
      <c r="E477" s="19"/>
      <c r="F477" s="19"/>
      <c r="G477" s="21"/>
      <c r="H477" s="19"/>
      <c r="I477" s="21"/>
      <c r="J477" s="19"/>
      <c r="K477" s="20"/>
      <c r="L477" s="20"/>
      <c r="M477" s="19"/>
      <c r="N477" s="19"/>
      <c r="O477" s="20"/>
      <c r="P477" s="20"/>
      <c r="Q477" s="19"/>
      <c r="R477" s="22" t="str">
        <f aca="false">IF(A477="","",N(G477)+N(I477))</f>
        <v/>
      </c>
      <c r="S477" s="23" t="str">
        <f aca="false">IF(OR(K477="",O477=""),"",O477-K477)</f>
        <v/>
      </c>
      <c r="T477" s="23" t="str">
        <f aca="true">IF(AND(C477="Cetak",L477&lt;&gt;"",L477&lt;TODAY()),"YA","")</f>
        <v/>
      </c>
      <c r="U477" s="23" t="str">
        <f aca="false">IF(B477="","",TEXT(B477,"yyyy-mm"))</f>
        <v/>
      </c>
      <c r="V477" s="23" t="str">
        <f aca="false">IF(K477="","",TEXT(K477,"yyyy-mm"))</f>
        <v/>
      </c>
      <c r="W477" s="23" t="n">
        <f aca="false">IF(OR(C477="Cetak",C477="Dikirim",C477="Selesai"),1,0)</f>
        <v>0</v>
      </c>
      <c r="X477" s="23" t="str">
        <f aca="false">IF(F477="","",SUBSTITUTE(SUBSTITUTE(MID(UPPER(TRIM(F477)),4,99),"-LED",""),"-TK",""))</f>
        <v/>
      </c>
      <c r="Y477" s="23" t="str">
        <f aca="false">IF(X477="","",(LEN(X477)+1)/7)</f>
        <v/>
      </c>
      <c r="Z477" s="23" t="str">
        <f aca="false">IF(X477="","",LEFT(X477,6))</f>
        <v/>
      </c>
      <c r="AA477" s="23" t="str">
        <f aca="false">IF(X477="","",IF(Y477&gt;=3,MID(X477,8,6),""))</f>
        <v/>
      </c>
      <c r="AB477" s="23" t="str">
        <f aca="false">IF(X477="","",IF(Y477&gt;=4,MID(X477,15,6),""))</f>
        <v/>
      </c>
      <c r="AC477" s="23" t="str">
        <f aca="false">IF(X477="","",IF(Y477&gt;=5,MID(X477,22,6),""))</f>
        <v/>
      </c>
      <c r="AD477" s="23" t="str">
        <f aca="false">IF(X477="","",RIGHT(X477,6))</f>
        <v/>
      </c>
      <c r="AE477" s="23" t="str">
        <f aca="false">IF(F477="","",IF(ISNUMBER(SEARCH("-TK",UPPER(F477))),0,1))</f>
        <v/>
      </c>
      <c r="AF477" s="23" t="str">
        <f aca="false">IF(F477="","",IF(ISNUMBER(SEARCH("-LED",UPPER(F477))),1,0))</f>
        <v/>
      </c>
      <c r="AG477" s="24" t="n">
        <f aca="false">IF(Z477="",0,IFERROR(INDEX(Resep!$C$5:$C$7,MATCH(LEFT(Z477,3),Resep!$B$5:$B$7,0)),0))</f>
        <v>0</v>
      </c>
      <c r="AH477" s="24" t="n">
        <f aca="false">IF(AA477="",0,IFERROR(INDEX(Resep!$C$9:$C$13,MATCH(LEFT(AA477,3),Resep!$B$9:$B$13,0)),0))</f>
        <v>0</v>
      </c>
      <c r="AI477" s="24" t="n">
        <f aca="false">IF(AB477="",0,IFERROR(INDEX(Resep!$C$9:$C$13,MATCH(LEFT(AB477,3),Resep!$B$9:$B$13,0)),0))</f>
        <v>0</v>
      </c>
      <c r="AJ477" s="24" t="n">
        <f aca="false">IF(AC477="",0,IFERROR(INDEX(Resep!$C$9:$C$13,MATCH(LEFT(AC477,3),Resep!$B$9:$B$13,0)),0))</f>
        <v>0</v>
      </c>
      <c r="AK477" s="24" t="n">
        <f aca="false">IF(AD477="",0,IFERROR(INDEX(Resep!$C$15:$C$18,MATCH(LEFT(AD477,3),Resep!$B$15:$B$18,0)),0))</f>
        <v>0</v>
      </c>
      <c r="AL477" s="24" t="str">
        <f aca="false">IF(X477="","",AG477+AH477+AI477+AJ477+AK477)</f>
        <v/>
      </c>
      <c r="AM477" s="22" t="str">
        <f aca="false">IF(X477="","",AL477*(Pengaturan!$B$6+Pengaturan!$B$7)+Pengaturan!$B$8+AE477*Pengaturan!$B$9+AF477*Pengaturan!$B$10)</f>
        <v/>
      </c>
      <c r="AN477" s="22" t="str">
        <f aca="false">IF(X477="","",N(G477)-AM477)</f>
        <v/>
      </c>
      <c r="AO477" s="25" t="str">
        <f aca="false">IF(OR(X477="",N(G477)=0),"",AN477/G477)</f>
        <v/>
      </c>
    </row>
    <row r="478" customFormat="false" ht="15" hidden="false" customHeight="false" outlineLevel="0" collapsed="false">
      <c r="A478" s="19"/>
      <c r="B478" s="20"/>
      <c r="C478" s="19"/>
      <c r="D478" s="19"/>
      <c r="E478" s="19"/>
      <c r="F478" s="19"/>
      <c r="G478" s="21"/>
      <c r="H478" s="19"/>
      <c r="I478" s="21"/>
      <c r="J478" s="19"/>
      <c r="K478" s="20"/>
      <c r="L478" s="20"/>
      <c r="M478" s="19"/>
      <c r="N478" s="19"/>
      <c r="O478" s="20"/>
      <c r="P478" s="20"/>
      <c r="Q478" s="19"/>
      <c r="R478" s="22" t="str">
        <f aca="false">IF(A478="","",N(G478)+N(I478))</f>
        <v/>
      </c>
      <c r="S478" s="23" t="str">
        <f aca="false">IF(OR(K478="",O478=""),"",O478-K478)</f>
        <v/>
      </c>
      <c r="T478" s="23" t="str">
        <f aca="true">IF(AND(C478="Cetak",L478&lt;&gt;"",L478&lt;TODAY()),"YA","")</f>
        <v/>
      </c>
      <c r="U478" s="23" t="str">
        <f aca="false">IF(B478="","",TEXT(B478,"yyyy-mm"))</f>
        <v/>
      </c>
      <c r="V478" s="23" t="str">
        <f aca="false">IF(K478="","",TEXT(K478,"yyyy-mm"))</f>
        <v/>
      </c>
      <c r="W478" s="23" t="n">
        <f aca="false">IF(OR(C478="Cetak",C478="Dikirim",C478="Selesai"),1,0)</f>
        <v>0</v>
      </c>
      <c r="X478" s="23" t="str">
        <f aca="false">IF(F478="","",SUBSTITUTE(SUBSTITUTE(MID(UPPER(TRIM(F478)),4,99),"-LED",""),"-TK",""))</f>
        <v/>
      </c>
      <c r="Y478" s="23" t="str">
        <f aca="false">IF(X478="","",(LEN(X478)+1)/7)</f>
        <v/>
      </c>
      <c r="Z478" s="23" t="str">
        <f aca="false">IF(X478="","",LEFT(X478,6))</f>
        <v/>
      </c>
      <c r="AA478" s="23" t="str">
        <f aca="false">IF(X478="","",IF(Y478&gt;=3,MID(X478,8,6),""))</f>
        <v/>
      </c>
      <c r="AB478" s="23" t="str">
        <f aca="false">IF(X478="","",IF(Y478&gt;=4,MID(X478,15,6),""))</f>
        <v/>
      </c>
      <c r="AC478" s="23" t="str">
        <f aca="false">IF(X478="","",IF(Y478&gt;=5,MID(X478,22,6),""))</f>
        <v/>
      </c>
      <c r="AD478" s="23" t="str">
        <f aca="false">IF(X478="","",RIGHT(X478,6))</f>
        <v/>
      </c>
      <c r="AE478" s="23" t="str">
        <f aca="false">IF(F478="","",IF(ISNUMBER(SEARCH("-TK",UPPER(F478))),0,1))</f>
        <v/>
      </c>
      <c r="AF478" s="23" t="str">
        <f aca="false">IF(F478="","",IF(ISNUMBER(SEARCH("-LED",UPPER(F478))),1,0))</f>
        <v/>
      </c>
      <c r="AG478" s="24" t="n">
        <f aca="false">IF(Z478="",0,IFERROR(INDEX(Resep!$C$5:$C$7,MATCH(LEFT(Z478,3),Resep!$B$5:$B$7,0)),0))</f>
        <v>0</v>
      </c>
      <c r="AH478" s="24" t="n">
        <f aca="false">IF(AA478="",0,IFERROR(INDEX(Resep!$C$9:$C$13,MATCH(LEFT(AA478,3),Resep!$B$9:$B$13,0)),0))</f>
        <v>0</v>
      </c>
      <c r="AI478" s="24" t="n">
        <f aca="false">IF(AB478="",0,IFERROR(INDEX(Resep!$C$9:$C$13,MATCH(LEFT(AB478,3),Resep!$B$9:$B$13,0)),0))</f>
        <v>0</v>
      </c>
      <c r="AJ478" s="24" t="n">
        <f aca="false">IF(AC478="",0,IFERROR(INDEX(Resep!$C$9:$C$13,MATCH(LEFT(AC478,3),Resep!$B$9:$B$13,0)),0))</f>
        <v>0</v>
      </c>
      <c r="AK478" s="24" t="n">
        <f aca="false">IF(AD478="",0,IFERROR(INDEX(Resep!$C$15:$C$18,MATCH(LEFT(AD478,3),Resep!$B$15:$B$18,0)),0))</f>
        <v>0</v>
      </c>
      <c r="AL478" s="24" t="str">
        <f aca="false">IF(X478="","",AG478+AH478+AI478+AJ478+AK478)</f>
        <v/>
      </c>
      <c r="AM478" s="22" t="str">
        <f aca="false">IF(X478="","",AL478*(Pengaturan!$B$6+Pengaturan!$B$7)+Pengaturan!$B$8+AE478*Pengaturan!$B$9+AF478*Pengaturan!$B$10)</f>
        <v/>
      </c>
      <c r="AN478" s="22" t="str">
        <f aca="false">IF(X478="","",N(G478)-AM478)</f>
        <v/>
      </c>
      <c r="AO478" s="25" t="str">
        <f aca="false">IF(OR(X478="",N(G478)=0),"",AN478/G478)</f>
        <v/>
      </c>
    </row>
    <row r="479" customFormat="false" ht="15" hidden="false" customHeight="false" outlineLevel="0" collapsed="false">
      <c r="A479" s="19"/>
      <c r="B479" s="20"/>
      <c r="C479" s="19"/>
      <c r="D479" s="19"/>
      <c r="E479" s="19"/>
      <c r="F479" s="19"/>
      <c r="G479" s="21"/>
      <c r="H479" s="19"/>
      <c r="I479" s="21"/>
      <c r="J479" s="19"/>
      <c r="K479" s="20"/>
      <c r="L479" s="20"/>
      <c r="M479" s="19"/>
      <c r="N479" s="19"/>
      <c r="O479" s="20"/>
      <c r="P479" s="20"/>
      <c r="Q479" s="19"/>
      <c r="R479" s="22" t="str">
        <f aca="false">IF(A479="","",N(G479)+N(I479))</f>
        <v/>
      </c>
      <c r="S479" s="23" t="str">
        <f aca="false">IF(OR(K479="",O479=""),"",O479-K479)</f>
        <v/>
      </c>
      <c r="T479" s="23" t="str">
        <f aca="true">IF(AND(C479="Cetak",L479&lt;&gt;"",L479&lt;TODAY()),"YA","")</f>
        <v/>
      </c>
      <c r="U479" s="23" t="str">
        <f aca="false">IF(B479="","",TEXT(B479,"yyyy-mm"))</f>
        <v/>
      </c>
      <c r="V479" s="23" t="str">
        <f aca="false">IF(K479="","",TEXT(K479,"yyyy-mm"))</f>
        <v/>
      </c>
      <c r="W479" s="23" t="n">
        <f aca="false">IF(OR(C479="Cetak",C479="Dikirim",C479="Selesai"),1,0)</f>
        <v>0</v>
      </c>
      <c r="X479" s="23" t="str">
        <f aca="false">IF(F479="","",SUBSTITUTE(SUBSTITUTE(MID(UPPER(TRIM(F479)),4,99),"-LED",""),"-TK",""))</f>
        <v/>
      </c>
      <c r="Y479" s="23" t="str">
        <f aca="false">IF(X479="","",(LEN(X479)+1)/7)</f>
        <v/>
      </c>
      <c r="Z479" s="23" t="str">
        <f aca="false">IF(X479="","",LEFT(X479,6))</f>
        <v/>
      </c>
      <c r="AA479" s="23" t="str">
        <f aca="false">IF(X479="","",IF(Y479&gt;=3,MID(X479,8,6),""))</f>
        <v/>
      </c>
      <c r="AB479" s="23" t="str">
        <f aca="false">IF(X479="","",IF(Y479&gt;=4,MID(X479,15,6),""))</f>
        <v/>
      </c>
      <c r="AC479" s="23" t="str">
        <f aca="false">IF(X479="","",IF(Y479&gt;=5,MID(X479,22,6),""))</f>
        <v/>
      </c>
      <c r="AD479" s="23" t="str">
        <f aca="false">IF(X479="","",RIGHT(X479,6))</f>
        <v/>
      </c>
      <c r="AE479" s="23" t="str">
        <f aca="false">IF(F479="","",IF(ISNUMBER(SEARCH("-TK",UPPER(F479))),0,1))</f>
        <v/>
      </c>
      <c r="AF479" s="23" t="str">
        <f aca="false">IF(F479="","",IF(ISNUMBER(SEARCH("-LED",UPPER(F479))),1,0))</f>
        <v/>
      </c>
      <c r="AG479" s="24" t="n">
        <f aca="false">IF(Z479="",0,IFERROR(INDEX(Resep!$C$5:$C$7,MATCH(LEFT(Z479,3),Resep!$B$5:$B$7,0)),0))</f>
        <v>0</v>
      </c>
      <c r="AH479" s="24" t="n">
        <f aca="false">IF(AA479="",0,IFERROR(INDEX(Resep!$C$9:$C$13,MATCH(LEFT(AA479,3),Resep!$B$9:$B$13,0)),0))</f>
        <v>0</v>
      </c>
      <c r="AI479" s="24" t="n">
        <f aca="false">IF(AB479="",0,IFERROR(INDEX(Resep!$C$9:$C$13,MATCH(LEFT(AB479,3),Resep!$B$9:$B$13,0)),0))</f>
        <v>0</v>
      </c>
      <c r="AJ479" s="24" t="n">
        <f aca="false">IF(AC479="",0,IFERROR(INDEX(Resep!$C$9:$C$13,MATCH(LEFT(AC479,3),Resep!$B$9:$B$13,0)),0))</f>
        <v>0</v>
      </c>
      <c r="AK479" s="24" t="n">
        <f aca="false">IF(AD479="",0,IFERROR(INDEX(Resep!$C$15:$C$18,MATCH(LEFT(AD479,3),Resep!$B$15:$B$18,0)),0))</f>
        <v>0</v>
      </c>
      <c r="AL479" s="24" t="str">
        <f aca="false">IF(X479="","",AG479+AH479+AI479+AJ479+AK479)</f>
        <v/>
      </c>
      <c r="AM479" s="22" t="str">
        <f aca="false">IF(X479="","",AL479*(Pengaturan!$B$6+Pengaturan!$B$7)+Pengaturan!$B$8+AE479*Pengaturan!$B$9+AF479*Pengaturan!$B$10)</f>
        <v/>
      </c>
      <c r="AN479" s="22" t="str">
        <f aca="false">IF(X479="","",N(G479)-AM479)</f>
        <v/>
      </c>
      <c r="AO479" s="25" t="str">
        <f aca="false">IF(OR(X479="",N(G479)=0),"",AN479/G479)</f>
        <v/>
      </c>
    </row>
    <row r="480" customFormat="false" ht="15" hidden="false" customHeight="false" outlineLevel="0" collapsed="false">
      <c r="A480" s="19"/>
      <c r="B480" s="20"/>
      <c r="C480" s="19"/>
      <c r="D480" s="19"/>
      <c r="E480" s="19"/>
      <c r="F480" s="19"/>
      <c r="G480" s="21"/>
      <c r="H480" s="19"/>
      <c r="I480" s="21"/>
      <c r="J480" s="19"/>
      <c r="K480" s="20"/>
      <c r="L480" s="20"/>
      <c r="M480" s="19"/>
      <c r="N480" s="19"/>
      <c r="O480" s="20"/>
      <c r="P480" s="20"/>
      <c r="Q480" s="19"/>
      <c r="R480" s="22" t="str">
        <f aca="false">IF(A480="","",N(G480)+N(I480))</f>
        <v/>
      </c>
      <c r="S480" s="23" t="str">
        <f aca="false">IF(OR(K480="",O480=""),"",O480-K480)</f>
        <v/>
      </c>
      <c r="T480" s="23" t="str">
        <f aca="true">IF(AND(C480="Cetak",L480&lt;&gt;"",L480&lt;TODAY()),"YA","")</f>
        <v/>
      </c>
      <c r="U480" s="23" t="str">
        <f aca="false">IF(B480="","",TEXT(B480,"yyyy-mm"))</f>
        <v/>
      </c>
      <c r="V480" s="23" t="str">
        <f aca="false">IF(K480="","",TEXT(K480,"yyyy-mm"))</f>
        <v/>
      </c>
      <c r="W480" s="23" t="n">
        <f aca="false">IF(OR(C480="Cetak",C480="Dikirim",C480="Selesai"),1,0)</f>
        <v>0</v>
      </c>
      <c r="X480" s="23" t="str">
        <f aca="false">IF(F480="","",SUBSTITUTE(SUBSTITUTE(MID(UPPER(TRIM(F480)),4,99),"-LED",""),"-TK",""))</f>
        <v/>
      </c>
      <c r="Y480" s="23" t="str">
        <f aca="false">IF(X480="","",(LEN(X480)+1)/7)</f>
        <v/>
      </c>
      <c r="Z480" s="23" t="str">
        <f aca="false">IF(X480="","",LEFT(X480,6))</f>
        <v/>
      </c>
      <c r="AA480" s="23" t="str">
        <f aca="false">IF(X480="","",IF(Y480&gt;=3,MID(X480,8,6),""))</f>
        <v/>
      </c>
      <c r="AB480" s="23" t="str">
        <f aca="false">IF(X480="","",IF(Y480&gt;=4,MID(X480,15,6),""))</f>
        <v/>
      </c>
      <c r="AC480" s="23" t="str">
        <f aca="false">IF(X480="","",IF(Y480&gt;=5,MID(X480,22,6),""))</f>
        <v/>
      </c>
      <c r="AD480" s="23" t="str">
        <f aca="false">IF(X480="","",RIGHT(X480,6))</f>
        <v/>
      </c>
      <c r="AE480" s="23" t="str">
        <f aca="false">IF(F480="","",IF(ISNUMBER(SEARCH("-TK",UPPER(F480))),0,1))</f>
        <v/>
      </c>
      <c r="AF480" s="23" t="str">
        <f aca="false">IF(F480="","",IF(ISNUMBER(SEARCH("-LED",UPPER(F480))),1,0))</f>
        <v/>
      </c>
      <c r="AG480" s="24" t="n">
        <f aca="false">IF(Z480="",0,IFERROR(INDEX(Resep!$C$5:$C$7,MATCH(LEFT(Z480,3),Resep!$B$5:$B$7,0)),0))</f>
        <v>0</v>
      </c>
      <c r="AH480" s="24" t="n">
        <f aca="false">IF(AA480="",0,IFERROR(INDEX(Resep!$C$9:$C$13,MATCH(LEFT(AA480,3),Resep!$B$9:$B$13,0)),0))</f>
        <v>0</v>
      </c>
      <c r="AI480" s="24" t="n">
        <f aca="false">IF(AB480="",0,IFERROR(INDEX(Resep!$C$9:$C$13,MATCH(LEFT(AB480,3),Resep!$B$9:$B$13,0)),0))</f>
        <v>0</v>
      </c>
      <c r="AJ480" s="24" t="n">
        <f aca="false">IF(AC480="",0,IFERROR(INDEX(Resep!$C$9:$C$13,MATCH(LEFT(AC480,3),Resep!$B$9:$B$13,0)),0))</f>
        <v>0</v>
      </c>
      <c r="AK480" s="24" t="n">
        <f aca="false">IF(AD480="",0,IFERROR(INDEX(Resep!$C$15:$C$18,MATCH(LEFT(AD480,3),Resep!$B$15:$B$18,0)),0))</f>
        <v>0</v>
      </c>
      <c r="AL480" s="24" t="str">
        <f aca="false">IF(X480="","",AG480+AH480+AI480+AJ480+AK480)</f>
        <v/>
      </c>
      <c r="AM480" s="22" t="str">
        <f aca="false">IF(X480="","",AL480*(Pengaturan!$B$6+Pengaturan!$B$7)+Pengaturan!$B$8+AE480*Pengaturan!$B$9+AF480*Pengaturan!$B$10)</f>
        <v/>
      </c>
      <c r="AN480" s="22" t="str">
        <f aca="false">IF(X480="","",N(G480)-AM480)</f>
        <v/>
      </c>
      <c r="AO480" s="25" t="str">
        <f aca="false">IF(OR(X480="",N(G480)=0),"",AN480/G480)</f>
        <v/>
      </c>
    </row>
    <row r="481" customFormat="false" ht="15" hidden="false" customHeight="false" outlineLevel="0" collapsed="false">
      <c r="A481" s="19"/>
      <c r="B481" s="20"/>
      <c r="C481" s="19"/>
      <c r="D481" s="19"/>
      <c r="E481" s="19"/>
      <c r="F481" s="19"/>
      <c r="G481" s="21"/>
      <c r="H481" s="19"/>
      <c r="I481" s="21"/>
      <c r="J481" s="19"/>
      <c r="K481" s="20"/>
      <c r="L481" s="20"/>
      <c r="M481" s="19"/>
      <c r="N481" s="19"/>
      <c r="O481" s="20"/>
      <c r="P481" s="20"/>
      <c r="Q481" s="19"/>
      <c r="R481" s="22" t="str">
        <f aca="false">IF(A481="","",N(G481)+N(I481))</f>
        <v/>
      </c>
      <c r="S481" s="23" t="str">
        <f aca="false">IF(OR(K481="",O481=""),"",O481-K481)</f>
        <v/>
      </c>
      <c r="T481" s="23" t="str">
        <f aca="true">IF(AND(C481="Cetak",L481&lt;&gt;"",L481&lt;TODAY()),"YA","")</f>
        <v/>
      </c>
      <c r="U481" s="23" t="str">
        <f aca="false">IF(B481="","",TEXT(B481,"yyyy-mm"))</f>
        <v/>
      </c>
      <c r="V481" s="23" t="str">
        <f aca="false">IF(K481="","",TEXT(K481,"yyyy-mm"))</f>
        <v/>
      </c>
      <c r="W481" s="23" t="n">
        <f aca="false">IF(OR(C481="Cetak",C481="Dikirim",C481="Selesai"),1,0)</f>
        <v>0</v>
      </c>
      <c r="X481" s="23" t="str">
        <f aca="false">IF(F481="","",SUBSTITUTE(SUBSTITUTE(MID(UPPER(TRIM(F481)),4,99),"-LED",""),"-TK",""))</f>
        <v/>
      </c>
      <c r="Y481" s="23" t="str">
        <f aca="false">IF(X481="","",(LEN(X481)+1)/7)</f>
        <v/>
      </c>
      <c r="Z481" s="23" t="str">
        <f aca="false">IF(X481="","",LEFT(X481,6))</f>
        <v/>
      </c>
      <c r="AA481" s="23" t="str">
        <f aca="false">IF(X481="","",IF(Y481&gt;=3,MID(X481,8,6),""))</f>
        <v/>
      </c>
      <c r="AB481" s="23" t="str">
        <f aca="false">IF(X481="","",IF(Y481&gt;=4,MID(X481,15,6),""))</f>
        <v/>
      </c>
      <c r="AC481" s="23" t="str">
        <f aca="false">IF(X481="","",IF(Y481&gt;=5,MID(X481,22,6),""))</f>
        <v/>
      </c>
      <c r="AD481" s="23" t="str">
        <f aca="false">IF(X481="","",RIGHT(X481,6))</f>
        <v/>
      </c>
      <c r="AE481" s="23" t="str">
        <f aca="false">IF(F481="","",IF(ISNUMBER(SEARCH("-TK",UPPER(F481))),0,1))</f>
        <v/>
      </c>
      <c r="AF481" s="23" t="str">
        <f aca="false">IF(F481="","",IF(ISNUMBER(SEARCH("-LED",UPPER(F481))),1,0))</f>
        <v/>
      </c>
      <c r="AG481" s="24" t="n">
        <f aca="false">IF(Z481="",0,IFERROR(INDEX(Resep!$C$5:$C$7,MATCH(LEFT(Z481,3),Resep!$B$5:$B$7,0)),0))</f>
        <v>0</v>
      </c>
      <c r="AH481" s="24" t="n">
        <f aca="false">IF(AA481="",0,IFERROR(INDEX(Resep!$C$9:$C$13,MATCH(LEFT(AA481,3),Resep!$B$9:$B$13,0)),0))</f>
        <v>0</v>
      </c>
      <c r="AI481" s="24" t="n">
        <f aca="false">IF(AB481="",0,IFERROR(INDEX(Resep!$C$9:$C$13,MATCH(LEFT(AB481,3),Resep!$B$9:$B$13,0)),0))</f>
        <v>0</v>
      </c>
      <c r="AJ481" s="24" t="n">
        <f aca="false">IF(AC481="",0,IFERROR(INDEX(Resep!$C$9:$C$13,MATCH(LEFT(AC481,3),Resep!$B$9:$B$13,0)),0))</f>
        <v>0</v>
      </c>
      <c r="AK481" s="24" t="n">
        <f aca="false">IF(AD481="",0,IFERROR(INDEX(Resep!$C$15:$C$18,MATCH(LEFT(AD481,3),Resep!$B$15:$B$18,0)),0))</f>
        <v>0</v>
      </c>
      <c r="AL481" s="24" t="str">
        <f aca="false">IF(X481="","",AG481+AH481+AI481+AJ481+AK481)</f>
        <v/>
      </c>
      <c r="AM481" s="22" t="str">
        <f aca="false">IF(X481="","",AL481*(Pengaturan!$B$6+Pengaturan!$B$7)+Pengaturan!$B$8+AE481*Pengaturan!$B$9+AF481*Pengaturan!$B$10)</f>
        <v/>
      </c>
      <c r="AN481" s="22" t="str">
        <f aca="false">IF(X481="","",N(G481)-AM481)</f>
        <v/>
      </c>
      <c r="AO481" s="25" t="str">
        <f aca="false">IF(OR(X481="",N(G481)=0),"",AN481/G481)</f>
        <v/>
      </c>
    </row>
    <row r="482" customFormat="false" ht="15" hidden="false" customHeight="false" outlineLevel="0" collapsed="false">
      <c r="A482" s="19"/>
      <c r="B482" s="20"/>
      <c r="C482" s="19"/>
      <c r="D482" s="19"/>
      <c r="E482" s="19"/>
      <c r="F482" s="19"/>
      <c r="G482" s="21"/>
      <c r="H482" s="19"/>
      <c r="I482" s="21"/>
      <c r="J482" s="19"/>
      <c r="K482" s="20"/>
      <c r="L482" s="20"/>
      <c r="M482" s="19"/>
      <c r="N482" s="19"/>
      <c r="O482" s="20"/>
      <c r="P482" s="20"/>
      <c r="Q482" s="19"/>
      <c r="R482" s="22" t="str">
        <f aca="false">IF(A482="","",N(G482)+N(I482))</f>
        <v/>
      </c>
      <c r="S482" s="23" t="str">
        <f aca="false">IF(OR(K482="",O482=""),"",O482-K482)</f>
        <v/>
      </c>
      <c r="T482" s="23" t="str">
        <f aca="true">IF(AND(C482="Cetak",L482&lt;&gt;"",L482&lt;TODAY()),"YA","")</f>
        <v/>
      </c>
      <c r="U482" s="23" t="str">
        <f aca="false">IF(B482="","",TEXT(B482,"yyyy-mm"))</f>
        <v/>
      </c>
      <c r="V482" s="23" t="str">
        <f aca="false">IF(K482="","",TEXT(K482,"yyyy-mm"))</f>
        <v/>
      </c>
      <c r="W482" s="23" t="n">
        <f aca="false">IF(OR(C482="Cetak",C482="Dikirim",C482="Selesai"),1,0)</f>
        <v>0</v>
      </c>
      <c r="X482" s="23" t="str">
        <f aca="false">IF(F482="","",SUBSTITUTE(SUBSTITUTE(MID(UPPER(TRIM(F482)),4,99),"-LED",""),"-TK",""))</f>
        <v/>
      </c>
      <c r="Y482" s="23" t="str">
        <f aca="false">IF(X482="","",(LEN(X482)+1)/7)</f>
        <v/>
      </c>
      <c r="Z482" s="23" t="str">
        <f aca="false">IF(X482="","",LEFT(X482,6))</f>
        <v/>
      </c>
      <c r="AA482" s="23" t="str">
        <f aca="false">IF(X482="","",IF(Y482&gt;=3,MID(X482,8,6),""))</f>
        <v/>
      </c>
      <c r="AB482" s="23" t="str">
        <f aca="false">IF(X482="","",IF(Y482&gt;=4,MID(X482,15,6),""))</f>
        <v/>
      </c>
      <c r="AC482" s="23" t="str">
        <f aca="false">IF(X482="","",IF(Y482&gt;=5,MID(X482,22,6),""))</f>
        <v/>
      </c>
      <c r="AD482" s="23" t="str">
        <f aca="false">IF(X482="","",RIGHT(X482,6))</f>
        <v/>
      </c>
      <c r="AE482" s="23" t="str">
        <f aca="false">IF(F482="","",IF(ISNUMBER(SEARCH("-TK",UPPER(F482))),0,1))</f>
        <v/>
      </c>
      <c r="AF482" s="23" t="str">
        <f aca="false">IF(F482="","",IF(ISNUMBER(SEARCH("-LED",UPPER(F482))),1,0))</f>
        <v/>
      </c>
      <c r="AG482" s="24" t="n">
        <f aca="false">IF(Z482="",0,IFERROR(INDEX(Resep!$C$5:$C$7,MATCH(LEFT(Z482,3),Resep!$B$5:$B$7,0)),0))</f>
        <v>0</v>
      </c>
      <c r="AH482" s="24" t="n">
        <f aca="false">IF(AA482="",0,IFERROR(INDEX(Resep!$C$9:$C$13,MATCH(LEFT(AA482,3),Resep!$B$9:$B$13,0)),0))</f>
        <v>0</v>
      </c>
      <c r="AI482" s="24" t="n">
        <f aca="false">IF(AB482="",0,IFERROR(INDEX(Resep!$C$9:$C$13,MATCH(LEFT(AB482,3),Resep!$B$9:$B$13,0)),0))</f>
        <v>0</v>
      </c>
      <c r="AJ482" s="24" t="n">
        <f aca="false">IF(AC482="",0,IFERROR(INDEX(Resep!$C$9:$C$13,MATCH(LEFT(AC482,3),Resep!$B$9:$B$13,0)),0))</f>
        <v>0</v>
      </c>
      <c r="AK482" s="24" t="n">
        <f aca="false">IF(AD482="",0,IFERROR(INDEX(Resep!$C$15:$C$18,MATCH(LEFT(AD482,3),Resep!$B$15:$B$18,0)),0))</f>
        <v>0</v>
      </c>
      <c r="AL482" s="24" t="str">
        <f aca="false">IF(X482="","",AG482+AH482+AI482+AJ482+AK482)</f>
        <v/>
      </c>
      <c r="AM482" s="22" t="str">
        <f aca="false">IF(X482="","",AL482*(Pengaturan!$B$6+Pengaturan!$B$7)+Pengaturan!$B$8+AE482*Pengaturan!$B$9+AF482*Pengaturan!$B$10)</f>
        <v/>
      </c>
      <c r="AN482" s="22" t="str">
        <f aca="false">IF(X482="","",N(G482)-AM482)</f>
        <v/>
      </c>
      <c r="AO482" s="25" t="str">
        <f aca="false">IF(OR(X482="",N(G482)=0),"",AN482/G482)</f>
        <v/>
      </c>
    </row>
    <row r="483" customFormat="false" ht="15" hidden="false" customHeight="false" outlineLevel="0" collapsed="false">
      <c r="A483" s="19"/>
      <c r="B483" s="20"/>
      <c r="C483" s="19"/>
      <c r="D483" s="19"/>
      <c r="E483" s="19"/>
      <c r="F483" s="19"/>
      <c r="G483" s="21"/>
      <c r="H483" s="19"/>
      <c r="I483" s="21"/>
      <c r="J483" s="19"/>
      <c r="K483" s="20"/>
      <c r="L483" s="20"/>
      <c r="M483" s="19"/>
      <c r="N483" s="19"/>
      <c r="O483" s="20"/>
      <c r="P483" s="20"/>
      <c r="Q483" s="19"/>
      <c r="R483" s="22" t="str">
        <f aca="false">IF(A483="","",N(G483)+N(I483))</f>
        <v/>
      </c>
      <c r="S483" s="23" t="str">
        <f aca="false">IF(OR(K483="",O483=""),"",O483-K483)</f>
        <v/>
      </c>
      <c r="T483" s="23" t="str">
        <f aca="true">IF(AND(C483="Cetak",L483&lt;&gt;"",L483&lt;TODAY()),"YA","")</f>
        <v/>
      </c>
      <c r="U483" s="23" t="str">
        <f aca="false">IF(B483="","",TEXT(B483,"yyyy-mm"))</f>
        <v/>
      </c>
      <c r="V483" s="23" t="str">
        <f aca="false">IF(K483="","",TEXT(K483,"yyyy-mm"))</f>
        <v/>
      </c>
      <c r="W483" s="23" t="n">
        <f aca="false">IF(OR(C483="Cetak",C483="Dikirim",C483="Selesai"),1,0)</f>
        <v>0</v>
      </c>
      <c r="X483" s="23" t="str">
        <f aca="false">IF(F483="","",SUBSTITUTE(SUBSTITUTE(MID(UPPER(TRIM(F483)),4,99),"-LED",""),"-TK",""))</f>
        <v/>
      </c>
      <c r="Y483" s="23" t="str">
        <f aca="false">IF(X483="","",(LEN(X483)+1)/7)</f>
        <v/>
      </c>
      <c r="Z483" s="23" t="str">
        <f aca="false">IF(X483="","",LEFT(X483,6))</f>
        <v/>
      </c>
      <c r="AA483" s="23" t="str">
        <f aca="false">IF(X483="","",IF(Y483&gt;=3,MID(X483,8,6),""))</f>
        <v/>
      </c>
      <c r="AB483" s="23" t="str">
        <f aca="false">IF(X483="","",IF(Y483&gt;=4,MID(X483,15,6),""))</f>
        <v/>
      </c>
      <c r="AC483" s="23" t="str">
        <f aca="false">IF(X483="","",IF(Y483&gt;=5,MID(X483,22,6),""))</f>
        <v/>
      </c>
      <c r="AD483" s="23" t="str">
        <f aca="false">IF(X483="","",RIGHT(X483,6))</f>
        <v/>
      </c>
      <c r="AE483" s="23" t="str">
        <f aca="false">IF(F483="","",IF(ISNUMBER(SEARCH("-TK",UPPER(F483))),0,1))</f>
        <v/>
      </c>
      <c r="AF483" s="23" t="str">
        <f aca="false">IF(F483="","",IF(ISNUMBER(SEARCH("-LED",UPPER(F483))),1,0))</f>
        <v/>
      </c>
      <c r="AG483" s="24" t="n">
        <f aca="false">IF(Z483="",0,IFERROR(INDEX(Resep!$C$5:$C$7,MATCH(LEFT(Z483,3),Resep!$B$5:$B$7,0)),0))</f>
        <v>0</v>
      </c>
      <c r="AH483" s="24" t="n">
        <f aca="false">IF(AA483="",0,IFERROR(INDEX(Resep!$C$9:$C$13,MATCH(LEFT(AA483,3),Resep!$B$9:$B$13,0)),0))</f>
        <v>0</v>
      </c>
      <c r="AI483" s="24" t="n">
        <f aca="false">IF(AB483="",0,IFERROR(INDEX(Resep!$C$9:$C$13,MATCH(LEFT(AB483,3),Resep!$B$9:$B$13,0)),0))</f>
        <v>0</v>
      </c>
      <c r="AJ483" s="24" t="n">
        <f aca="false">IF(AC483="",0,IFERROR(INDEX(Resep!$C$9:$C$13,MATCH(LEFT(AC483,3),Resep!$B$9:$B$13,0)),0))</f>
        <v>0</v>
      </c>
      <c r="AK483" s="24" t="n">
        <f aca="false">IF(AD483="",0,IFERROR(INDEX(Resep!$C$15:$C$18,MATCH(LEFT(AD483,3),Resep!$B$15:$B$18,0)),0))</f>
        <v>0</v>
      </c>
      <c r="AL483" s="24" t="str">
        <f aca="false">IF(X483="","",AG483+AH483+AI483+AJ483+AK483)</f>
        <v/>
      </c>
      <c r="AM483" s="22" t="str">
        <f aca="false">IF(X483="","",AL483*(Pengaturan!$B$6+Pengaturan!$B$7)+Pengaturan!$B$8+AE483*Pengaturan!$B$9+AF483*Pengaturan!$B$10)</f>
        <v/>
      </c>
      <c r="AN483" s="22" t="str">
        <f aca="false">IF(X483="","",N(G483)-AM483)</f>
        <v/>
      </c>
      <c r="AO483" s="25" t="str">
        <f aca="false">IF(OR(X483="",N(G483)=0),"",AN483/G483)</f>
        <v/>
      </c>
    </row>
    <row r="484" customFormat="false" ht="15" hidden="false" customHeight="false" outlineLevel="0" collapsed="false">
      <c r="A484" s="19"/>
      <c r="B484" s="20"/>
      <c r="C484" s="19"/>
      <c r="D484" s="19"/>
      <c r="E484" s="19"/>
      <c r="F484" s="19"/>
      <c r="G484" s="21"/>
      <c r="H484" s="19"/>
      <c r="I484" s="21"/>
      <c r="J484" s="19"/>
      <c r="K484" s="20"/>
      <c r="L484" s="20"/>
      <c r="M484" s="19"/>
      <c r="N484" s="19"/>
      <c r="O484" s="20"/>
      <c r="P484" s="20"/>
      <c r="Q484" s="19"/>
      <c r="R484" s="22" t="str">
        <f aca="false">IF(A484="","",N(G484)+N(I484))</f>
        <v/>
      </c>
      <c r="S484" s="23" t="str">
        <f aca="false">IF(OR(K484="",O484=""),"",O484-K484)</f>
        <v/>
      </c>
      <c r="T484" s="23" t="str">
        <f aca="true">IF(AND(C484="Cetak",L484&lt;&gt;"",L484&lt;TODAY()),"YA","")</f>
        <v/>
      </c>
      <c r="U484" s="23" t="str">
        <f aca="false">IF(B484="","",TEXT(B484,"yyyy-mm"))</f>
        <v/>
      </c>
      <c r="V484" s="23" t="str">
        <f aca="false">IF(K484="","",TEXT(K484,"yyyy-mm"))</f>
        <v/>
      </c>
      <c r="W484" s="23" t="n">
        <f aca="false">IF(OR(C484="Cetak",C484="Dikirim",C484="Selesai"),1,0)</f>
        <v>0</v>
      </c>
      <c r="X484" s="23" t="str">
        <f aca="false">IF(F484="","",SUBSTITUTE(SUBSTITUTE(MID(UPPER(TRIM(F484)),4,99),"-LED",""),"-TK",""))</f>
        <v/>
      </c>
      <c r="Y484" s="23" t="str">
        <f aca="false">IF(X484="","",(LEN(X484)+1)/7)</f>
        <v/>
      </c>
      <c r="Z484" s="23" t="str">
        <f aca="false">IF(X484="","",LEFT(X484,6))</f>
        <v/>
      </c>
      <c r="AA484" s="23" t="str">
        <f aca="false">IF(X484="","",IF(Y484&gt;=3,MID(X484,8,6),""))</f>
        <v/>
      </c>
      <c r="AB484" s="23" t="str">
        <f aca="false">IF(X484="","",IF(Y484&gt;=4,MID(X484,15,6),""))</f>
        <v/>
      </c>
      <c r="AC484" s="23" t="str">
        <f aca="false">IF(X484="","",IF(Y484&gt;=5,MID(X484,22,6),""))</f>
        <v/>
      </c>
      <c r="AD484" s="23" t="str">
        <f aca="false">IF(X484="","",RIGHT(X484,6))</f>
        <v/>
      </c>
      <c r="AE484" s="23" t="str">
        <f aca="false">IF(F484="","",IF(ISNUMBER(SEARCH("-TK",UPPER(F484))),0,1))</f>
        <v/>
      </c>
      <c r="AF484" s="23" t="str">
        <f aca="false">IF(F484="","",IF(ISNUMBER(SEARCH("-LED",UPPER(F484))),1,0))</f>
        <v/>
      </c>
      <c r="AG484" s="24" t="n">
        <f aca="false">IF(Z484="",0,IFERROR(INDEX(Resep!$C$5:$C$7,MATCH(LEFT(Z484,3),Resep!$B$5:$B$7,0)),0))</f>
        <v>0</v>
      </c>
      <c r="AH484" s="24" t="n">
        <f aca="false">IF(AA484="",0,IFERROR(INDEX(Resep!$C$9:$C$13,MATCH(LEFT(AA484,3),Resep!$B$9:$B$13,0)),0))</f>
        <v>0</v>
      </c>
      <c r="AI484" s="24" t="n">
        <f aca="false">IF(AB484="",0,IFERROR(INDEX(Resep!$C$9:$C$13,MATCH(LEFT(AB484,3),Resep!$B$9:$B$13,0)),0))</f>
        <v>0</v>
      </c>
      <c r="AJ484" s="24" t="n">
        <f aca="false">IF(AC484="",0,IFERROR(INDEX(Resep!$C$9:$C$13,MATCH(LEFT(AC484,3),Resep!$B$9:$B$13,0)),0))</f>
        <v>0</v>
      </c>
      <c r="AK484" s="24" t="n">
        <f aca="false">IF(AD484="",0,IFERROR(INDEX(Resep!$C$15:$C$18,MATCH(LEFT(AD484,3),Resep!$B$15:$B$18,0)),0))</f>
        <v>0</v>
      </c>
      <c r="AL484" s="24" t="str">
        <f aca="false">IF(X484="","",AG484+AH484+AI484+AJ484+AK484)</f>
        <v/>
      </c>
      <c r="AM484" s="22" t="str">
        <f aca="false">IF(X484="","",AL484*(Pengaturan!$B$6+Pengaturan!$B$7)+Pengaturan!$B$8+AE484*Pengaturan!$B$9+AF484*Pengaturan!$B$10)</f>
        <v/>
      </c>
      <c r="AN484" s="22" t="str">
        <f aca="false">IF(X484="","",N(G484)-AM484)</f>
        <v/>
      </c>
      <c r="AO484" s="25" t="str">
        <f aca="false">IF(OR(X484="",N(G484)=0),"",AN484/G484)</f>
        <v/>
      </c>
    </row>
    <row r="485" customFormat="false" ht="15" hidden="false" customHeight="false" outlineLevel="0" collapsed="false">
      <c r="A485" s="19"/>
      <c r="B485" s="20"/>
      <c r="C485" s="19"/>
      <c r="D485" s="19"/>
      <c r="E485" s="19"/>
      <c r="F485" s="19"/>
      <c r="G485" s="21"/>
      <c r="H485" s="19"/>
      <c r="I485" s="21"/>
      <c r="J485" s="19"/>
      <c r="K485" s="20"/>
      <c r="L485" s="20"/>
      <c r="M485" s="19"/>
      <c r="N485" s="19"/>
      <c r="O485" s="20"/>
      <c r="P485" s="20"/>
      <c r="Q485" s="19"/>
      <c r="R485" s="22" t="str">
        <f aca="false">IF(A485="","",N(G485)+N(I485))</f>
        <v/>
      </c>
      <c r="S485" s="23" t="str">
        <f aca="false">IF(OR(K485="",O485=""),"",O485-K485)</f>
        <v/>
      </c>
      <c r="T485" s="23" t="str">
        <f aca="true">IF(AND(C485="Cetak",L485&lt;&gt;"",L485&lt;TODAY()),"YA","")</f>
        <v/>
      </c>
      <c r="U485" s="23" t="str">
        <f aca="false">IF(B485="","",TEXT(B485,"yyyy-mm"))</f>
        <v/>
      </c>
      <c r="V485" s="23" t="str">
        <f aca="false">IF(K485="","",TEXT(K485,"yyyy-mm"))</f>
        <v/>
      </c>
      <c r="W485" s="23" t="n">
        <f aca="false">IF(OR(C485="Cetak",C485="Dikirim",C485="Selesai"),1,0)</f>
        <v>0</v>
      </c>
      <c r="X485" s="23" t="str">
        <f aca="false">IF(F485="","",SUBSTITUTE(SUBSTITUTE(MID(UPPER(TRIM(F485)),4,99),"-LED",""),"-TK",""))</f>
        <v/>
      </c>
      <c r="Y485" s="23" t="str">
        <f aca="false">IF(X485="","",(LEN(X485)+1)/7)</f>
        <v/>
      </c>
      <c r="Z485" s="23" t="str">
        <f aca="false">IF(X485="","",LEFT(X485,6))</f>
        <v/>
      </c>
      <c r="AA485" s="23" t="str">
        <f aca="false">IF(X485="","",IF(Y485&gt;=3,MID(X485,8,6),""))</f>
        <v/>
      </c>
      <c r="AB485" s="23" t="str">
        <f aca="false">IF(X485="","",IF(Y485&gt;=4,MID(X485,15,6),""))</f>
        <v/>
      </c>
      <c r="AC485" s="23" t="str">
        <f aca="false">IF(X485="","",IF(Y485&gt;=5,MID(X485,22,6),""))</f>
        <v/>
      </c>
      <c r="AD485" s="23" t="str">
        <f aca="false">IF(X485="","",RIGHT(X485,6))</f>
        <v/>
      </c>
      <c r="AE485" s="23" t="str">
        <f aca="false">IF(F485="","",IF(ISNUMBER(SEARCH("-TK",UPPER(F485))),0,1))</f>
        <v/>
      </c>
      <c r="AF485" s="23" t="str">
        <f aca="false">IF(F485="","",IF(ISNUMBER(SEARCH("-LED",UPPER(F485))),1,0))</f>
        <v/>
      </c>
      <c r="AG485" s="24" t="n">
        <f aca="false">IF(Z485="",0,IFERROR(INDEX(Resep!$C$5:$C$7,MATCH(LEFT(Z485,3),Resep!$B$5:$B$7,0)),0))</f>
        <v>0</v>
      </c>
      <c r="AH485" s="24" t="n">
        <f aca="false">IF(AA485="",0,IFERROR(INDEX(Resep!$C$9:$C$13,MATCH(LEFT(AA485,3),Resep!$B$9:$B$13,0)),0))</f>
        <v>0</v>
      </c>
      <c r="AI485" s="24" t="n">
        <f aca="false">IF(AB485="",0,IFERROR(INDEX(Resep!$C$9:$C$13,MATCH(LEFT(AB485,3),Resep!$B$9:$B$13,0)),0))</f>
        <v>0</v>
      </c>
      <c r="AJ485" s="24" t="n">
        <f aca="false">IF(AC485="",0,IFERROR(INDEX(Resep!$C$9:$C$13,MATCH(LEFT(AC485,3),Resep!$B$9:$B$13,0)),0))</f>
        <v>0</v>
      </c>
      <c r="AK485" s="24" t="n">
        <f aca="false">IF(AD485="",0,IFERROR(INDEX(Resep!$C$15:$C$18,MATCH(LEFT(AD485,3),Resep!$B$15:$B$18,0)),0))</f>
        <v>0</v>
      </c>
      <c r="AL485" s="24" t="str">
        <f aca="false">IF(X485="","",AG485+AH485+AI485+AJ485+AK485)</f>
        <v/>
      </c>
      <c r="AM485" s="22" t="str">
        <f aca="false">IF(X485="","",AL485*(Pengaturan!$B$6+Pengaturan!$B$7)+Pengaturan!$B$8+AE485*Pengaturan!$B$9+AF485*Pengaturan!$B$10)</f>
        <v/>
      </c>
      <c r="AN485" s="22" t="str">
        <f aca="false">IF(X485="","",N(G485)-AM485)</f>
        <v/>
      </c>
      <c r="AO485" s="25" t="str">
        <f aca="false">IF(OR(X485="",N(G485)=0),"",AN485/G485)</f>
        <v/>
      </c>
    </row>
    <row r="486" customFormat="false" ht="15" hidden="false" customHeight="false" outlineLevel="0" collapsed="false">
      <c r="A486" s="19"/>
      <c r="B486" s="20"/>
      <c r="C486" s="19"/>
      <c r="D486" s="19"/>
      <c r="E486" s="19"/>
      <c r="F486" s="19"/>
      <c r="G486" s="21"/>
      <c r="H486" s="19"/>
      <c r="I486" s="21"/>
      <c r="J486" s="19"/>
      <c r="K486" s="20"/>
      <c r="L486" s="20"/>
      <c r="M486" s="19"/>
      <c r="N486" s="19"/>
      <c r="O486" s="20"/>
      <c r="P486" s="20"/>
      <c r="Q486" s="19"/>
      <c r="R486" s="22" t="str">
        <f aca="false">IF(A486="","",N(G486)+N(I486))</f>
        <v/>
      </c>
      <c r="S486" s="23" t="str">
        <f aca="false">IF(OR(K486="",O486=""),"",O486-K486)</f>
        <v/>
      </c>
      <c r="T486" s="23" t="str">
        <f aca="true">IF(AND(C486="Cetak",L486&lt;&gt;"",L486&lt;TODAY()),"YA","")</f>
        <v/>
      </c>
      <c r="U486" s="23" t="str">
        <f aca="false">IF(B486="","",TEXT(B486,"yyyy-mm"))</f>
        <v/>
      </c>
      <c r="V486" s="23" t="str">
        <f aca="false">IF(K486="","",TEXT(K486,"yyyy-mm"))</f>
        <v/>
      </c>
      <c r="W486" s="23" t="n">
        <f aca="false">IF(OR(C486="Cetak",C486="Dikirim",C486="Selesai"),1,0)</f>
        <v>0</v>
      </c>
      <c r="X486" s="23" t="str">
        <f aca="false">IF(F486="","",SUBSTITUTE(SUBSTITUTE(MID(UPPER(TRIM(F486)),4,99),"-LED",""),"-TK",""))</f>
        <v/>
      </c>
      <c r="Y486" s="23" t="str">
        <f aca="false">IF(X486="","",(LEN(X486)+1)/7)</f>
        <v/>
      </c>
      <c r="Z486" s="23" t="str">
        <f aca="false">IF(X486="","",LEFT(X486,6))</f>
        <v/>
      </c>
      <c r="AA486" s="23" t="str">
        <f aca="false">IF(X486="","",IF(Y486&gt;=3,MID(X486,8,6),""))</f>
        <v/>
      </c>
      <c r="AB486" s="23" t="str">
        <f aca="false">IF(X486="","",IF(Y486&gt;=4,MID(X486,15,6),""))</f>
        <v/>
      </c>
      <c r="AC486" s="23" t="str">
        <f aca="false">IF(X486="","",IF(Y486&gt;=5,MID(X486,22,6),""))</f>
        <v/>
      </c>
      <c r="AD486" s="23" t="str">
        <f aca="false">IF(X486="","",RIGHT(X486,6))</f>
        <v/>
      </c>
      <c r="AE486" s="23" t="str">
        <f aca="false">IF(F486="","",IF(ISNUMBER(SEARCH("-TK",UPPER(F486))),0,1))</f>
        <v/>
      </c>
      <c r="AF486" s="23" t="str">
        <f aca="false">IF(F486="","",IF(ISNUMBER(SEARCH("-LED",UPPER(F486))),1,0))</f>
        <v/>
      </c>
      <c r="AG486" s="24" t="n">
        <f aca="false">IF(Z486="",0,IFERROR(INDEX(Resep!$C$5:$C$7,MATCH(LEFT(Z486,3),Resep!$B$5:$B$7,0)),0))</f>
        <v>0</v>
      </c>
      <c r="AH486" s="24" t="n">
        <f aca="false">IF(AA486="",0,IFERROR(INDEX(Resep!$C$9:$C$13,MATCH(LEFT(AA486,3),Resep!$B$9:$B$13,0)),0))</f>
        <v>0</v>
      </c>
      <c r="AI486" s="24" t="n">
        <f aca="false">IF(AB486="",0,IFERROR(INDEX(Resep!$C$9:$C$13,MATCH(LEFT(AB486,3),Resep!$B$9:$B$13,0)),0))</f>
        <v>0</v>
      </c>
      <c r="AJ486" s="24" t="n">
        <f aca="false">IF(AC486="",0,IFERROR(INDEX(Resep!$C$9:$C$13,MATCH(LEFT(AC486,3),Resep!$B$9:$B$13,0)),0))</f>
        <v>0</v>
      </c>
      <c r="AK486" s="24" t="n">
        <f aca="false">IF(AD486="",0,IFERROR(INDEX(Resep!$C$15:$C$18,MATCH(LEFT(AD486,3),Resep!$B$15:$B$18,0)),0))</f>
        <v>0</v>
      </c>
      <c r="AL486" s="24" t="str">
        <f aca="false">IF(X486="","",AG486+AH486+AI486+AJ486+AK486)</f>
        <v/>
      </c>
      <c r="AM486" s="22" t="str">
        <f aca="false">IF(X486="","",AL486*(Pengaturan!$B$6+Pengaturan!$B$7)+Pengaturan!$B$8+AE486*Pengaturan!$B$9+AF486*Pengaturan!$B$10)</f>
        <v/>
      </c>
      <c r="AN486" s="22" t="str">
        <f aca="false">IF(X486="","",N(G486)-AM486)</f>
        <v/>
      </c>
      <c r="AO486" s="25" t="str">
        <f aca="false">IF(OR(X486="",N(G486)=0),"",AN486/G486)</f>
        <v/>
      </c>
    </row>
    <row r="487" customFormat="false" ht="15" hidden="false" customHeight="false" outlineLevel="0" collapsed="false">
      <c r="A487" s="19"/>
      <c r="B487" s="20"/>
      <c r="C487" s="19"/>
      <c r="D487" s="19"/>
      <c r="E487" s="19"/>
      <c r="F487" s="19"/>
      <c r="G487" s="21"/>
      <c r="H487" s="19"/>
      <c r="I487" s="21"/>
      <c r="J487" s="19"/>
      <c r="K487" s="20"/>
      <c r="L487" s="20"/>
      <c r="M487" s="19"/>
      <c r="N487" s="19"/>
      <c r="O487" s="20"/>
      <c r="P487" s="20"/>
      <c r="Q487" s="19"/>
      <c r="R487" s="22" t="str">
        <f aca="false">IF(A487="","",N(G487)+N(I487))</f>
        <v/>
      </c>
      <c r="S487" s="23" t="str">
        <f aca="false">IF(OR(K487="",O487=""),"",O487-K487)</f>
        <v/>
      </c>
      <c r="T487" s="23" t="str">
        <f aca="true">IF(AND(C487="Cetak",L487&lt;&gt;"",L487&lt;TODAY()),"YA","")</f>
        <v/>
      </c>
      <c r="U487" s="23" t="str">
        <f aca="false">IF(B487="","",TEXT(B487,"yyyy-mm"))</f>
        <v/>
      </c>
      <c r="V487" s="23" t="str">
        <f aca="false">IF(K487="","",TEXT(K487,"yyyy-mm"))</f>
        <v/>
      </c>
      <c r="W487" s="23" t="n">
        <f aca="false">IF(OR(C487="Cetak",C487="Dikirim",C487="Selesai"),1,0)</f>
        <v>0</v>
      </c>
      <c r="X487" s="23" t="str">
        <f aca="false">IF(F487="","",SUBSTITUTE(SUBSTITUTE(MID(UPPER(TRIM(F487)),4,99),"-LED",""),"-TK",""))</f>
        <v/>
      </c>
      <c r="Y487" s="23" t="str">
        <f aca="false">IF(X487="","",(LEN(X487)+1)/7)</f>
        <v/>
      </c>
      <c r="Z487" s="23" t="str">
        <f aca="false">IF(X487="","",LEFT(X487,6))</f>
        <v/>
      </c>
      <c r="AA487" s="23" t="str">
        <f aca="false">IF(X487="","",IF(Y487&gt;=3,MID(X487,8,6),""))</f>
        <v/>
      </c>
      <c r="AB487" s="23" t="str">
        <f aca="false">IF(X487="","",IF(Y487&gt;=4,MID(X487,15,6),""))</f>
        <v/>
      </c>
      <c r="AC487" s="23" t="str">
        <f aca="false">IF(X487="","",IF(Y487&gt;=5,MID(X487,22,6),""))</f>
        <v/>
      </c>
      <c r="AD487" s="23" t="str">
        <f aca="false">IF(X487="","",RIGHT(X487,6))</f>
        <v/>
      </c>
      <c r="AE487" s="23" t="str">
        <f aca="false">IF(F487="","",IF(ISNUMBER(SEARCH("-TK",UPPER(F487))),0,1))</f>
        <v/>
      </c>
      <c r="AF487" s="23" t="str">
        <f aca="false">IF(F487="","",IF(ISNUMBER(SEARCH("-LED",UPPER(F487))),1,0))</f>
        <v/>
      </c>
      <c r="AG487" s="24" t="n">
        <f aca="false">IF(Z487="",0,IFERROR(INDEX(Resep!$C$5:$C$7,MATCH(LEFT(Z487,3),Resep!$B$5:$B$7,0)),0))</f>
        <v>0</v>
      </c>
      <c r="AH487" s="24" t="n">
        <f aca="false">IF(AA487="",0,IFERROR(INDEX(Resep!$C$9:$C$13,MATCH(LEFT(AA487,3),Resep!$B$9:$B$13,0)),0))</f>
        <v>0</v>
      </c>
      <c r="AI487" s="24" t="n">
        <f aca="false">IF(AB487="",0,IFERROR(INDEX(Resep!$C$9:$C$13,MATCH(LEFT(AB487,3),Resep!$B$9:$B$13,0)),0))</f>
        <v>0</v>
      </c>
      <c r="AJ487" s="24" t="n">
        <f aca="false">IF(AC487="",0,IFERROR(INDEX(Resep!$C$9:$C$13,MATCH(LEFT(AC487,3),Resep!$B$9:$B$13,0)),0))</f>
        <v>0</v>
      </c>
      <c r="AK487" s="24" t="n">
        <f aca="false">IF(AD487="",0,IFERROR(INDEX(Resep!$C$15:$C$18,MATCH(LEFT(AD487,3),Resep!$B$15:$B$18,0)),0))</f>
        <v>0</v>
      </c>
      <c r="AL487" s="24" t="str">
        <f aca="false">IF(X487="","",AG487+AH487+AI487+AJ487+AK487)</f>
        <v/>
      </c>
      <c r="AM487" s="22" t="str">
        <f aca="false">IF(X487="","",AL487*(Pengaturan!$B$6+Pengaturan!$B$7)+Pengaturan!$B$8+AE487*Pengaturan!$B$9+AF487*Pengaturan!$B$10)</f>
        <v/>
      </c>
      <c r="AN487" s="22" t="str">
        <f aca="false">IF(X487="","",N(G487)-AM487)</f>
        <v/>
      </c>
      <c r="AO487" s="25" t="str">
        <f aca="false">IF(OR(X487="",N(G487)=0),"",AN487/G487)</f>
        <v/>
      </c>
    </row>
    <row r="488" customFormat="false" ht="15" hidden="false" customHeight="false" outlineLevel="0" collapsed="false">
      <c r="A488" s="19"/>
      <c r="B488" s="20"/>
      <c r="C488" s="19"/>
      <c r="D488" s="19"/>
      <c r="E488" s="19"/>
      <c r="F488" s="19"/>
      <c r="G488" s="21"/>
      <c r="H488" s="19"/>
      <c r="I488" s="21"/>
      <c r="J488" s="19"/>
      <c r="K488" s="20"/>
      <c r="L488" s="20"/>
      <c r="M488" s="19"/>
      <c r="N488" s="19"/>
      <c r="O488" s="20"/>
      <c r="P488" s="20"/>
      <c r="Q488" s="19"/>
      <c r="R488" s="22" t="str">
        <f aca="false">IF(A488="","",N(G488)+N(I488))</f>
        <v/>
      </c>
      <c r="S488" s="23" t="str">
        <f aca="false">IF(OR(K488="",O488=""),"",O488-K488)</f>
        <v/>
      </c>
      <c r="T488" s="23" t="str">
        <f aca="true">IF(AND(C488="Cetak",L488&lt;&gt;"",L488&lt;TODAY()),"YA","")</f>
        <v/>
      </c>
      <c r="U488" s="23" t="str">
        <f aca="false">IF(B488="","",TEXT(B488,"yyyy-mm"))</f>
        <v/>
      </c>
      <c r="V488" s="23" t="str">
        <f aca="false">IF(K488="","",TEXT(K488,"yyyy-mm"))</f>
        <v/>
      </c>
      <c r="W488" s="23" t="n">
        <f aca="false">IF(OR(C488="Cetak",C488="Dikirim",C488="Selesai"),1,0)</f>
        <v>0</v>
      </c>
      <c r="X488" s="23" t="str">
        <f aca="false">IF(F488="","",SUBSTITUTE(SUBSTITUTE(MID(UPPER(TRIM(F488)),4,99),"-LED",""),"-TK",""))</f>
        <v/>
      </c>
      <c r="Y488" s="23" t="str">
        <f aca="false">IF(X488="","",(LEN(X488)+1)/7)</f>
        <v/>
      </c>
      <c r="Z488" s="23" t="str">
        <f aca="false">IF(X488="","",LEFT(X488,6))</f>
        <v/>
      </c>
      <c r="AA488" s="23" t="str">
        <f aca="false">IF(X488="","",IF(Y488&gt;=3,MID(X488,8,6),""))</f>
        <v/>
      </c>
      <c r="AB488" s="23" t="str">
        <f aca="false">IF(X488="","",IF(Y488&gt;=4,MID(X488,15,6),""))</f>
        <v/>
      </c>
      <c r="AC488" s="23" t="str">
        <f aca="false">IF(X488="","",IF(Y488&gt;=5,MID(X488,22,6),""))</f>
        <v/>
      </c>
      <c r="AD488" s="23" t="str">
        <f aca="false">IF(X488="","",RIGHT(X488,6))</f>
        <v/>
      </c>
      <c r="AE488" s="23" t="str">
        <f aca="false">IF(F488="","",IF(ISNUMBER(SEARCH("-TK",UPPER(F488))),0,1))</f>
        <v/>
      </c>
      <c r="AF488" s="23" t="str">
        <f aca="false">IF(F488="","",IF(ISNUMBER(SEARCH("-LED",UPPER(F488))),1,0))</f>
        <v/>
      </c>
      <c r="AG488" s="24" t="n">
        <f aca="false">IF(Z488="",0,IFERROR(INDEX(Resep!$C$5:$C$7,MATCH(LEFT(Z488,3),Resep!$B$5:$B$7,0)),0))</f>
        <v>0</v>
      </c>
      <c r="AH488" s="24" t="n">
        <f aca="false">IF(AA488="",0,IFERROR(INDEX(Resep!$C$9:$C$13,MATCH(LEFT(AA488,3),Resep!$B$9:$B$13,0)),0))</f>
        <v>0</v>
      </c>
      <c r="AI488" s="24" t="n">
        <f aca="false">IF(AB488="",0,IFERROR(INDEX(Resep!$C$9:$C$13,MATCH(LEFT(AB488,3),Resep!$B$9:$B$13,0)),0))</f>
        <v>0</v>
      </c>
      <c r="AJ488" s="24" t="n">
        <f aca="false">IF(AC488="",0,IFERROR(INDEX(Resep!$C$9:$C$13,MATCH(LEFT(AC488,3),Resep!$B$9:$B$13,0)),0))</f>
        <v>0</v>
      </c>
      <c r="AK488" s="24" t="n">
        <f aca="false">IF(AD488="",0,IFERROR(INDEX(Resep!$C$15:$C$18,MATCH(LEFT(AD488,3),Resep!$B$15:$B$18,0)),0))</f>
        <v>0</v>
      </c>
      <c r="AL488" s="24" t="str">
        <f aca="false">IF(X488="","",AG488+AH488+AI488+AJ488+AK488)</f>
        <v/>
      </c>
      <c r="AM488" s="22" t="str">
        <f aca="false">IF(X488="","",AL488*(Pengaturan!$B$6+Pengaturan!$B$7)+Pengaturan!$B$8+AE488*Pengaturan!$B$9+AF488*Pengaturan!$B$10)</f>
        <v/>
      </c>
      <c r="AN488" s="22" t="str">
        <f aca="false">IF(X488="","",N(G488)-AM488)</f>
        <v/>
      </c>
      <c r="AO488" s="25" t="str">
        <f aca="false">IF(OR(X488="",N(G488)=0),"",AN488/G488)</f>
        <v/>
      </c>
    </row>
    <row r="489" customFormat="false" ht="15" hidden="false" customHeight="false" outlineLevel="0" collapsed="false">
      <c r="A489" s="19"/>
      <c r="B489" s="20"/>
      <c r="C489" s="19"/>
      <c r="D489" s="19"/>
      <c r="E489" s="19"/>
      <c r="F489" s="19"/>
      <c r="G489" s="21"/>
      <c r="H489" s="19"/>
      <c r="I489" s="21"/>
      <c r="J489" s="19"/>
      <c r="K489" s="20"/>
      <c r="L489" s="20"/>
      <c r="M489" s="19"/>
      <c r="N489" s="19"/>
      <c r="O489" s="20"/>
      <c r="P489" s="20"/>
      <c r="Q489" s="19"/>
      <c r="R489" s="22" t="str">
        <f aca="false">IF(A489="","",N(G489)+N(I489))</f>
        <v/>
      </c>
      <c r="S489" s="23" t="str">
        <f aca="false">IF(OR(K489="",O489=""),"",O489-K489)</f>
        <v/>
      </c>
      <c r="T489" s="23" t="str">
        <f aca="true">IF(AND(C489="Cetak",L489&lt;&gt;"",L489&lt;TODAY()),"YA","")</f>
        <v/>
      </c>
      <c r="U489" s="23" t="str">
        <f aca="false">IF(B489="","",TEXT(B489,"yyyy-mm"))</f>
        <v/>
      </c>
      <c r="V489" s="23" t="str">
        <f aca="false">IF(K489="","",TEXT(K489,"yyyy-mm"))</f>
        <v/>
      </c>
      <c r="W489" s="23" t="n">
        <f aca="false">IF(OR(C489="Cetak",C489="Dikirim",C489="Selesai"),1,0)</f>
        <v>0</v>
      </c>
      <c r="X489" s="23" t="str">
        <f aca="false">IF(F489="","",SUBSTITUTE(SUBSTITUTE(MID(UPPER(TRIM(F489)),4,99),"-LED",""),"-TK",""))</f>
        <v/>
      </c>
      <c r="Y489" s="23" t="str">
        <f aca="false">IF(X489="","",(LEN(X489)+1)/7)</f>
        <v/>
      </c>
      <c r="Z489" s="23" t="str">
        <f aca="false">IF(X489="","",LEFT(X489,6))</f>
        <v/>
      </c>
      <c r="AA489" s="23" t="str">
        <f aca="false">IF(X489="","",IF(Y489&gt;=3,MID(X489,8,6),""))</f>
        <v/>
      </c>
      <c r="AB489" s="23" t="str">
        <f aca="false">IF(X489="","",IF(Y489&gt;=4,MID(X489,15,6),""))</f>
        <v/>
      </c>
      <c r="AC489" s="23" t="str">
        <f aca="false">IF(X489="","",IF(Y489&gt;=5,MID(X489,22,6),""))</f>
        <v/>
      </c>
      <c r="AD489" s="23" t="str">
        <f aca="false">IF(X489="","",RIGHT(X489,6))</f>
        <v/>
      </c>
      <c r="AE489" s="23" t="str">
        <f aca="false">IF(F489="","",IF(ISNUMBER(SEARCH("-TK",UPPER(F489))),0,1))</f>
        <v/>
      </c>
      <c r="AF489" s="23" t="str">
        <f aca="false">IF(F489="","",IF(ISNUMBER(SEARCH("-LED",UPPER(F489))),1,0))</f>
        <v/>
      </c>
      <c r="AG489" s="24" t="n">
        <f aca="false">IF(Z489="",0,IFERROR(INDEX(Resep!$C$5:$C$7,MATCH(LEFT(Z489,3),Resep!$B$5:$B$7,0)),0))</f>
        <v>0</v>
      </c>
      <c r="AH489" s="24" t="n">
        <f aca="false">IF(AA489="",0,IFERROR(INDEX(Resep!$C$9:$C$13,MATCH(LEFT(AA489,3),Resep!$B$9:$B$13,0)),0))</f>
        <v>0</v>
      </c>
      <c r="AI489" s="24" t="n">
        <f aca="false">IF(AB489="",0,IFERROR(INDEX(Resep!$C$9:$C$13,MATCH(LEFT(AB489,3),Resep!$B$9:$B$13,0)),0))</f>
        <v>0</v>
      </c>
      <c r="AJ489" s="24" t="n">
        <f aca="false">IF(AC489="",0,IFERROR(INDEX(Resep!$C$9:$C$13,MATCH(LEFT(AC489,3),Resep!$B$9:$B$13,0)),0))</f>
        <v>0</v>
      </c>
      <c r="AK489" s="24" t="n">
        <f aca="false">IF(AD489="",0,IFERROR(INDEX(Resep!$C$15:$C$18,MATCH(LEFT(AD489,3),Resep!$B$15:$B$18,0)),0))</f>
        <v>0</v>
      </c>
      <c r="AL489" s="24" t="str">
        <f aca="false">IF(X489="","",AG489+AH489+AI489+AJ489+AK489)</f>
        <v/>
      </c>
      <c r="AM489" s="22" t="str">
        <f aca="false">IF(X489="","",AL489*(Pengaturan!$B$6+Pengaturan!$B$7)+Pengaturan!$B$8+AE489*Pengaturan!$B$9+AF489*Pengaturan!$B$10)</f>
        <v/>
      </c>
      <c r="AN489" s="22" t="str">
        <f aca="false">IF(X489="","",N(G489)-AM489)</f>
        <v/>
      </c>
      <c r="AO489" s="25" t="str">
        <f aca="false">IF(OR(X489="",N(G489)=0),"",AN489/G489)</f>
        <v/>
      </c>
    </row>
    <row r="490" customFormat="false" ht="15" hidden="false" customHeight="false" outlineLevel="0" collapsed="false">
      <c r="A490" s="19"/>
      <c r="B490" s="20"/>
      <c r="C490" s="19"/>
      <c r="D490" s="19"/>
      <c r="E490" s="19"/>
      <c r="F490" s="19"/>
      <c r="G490" s="21"/>
      <c r="H490" s="19"/>
      <c r="I490" s="21"/>
      <c r="J490" s="19"/>
      <c r="K490" s="20"/>
      <c r="L490" s="20"/>
      <c r="M490" s="19"/>
      <c r="N490" s="19"/>
      <c r="O490" s="20"/>
      <c r="P490" s="20"/>
      <c r="Q490" s="19"/>
      <c r="R490" s="22" t="str">
        <f aca="false">IF(A490="","",N(G490)+N(I490))</f>
        <v/>
      </c>
      <c r="S490" s="23" t="str">
        <f aca="false">IF(OR(K490="",O490=""),"",O490-K490)</f>
        <v/>
      </c>
      <c r="T490" s="23" t="str">
        <f aca="true">IF(AND(C490="Cetak",L490&lt;&gt;"",L490&lt;TODAY()),"YA","")</f>
        <v/>
      </c>
      <c r="U490" s="23" t="str">
        <f aca="false">IF(B490="","",TEXT(B490,"yyyy-mm"))</f>
        <v/>
      </c>
      <c r="V490" s="23" t="str">
        <f aca="false">IF(K490="","",TEXT(K490,"yyyy-mm"))</f>
        <v/>
      </c>
      <c r="W490" s="23" t="n">
        <f aca="false">IF(OR(C490="Cetak",C490="Dikirim",C490="Selesai"),1,0)</f>
        <v>0</v>
      </c>
      <c r="X490" s="23" t="str">
        <f aca="false">IF(F490="","",SUBSTITUTE(SUBSTITUTE(MID(UPPER(TRIM(F490)),4,99),"-LED",""),"-TK",""))</f>
        <v/>
      </c>
      <c r="Y490" s="23" t="str">
        <f aca="false">IF(X490="","",(LEN(X490)+1)/7)</f>
        <v/>
      </c>
      <c r="Z490" s="23" t="str">
        <f aca="false">IF(X490="","",LEFT(X490,6))</f>
        <v/>
      </c>
      <c r="AA490" s="23" t="str">
        <f aca="false">IF(X490="","",IF(Y490&gt;=3,MID(X490,8,6),""))</f>
        <v/>
      </c>
      <c r="AB490" s="23" t="str">
        <f aca="false">IF(X490="","",IF(Y490&gt;=4,MID(X490,15,6),""))</f>
        <v/>
      </c>
      <c r="AC490" s="23" t="str">
        <f aca="false">IF(X490="","",IF(Y490&gt;=5,MID(X490,22,6),""))</f>
        <v/>
      </c>
      <c r="AD490" s="23" t="str">
        <f aca="false">IF(X490="","",RIGHT(X490,6))</f>
        <v/>
      </c>
      <c r="AE490" s="23" t="str">
        <f aca="false">IF(F490="","",IF(ISNUMBER(SEARCH("-TK",UPPER(F490))),0,1))</f>
        <v/>
      </c>
      <c r="AF490" s="23" t="str">
        <f aca="false">IF(F490="","",IF(ISNUMBER(SEARCH("-LED",UPPER(F490))),1,0))</f>
        <v/>
      </c>
      <c r="AG490" s="24" t="n">
        <f aca="false">IF(Z490="",0,IFERROR(INDEX(Resep!$C$5:$C$7,MATCH(LEFT(Z490,3),Resep!$B$5:$B$7,0)),0))</f>
        <v>0</v>
      </c>
      <c r="AH490" s="24" t="n">
        <f aca="false">IF(AA490="",0,IFERROR(INDEX(Resep!$C$9:$C$13,MATCH(LEFT(AA490,3),Resep!$B$9:$B$13,0)),0))</f>
        <v>0</v>
      </c>
      <c r="AI490" s="24" t="n">
        <f aca="false">IF(AB490="",0,IFERROR(INDEX(Resep!$C$9:$C$13,MATCH(LEFT(AB490,3),Resep!$B$9:$B$13,0)),0))</f>
        <v>0</v>
      </c>
      <c r="AJ490" s="24" t="n">
        <f aca="false">IF(AC490="",0,IFERROR(INDEX(Resep!$C$9:$C$13,MATCH(LEFT(AC490,3),Resep!$B$9:$B$13,0)),0))</f>
        <v>0</v>
      </c>
      <c r="AK490" s="24" t="n">
        <f aca="false">IF(AD490="",0,IFERROR(INDEX(Resep!$C$15:$C$18,MATCH(LEFT(AD490,3),Resep!$B$15:$B$18,0)),0))</f>
        <v>0</v>
      </c>
      <c r="AL490" s="24" t="str">
        <f aca="false">IF(X490="","",AG490+AH490+AI490+AJ490+AK490)</f>
        <v/>
      </c>
      <c r="AM490" s="22" t="str">
        <f aca="false">IF(X490="","",AL490*(Pengaturan!$B$6+Pengaturan!$B$7)+Pengaturan!$B$8+AE490*Pengaturan!$B$9+AF490*Pengaturan!$B$10)</f>
        <v/>
      </c>
      <c r="AN490" s="22" t="str">
        <f aca="false">IF(X490="","",N(G490)-AM490)</f>
        <v/>
      </c>
      <c r="AO490" s="25" t="str">
        <f aca="false">IF(OR(X490="",N(G490)=0),"",AN490/G490)</f>
        <v/>
      </c>
    </row>
    <row r="491" customFormat="false" ht="15" hidden="false" customHeight="false" outlineLevel="0" collapsed="false">
      <c r="A491" s="19"/>
      <c r="B491" s="20"/>
      <c r="C491" s="19"/>
      <c r="D491" s="19"/>
      <c r="E491" s="19"/>
      <c r="F491" s="19"/>
      <c r="G491" s="21"/>
      <c r="H491" s="19"/>
      <c r="I491" s="21"/>
      <c r="J491" s="19"/>
      <c r="K491" s="20"/>
      <c r="L491" s="20"/>
      <c r="M491" s="19"/>
      <c r="N491" s="19"/>
      <c r="O491" s="20"/>
      <c r="P491" s="20"/>
      <c r="Q491" s="19"/>
      <c r="R491" s="22" t="str">
        <f aca="false">IF(A491="","",N(G491)+N(I491))</f>
        <v/>
      </c>
      <c r="S491" s="23" t="str">
        <f aca="false">IF(OR(K491="",O491=""),"",O491-K491)</f>
        <v/>
      </c>
      <c r="T491" s="23" t="str">
        <f aca="true">IF(AND(C491="Cetak",L491&lt;&gt;"",L491&lt;TODAY()),"YA","")</f>
        <v/>
      </c>
      <c r="U491" s="23" t="str">
        <f aca="false">IF(B491="","",TEXT(B491,"yyyy-mm"))</f>
        <v/>
      </c>
      <c r="V491" s="23" t="str">
        <f aca="false">IF(K491="","",TEXT(K491,"yyyy-mm"))</f>
        <v/>
      </c>
      <c r="W491" s="23" t="n">
        <f aca="false">IF(OR(C491="Cetak",C491="Dikirim",C491="Selesai"),1,0)</f>
        <v>0</v>
      </c>
      <c r="X491" s="23" t="str">
        <f aca="false">IF(F491="","",SUBSTITUTE(SUBSTITUTE(MID(UPPER(TRIM(F491)),4,99),"-LED",""),"-TK",""))</f>
        <v/>
      </c>
      <c r="Y491" s="23" t="str">
        <f aca="false">IF(X491="","",(LEN(X491)+1)/7)</f>
        <v/>
      </c>
      <c r="Z491" s="23" t="str">
        <f aca="false">IF(X491="","",LEFT(X491,6))</f>
        <v/>
      </c>
      <c r="AA491" s="23" t="str">
        <f aca="false">IF(X491="","",IF(Y491&gt;=3,MID(X491,8,6),""))</f>
        <v/>
      </c>
      <c r="AB491" s="23" t="str">
        <f aca="false">IF(X491="","",IF(Y491&gt;=4,MID(X491,15,6),""))</f>
        <v/>
      </c>
      <c r="AC491" s="23" t="str">
        <f aca="false">IF(X491="","",IF(Y491&gt;=5,MID(X491,22,6),""))</f>
        <v/>
      </c>
      <c r="AD491" s="23" t="str">
        <f aca="false">IF(X491="","",RIGHT(X491,6))</f>
        <v/>
      </c>
      <c r="AE491" s="23" t="str">
        <f aca="false">IF(F491="","",IF(ISNUMBER(SEARCH("-TK",UPPER(F491))),0,1))</f>
        <v/>
      </c>
      <c r="AF491" s="23" t="str">
        <f aca="false">IF(F491="","",IF(ISNUMBER(SEARCH("-LED",UPPER(F491))),1,0))</f>
        <v/>
      </c>
      <c r="AG491" s="24" t="n">
        <f aca="false">IF(Z491="",0,IFERROR(INDEX(Resep!$C$5:$C$7,MATCH(LEFT(Z491,3),Resep!$B$5:$B$7,0)),0))</f>
        <v>0</v>
      </c>
      <c r="AH491" s="24" t="n">
        <f aca="false">IF(AA491="",0,IFERROR(INDEX(Resep!$C$9:$C$13,MATCH(LEFT(AA491,3),Resep!$B$9:$B$13,0)),0))</f>
        <v>0</v>
      </c>
      <c r="AI491" s="24" t="n">
        <f aca="false">IF(AB491="",0,IFERROR(INDEX(Resep!$C$9:$C$13,MATCH(LEFT(AB491,3),Resep!$B$9:$B$13,0)),0))</f>
        <v>0</v>
      </c>
      <c r="AJ491" s="24" t="n">
        <f aca="false">IF(AC491="",0,IFERROR(INDEX(Resep!$C$9:$C$13,MATCH(LEFT(AC491,3),Resep!$B$9:$B$13,0)),0))</f>
        <v>0</v>
      </c>
      <c r="AK491" s="24" t="n">
        <f aca="false">IF(AD491="",0,IFERROR(INDEX(Resep!$C$15:$C$18,MATCH(LEFT(AD491,3),Resep!$B$15:$B$18,0)),0))</f>
        <v>0</v>
      </c>
      <c r="AL491" s="24" t="str">
        <f aca="false">IF(X491="","",AG491+AH491+AI491+AJ491+AK491)</f>
        <v/>
      </c>
      <c r="AM491" s="22" t="str">
        <f aca="false">IF(X491="","",AL491*(Pengaturan!$B$6+Pengaturan!$B$7)+Pengaturan!$B$8+AE491*Pengaturan!$B$9+AF491*Pengaturan!$B$10)</f>
        <v/>
      </c>
      <c r="AN491" s="22" t="str">
        <f aca="false">IF(X491="","",N(G491)-AM491)</f>
        <v/>
      </c>
      <c r="AO491" s="25" t="str">
        <f aca="false">IF(OR(X491="",N(G491)=0),"",AN491/G491)</f>
        <v/>
      </c>
    </row>
    <row r="492" customFormat="false" ht="15" hidden="false" customHeight="false" outlineLevel="0" collapsed="false">
      <c r="A492" s="19"/>
      <c r="B492" s="20"/>
      <c r="C492" s="19"/>
      <c r="D492" s="19"/>
      <c r="E492" s="19"/>
      <c r="F492" s="19"/>
      <c r="G492" s="21"/>
      <c r="H492" s="19"/>
      <c r="I492" s="21"/>
      <c r="J492" s="19"/>
      <c r="K492" s="20"/>
      <c r="L492" s="20"/>
      <c r="M492" s="19"/>
      <c r="N492" s="19"/>
      <c r="O492" s="20"/>
      <c r="P492" s="20"/>
      <c r="Q492" s="19"/>
      <c r="R492" s="22" t="str">
        <f aca="false">IF(A492="","",N(G492)+N(I492))</f>
        <v/>
      </c>
      <c r="S492" s="23" t="str">
        <f aca="false">IF(OR(K492="",O492=""),"",O492-K492)</f>
        <v/>
      </c>
      <c r="T492" s="23" t="str">
        <f aca="true">IF(AND(C492="Cetak",L492&lt;&gt;"",L492&lt;TODAY()),"YA","")</f>
        <v/>
      </c>
      <c r="U492" s="23" t="str">
        <f aca="false">IF(B492="","",TEXT(B492,"yyyy-mm"))</f>
        <v/>
      </c>
      <c r="V492" s="23" t="str">
        <f aca="false">IF(K492="","",TEXT(K492,"yyyy-mm"))</f>
        <v/>
      </c>
      <c r="W492" s="23" t="n">
        <f aca="false">IF(OR(C492="Cetak",C492="Dikirim",C492="Selesai"),1,0)</f>
        <v>0</v>
      </c>
      <c r="X492" s="23" t="str">
        <f aca="false">IF(F492="","",SUBSTITUTE(SUBSTITUTE(MID(UPPER(TRIM(F492)),4,99),"-LED",""),"-TK",""))</f>
        <v/>
      </c>
      <c r="Y492" s="23" t="str">
        <f aca="false">IF(X492="","",(LEN(X492)+1)/7)</f>
        <v/>
      </c>
      <c r="Z492" s="23" t="str">
        <f aca="false">IF(X492="","",LEFT(X492,6))</f>
        <v/>
      </c>
      <c r="AA492" s="23" t="str">
        <f aca="false">IF(X492="","",IF(Y492&gt;=3,MID(X492,8,6),""))</f>
        <v/>
      </c>
      <c r="AB492" s="23" t="str">
        <f aca="false">IF(X492="","",IF(Y492&gt;=4,MID(X492,15,6),""))</f>
        <v/>
      </c>
      <c r="AC492" s="23" t="str">
        <f aca="false">IF(X492="","",IF(Y492&gt;=5,MID(X492,22,6),""))</f>
        <v/>
      </c>
      <c r="AD492" s="23" t="str">
        <f aca="false">IF(X492="","",RIGHT(X492,6))</f>
        <v/>
      </c>
      <c r="AE492" s="23" t="str">
        <f aca="false">IF(F492="","",IF(ISNUMBER(SEARCH("-TK",UPPER(F492))),0,1))</f>
        <v/>
      </c>
      <c r="AF492" s="23" t="str">
        <f aca="false">IF(F492="","",IF(ISNUMBER(SEARCH("-LED",UPPER(F492))),1,0))</f>
        <v/>
      </c>
      <c r="AG492" s="24" t="n">
        <f aca="false">IF(Z492="",0,IFERROR(INDEX(Resep!$C$5:$C$7,MATCH(LEFT(Z492,3),Resep!$B$5:$B$7,0)),0))</f>
        <v>0</v>
      </c>
      <c r="AH492" s="24" t="n">
        <f aca="false">IF(AA492="",0,IFERROR(INDEX(Resep!$C$9:$C$13,MATCH(LEFT(AA492,3),Resep!$B$9:$B$13,0)),0))</f>
        <v>0</v>
      </c>
      <c r="AI492" s="24" t="n">
        <f aca="false">IF(AB492="",0,IFERROR(INDEX(Resep!$C$9:$C$13,MATCH(LEFT(AB492,3),Resep!$B$9:$B$13,0)),0))</f>
        <v>0</v>
      </c>
      <c r="AJ492" s="24" t="n">
        <f aca="false">IF(AC492="",0,IFERROR(INDEX(Resep!$C$9:$C$13,MATCH(LEFT(AC492,3),Resep!$B$9:$B$13,0)),0))</f>
        <v>0</v>
      </c>
      <c r="AK492" s="24" t="n">
        <f aca="false">IF(AD492="",0,IFERROR(INDEX(Resep!$C$15:$C$18,MATCH(LEFT(AD492,3),Resep!$B$15:$B$18,0)),0))</f>
        <v>0</v>
      </c>
      <c r="AL492" s="24" t="str">
        <f aca="false">IF(X492="","",AG492+AH492+AI492+AJ492+AK492)</f>
        <v/>
      </c>
      <c r="AM492" s="22" t="str">
        <f aca="false">IF(X492="","",AL492*(Pengaturan!$B$6+Pengaturan!$B$7)+Pengaturan!$B$8+AE492*Pengaturan!$B$9+AF492*Pengaturan!$B$10)</f>
        <v/>
      </c>
      <c r="AN492" s="22" t="str">
        <f aca="false">IF(X492="","",N(G492)-AM492)</f>
        <v/>
      </c>
      <c r="AO492" s="25" t="str">
        <f aca="false">IF(OR(X492="",N(G492)=0),"",AN492/G492)</f>
        <v/>
      </c>
    </row>
    <row r="493" customFormat="false" ht="15" hidden="false" customHeight="false" outlineLevel="0" collapsed="false">
      <c r="A493" s="19"/>
      <c r="B493" s="20"/>
      <c r="C493" s="19"/>
      <c r="D493" s="19"/>
      <c r="E493" s="19"/>
      <c r="F493" s="19"/>
      <c r="G493" s="21"/>
      <c r="H493" s="19"/>
      <c r="I493" s="21"/>
      <c r="J493" s="19"/>
      <c r="K493" s="20"/>
      <c r="L493" s="20"/>
      <c r="M493" s="19"/>
      <c r="N493" s="19"/>
      <c r="O493" s="20"/>
      <c r="P493" s="20"/>
      <c r="Q493" s="19"/>
      <c r="R493" s="22" t="str">
        <f aca="false">IF(A493="","",N(G493)+N(I493))</f>
        <v/>
      </c>
      <c r="S493" s="23" t="str">
        <f aca="false">IF(OR(K493="",O493=""),"",O493-K493)</f>
        <v/>
      </c>
      <c r="T493" s="23" t="str">
        <f aca="true">IF(AND(C493="Cetak",L493&lt;&gt;"",L493&lt;TODAY()),"YA","")</f>
        <v/>
      </c>
      <c r="U493" s="23" t="str">
        <f aca="false">IF(B493="","",TEXT(B493,"yyyy-mm"))</f>
        <v/>
      </c>
      <c r="V493" s="23" t="str">
        <f aca="false">IF(K493="","",TEXT(K493,"yyyy-mm"))</f>
        <v/>
      </c>
      <c r="W493" s="23" t="n">
        <f aca="false">IF(OR(C493="Cetak",C493="Dikirim",C493="Selesai"),1,0)</f>
        <v>0</v>
      </c>
      <c r="X493" s="23" t="str">
        <f aca="false">IF(F493="","",SUBSTITUTE(SUBSTITUTE(MID(UPPER(TRIM(F493)),4,99),"-LED",""),"-TK",""))</f>
        <v/>
      </c>
      <c r="Y493" s="23" t="str">
        <f aca="false">IF(X493="","",(LEN(X493)+1)/7)</f>
        <v/>
      </c>
      <c r="Z493" s="23" t="str">
        <f aca="false">IF(X493="","",LEFT(X493,6))</f>
        <v/>
      </c>
      <c r="AA493" s="23" t="str">
        <f aca="false">IF(X493="","",IF(Y493&gt;=3,MID(X493,8,6),""))</f>
        <v/>
      </c>
      <c r="AB493" s="23" t="str">
        <f aca="false">IF(X493="","",IF(Y493&gt;=4,MID(X493,15,6),""))</f>
        <v/>
      </c>
      <c r="AC493" s="23" t="str">
        <f aca="false">IF(X493="","",IF(Y493&gt;=5,MID(X493,22,6),""))</f>
        <v/>
      </c>
      <c r="AD493" s="23" t="str">
        <f aca="false">IF(X493="","",RIGHT(X493,6))</f>
        <v/>
      </c>
      <c r="AE493" s="23" t="str">
        <f aca="false">IF(F493="","",IF(ISNUMBER(SEARCH("-TK",UPPER(F493))),0,1))</f>
        <v/>
      </c>
      <c r="AF493" s="23" t="str">
        <f aca="false">IF(F493="","",IF(ISNUMBER(SEARCH("-LED",UPPER(F493))),1,0))</f>
        <v/>
      </c>
      <c r="AG493" s="24" t="n">
        <f aca="false">IF(Z493="",0,IFERROR(INDEX(Resep!$C$5:$C$7,MATCH(LEFT(Z493,3),Resep!$B$5:$B$7,0)),0))</f>
        <v>0</v>
      </c>
      <c r="AH493" s="24" t="n">
        <f aca="false">IF(AA493="",0,IFERROR(INDEX(Resep!$C$9:$C$13,MATCH(LEFT(AA493,3),Resep!$B$9:$B$13,0)),0))</f>
        <v>0</v>
      </c>
      <c r="AI493" s="24" t="n">
        <f aca="false">IF(AB493="",0,IFERROR(INDEX(Resep!$C$9:$C$13,MATCH(LEFT(AB493,3),Resep!$B$9:$B$13,0)),0))</f>
        <v>0</v>
      </c>
      <c r="AJ493" s="24" t="n">
        <f aca="false">IF(AC493="",0,IFERROR(INDEX(Resep!$C$9:$C$13,MATCH(LEFT(AC493,3),Resep!$B$9:$B$13,0)),0))</f>
        <v>0</v>
      </c>
      <c r="AK493" s="24" t="n">
        <f aca="false">IF(AD493="",0,IFERROR(INDEX(Resep!$C$15:$C$18,MATCH(LEFT(AD493,3),Resep!$B$15:$B$18,0)),0))</f>
        <v>0</v>
      </c>
      <c r="AL493" s="24" t="str">
        <f aca="false">IF(X493="","",AG493+AH493+AI493+AJ493+AK493)</f>
        <v/>
      </c>
      <c r="AM493" s="22" t="str">
        <f aca="false">IF(X493="","",AL493*(Pengaturan!$B$6+Pengaturan!$B$7)+Pengaturan!$B$8+AE493*Pengaturan!$B$9+AF493*Pengaturan!$B$10)</f>
        <v/>
      </c>
      <c r="AN493" s="22" t="str">
        <f aca="false">IF(X493="","",N(G493)-AM493)</f>
        <v/>
      </c>
      <c r="AO493" s="25" t="str">
        <f aca="false">IF(OR(X493="",N(G493)=0),"",AN493/G493)</f>
        <v/>
      </c>
    </row>
    <row r="494" customFormat="false" ht="15" hidden="false" customHeight="false" outlineLevel="0" collapsed="false">
      <c r="A494" s="19"/>
      <c r="B494" s="20"/>
      <c r="C494" s="19"/>
      <c r="D494" s="19"/>
      <c r="E494" s="19"/>
      <c r="F494" s="19"/>
      <c r="G494" s="21"/>
      <c r="H494" s="19"/>
      <c r="I494" s="21"/>
      <c r="J494" s="19"/>
      <c r="K494" s="20"/>
      <c r="L494" s="20"/>
      <c r="M494" s="19"/>
      <c r="N494" s="19"/>
      <c r="O494" s="20"/>
      <c r="P494" s="20"/>
      <c r="Q494" s="19"/>
      <c r="R494" s="22" t="str">
        <f aca="false">IF(A494="","",N(G494)+N(I494))</f>
        <v/>
      </c>
      <c r="S494" s="23" t="str">
        <f aca="false">IF(OR(K494="",O494=""),"",O494-K494)</f>
        <v/>
      </c>
      <c r="T494" s="23" t="str">
        <f aca="true">IF(AND(C494="Cetak",L494&lt;&gt;"",L494&lt;TODAY()),"YA","")</f>
        <v/>
      </c>
      <c r="U494" s="23" t="str">
        <f aca="false">IF(B494="","",TEXT(B494,"yyyy-mm"))</f>
        <v/>
      </c>
      <c r="V494" s="23" t="str">
        <f aca="false">IF(K494="","",TEXT(K494,"yyyy-mm"))</f>
        <v/>
      </c>
      <c r="W494" s="23" t="n">
        <f aca="false">IF(OR(C494="Cetak",C494="Dikirim",C494="Selesai"),1,0)</f>
        <v>0</v>
      </c>
      <c r="X494" s="23" t="str">
        <f aca="false">IF(F494="","",SUBSTITUTE(SUBSTITUTE(MID(UPPER(TRIM(F494)),4,99),"-LED",""),"-TK",""))</f>
        <v/>
      </c>
      <c r="Y494" s="23" t="str">
        <f aca="false">IF(X494="","",(LEN(X494)+1)/7)</f>
        <v/>
      </c>
      <c r="Z494" s="23" t="str">
        <f aca="false">IF(X494="","",LEFT(X494,6))</f>
        <v/>
      </c>
      <c r="AA494" s="23" t="str">
        <f aca="false">IF(X494="","",IF(Y494&gt;=3,MID(X494,8,6),""))</f>
        <v/>
      </c>
      <c r="AB494" s="23" t="str">
        <f aca="false">IF(X494="","",IF(Y494&gt;=4,MID(X494,15,6),""))</f>
        <v/>
      </c>
      <c r="AC494" s="23" t="str">
        <f aca="false">IF(X494="","",IF(Y494&gt;=5,MID(X494,22,6),""))</f>
        <v/>
      </c>
      <c r="AD494" s="23" t="str">
        <f aca="false">IF(X494="","",RIGHT(X494,6))</f>
        <v/>
      </c>
      <c r="AE494" s="23" t="str">
        <f aca="false">IF(F494="","",IF(ISNUMBER(SEARCH("-TK",UPPER(F494))),0,1))</f>
        <v/>
      </c>
      <c r="AF494" s="23" t="str">
        <f aca="false">IF(F494="","",IF(ISNUMBER(SEARCH("-LED",UPPER(F494))),1,0))</f>
        <v/>
      </c>
      <c r="AG494" s="24" t="n">
        <f aca="false">IF(Z494="",0,IFERROR(INDEX(Resep!$C$5:$C$7,MATCH(LEFT(Z494,3),Resep!$B$5:$B$7,0)),0))</f>
        <v>0</v>
      </c>
      <c r="AH494" s="24" t="n">
        <f aca="false">IF(AA494="",0,IFERROR(INDEX(Resep!$C$9:$C$13,MATCH(LEFT(AA494,3),Resep!$B$9:$B$13,0)),0))</f>
        <v>0</v>
      </c>
      <c r="AI494" s="24" t="n">
        <f aca="false">IF(AB494="",0,IFERROR(INDEX(Resep!$C$9:$C$13,MATCH(LEFT(AB494,3),Resep!$B$9:$B$13,0)),0))</f>
        <v>0</v>
      </c>
      <c r="AJ494" s="24" t="n">
        <f aca="false">IF(AC494="",0,IFERROR(INDEX(Resep!$C$9:$C$13,MATCH(LEFT(AC494,3),Resep!$B$9:$B$13,0)),0))</f>
        <v>0</v>
      </c>
      <c r="AK494" s="24" t="n">
        <f aca="false">IF(AD494="",0,IFERROR(INDEX(Resep!$C$15:$C$18,MATCH(LEFT(AD494,3),Resep!$B$15:$B$18,0)),0))</f>
        <v>0</v>
      </c>
      <c r="AL494" s="24" t="str">
        <f aca="false">IF(X494="","",AG494+AH494+AI494+AJ494+AK494)</f>
        <v/>
      </c>
      <c r="AM494" s="22" t="str">
        <f aca="false">IF(X494="","",AL494*(Pengaturan!$B$6+Pengaturan!$B$7)+Pengaturan!$B$8+AE494*Pengaturan!$B$9+AF494*Pengaturan!$B$10)</f>
        <v/>
      </c>
      <c r="AN494" s="22" t="str">
        <f aca="false">IF(X494="","",N(G494)-AM494)</f>
        <v/>
      </c>
      <c r="AO494" s="25" t="str">
        <f aca="false">IF(OR(X494="",N(G494)=0),"",AN494/G494)</f>
        <v/>
      </c>
    </row>
    <row r="495" customFormat="false" ht="15" hidden="false" customHeight="false" outlineLevel="0" collapsed="false">
      <c r="A495" s="19"/>
      <c r="B495" s="20"/>
      <c r="C495" s="19"/>
      <c r="D495" s="19"/>
      <c r="E495" s="19"/>
      <c r="F495" s="19"/>
      <c r="G495" s="21"/>
      <c r="H495" s="19"/>
      <c r="I495" s="21"/>
      <c r="J495" s="19"/>
      <c r="K495" s="20"/>
      <c r="L495" s="20"/>
      <c r="M495" s="19"/>
      <c r="N495" s="19"/>
      <c r="O495" s="20"/>
      <c r="P495" s="20"/>
      <c r="Q495" s="19"/>
      <c r="R495" s="22" t="str">
        <f aca="false">IF(A495="","",N(G495)+N(I495))</f>
        <v/>
      </c>
      <c r="S495" s="23" t="str">
        <f aca="false">IF(OR(K495="",O495=""),"",O495-K495)</f>
        <v/>
      </c>
      <c r="T495" s="23" t="str">
        <f aca="true">IF(AND(C495="Cetak",L495&lt;&gt;"",L495&lt;TODAY()),"YA","")</f>
        <v/>
      </c>
      <c r="U495" s="23" t="str">
        <f aca="false">IF(B495="","",TEXT(B495,"yyyy-mm"))</f>
        <v/>
      </c>
      <c r="V495" s="23" t="str">
        <f aca="false">IF(K495="","",TEXT(K495,"yyyy-mm"))</f>
        <v/>
      </c>
      <c r="W495" s="23" t="n">
        <f aca="false">IF(OR(C495="Cetak",C495="Dikirim",C495="Selesai"),1,0)</f>
        <v>0</v>
      </c>
      <c r="X495" s="23" t="str">
        <f aca="false">IF(F495="","",SUBSTITUTE(SUBSTITUTE(MID(UPPER(TRIM(F495)),4,99),"-LED",""),"-TK",""))</f>
        <v/>
      </c>
      <c r="Y495" s="23" t="str">
        <f aca="false">IF(X495="","",(LEN(X495)+1)/7)</f>
        <v/>
      </c>
      <c r="Z495" s="23" t="str">
        <f aca="false">IF(X495="","",LEFT(X495,6))</f>
        <v/>
      </c>
      <c r="AA495" s="23" t="str">
        <f aca="false">IF(X495="","",IF(Y495&gt;=3,MID(X495,8,6),""))</f>
        <v/>
      </c>
      <c r="AB495" s="23" t="str">
        <f aca="false">IF(X495="","",IF(Y495&gt;=4,MID(X495,15,6),""))</f>
        <v/>
      </c>
      <c r="AC495" s="23" t="str">
        <f aca="false">IF(X495="","",IF(Y495&gt;=5,MID(X495,22,6),""))</f>
        <v/>
      </c>
      <c r="AD495" s="23" t="str">
        <f aca="false">IF(X495="","",RIGHT(X495,6))</f>
        <v/>
      </c>
      <c r="AE495" s="23" t="str">
        <f aca="false">IF(F495="","",IF(ISNUMBER(SEARCH("-TK",UPPER(F495))),0,1))</f>
        <v/>
      </c>
      <c r="AF495" s="23" t="str">
        <f aca="false">IF(F495="","",IF(ISNUMBER(SEARCH("-LED",UPPER(F495))),1,0))</f>
        <v/>
      </c>
      <c r="AG495" s="24" t="n">
        <f aca="false">IF(Z495="",0,IFERROR(INDEX(Resep!$C$5:$C$7,MATCH(LEFT(Z495,3),Resep!$B$5:$B$7,0)),0))</f>
        <v>0</v>
      </c>
      <c r="AH495" s="24" t="n">
        <f aca="false">IF(AA495="",0,IFERROR(INDEX(Resep!$C$9:$C$13,MATCH(LEFT(AA495,3),Resep!$B$9:$B$13,0)),0))</f>
        <v>0</v>
      </c>
      <c r="AI495" s="24" t="n">
        <f aca="false">IF(AB495="",0,IFERROR(INDEX(Resep!$C$9:$C$13,MATCH(LEFT(AB495,3),Resep!$B$9:$B$13,0)),0))</f>
        <v>0</v>
      </c>
      <c r="AJ495" s="24" t="n">
        <f aca="false">IF(AC495="",0,IFERROR(INDEX(Resep!$C$9:$C$13,MATCH(LEFT(AC495,3),Resep!$B$9:$B$13,0)),0))</f>
        <v>0</v>
      </c>
      <c r="AK495" s="24" t="n">
        <f aca="false">IF(AD495="",0,IFERROR(INDEX(Resep!$C$15:$C$18,MATCH(LEFT(AD495,3),Resep!$B$15:$B$18,0)),0))</f>
        <v>0</v>
      </c>
      <c r="AL495" s="24" t="str">
        <f aca="false">IF(X495="","",AG495+AH495+AI495+AJ495+AK495)</f>
        <v/>
      </c>
      <c r="AM495" s="22" t="str">
        <f aca="false">IF(X495="","",AL495*(Pengaturan!$B$6+Pengaturan!$B$7)+Pengaturan!$B$8+AE495*Pengaturan!$B$9+AF495*Pengaturan!$B$10)</f>
        <v/>
      </c>
      <c r="AN495" s="22" t="str">
        <f aca="false">IF(X495="","",N(G495)-AM495)</f>
        <v/>
      </c>
      <c r="AO495" s="25" t="str">
        <f aca="false">IF(OR(X495="",N(G495)=0),"",AN495/G495)</f>
        <v/>
      </c>
    </row>
    <row r="496" customFormat="false" ht="15" hidden="false" customHeight="false" outlineLevel="0" collapsed="false">
      <c r="A496" s="19"/>
      <c r="B496" s="20"/>
      <c r="C496" s="19"/>
      <c r="D496" s="19"/>
      <c r="E496" s="19"/>
      <c r="F496" s="19"/>
      <c r="G496" s="21"/>
      <c r="H496" s="19"/>
      <c r="I496" s="21"/>
      <c r="J496" s="19"/>
      <c r="K496" s="20"/>
      <c r="L496" s="20"/>
      <c r="M496" s="19"/>
      <c r="N496" s="19"/>
      <c r="O496" s="20"/>
      <c r="P496" s="20"/>
      <c r="Q496" s="19"/>
      <c r="R496" s="22" t="str">
        <f aca="false">IF(A496="","",N(G496)+N(I496))</f>
        <v/>
      </c>
      <c r="S496" s="23" t="str">
        <f aca="false">IF(OR(K496="",O496=""),"",O496-K496)</f>
        <v/>
      </c>
      <c r="T496" s="23" t="str">
        <f aca="true">IF(AND(C496="Cetak",L496&lt;&gt;"",L496&lt;TODAY()),"YA","")</f>
        <v/>
      </c>
      <c r="U496" s="23" t="str">
        <f aca="false">IF(B496="","",TEXT(B496,"yyyy-mm"))</f>
        <v/>
      </c>
      <c r="V496" s="23" t="str">
        <f aca="false">IF(K496="","",TEXT(K496,"yyyy-mm"))</f>
        <v/>
      </c>
      <c r="W496" s="23" t="n">
        <f aca="false">IF(OR(C496="Cetak",C496="Dikirim",C496="Selesai"),1,0)</f>
        <v>0</v>
      </c>
      <c r="X496" s="23" t="str">
        <f aca="false">IF(F496="","",SUBSTITUTE(SUBSTITUTE(MID(UPPER(TRIM(F496)),4,99),"-LED",""),"-TK",""))</f>
        <v/>
      </c>
      <c r="Y496" s="23" t="str">
        <f aca="false">IF(X496="","",(LEN(X496)+1)/7)</f>
        <v/>
      </c>
      <c r="Z496" s="23" t="str">
        <f aca="false">IF(X496="","",LEFT(X496,6))</f>
        <v/>
      </c>
      <c r="AA496" s="23" t="str">
        <f aca="false">IF(X496="","",IF(Y496&gt;=3,MID(X496,8,6),""))</f>
        <v/>
      </c>
      <c r="AB496" s="23" t="str">
        <f aca="false">IF(X496="","",IF(Y496&gt;=4,MID(X496,15,6),""))</f>
        <v/>
      </c>
      <c r="AC496" s="23" t="str">
        <f aca="false">IF(X496="","",IF(Y496&gt;=5,MID(X496,22,6),""))</f>
        <v/>
      </c>
      <c r="AD496" s="23" t="str">
        <f aca="false">IF(X496="","",RIGHT(X496,6))</f>
        <v/>
      </c>
      <c r="AE496" s="23" t="str">
        <f aca="false">IF(F496="","",IF(ISNUMBER(SEARCH("-TK",UPPER(F496))),0,1))</f>
        <v/>
      </c>
      <c r="AF496" s="23" t="str">
        <f aca="false">IF(F496="","",IF(ISNUMBER(SEARCH("-LED",UPPER(F496))),1,0))</f>
        <v/>
      </c>
      <c r="AG496" s="24" t="n">
        <f aca="false">IF(Z496="",0,IFERROR(INDEX(Resep!$C$5:$C$7,MATCH(LEFT(Z496,3),Resep!$B$5:$B$7,0)),0))</f>
        <v>0</v>
      </c>
      <c r="AH496" s="24" t="n">
        <f aca="false">IF(AA496="",0,IFERROR(INDEX(Resep!$C$9:$C$13,MATCH(LEFT(AA496,3),Resep!$B$9:$B$13,0)),0))</f>
        <v>0</v>
      </c>
      <c r="AI496" s="24" t="n">
        <f aca="false">IF(AB496="",0,IFERROR(INDEX(Resep!$C$9:$C$13,MATCH(LEFT(AB496,3),Resep!$B$9:$B$13,0)),0))</f>
        <v>0</v>
      </c>
      <c r="AJ496" s="24" t="n">
        <f aca="false">IF(AC496="",0,IFERROR(INDEX(Resep!$C$9:$C$13,MATCH(LEFT(AC496,3),Resep!$B$9:$B$13,0)),0))</f>
        <v>0</v>
      </c>
      <c r="AK496" s="24" t="n">
        <f aca="false">IF(AD496="",0,IFERROR(INDEX(Resep!$C$15:$C$18,MATCH(LEFT(AD496,3),Resep!$B$15:$B$18,0)),0))</f>
        <v>0</v>
      </c>
      <c r="AL496" s="24" t="str">
        <f aca="false">IF(X496="","",AG496+AH496+AI496+AJ496+AK496)</f>
        <v/>
      </c>
      <c r="AM496" s="22" t="str">
        <f aca="false">IF(X496="","",AL496*(Pengaturan!$B$6+Pengaturan!$B$7)+Pengaturan!$B$8+AE496*Pengaturan!$B$9+AF496*Pengaturan!$B$10)</f>
        <v/>
      </c>
      <c r="AN496" s="22" t="str">
        <f aca="false">IF(X496="","",N(G496)-AM496)</f>
        <v/>
      </c>
      <c r="AO496" s="25" t="str">
        <f aca="false">IF(OR(X496="",N(G496)=0),"",AN496/G496)</f>
        <v/>
      </c>
    </row>
    <row r="497" customFormat="false" ht="15" hidden="false" customHeight="false" outlineLevel="0" collapsed="false">
      <c r="A497" s="19"/>
      <c r="B497" s="20"/>
      <c r="C497" s="19"/>
      <c r="D497" s="19"/>
      <c r="E497" s="19"/>
      <c r="F497" s="19"/>
      <c r="G497" s="21"/>
      <c r="H497" s="19"/>
      <c r="I497" s="21"/>
      <c r="J497" s="19"/>
      <c r="K497" s="20"/>
      <c r="L497" s="20"/>
      <c r="M497" s="19"/>
      <c r="N497" s="19"/>
      <c r="O497" s="20"/>
      <c r="P497" s="20"/>
      <c r="Q497" s="19"/>
      <c r="R497" s="22" t="str">
        <f aca="false">IF(A497="","",N(G497)+N(I497))</f>
        <v/>
      </c>
      <c r="S497" s="23" t="str">
        <f aca="false">IF(OR(K497="",O497=""),"",O497-K497)</f>
        <v/>
      </c>
      <c r="T497" s="23" t="str">
        <f aca="true">IF(AND(C497="Cetak",L497&lt;&gt;"",L497&lt;TODAY()),"YA","")</f>
        <v/>
      </c>
      <c r="U497" s="23" t="str">
        <f aca="false">IF(B497="","",TEXT(B497,"yyyy-mm"))</f>
        <v/>
      </c>
      <c r="V497" s="23" t="str">
        <f aca="false">IF(K497="","",TEXT(K497,"yyyy-mm"))</f>
        <v/>
      </c>
      <c r="W497" s="23" t="n">
        <f aca="false">IF(OR(C497="Cetak",C497="Dikirim",C497="Selesai"),1,0)</f>
        <v>0</v>
      </c>
      <c r="X497" s="23" t="str">
        <f aca="false">IF(F497="","",SUBSTITUTE(SUBSTITUTE(MID(UPPER(TRIM(F497)),4,99),"-LED",""),"-TK",""))</f>
        <v/>
      </c>
      <c r="Y497" s="23" t="str">
        <f aca="false">IF(X497="","",(LEN(X497)+1)/7)</f>
        <v/>
      </c>
      <c r="Z497" s="23" t="str">
        <f aca="false">IF(X497="","",LEFT(X497,6))</f>
        <v/>
      </c>
      <c r="AA497" s="23" t="str">
        <f aca="false">IF(X497="","",IF(Y497&gt;=3,MID(X497,8,6),""))</f>
        <v/>
      </c>
      <c r="AB497" s="23" t="str">
        <f aca="false">IF(X497="","",IF(Y497&gt;=4,MID(X497,15,6),""))</f>
        <v/>
      </c>
      <c r="AC497" s="23" t="str">
        <f aca="false">IF(X497="","",IF(Y497&gt;=5,MID(X497,22,6),""))</f>
        <v/>
      </c>
      <c r="AD497" s="23" t="str">
        <f aca="false">IF(X497="","",RIGHT(X497,6))</f>
        <v/>
      </c>
      <c r="AE497" s="23" t="str">
        <f aca="false">IF(F497="","",IF(ISNUMBER(SEARCH("-TK",UPPER(F497))),0,1))</f>
        <v/>
      </c>
      <c r="AF497" s="23" t="str">
        <f aca="false">IF(F497="","",IF(ISNUMBER(SEARCH("-LED",UPPER(F497))),1,0))</f>
        <v/>
      </c>
      <c r="AG497" s="24" t="n">
        <f aca="false">IF(Z497="",0,IFERROR(INDEX(Resep!$C$5:$C$7,MATCH(LEFT(Z497,3),Resep!$B$5:$B$7,0)),0))</f>
        <v>0</v>
      </c>
      <c r="AH497" s="24" t="n">
        <f aca="false">IF(AA497="",0,IFERROR(INDEX(Resep!$C$9:$C$13,MATCH(LEFT(AA497,3),Resep!$B$9:$B$13,0)),0))</f>
        <v>0</v>
      </c>
      <c r="AI497" s="24" t="n">
        <f aca="false">IF(AB497="",0,IFERROR(INDEX(Resep!$C$9:$C$13,MATCH(LEFT(AB497,3),Resep!$B$9:$B$13,0)),0))</f>
        <v>0</v>
      </c>
      <c r="AJ497" s="24" t="n">
        <f aca="false">IF(AC497="",0,IFERROR(INDEX(Resep!$C$9:$C$13,MATCH(LEFT(AC497,3),Resep!$B$9:$B$13,0)),0))</f>
        <v>0</v>
      </c>
      <c r="AK497" s="24" t="n">
        <f aca="false">IF(AD497="",0,IFERROR(INDEX(Resep!$C$15:$C$18,MATCH(LEFT(AD497,3),Resep!$B$15:$B$18,0)),0))</f>
        <v>0</v>
      </c>
      <c r="AL497" s="24" t="str">
        <f aca="false">IF(X497="","",AG497+AH497+AI497+AJ497+AK497)</f>
        <v/>
      </c>
      <c r="AM497" s="22" t="str">
        <f aca="false">IF(X497="","",AL497*(Pengaturan!$B$6+Pengaturan!$B$7)+Pengaturan!$B$8+AE497*Pengaturan!$B$9+AF497*Pengaturan!$B$10)</f>
        <v/>
      </c>
      <c r="AN497" s="22" t="str">
        <f aca="false">IF(X497="","",N(G497)-AM497)</f>
        <v/>
      </c>
      <c r="AO497" s="25" t="str">
        <f aca="false">IF(OR(X497="",N(G497)=0),"",AN497/G497)</f>
        <v/>
      </c>
    </row>
    <row r="498" customFormat="false" ht="15" hidden="false" customHeight="false" outlineLevel="0" collapsed="false">
      <c r="A498" s="19"/>
      <c r="B498" s="20"/>
      <c r="C498" s="19"/>
      <c r="D498" s="19"/>
      <c r="E498" s="19"/>
      <c r="F498" s="19"/>
      <c r="G498" s="21"/>
      <c r="H498" s="19"/>
      <c r="I498" s="21"/>
      <c r="J498" s="19"/>
      <c r="K498" s="20"/>
      <c r="L498" s="20"/>
      <c r="M498" s="19"/>
      <c r="N498" s="19"/>
      <c r="O498" s="20"/>
      <c r="P498" s="20"/>
      <c r="Q498" s="19"/>
      <c r="R498" s="22" t="str">
        <f aca="false">IF(A498="","",N(G498)+N(I498))</f>
        <v/>
      </c>
      <c r="S498" s="23" t="str">
        <f aca="false">IF(OR(K498="",O498=""),"",O498-K498)</f>
        <v/>
      </c>
      <c r="T498" s="23" t="str">
        <f aca="true">IF(AND(C498="Cetak",L498&lt;&gt;"",L498&lt;TODAY()),"YA","")</f>
        <v/>
      </c>
      <c r="U498" s="23" t="str">
        <f aca="false">IF(B498="","",TEXT(B498,"yyyy-mm"))</f>
        <v/>
      </c>
      <c r="V498" s="23" t="str">
        <f aca="false">IF(K498="","",TEXT(K498,"yyyy-mm"))</f>
        <v/>
      </c>
      <c r="W498" s="23" t="n">
        <f aca="false">IF(OR(C498="Cetak",C498="Dikirim",C498="Selesai"),1,0)</f>
        <v>0</v>
      </c>
      <c r="X498" s="23" t="str">
        <f aca="false">IF(F498="","",SUBSTITUTE(SUBSTITUTE(MID(UPPER(TRIM(F498)),4,99),"-LED",""),"-TK",""))</f>
        <v/>
      </c>
      <c r="Y498" s="23" t="str">
        <f aca="false">IF(X498="","",(LEN(X498)+1)/7)</f>
        <v/>
      </c>
      <c r="Z498" s="23" t="str">
        <f aca="false">IF(X498="","",LEFT(X498,6))</f>
        <v/>
      </c>
      <c r="AA498" s="23" t="str">
        <f aca="false">IF(X498="","",IF(Y498&gt;=3,MID(X498,8,6),""))</f>
        <v/>
      </c>
      <c r="AB498" s="23" t="str">
        <f aca="false">IF(X498="","",IF(Y498&gt;=4,MID(X498,15,6),""))</f>
        <v/>
      </c>
      <c r="AC498" s="23" t="str">
        <f aca="false">IF(X498="","",IF(Y498&gt;=5,MID(X498,22,6),""))</f>
        <v/>
      </c>
      <c r="AD498" s="23" t="str">
        <f aca="false">IF(X498="","",RIGHT(X498,6))</f>
        <v/>
      </c>
      <c r="AE498" s="23" t="str">
        <f aca="false">IF(F498="","",IF(ISNUMBER(SEARCH("-TK",UPPER(F498))),0,1))</f>
        <v/>
      </c>
      <c r="AF498" s="23" t="str">
        <f aca="false">IF(F498="","",IF(ISNUMBER(SEARCH("-LED",UPPER(F498))),1,0))</f>
        <v/>
      </c>
      <c r="AG498" s="24" t="n">
        <f aca="false">IF(Z498="",0,IFERROR(INDEX(Resep!$C$5:$C$7,MATCH(LEFT(Z498,3),Resep!$B$5:$B$7,0)),0))</f>
        <v>0</v>
      </c>
      <c r="AH498" s="24" t="n">
        <f aca="false">IF(AA498="",0,IFERROR(INDEX(Resep!$C$9:$C$13,MATCH(LEFT(AA498,3),Resep!$B$9:$B$13,0)),0))</f>
        <v>0</v>
      </c>
      <c r="AI498" s="24" t="n">
        <f aca="false">IF(AB498="",0,IFERROR(INDEX(Resep!$C$9:$C$13,MATCH(LEFT(AB498,3),Resep!$B$9:$B$13,0)),0))</f>
        <v>0</v>
      </c>
      <c r="AJ498" s="24" t="n">
        <f aca="false">IF(AC498="",0,IFERROR(INDEX(Resep!$C$9:$C$13,MATCH(LEFT(AC498,3),Resep!$B$9:$B$13,0)),0))</f>
        <v>0</v>
      </c>
      <c r="AK498" s="24" t="n">
        <f aca="false">IF(AD498="",0,IFERROR(INDEX(Resep!$C$15:$C$18,MATCH(LEFT(AD498,3),Resep!$B$15:$B$18,0)),0))</f>
        <v>0</v>
      </c>
      <c r="AL498" s="24" t="str">
        <f aca="false">IF(X498="","",AG498+AH498+AI498+AJ498+AK498)</f>
        <v/>
      </c>
      <c r="AM498" s="22" t="str">
        <f aca="false">IF(X498="","",AL498*(Pengaturan!$B$6+Pengaturan!$B$7)+Pengaturan!$B$8+AE498*Pengaturan!$B$9+AF498*Pengaturan!$B$10)</f>
        <v/>
      </c>
      <c r="AN498" s="22" t="str">
        <f aca="false">IF(X498="","",N(G498)-AM498)</f>
        <v/>
      </c>
      <c r="AO498" s="25" t="str">
        <f aca="false">IF(OR(X498="",N(G498)=0),"",AN498/G498)</f>
        <v/>
      </c>
    </row>
    <row r="499" customFormat="false" ht="15" hidden="false" customHeight="false" outlineLevel="0" collapsed="false">
      <c r="A499" s="19"/>
      <c r="B499" s="20"/>
      <c r="C499" s="19"/>
      <c r="D499" s="19"/>
      <c r="E499" s="19"/>
      <c r="F499" s="19"/>
      <c r="G499" s="21"/>
      <c r="H499" s="19"/>
      <c r="I499" s="21"/>
      <c r="J499" s="19"/>
      <c r="K499" s="20"/>
      <c r="L499" s="20"/>
      <c r="M499" s="19"/>
      <c r="N499" s="19"/>
      <c r="O499" s="20"/>
      <c r="P499" s="20"/>
      <c r="Q499" s="19"/>
      <c r="R499" s="22" t="str">
        <f aca="false">IF(A499="","",N(G499)+N(I499))</f>
        <v/>
      </c>
      <c r="S499" s="23" t="str">
        <f aca="false">IF(OR(K499="",O499=""),"",O499-K499)</f>
        <v/>
      </c>
      <c r="T499" s="23" t="str">
        <f aca="true">IF(AND(C499="Cetak",L499&lt;&gt;"",L499&lt;TODAY()),"YA","")</f>
        <v/>
      </c>
      <c r="U499" s="23" t="str">
        <f aca="false">IF(B499="","",TEXT(B499,"yyyy-mm"))</f>
        <v/>
      </c>
      <c r="V499" s="23" t="str">
        <f aca="false">IF(K499="","",TEXT(K499,"yyyy-mm"))</f>
        <v/>
      </c>
      <c r="W499" s="23" t="n">
        <f aca="false">IF(OR(C499="Cetak",C499="Dikirim",C499="Selesai"),1,0)</f>
        <v>0</v>
      </c>
      <c r="X499" s="23" t="str">
        <f aca="false">IF(F499="","",SUBSTITUTE(SUBSTITUTE(MID(UPPER(TRIM(F499)),4,99),"-LED",""),"-TK",""))</f>
        <v/>
      </c>
      <c r="Y499" s="23" t="str">
        <f aca="false">IF(X499="","",(LEN(X499)+1)/7)</f>
        <v/>
      </c>
      <c r="Z499" s="23" t="str">
        <f aca="false">IF(X499="","",LEFT(X499,6))</f>
        <v/>
      </c>
      <c r="AA499" s="23" t="str">
        <f aca="false">IF(X499="","",IF(Y499&gt;=3,MID(X499,8,6),""))</f>
        <v/>
      </c>
      <c r="AB499" s="23" t="str">
        <f aca="false">IF(X499="","",IF(Y499&gt;=4,MID(X499,15,6),""))</f>
        <v/>
      </c>
      <c r="AC499" s="23" t="str">
        <f aca="false">IF(X499="","",IF(Y499&gt;=5,MID(X499,22,6),""))</f>
        <v/>
      </c>
      <c r="AD499" s="23" t="str">
        <f aca="false">IF(X499="","",RIGHT(X499,6))</f>
        <v/>
      </c>
      <c r="AE499" s="23" t="str">
        <f aca="false">IF(F499="","",IF(ISNUMBER(SEARCH("-TK",UPPER(F499))),0,1))</f>
        <v/>
      </c>
      <c r="AF499" s="23" t="str">
        <f aca="false">IF(F499="","",IF(ISNUMBER(SEARCH("-LED",UPPER(F499))),1,0))</f>
        <v/>
      </c>
      <c r="AG499" s="24" t="n">
        <f aca="false">IF(Z499="",0,IFERROR(INDEX(Resep!$C$5:$C$7,MATCH(LEFT(Z499,3),Resep!$B$5:$B$7,0)),0))</f>
        <v>0</v>
      </c>
      <c r="AH499" s="24" t="n">
        <f aca="false">IF(AA499="",0,IFERROR(INDEX(Resep!$C$9:$C$13,MATCH(LEFT(AA499,3),Resep!$B$9:$B$13,0)),0))</f>
        <v>0</v>
      </c>
      <c r="AI499" s="24" t="n">
        <f aca="false">IF(AB499="",0,IFERROR(INDEX(Resep!$C$9:$C$13,MATCH(LEFT(AB499,3),Resep!$B$9:$B$13,0)),0))</f>
        <v>0</v>
      </c>
      <c r="AJ499" s="24" t="n">
        <f aca="false">IF(AC499="",0,IFERROR(INDEX(Resep!$C$9:$C$13,MATCH(LEFT(AC499,3),Resep!$B$9:$B$13,0)),0))</f>
        <v>0</v>
      </c>
      <c r="AK499" s="24" t="n">
        <f aca="false">IF(AD499="",0,IFERROR(INDEX(Resep!$C$15:$C$18,MATCH(LEFT(AD499,3),Resep!$B$15:$B$18,0)),0))</f>
        <v>0</v>
      </c>
      <c r="AL499" s="24" t="str">
        <f aca="false">IF(X499="","",AG499+AH499+AI499+AJ499+AK499)</f>
        <v/>
      </c>
      <c r="AM499" s="22" t="str">
        <f aca="false">IF(X499="","",AL499*(Pengaturan!$B$6+Pengaturan!$B$7)+Pengaturan!$B$8+AE499*Pengaturan!$B$9+AF499*Pengaturan!$B$10)</f>
        <v/>
      </c>
      <c r="AN499" s="22" t="str">
        <f aca="false">IF(X499="","",N(G499)-AM499)</f>
        <v/>
      </c>
      <c r="AO499" s="25" t="str">
        <f aca="false">IF(OR(X499="",N(G499)=0),"",AN499/G499)</f>
        <v/>
      </c>
    </row>
    <row r="500" customFormat="false" ht="15" hidden="false" customHeight="false" outlineLevel="0" collapsed="false">
      <c r="A500" s="19"/>
      <c r="B500" s="20"/>
      <c r="C500" s="19"/>
      <c r="D500" s="19"/>
      <c r="E500" s="19"/>
      <c r="F500" s="19"/>
      <c r="G500" s="21"/>
      <c r="H500" s="19"/>
      <c r="I500" s="21"/>
      <c r="J500" s="19"/>
      <c r="K500" s="20"/>
      <c r="L500" s="20"/>
      <c r="M500" s="19"/>
      <c r="N500" s="19"/>
      <c r="O500" s="20"/>
      <c r="P500" s="20"/>
      <c r="Q500" s="19"/>
      <c r="R500" s="22" t="str">
        <f aca="false">IF(A500="","",N(G500)+N(I500))</f>
        <v/>
      </c>
      <c r="S500" s="23" t="str">
        <f aca="false">IF(OR(K500="",O500=""),"",O500-K500)</f>
        <v/>
      </c>
      <c r="T500" s="23" t="str">
        <f aca="true">IF(AND(C500="Cetak",L500&lt;&gt;"",L500&lt;TODAY()),"YA","")</f>
        <v/>
      </c>
      <c r="U500" s="23" t="str">
        <f aca="false">IF(B500="","",TEXT(B500,"yyyy-mm"))</f>
        <v/>
      </c>
      <c r="V500" s="23" t="str">
        <f aca="false">IF(K500="","",TEXT(K500,"yyyy-mm"))</f>
        <v/>
      </c>
      <c r="W500" s="23" t="n">
        <f aca="false">IF(OR(C500="Cetak",C500="Dikirim",C500="Selesai"),1,0)</f>
        <v>0</v>
      </c>
      <c r="X500" s="23" t="str">
        <f aca="false">IF(F500="","",SUBSTITUTE(SUBSTITUTE(MID(UPPER(TRIM(F500)),4,99),"-LED",""),"-TK",""))</f>
        <v/>
      </c>
      <c r="Y500" s="23" t="str">
        <f aca="false">IF(X500="","",(LEN(X500)+1)/7)</f>
        <v/>
      </c>
      <c r="Z500" s="23" t="str">
        <f aca="false">IF(X500="","",LEFT(X500,6))</f>
        <v/>
      </c>
      <c r="AA500" s="23" t="str">
        <f aca="false">IF(X500="","",IF(Y500&gt;=3,MID(X500,8,6),""))</f>
        <v/>
      </c>
      <c r="AB500" s="23" t="str">
        <f aca="false">IF(X500="","",IF(Y500&gt;=4,MID(X500,15,6),""))</f>
        <v/>
      </c>
      <c r="AC500" s="23" t="str">
        <f aca="false">IF(X500="","",IF(Y500&gt;=5,MID(X500,22,6),""))</f>
        <v/>
      </c>
      <c r="AD500" s="23" t="str">
        <f aca="false">IF(X500="","",RIGHT(X500,6))</f>
        <v/>
      </c>
      <c r="AE500" s="23" t="str">
        <f aca="false">IF(F500="","",IF(ISNUMBER(SEARCH("-TK",UPPER(F500))),0,1))</f>
        <v/>
      </c>
      <c r="AF500" s="23" t="str">
        <f aca="false">IF(F500="","",IF(ISNUMBER(SEARCH("-LED",UPPER(F500))),1,0))</f>
        <v/>
      </c>
      <c r="AG500" s="24" t="n">
        <f aca="false">IF(Z500="",0,IFERROR(INDEX(Resep!$C$5:$C$7,MATCH(LEFT(Z500,3),Resep!$B$5:$B$7,0)),0))</f>
        <v>0</v>
      </c>
      <c r="AH500" s="24" t="n">
        <f aca="false">IF(AA500="",0,IFERROR(INDEX(Resep!$C$9:$C$13,MATCH(LEFT(AA500,3),Resep!$B$9:$B$13,0)),0))</f>
        <v>0</v>
      </c>
      <c r="AI500" s="24" t="n">
        <f aca="false">IF(AB500="",0,IFERROR(INDEX(Resep!$C$9:$C$13,MATCH(LEFT(AB500,3),Resep!$B$9:$B$13,0)),0))</f>
        <v>0</v>
      </c>
      <c r="AJ500" s="24" t="n">
        <f aca="false">IF(AC500="",0,IFERROR(INDEX(Resep!$C$9:$C$13,MATCH(LEFT(AC500,3),Resep!$B$9:$B$13,0)),0))</f>
        <v>0</v>
      </c>
      <c r="AK500" s="24" t="n">
        <f aca="false">IF(AD500="",0,IFERROR(INDEX(Resep!$C$15:$C$18,MATCH(LEFT(AD500,3),Resep!$B$15:$B$18,0)),0))</f>
        <v>0</v>
      </c>
      <c r="AL500" s="24" t="str">
        <f aca="false">IF(X500="","",AG500+AH500+AI500+AJ500+AK500)</f>
        <v/>
      </c>
      <c r="AM500" s="22" t="str">
        <f aca="false">IF(X500="","",AL500*(Pengaturan!$B$6+Pengaturan!$B$7)+Pengaturan!$B$8+AE500*Pengaturan!$B$9+AF500*Pengaturan!$B$10)</f>
        <v/>
      </c>
      <c r="AN500" s="22" t="str">
        <f aca="false">IF(X500="","",N(G500)-AM500)</f>
        <v/>
      </c>
      <c r="AO500" s="25" t="str">
        <f aca="false">IF(OR(X500="",N(G500)=0),"",AN500/G500)</f>
        <v/>
      </c>
    </row>
    <row r="501" customFormat="false" ht="15" hidden="false" customHeight="false" outlineLevel="0" collapsed="false">
      <c r="A501" s="19"/>
      <c r="B501" s="20"/>
      <c r="C501" s="19"/>
      <c r="D501" s="19"/>
      <c r="E501" s="19"/>
      <c r="F501" s="19"/>
      <c r="G501" s="21"/>
      <c r="H501" s="19"/>
      <c r="I501" s="21"/>
      <c r="J501" s="19"/>
      <c r="K501" s="20"/>
      <c r="L501" s="20"/>
      <c r="M501" s="19"/>
      <c r="N501" s="19"/>
      <c r="O501" s="20"/>
      <c r="P501" s="20"/>
      <c r="Q501" s="19"/>
      <c r="R501" s="22" t="str">
        <f aca="false">IF(A501="","",N(G501)+N(I501))</f>
        <v/>
      </c>
      <c r="S501" s="23" t="str">
        <f aca="false">IF(OR(K501="",O501=""),"",O501-K501)</f>
        <v/>
      </c>
      <c r="T501" s="23" t="str">
        <f aca="true">IF(AND(C501="Cetak",L501&lt;&gt;"",L501&lt;TODAY()),"YA","")</f>
        <v/>
      </c>
      <c r="U501" s="23" t="str">
        <f aca="false">IF(B501="","",TEXT(B501,"yyyy-mm"))</f>
        <v/>
      </c>
      <c r="V501" s="23" t="str">
        <f aca="false">IF(K501="","",TEXT(K501,"yyyy-mm"))</f>
        <v/>
      </c>
      <c r="W501" s="23" t="n">
        <f aca="false">IF(OR(C501="Cetak",C501="Dikirim",C501="Selesai"),1,0)</f>
        <v>0</v>
      </c>
      <c r="X501" s="23" t="str">
        <f aca="false">IF(F501="","",SUBSTITUTE(SUBSTITUTE(MID(UPPER(TRIM(F501)),4,99),"-LED",""),"-TK",""))</f>
        <v/>
      </c>
      <c r="Y501" s="23" t="str">
        <f aca="false">IF(X501="","",(LEN(X501)+1)/7)</f>
        <v/>
      </c>
      <c r="Z501" s="23" t="str">
        <f aca="false">IF(X501="","",LEFT(X501,6))</f>
        <v/>
      </c>
      <c r="AA501" s="23" t="str">
        <f aca="false">IF(X501="","",IF(Y501&gt;=3,MID(X501,8,6),""))</f>
        <v/>
      </c>
      <c r="AB501" s="23" t="str">
        <f aca="false">IF(X501="","",IF(Y501&gt;=4,MID(X501,15,6),""))</f>
        <v/>
      </c>
      <c r="AC501" s="23" t="str">
        <f aca="false">IF(X501="","",IF(Y501&gt;=5,MID(X501,22,6),""))</f>
        <v/>
      </c>
      <c r="AD501" s="23" t="str">
        <f aca="false">IF(X501="","",RIGHT(X501,6))</f>
        <v/>
      </c>
      <c r="AE501" s="23" t="str">
        <f aca="false">IF(F501="","",IF(ISNUMBER(SEARCH("-TK",UPPER(F501))),0,1))</f>
        <v/>
      </c>
      <c r="AF501" s="23" t="str">
        <f aca="false">IF(F501="","",IF(ISNUMBER(SEARCH("-LED",UPPER(F501))),1,0))</f>
        <v/>
      </c>
      <c r="AG501" s="24" t="n">
        <f aca="false">IF(Z501="",0,IFERROR(INDEX(Resep!$C$5:$C$7,MATCH(LEFT(Z501,3),Resep!$B$5:$B$7,0)),0))</f>
        <v>0</v>
      </c>
      <c r="AH501" s="24" t="n">
        <f aca="false">IF(AA501="",0,IFERROR(INDEX(Resep!$C$9:$C$13,MATCH(LEFT(AA501,3),Resep!$B$9:$B$13,0)),0))</f>
        <v>0</v>
      </c>
      <c r="AI501" s="24" t="n">
        <f aca="false">IF(AB501="",0,IFERROR(INDEX(Resep!$C$9:$C$13,MATCH(LEFT(AB501,3),Resep!$B$9:$B$13,0)),0))</f>
        <v>0</v>
      </c>
      <c r="AJ501" s="24" t="n">
        <f aca="false">IF(AC501="",0,IFERROR(INDEX(Resep!$C$9:$C$13,MATCH(LEFT(AC501,3),Resep!$B$9:$B$13,0)),0))</f>
        <v>0</v>
      </c>
      <c r="AK501" s="24" t="n">
        <f aca="false">IF(AD501="",0,IFERROR(INDEX(Resep!$C$15:$C$18,MATCH(LEFT(AD501,3),Resep!$B$15:$B$18,0)),0))</f>
        <v>0</v>
      </c>
      <c r="AL501" s="24" t="str">
        <f aca="false">IF(X501="","",AG501+AH501+AI501+AJ501+AK501)</f>
        <v/>
      </c>
      <c r="AM501" s="22" t="str">
        <f aca="false">IF(X501="","",AL501*(Pengaturan!$B$6+Pengaturan!$B$7)+Pengaturan!$B$8+AE501*Pengaturan!$B$9+AF501*Pengaturan!$B$10)</f>
        <v/>
      </c>
      <c r="AN501" s="22" t="str">
        <f aca="false">IF(X501="","",N(G501)-AM501)</f>
        <v/>
      </c>
      <c r="AO501" s="25" t="str">
        <f aca="false">IF(OR(X501="",N(G501)=0),"",AN501/G501)</f>
        <v/>
      </c>
    </row>
    <row r="502" customFormat="false" ht="15" hidden="false" customHeight="false" outlineLevel="0" collapsed="false">
      <c r="A502" s="19"/>
      <c r="B502" s="20"/>
      <c r="C502" s="19"/>
      <c r="D502" s="19"/>
      <c r="E502" s="19"/>
      <c r="F502" s="19"/>
      <c r="G502" s="21"/>
      <c r="H502" s="19"/>
      <c r="I502" s="21"/>
      <c r="J502" s="19"/>
      <c r="K502" s="20"/>
      <c r="L502" s="20"/>
      <c r="M502" s="19"/>
      <c r="N502" s="19"/>
      <c r="O502" s="20"/>
      <c r="P502" s="20"/>
      <c r="Q502" s="19"/>
      <c r="R502" s="22" t="str">
        <f aca="false">IF(A502="","",N(G502)+N(I502))</f>
        <v/>
      </c>
      <c r="S502" s="23" t="str">
        <f aca="false">IF(OR(K502="",O502=""),"",O502-K502)</f>
        <v/>
      </c>
      <c r="T502" s="23" t="str">
        <f aca="true">IF(AND(C502="Cetak",L502&lt;&gt;"",L502&lt;TODAY()),"YA","")</f>
        <v/>
      </c>
      <c r="U502" s="23" t="str">
        <f aca="false">IF(B502="","",TEXT(B502,"yyyy-mm"))</f>
        <v/>
      </c>
      <c r="V502" s="23" t="str">
        <f aca="false">IF(K502="","",TEXT(K502,"yyyy-mm"))</f>
        <v/>
      </c>
      <c r="W502" s="23" t="n">
        <f aca="false">IF(OR(C502="Cetak",C502="Dikirim",C502="Selesai"),1,0)</f>
        <v>0</v>
      </c>
      <c r="X502" s="23" t="str">
        <f aca="false">IF(F502="","",SUBSTITUTE(SUBSTITUTE(MID(UPPER(TRIM(F502)),4,99),"-LED",""),"-TK",""))</f>
        <v/>
      </c>
      <c r="Y502" s="23" t="str">
        <f aca="false">IF(X502="","",(LEN(X502)+1)/7)</f>
        <v/>
      </c>
      <c r="Z502" s="23" t="str">
        <f aca="false">IF(X502="","",LEFT(X502,6))</f>
        <v/>
      </c>
      <c r="AA502" s="23" t="str">
        <f aca="false">IF(X502="","",IF(Y502&gt;=3,MID(X502,8,6),""))</f>
        <v/>
      </c>
      <c r="AB502" s="23" t="str">
        <f aca="false">IF(X502="","",IF(Y502&gt;=4,MID(X502,15,6),""))</f>
        <v/>
      </c>
      <c r="AC502" s="23" t="str">
        <f aca="false">IF(X502="","",IF(Y502&gt;=5,MID(X502,22,6),""))</f>
        <v/>
      </c>
      <c r="AD502" s="23" t="str">
        <f aca="false">IF(X502="","",RIGHT(X502,6))</f>
        <v/>
      </c>
      <c r="AE502" s="23" t="str">
        <f aca="false">IF(F502="","",IF(ISNUMBER(SEARCH("-TK",UPPER(F502))),0,1))</f>
        <v/>
      </c>
      <c r="AF502" s="23" t="str">
        <f aca="false">IF(F502="","",IF(ISNUMBER(SEARCH("-LED",UPPER(F502))),1,0))</f>
        <v/>
      </c>
      <c r="AG502" s="24" t="n">
        <f aca="false">IF(Z502="",0,IFERROR(INDEX(Resep!$C$5:$C$7,MATCH(LEFT(Z502,3),Resep!$B$5:$B$7,0)),0))</f>
        <v>0</v>
      </c>
      <c r="AH502" s="24" t="n">
        <f aca="false">IF(AA502="",0,IFERROR(INDEX(Resep!$C$9:$C$13,MATCH(LEFT(AA502,3),Resep!$B$9:$B$13,0)),0))</f>
        <v>0</v>
      </c>
      <c r="AI502" s="24" t="n">
        <f aca="false">IF(AB502="",0,IFERROR(INDEX(Resep!$C$9:$C$13,MATCH(LEFT(AB502,3),Resep!$B$9:$B$13,0)),0))</f>
        <v>0</v>
      </c>
      <c r="AJ502" s="24" t="n">
        <f aca="false">IF(AC502="",0,IFERROR(INDEX(Resep!$C$9:$C$13,MATCH(LEFT(AC502,3),Resep!$B$9:$B$13,0)),0))</f>
        <v>0</v>
      </c>
      <c r="AK502" s="24" t="n">
        <f aca="false">IF(AD502="",0,IFERROR(INDEX(Resep!$C$15:$C$18,MATCH(LEFT(AD502,3),Resep!$B$15:$B$18,0)),0))</f>
        <v>0</v>
      </c>
      <c r="AL502" s="24" t="str">
        <f aca="false">IF(X502="","",AG502+AH502+AI502+AJ502+AK502)</f>
        <v/>
      </c>
      <c r="AM502" s="22" t="str">
        <f aca="false">IF(X502="","",AL502*(Pengaturan!$B$6+Pengaturan!$B$7)+Pengaturan!$B$8+AE502*Pengaturan!$B$9+AF502*Pengaturan!$B$10)</f>
        <v/>
      </c>
      <c r="AN502" s="22" t="str">
        <f aca="false">IF(X502="","",N(G502)-AM502)</f>
        <v/>
      </c>
      <c r="AO502" s="25" t="str">
        <f aca="false">IF(OR(X502="",N(G502)=0),"",AN502/G502)</f>
        <v/>
      </c>
    </row>
    <row r="503" customFormat="false" ht="15" hidden="false" customHeight="false" outlineLevel="0" collapsed="false">
      <c r="A503" s="19"/>
      <c r="B503" s="20"/>
      <c r="C503" s="19"/>
      <c r="D503" s="19"/>
      <c r="E503" s="19"/>
      <c r="F503" s="19"/>
      <c r="G503" s="21"/>
      <c r="H503" s="19"/>
      <c r="I503" s="21"/>
      <c r="J503" s="19"/>
      <c r="K503" s="20"/>
      <c r="L503" s="20"/>
      <c r="M503" s="19"/>
      <c r="N503" s="19"/>
      <c r="O503" s="20"/>
      <c r="P503" s="20"/>
      <c r="Q503" s="19"/>
      <c r="R503" s="22" t="str">
        <f aca="false">IF(A503="","",N(G503)+N(I503))</f>
        <v/>
      </c>
      <c r="S503" s="23" t="str">
        <f aca="false">IF(OR(K503="",O503=""),"",O503-K503)</f>
        <v/>
      </c>
      <c r="T503" s="23" t="str">
        <f aca="true">IF(AND(C503="Cetak",L503&lt;&gt;"",L503&lt;TODAY()),"YA","")</f>
        <v/>
      </c>
      <c r="U503" s="23" t="str">
        <f aca="false">IF(B503="","",TEXT(B503,"yyyy-mm"))</f>
        <v/>
      </c>
      <c r="V503" s="23" t="str">
        <f aca="false">IF(K503="","",TEXT(K503,"yyyy-mm"))</f>
        <v/>
      </c>
      <c r="W503" s="23" t="n">
        <f aca="false">IF(OR(C503="Cetak",C503="Dikirim",C503="Selesai"),1,0)</f>
        <v>0</v>
      </c>
      <c r="X503" s="23" t="str">
        <f aca="false">IF(F503="","",SUBSTITUTE(SUBSTITUTE(MID(UPPER(TRIM(F503)),4,99),"-LED",""),"-TK",""))</f>
        <v/>
      </c>
      <c r="Y503" s="23" t="str">
        <f aca="false">IF(X503="","",(LEN(X503)+1)/7)</f>
        <v/>
      </c>
      <c r="Z503" s="23" t="str">
        <f aca="false">IF(X503="","",LEFT(X503,6))</f>
        <v/>
      </c>
      <c r="AA503" s="23" t="str">
        <f aca="false">IF(X503="","",IF(Y503&gt;=3,MID(X503,8,6),""))</f>
        <v/>
      </c>
      <c r="AB503" s="23" t="str">
        <f aca="false">IF(X503="","",IF(Y503&gt;=4,MID(X503,15,6),""))</f>
        <v/>
      </c>
      <c r="AC503" s="23" t="str">
        <f aca="false">IF(X503="","",IF(Y503&gt;=5,MID(X503,22,6),""))</f>
        <v/>
      </c>
      <c r="AD503" s="23" t="str">
        <f aca="false">IF(X503="","",RIGHT(X503,6))</f>
        <v/>
      </c>
      <c r="AE503" s="23" t="str">
        <f aca="false">IF(F503="","",IF(ISNUMBER(SEARCH("-TK",UPPER(F503))),0,1))</f>
        <v/>
      </c>
      <c r="AF503" s="23" t="str">
        <f aca="false">IF(F503="","",IF(ISNUMBER(SEARCH("-LED",UPPER(F503))),1,0))</f>
        <v/>
      </c>
      <c r="AG503" s="24" t="n">
        <f aca="false">IF(Z503="",0,IFERROR(INDEX(Resep!$C$5:$C$7,MATCH(LEFT(Z503,3),Resep!$B$5:$B$7,0)),0))</f>
        <v>0</v>
      </c>
      <c r="AH503" s="24" t="n">
        <f aca="false">IF(AA503="",0,IFERROR(INDEX(Resep!$C$9:$C$13,MATCH(LEFT(AA503,3),Resep!$B$9:$B$13,0)),0))</f>
        <v>0</v>
      </c>
      <c r="AI503" s="24" t="n">
        <f aca="false">IF(AB503="",0,IFERROR(INDEX(Resep!$C$9:$C$13,MATCH(LEFT(AB503,3),Resep!$B$9:$B$13,0)),0))</f>
        <v>0</v>
      </c>
      <c r="AJ503" s="24" t="n">
        <f aca="false">IF(AC503="",0,IFERROR(INDEX(Resep!$C$9:$C$13,MATCH(LEFT(AC503,3),Resep!$B$9:$B$13,0)),0))</f>
        <v>0</v>
      </c>
      <c r="AK503" s="24" t="n">
        <f aca="false">IF(AD503="",0,IFERROR(INDEX(Resep!$C$15:$C$18,MATCH(LEFT(AD503,3),Resep!$B$15:$B$18,0)),0))</f>
        <v>0</v>
      </c>
      <c r="AL503" s="24" t="str">
        <f aca="false">IF(X503="","",AG503+AH503+AI503+AJ503+AK503)</f>
        <v/>
      </c>
      <c r="AM503" s="22" t="str">
        <f aca="false">IF(X503="","",AL503*(Pengaturan!$B$6+Pengaturan!$B$7)+Pengaturan!$B$8+AE503*Pengaturan!$B$9+AF503*Pengaturan!$B$10)</f>
        <v/>
      </c>
      <c r="AN503" s="22" t="str">
        <f aca="false">IF(X503="","",N(G503)-AM503)</f>
        <v/>
      </c>
      <c r="AO503" s="25" t="str">
        <f aca="false">IF(OR(X503="",N(G503)=0),"",AN503/G503)</f>
        <v/>
      </c>
    </row>
    <row r="504" customFormat="false" ht="15" hidden="false" customHeight="false" outlineLevel="0" collapsed="false">
      <c r="A504" s="19"/>
      <c r="B504" s="20"/>
      <c r="C504" s="19"/>
      <c r="D504" s="19"/>
      <c r="E504" s="19"/>
      <c r="F504" s="19"/>
      <c r="G504" s="21"/>
      <c r="H504" s="19"/>
      <c r="I504" s="21"/>
      <c r="J504" s="19"/>
      <c r="K504" s="20"/>
      <c r="L504" s="20"/>
      <c r="M504" s="19"/>
      <c r="N504" s="19"/>
      <c r="O504" s="20"/>
      <c r="P504" s="20"/>
      <c r="Q504" s="19"/>
      <c r="R504" s="22" t="str">
        <f aca="false">IF(A504="","",N(G504)+N(I504))</f>
        <v/>
      </c>
      <c r="S504" s="23" t="str">
        <f aca="false">IF(OR(K504="",O504=""),"",O504-K504)</f>
        <v/>
      </c>
      <c r="T504" s="23" t="str">
        <f aca="true">IF(AND(C504="Cetak",L504&lt;&gt;"",L504&lt;TODAY()),"YA","")</f>
        <v/>
      </c>
      <c r="U504" s="23" t="str">
        <f aca="false">IF(B504="","",TEXT(B504,"yyyy-mm"))</f>
        <v/>
      </c>
      <c r="V504" s="23" t="str">
        <f aca="false">IF(K504="","",TEXT(K504,"yyyy-mm"))</f>
        <v/>
      </c>
      <c r="W504" s="23" t="n">
        <f aca="false">IF(OR(C504="Cetak",C504="Dikirim",C504="Selesai"),1,0)</f>
        <v>0</v>
      </c>
      <c r="X504" s="23" t="str">
        <f aca="false">IF(F504="","",SUBSTITUTE(SUBSTITUTE(MID(UPPER(TRIM(F504)),4,99),"-LED",""),"-TK",""))</f>
        <v/>
      </c>
      <c r="Y504" s="23" t="str">
        <f aca="false">IF(X504="","",(LEN(X504)+1)/7)</f>
        <v/>
      </c>
      <c r="Z504" s="23" t="str">
        <f aca="false">IF(X504="","",LEFT(X504,6))</f>
        <v/>
      </c>
      <c r="AA504" s="23" t="str">
        <f aca="false">IF(X504="","",IF(Y504&gt;=3,MID(X504,8,6),""))</f>
        <v/>
      </c>
      <c r="AB504" s="23" t="str">
        <f aca="false">IF(X504="","",IF(Y504&gt;=4,MID(X504,15,6),""))</f>
        <v/>
      </c>
      <c r="AC504" s="23" t="str">
        <f aca="false">IF(X504="","",IF(Y504&gt;=5,MID(X504,22,6),""))</f>
        <v/>
      </c>
      <c r="AD504" s="23" t="str">
        <f aca="false">IF(X504="","",RIGHT(X504,6))</f>
        <v/>
      </c>
      <c r="AE504" s="23" t="str">
        <f aca="false">IF(F504="","",IF(ISNUMBER(SEARCH("-TK",UPPER(F504))),0,1))</f>
        <v/>
      </c>
      <c r="AF504" s="23" t="str">
        <f aca="false">IF(F504="","",IF(ISNUMBER(SEARCH("-LED",UPPER(F504))),1,0))</f>
        <v/>
      </c>
      <c r="AG504" s="24" t="n">
        <f aca="false">IF(Z504="",0,IFERROR(INDEX(Resep!$C$5:$C$7,MATCH(LEFT(Z504,3),Resep!$B$5:$B$7,0)),0))</f>
        <v>0</v>
      </c>
      <c r="AH504" s="24" t="n">
        <f aca="false">IF(AA504="",0,IFERROR(INDEX(Resep!$C$9:$C$13,MATCH(LEFT(AA504,3),Resep!$B$9:$B$13,0)),0))</f>
        <v>0</v>
      </c>
      <c r="AI504" s="24" t="n">
        <f aca="false">IF(AB504="",0,IFERROR(INDEX(Resep!$C$9:$C$13,MATCH(LEFT(AB504,3),Resep!$B$9:$B$13,0)),0))</f>
        <v>0</v>
      </c>
      <c r="AJ504" s="24" t="n">
        <f aca="false">IF(AC504="",0,IFERROR(INDEX(Resep!$C$9:$C$13,MATCH(LEFT(AC504,3),Resep!$B$9:$B$13,0)),0))</f>
        <v>0</v>
      </c>
      <c r="AK504" s="24" t="n">
        <f aca="false">IF(AD504="",0,IFERROR(INDEX(Resep!$C$15:$C$18,MATCH(LEFT(AD504,3),Resep!$B$15:$B$18,0)),0))</f>
        <v>0</v>
      </c>
      <c r="AL504" s="24" t="str">
        <f aca="false">IF(X504="","",AG504+AH504+AI504+AJ504+AK504)</f>
        <v/>
      </c>
      <c r="AM504" s="22" t="str">
        <f aca="false">IF(X504="","",AL504*(Pengaturan!$B$6+Pengaturan!$B$7)+Pengaturan!$B$8+AE504*Pengaturan!$B$9+AF504*Pengaturan!$B$10)</f>
        <v/>
      </c>
      <c r="AN504" s="22" t="str">
        <f aca="false">IF(X504="","",N(G504)-AM504)</f>
        <v/>
      </c>
      <c r="AO504" s="25" t="str">
        <f aca="false">IF(OR(X504="",N(G504)=0),"",AN504/G504)</f>
        <v/>
      </c>
    </row>
    <row r="505" customFormat="false" ht="15" hidden="false" customHeight="false" outlineLevel="0" collapsed="false">
      <c r="A505" s="19"/>
      <c r="B505" s="20"/>
      <c r="C505" s="19"/>
      <c r="D505" s="19"/>
      <c r="E505" s="19"/>
      <c r="F505" s="19"/>
      <c r="G505" s="21"/>
      <c r="H505" s="19"/>
      <c r="I505" s="21"/>
      <c r="J505" s="19"/>
      <c r="K505" s="20"/>
      <c r="L505" s="20"/>
      <c r="M505" s="19"/>
      <c r="N505" s="19"/>
      <c r="O505" s="20"/>
      <c r="P505" s="20"/>
      <c r="Q505" s="19"/>
      <c r="R505" s="22" t="str">
        <f aca="false">IF(A505="","",N(G505)+N(I505))</f>
        <v/>
      </c>
      <c r="S505" s="23" t="str">
        <f aca="false">IF(OR(K505="",O505=""),"",O505-K505)</f>
        <v/>
      </c>
      <c r="T505" s="23" t="str">
        <f aca="true">IF(AND(C505="Cetak",L505&lt;&gt;"",L505&lt;TODAY()),"YA","")</f>
        <v/>
      </c>
      <c r="U505" s="23" t="str">
        <f aca="false">IF(B505="","",TEXT(B505,"yyyy-mm"))</f>
        <v/>
      </c>
      <c r="V505" s="23" t="str">
        <f aca="false">IF(K505="","",TEXT(K505,"yyyy-mm"))</f>
        <v/>
      </c>
      <c r="W505" s="23" t="n">
        <f aca="false">IF(OR(C505="Cetak",C505="Dikirim",C505="Selesai"),1,0)</f>
        <v>0</v>
      </c>
      <c r="X505" s="23" t="str">
        <f aca="false">IF(F505="","",SUBSTITUTE(SUBSTITUTE(MID(UPPER(TRIM(F505)),4,99),"-LED",""),"-TK",""))</f>
        <v/>
      </c>
      <c r="Y505" s="23" t="str">
        <f aca="false">IF(X505="","",(LEN(X505)+1)/7)</f>
        <v/>
      </c>
      <c r="Z505" s="23" t="str">
        <f aca="false">IF(X505="","",LEFT(X505,6))</f>
        <v/>
      </c>
      <c r="AA505" s="23" t="str">
        <f aca="false">IF(X505="","",IF(Y505&gt;=3,MID(X505,8,6),""))</f>
        <v/>
      </c>
      <c r="AB505" s="23" t="str">
        <f aca="false">IF(X505="","",IF(Y505&gt;=4,MID(X505,15,6),""))</f>
        <v/>
      </c>
      <c r="AC505" s="23" t="str">
        <f aca="false">IF(X505="","",IF(Y505&gt;=5,MID(X505,22,6),""))</f>
        <v/>
      </c>
      <c r="AD505" s="23" t="str">
        <f aca="false">IF(X505="","",RIGHT(X505,6))</f>
        <v/>
      </c>
      <c r="AE505" s="23" t="str">
        <f aca="false">IF(F505="","",IF(ISNUMBER(SEARCH("-TK",UPPER(F505))),0,1))</f>
        <v/>
      </c>
      <c r="AF505" s="23" t="str">
        <f aca="false">IF(F505="","",IF(ISNUMBER(SEARCH("-LED",UPPER(F505))),1,0))</f>
        <v/>
      </c>
      <c r="AG505" s="24" t="n">
        <f aca="false">IF(Z505="",0,IFERROR(INDEX(Resep!$C$5:$C$7,MATCH(LEFT(Z505,3),Resep!$B$5:$B$7,0)),0))</f>
        <v>0</v>
      </c>
      <c r="AH505" s="24" t="n">
        <f aca="false">IF(AA505="",0,IFERROR(INDEX(Resep!$C$9:$C$13,MATCH(LEFT(AA505,3),Resep!$B$9:$B$13,0)),0))</f>
        <v>0</v>
      </c>
      <c r="AI505" s="24" t="n">
        <f aca="false">IF(AB505="",0,IFERROR(INDEX(Resep!$C$9:$C$13,MATCH(LEFT(AB505,3),Resep!$B$9:$B$13,0)),0))</f>
        <v>0</v>
      </c>
      <c r="AJ505" s="24" t="n">
        <f aca="false">IF(AC505="",0,IFERROR(INDEX(Resep!$C$9:$C$13,MATCH(LEFT(AC505,3),Resep!$B$9:$B$13,0)),0))</f>
        <v>0</v>
      </c>
      <c r="AK505" s="24" t="n">
        <f aca="false">IF(AD505="",0,IFERROR(INDEX(Resep!$C$15:$C$18,MATCH(LEFT(AD505,3),Resep!$B$15:$B$18,0)),0))</f>
        <v>0</v>
      </c>
      <c r="AL505" s="24" t="str">
        <f aca="false">IF(X505="","",AG505+AH505+AI505+AJ505+AK505)</f>
        <v/>
      </c>
      <c r="AM505" s="22" t="str">
        <f aca="false">IF(X505="","",AL505*(Pengaturan!$B$6+Pengaturan!$B$7)+Pengaturan!$B$8+AE505*Pengaturan!$B$9+AF505*Pengaturan!$B$10)</f>
        <v/>
      </c>
      <c r="AN505" s="22" t="str">
        <f aca="false">IF(X505="","",N(G505)-AM505)</f>
        <v/>
      </c>
      <c r="AO505" s="25" t="str">
        <f aca="false">IF(OR(X505="",N(G505)=0),"",AN505/G505)</f>
        <v/>
      </c>
    </row>
    <row r="506" customFormat="false" ht="15" hidden="false" customHeight="false" outlineLevel="0" collapsed="false">
      <c r="A506" s="19"/>
      <c r="B506" s="20"/>
      <c r="C506" s="19"/>
      <c r="D506" s="19"/>
      <c r="E506" s="19"/>
      <c r="F506" s="19"/>
      <c r="G506" s="21"/>
      <c r="H506" s="19"/>
      <c r="I506" s="21"/>
      <c r="J506" s="19"/>
      <c r="K506" s="20"/>
      <c r="L506" s="20"/>
      <c r="M506" s="19"/>
      <c r="N506" s="19"/>
      <c r="O506" s="20"/>
      <c r="P506" s="20"/>
      <c r="Q506" s="19"/>
      <c r="R506" s="22" t="str">
        <f aca="false">IF(A506="","",N(G506)+N(I506))</f>
        <v/>
      </c>
      <c r="S506" s="23" t="str">
        <f aca="false">IF(OR(K506="",O506=""),"",O506-K506)</f>
        <v/>
      </c>
      <c r="T506" s="23" t="str">
        <f aca="true">IF(AND(C506="Cetak",L506&lt;&gt;"",L506&lt;TODAY()),"YA","")</f>
        <v/>
      </c>
      <c r="U506" s="23" t="str">
        <f aca="false">IF(B506="","",TEXT(B506,"yyyy-mm"))</f>
        <v/>
      </c>
      <c r="V506" s="23" t="str">
        <f aca="false">IF(K506="","",TEXT(K506,"yyyy-mm"))</f>
        <v/>
      </c>
      <c r="W506" s="23" t="n">
        <f aca="false">IF(OR(C506="Cetak",C506="Dikirim",C506="Selesai"),1,0)</f>
        <v>0</v>
      </c>
      <c r="X506" s="23" t="str">
        <f aca="false">IF(F506="","",SUBSTITUTE(SUBSTITUTE(MID(UPPER(TRIM(F506)),4,99),"-LED",""),"-TK",""))</f>
        <v/>
      </c>
      <c r="Y506" s="23" t="str">
        <f aca="false">IF(X506="","",(LEN(X506)+1)/7)</f>
        <v/>
      </c>
      <c r="Z506" s="23" t="str">
        <f aca="false">IF(X506="","",LEFT(X506,6))</f>
        <v/>
      </c>
      <c r="AA506" s="23" t="str">
        <f aca="false">IF(X506="","",IF(Y506&gt;=3,MID(X506,8,6),""))</f>
        <v/>
      </c>
      <c r="AB506" s="23" t="str">
        <f aca="false">IF(X506="","",IF(Y506&gt;=4,MID(X506,15,6),""))</f>
        <v/>
      </c>
      <c r="AC506" s="23" t="str">
        <f aca="false">IF(X506="","",IF(Y506&gt;=5,MID(X506,22,6),""))</f>
        <v/>
      </c>
      <c r="AD506" s="23" t="str">
        <f aca="false">IF(X506="","",RIGHT(X506,6))</f>
        <v/>
      </c>
      <c r="AE506" s="23" t="str">
        <f aca="false">IF(F506="","",IF(ISNUMBER(SEARCH("-TK",UPPER(F506))),0,1))</f>
        <v/>
      </c>
      <c r="AF506" s="23" t="str">
        <f aca="false">IF(F506="","",IF(ISNUMBER(SEARCH("-LED",UPPER(F506))),1,0))</f>
        <v/>
      </c>
      <c r="AG506" s="24" t="n">
        <f aca="false">IF(Z506="",0,IFERROR(INDEX(Resep!$C$5:$C$7,MATCH(LEFT(Z506,3),Resep!$B$5:$B$7,0)),0))</f>
        <v>0</v>
      </c>
      <c r="AH506" s="24" t="n">
        <f aca="false">IF(AA506="",0,IFERROR(INDEX(Resep!$C$9:$C$13,MATCH(LEFT(AA506,3),Resep!$B$9:$B$13,0)),0))</f>
        <v>0</v>
      </c>
      <c r="AI506" s="24" t="n">
        <f aca="false">IF(AB506="",0,IFERROR(INDEX(Resep!$C$9:$C$13,MATCH(LEFT(AB506,3),Resep!$B$9:$B$13,0)),0))</f>
        <v>0</v>
      </c>
      <c r="AJ506" s="24" t="n">
        <f aca="false">IF(AC506="",0,IFERROR(INDEX(Resep!$C$9:$C$13,MATCH(LEFT(AC506,3),Resep!$B$9:$B$13,0)),0))</f>
        <v>0</v>
      </c>
      <c r="AK506" s="24" t="n">
        <f aca="false">IF(AD506="",0,IFERROR(INDEX(Resep!$C$15:$C$18,MATCH(LEFT(AD506,3),Resep!$B$15:$B$18,0)),0))</f>
        <v>0</v>
      </c>
      <c r="AL506" s="24" t="str">
        <f aca="false">IF(X506="","",AG506+AH506+AI506+AJ506+AK506)</f>
        <v/>
      </c>
      <c r="AM506" s="22" t="str">
        <f aca="false">IF(X506="","",AL506*(Pengaturan!$B$6+Pengaturan!$B$7)+Pengaturan!$B$8+AE506*Pengaturan!$B$9+AF506*Pengaturan!$B$10)</f>
        <v/>
      </c>
      <c r="AN506" s="22" t="str">
        <f aca="false">IF(X506="","",N(G506)-AM506)</f>
        <v/>
      </c>
      <c r="AO506" s="25" t="str">
        <f aca="false">IF(OR(X506="",N(G506)=0),"",AN506/G506)</f>
        <v/>
      </c>
    </row>
    <row r="507" customFormat="false" ht="15" hidden="false" customHeight="false" outlineLevel="0" collapsed="false">
      <c r="A507" s="19"/>
      <c r="B507" s="20"/>
      <c r="C507" s="19"/>
      <c r="D507" s="19"/>
      <c r="E507" s="19"/>
      <c r="F507" s="19"/>
      <c r="G507" s="21"/>
      <c r="H507" s="19"/>
      <c r="I507" s="21"/>
      <c r="J507" s="19"/>
      <c r="K507" s="20"/>
      <c r="L507" s="20"/>
      <c r="M507" s="19"/>
      <c r="N507" s="19"/>
      <c r="O507" s="20"/>
      <c r="P507" s="20"/>
      <c r="Q507" s="19"/>
      <c r="R507" s="22" t="str">
        <f aca="false">IF(A507="","",N(G507)+N(I507))</f>
        <v/>
      </c>
      <c r="S507" s="23" t="str">
        <f aca="false">IF(OR(K507="",O507=""),"",O507-K507)</f>
        <v/>
      </c>
      <c r="T507" s="23" t="str">
        <f aca="true">IF(AND(C507="Cetak",L507&lt;&gt;"",L507&lt;TODAY()),"YA","")</f>
        <v/>
      </c>
      <c r="U507" s="23" t="str">
        <f aca="false">IF(B507="","",TEXT(B507,"yyyy-mm"))</f>
        <v/>
      </c>
      <c r="V507" s="23" t="str">
        <f aca="false">IF(K507="","",TEXT(K507,"yyyy-mm"))</f>
        <v/>
      </c>
      <c r="W507" s="23" t="n">
        <f aca="false">IF(OR(C507="Cetak",C507="Dikirim",C507="Selesai"),1,0)</f>
        <v>0</v>
      </c>
      <c r="X507" s="23" t="str">
        <f aca="false">IF(F507="","",SUBSTITUTE(SUBSTITUTE(MID(UPPER(TRIM(F507)),4,99),"-LED",""),"-TK",""))</f>
        <v/>
      </c>
      <c r="Y507" s="23" t="str">
        <f aca="false">IF(X507="","",(LEN(X507)+1)/7)</f>
        <v/>
      </c>
      <c r="Z507" s="23" t="str">
        <f aca="false">IF(X507="","",LEFT(X507,6))</f>
        <v/>
      </c>
      <c r="AA507" s="23" t="str">
        <f aca="false">IF(X507="","",IF(Y507&gt;=3,MID(X507,8,6),""))</f>
        <v/>
      </c>
      <c r="AB507" s="23" t="str">
        <f aca="false">IF(X507="","",IF(Y507&gt;=4,MID(X507,15,6),""))</f>
        <v/>
      </c>
      <c r="AC507" s="23" t="str">
        <f aca="false">IF(X507="","",IF(Y507&gt;=5,MID(X507,22,6),""))</f>
        <v/>
      </c>
      <c r="AD507" s="23" t="str">
        <f aca="false">IF(X507="","",RIGHT(X507,6))</f>
        <v/>
      </c>
      <c r="AE507" s="23" t="str">
        <f aca="false">IF(F507="","",IF(ISNUMBER(SEARCH("-TK",UPPER(F507))),0,1))</f>
        <v/>
      </c>
      <c r="AF507" s="23" t="str">
        <f aca="false">IF(F507="","",IF(ISNUMBER(SEARCH("-LED",UPPER(F507))),1,0))</f>
        <v/>
      </c>
      <c r="AG507" s="24" t="n">
        <f aca="false">IF(Z507="",0,IFERROR(INDEX(Resep!$C$5:$C$7,MATCH(LEFT(Z507,3),Resep!$B$5:$B$7,0)),0))</f>
        <v>0</v>
      </c>
      <c r="AH507" s="24" t="n">
        <f aca="false">IF(AA507="",0,IFERROR(INDEX(Resep!$C$9:$C$13,MATCH(LEFT(AA507,3),Resep!$B$9:$B$13,0)),0))</f>
        <v>0</v>
      </c>
      <c r="AI507" s="24" t="n">
        <f aca="false">IF(AB507="",0,IFERROR(INDEX(Resep!$C$9:$C$13,MATCH(LEFT(AB507,3),Resep!$B$9:$B$13,0)),0))</f>
        <v>0</v>
      </c>
      <c r="AJ507" s="24" t="n">
        <f aca="false">IF(AC507="",0,IFERROR(INDEX(Resep!$C$9:$C$13,MATCH(LEFT(AC507,3),Resep!$B$9:$B$13,0)),0))</f>
        <v>0</v>
      </c>
      <c r="AK507" s="24" t="n">
        <f aca="false">IF(AD507="",0,IFERROR(INDEX(Resep!$C$15:$C$18,MATCH(LEFT(AD507,3),Resep!$B$15:$B$18,0)),0))</f>
        <v>0</v>
      </c>
      <c r="AL507" s="24" t="str">
        <f aca="false">IF(X507="","",AG507+AH507+AI507+AJ507+AK507)</f>
        <v/>
      </c>
      <c r="AM507" s="22" t="str">
        <f aca="false">IF(X507="","",AL507*(Pengaturan!$B$6+Pengaturan!$B$7)+Pengaturan!$B$8+AE507*Pengaturan!$B$9+AF507*Pengaturan!$B$10)</f>
        <v/>
      </c>
      <c r="AN507" s="22" t="str">
        <f aca="false">IF(X507="","",N(G507)-AM507)</f>
        <v/>
      </c>
      <c r="AO507" s="25" t="str">
        <f aca="false">IF(OR(X507="",N(G507)=0),"",AN507/G507)</f>
        <v/>
      </c>
    </row>
    <row r="508" customFormat="false" ht="15" hidden="false" customHeight="false" outlineLevel="0" collapsed="false">
      <c r="A508" s="19"/>
      <c r="B508" s="20"/>
      <c r="C508" s="19"/>
      <c r="D508" s="19"/>
      <c r="E508" s="19"/>
      <c r="F508" s="19"/>
      <c r="G508" s="21"/>
      <c r="H508" s="19"/>
      <c r="I508" s="21"/>
      <c r="J508" s="19"/>
      <c r="K508" s="20"/>
      <c r="L508" s="20"/>
      <c r="M508" s="19"/>
      <c r="N508" s="19"/>
      <c r="O508" s="20"/>
      <c r="P508" s="20"/>
      <c r="Q508" s="19"/>
      <c r="R508" s="22" t="str">
        <f aca="false">IF(A508="","",N(G508)+N(I508))</f>
        <v/>
      </c>
      <c r="S508" s="23" t="str">
        <f aca="false">IF(OR(K508="",O508=""),"",O508-K508)</f>
        <v/>
      </c>
      <c r="T508" s="23" t="str">
        <f aca="true">IF(AND(C508="Cetak",L508&lt;&gt;"",L508&lt;TODAY()),"YA","")</f>
        <v/>
      </c>
      <c r="U508" s="23" t="str">
        <f aca="false">IF(B508="","",TEXT(B508,"yyyy-mm"))</f>
        <v/>
      </c>
      <c r="V508" s="23" t="str">
        <f aca="false">IF(K508="","",TEXT(K508,"yyyy-mm"))</f>
        <v/>
      </c>
      <c r="W508" s="23" t="n">
        <f aca="false">IF(OR(C508="Cetak",C508="Dikirim",C508="Selesai"),1,0)</f>
        <v>0</v>
      </c>
      <c r="X508" s="23" t="str">
        <f aca="false">IF(F508="","",SUBSTITUTE(SUBSTITUTE(MID(UPPER(TRIM(F508)),4,99),"-LED",""),"-TK",""))</f>
        <v/>
      </c>
      <c r="Y508" s="23" t="str">
        <f aca="false">IF(X508="","",(LEN(X508)+1)/7)</f>
        <v/>
      </c>
      <c r="Z508" s="23" t="str">
        <f aca="false">IF(X508="","",LEFT(X508,6))</f>
        <v/>
      </c>
      <c r="AA508" s="23" t="str">
        <f aca="false">IF(X508="","",IF(Y508&gt;=3,MID(X508,8,6),""))</f>
        <v/>
      </c>
      <c r="AB508" s="23" t="str">
        <f aca="false">IF(X508="","",IF(Y508&gt;=4,MID(X508,15,6),""))</f>
        <v/>
      </c>
      <c r="AC508" s="23" t="str">
        <f aca="false">IF(X508="","",IF(Y508&gt;=5,MID(X508,22,6),""))</f>
        <v/>
      </c>
      <c r="AD508" s="23" t="str">
        <f aca="false">IF(X508="","",RIGHT(X508,6))</f>
        <v/>
      </c>
      <c r="AE508" s="23" t="str">
        <f aca="false">IF(F508="","",IF(ISNUMBER(SEARCH("-TK",UPPER(F508))),0,1))</f>
        <v/>
      </c>
      <c r="AF508" s="23" t="str">
        <f aca="false">IF(F508="","",IF(ISNUMBER(SEARCH("-LED",UPPER(F508))),1,0))</f>
        <v/>
      </c>
      <c r="AG508" s="24" t="n">
        <f aca="false">IF(Z508="",0,IFERROR(INDEX(Resep!$C$5:$C$7,MATCH(LEFT(Z508,3),Resep!$B$5:$B$7,0)),0))</f>
        <v>0</v>
      </c>
      <c r="AH508" s="24" t="n">
        <f aca="false">IF(AA508="",0,IFERROR(INDEX(Resep!$C$9:$C$13,MATCH(LEFT(AA508,3),Resep!$B$9:$B$13,0)),0))</f>
        <v>0</v>
      </c>
      <c r="AI508" s="24" t="n">
        <f aca="false">IF(AB508="",0,IFERROR(INDEX(Resep!$C$9:$C$13,MATCH(LEFT(AB508,3),Resep!$B$9:$B$13,0)),0))</f>
        <v>0</v>
      </c>
      <c r="AJ508" s="24" t="n">
        <f aca="false">IF(AC508="",0,IFERROR(INDEX(Resep!$C$9:$C$13,MATCH(LEFT(AC508,3),Resep!$B$9:$B$13,0)),0))</f>
        <v>0</v>
      </c>
      <c r="AK508" s="24" t="n">
        <f aca="false">IF(AD508="",0,IFERROR(INDEX(Resep!$C$15:$C$18,MATCH(LEFT(AD508,3),Resep!$B$15:$B$18,0)),0))</f>
        <v>0</v>
      </c>
      <c r="AL508" s="24" t="str">
        <f aca="false">IF(X508="","",AG508+AH508+AI508+AJ508+AK508)</f>
        <v/>
      </c>
      <c r="AM508" s="22" t="str">
        <f aca="false">IF(X508="","",AL508*(Pengaturan!$B$6+Pengaturan!$B$7)+Pengaturan!$B$8+AE508*Pengaturan!$B$9+AF508*Pengaturan!$B$10)</f>
        <v/>
      </c>
      <c r="AN508" s="22" t="str">
        <f aca="false">IF(X508="","",N(G508)-AM508)</f>
        <v/>
      </c>
      <c r="AO508" s="25" t="str">
        <f aca="false">IF(OR(X508="",N(G508)=0),"",AN508/G508)</f>
        <v/>
      </c>
    </row>
    <row r="509" customFormat="false" ht="15" hidden="false" customHeight="false" outlineLevel="0" collapsed="false">
      <c r="A509" s="19"/>
      <c r="B509" s="20"/>
      <c r="C509" s="19"/>
      <c r="D509" s="19"/>
      <c r="E509" s="19"/>
      <c r="F509" s="19"/>
      <c r="G509" s="21"/>
      <c r="H509" s="19"/>
      <c r="I509" s="21"/>
      <c r="J509" s="19"/>
      <c r="K509" s="20"/>
      <c r="L509" s="20"/>
      <c r="M509" s="19"/>
      <c r="N509" s="19"/>
      <c r="O509" s="20"/>
      <c r="P509" s="20"/>
      <c r="Q509" s="19"/>
      <c r="R509" s="22" t="str">
        <f aca="false">IF(A509="","",N(G509)+N(I509))</f>
        <v/>
      </c>
      <c r="S509" s="23" t="str">
        <f aca="false">IF(OR(K509="",O509=""),"",O509-K509)</f>
        <v/>
      </c>
      <c r="T509" s="23" t="str">
        <f aca="true">IF(AND(C509="Cetak",L509&lt;&gt;"",L509&lt;TODAY()),"YA","")</f>
        <v/>
      </c>
      <c r="U509" s="23" t="str">
        <f aca="false">IF(B509="","",TEXT(B509,"yyyy-mm"))</f>
        <v/>
      </c>
      <c r="V509" s="23" t="str">
        <f aca="false">IF(K509="","",TEXT(K509,"yyyy-mm"))</f>
        <v/>
      </c>
      <c r="W509" s="23" t="n">
        <f aca="false">IF(OR(C509="Cetak",C509="Dikirim",C509="Selesai"),1,0)</f>
        <v>0</v>
      </c>
      <c r="X509" s="23" t="str">
        <f aca="false">IF(F509="","",SUBSTITUTE(SUBSTITUTE(MID(UPPER(TRIM(F509)),4,99),"-LED",""),"-TK",""))</f>
        <v/>
      </c>
      <c r="Y509" s="23" t="str">
        <f aca="false">IF(X509="","",(LEN(X509)+1)/7)</f>
        <v/>
      </c>
      <c r="Z509" s="23" t="str">
        <f aca="false">IF(X509="","",LEFT(X509,6))</f>
        <v/>
      </c>
      <c r="AA509" s="23" t="str">
        <f aca="false">IF(X509="","",IF(Y509&gt;=3,MID(X509,8,6),""))</f>
        <v/>
      </c>
      <c r="AB509" s="23" t="str">
        <f aca="false">IF(X509="","",IF(Y509&gt;=4,MID(X509,15,6),""))</f>
        <v/>
      </c>
      <c r="AC509" s="23" t="str">
        <f aca="false">IF(X509="","",IF(Y509&gt;=5,MID(X509,22,6),""))</f>
        <v/>
      </c>
      <c r="AD509" s="23" t="str">
        <f aca="false">IF(X509="","",RIGHT(X509,6))</f>
        <v/>
      </c>
      <c r="AE509" s="23" t="str">
        <f aca="false">IF(F509="","",IF(ISNUMBER(SEARCH("-TK",UPPER(F509))),0,1))</f>
        <v/>
      </c>
      <c r="AF509" s="23" t="str">
        <f aca="false">IF(F509="","",IF(ISNUMBER(SEARCH("-LED",UPPER(F509))),1,0))</f>
        <v/>
      </c>
      <c r="AG509" s="24" t="n">
        <f aca="false">IF(Z509="",0,IFERROR(INDEX(Resep!$C$5:$C$7,MATCH(LEFT(Z509,3),Resep!$B$5:$B$7,0)),0))</f>
        <v>0</v>
      </c>
      <c r="AH509" s="24" t="n">
        <f aca="false">IF(AA509="",0,IFERROR(INDEX(Resep!$C$9:$C$13,MATCH(LEFT(AA509,3),Resep!$B$9:$B$13,0)),0))</f>
        <v>0</v>
      </c>
      <c r="AI509" s="24" t="n">
        <f aca="false">IF(AB509="",0,IFERROR(INDEX(Resep!$C$9:$C$13,MATCH(LEFT(AB509,3),Resep!$B$9:$B$13,0)),0))</f>
        <v>0</v>
      </c>
      <c r="AJ509" s="24" t="n">
        <f aca="false">IF(AC509="",0,IFERROR(INDEX(Resep!$C$9:$C$13,MATCH(LEFT(AC509,3),Resep!$B$9:$B$13,0)),0))</f>
        <v>0</v>
      </c>
      <c r="AK509" s="24" t="n">
        <f aca="false">IF(AD509="",0,IFERROR(INDEX(Resep!$C$15:$C$18,MATCH(LEFT(AD509,3),Resep!$B$15:$B$18,0)),0))</f>
        <v>0</v>
      </c>
      <c r="AL509" s="24" t="str">
        <f aca="false">IF(X509="","",AG509+AH509+AI509+AJ509+AK509)</f>
        <v/>
      </c>
      <c r="AM509" s="22" t="str">
        <f aca="false">IF(X509="","",AL509*(Pengaturan!$B$6+Pengaturan!$B$7)+Pengaturan!$B$8+AE509*Pengaturan!$B$9+AF509*Pengaturan!$B$10)</f>
        <v/>
      </c>
      <c r="AN509" s="22" t="str">
        <f aca="false">IF(X509="","",N(G509)-AM509)</f>
        <v/>
      </c>
      <c r="AO509" s="25" t="str">
        <f aca="false">IF(OR(X509="",N(G509)=0),"",AN509/G509)</f>
        <v/>
      </c>
    </row>
    <row r="510" customFormat="false" ht="15" hidden="false" customHeight="false" outlineLevel="0" collapsed="false">
      <c r="A510" s="19"/>
      <c r="B510" s="20"/>
      <c r="C510" s="19"/>
      <c r="D510" s="19"/>
      <c r="E510" s="19"/>
      <c r="F510" s="19"/>
      <c r="G510" s="21"/>
      <c r="H510" s="19"/>
      <c r="I510" s="21"/>
      <c r="J510" s="19"/>
      <c r="K510" s="20"/>
      <c r="L510" s="20"/>
      <c r="M510" s="19"/>
      <c r="N510" s="19"/>
      <c r="O510" s="20"/>
      <c r="P510" s="20"/>
      <c r="Q510" s="19"/>
      <c r="R510" s="22" t="str">
        <f aca="false">IF(A510="","",N(G510)+N(I510))</f>
        <v/>
      </c>
      <c r="S510" s="23" t="str">
        <f aca="false">IF(OR(K510="",O510=""),"",O510-K510)</f>
        <v/>
      </c>
      <c r="T510" s="23" t="str">
        <f aca="true">IF(AND(C510="Cetak",L510&lt;&gt;"",L510&lt;TODAY()),"YA","")</f>
        <v/>
      </c>
      <c r="U510" s="23" t="str">
        <f aca="false">IF(B510="","",TEXT(B510,"yyyy-mm"))</f>
        <v/>
      </c>
      <c r="V510" s="23" t="str">
        <f aca="false">IF(K510="","",TEXT(K510,"yyyy-mm"))</f>
        <v/>
      </c>
      <c r="W510" s="23" t="n">
        <f aca="false">IF(OR(C510="Cetak",C510="Dikirim",C510="Selesai"),1,0)</f>
        <v>0</v>
      </c>
      <c r="X510" s="23" t="str">
        <f aca="false">IF(F510="","",SUBSTITUTE(SUBSTITUTE(MID(UPPER(TRIM(F510)),4,99),"-LED",""),"-TK",""))</f>
        <v/>
      </c>
      <c r="Y510" s="23" t="str">
        <f aca="false">IF(X510="","",(LEN(X510)+1)/7)</f>
        <v/>
      </c>
      <c r="Z510" s="23" t="str">
        <f aca="false">IF(X510="","",LEFT(X510,6))</f>
        <v/>
      </c>
      <c r="AA510" s="23" t="str">
        <f aca="false">IF(X510="","",IF(Y510&gt;=3,MID(X510,8,6),""))</f>
        <v/>
      </c>
      <c r="AB510" s="23" t="str">
        <f aca="false">IF(X510="","",IF(Y510&gt;=4,MID(X510,15,6),""))</f>
        <v/>
      </c>
      <c r="AC510" s="23" t="str">
        <f aca="false">IF(X510="","",IF(Y510&gt;=5,MID(X510,22,6),""))</f>
        <v/>
      </c>
      <c r="AD510" s="23" t="str">
        <f aca="false">IF(X510="","",RIGHT(X510,6))</f>
        <v/>
      </c>
      <c r="AE510" s="23" t="str">
        <f aca="false">IF(F510="","",IF(ISNUMBER(SEARCH("-TK",UPPER(F510))),0,1))</f>
        <v/>
      </c>
      <c r="AF510" s="23" t="str">
        <f aca="false">IF(F510="","",IF(ISNUMBER(SEARCH("-LED",UPPER(F510))),1,0))</f>
        <v/>
      </c>
      <c r="AG510" s="24" t="n">
        <f aca="false">IF(Z510="",0,IFERROR(INDEX(Resep!$C$5:$C$7,MATCH(LEFT(Z510,3),Resep!$B$5:$B$7,0)),0))</f>
        <v>0</v>
      </c>
      <c r="AH510" s="24" t="n">
        <f aca="false">IF(AA510="",0,IFERROR(INDEX(Resep!$C$9:$C$13,MATCH(LEFT(AA510,3),Resep!$B$9:$B$13,0)),0))</f>
        <v>0</v>
      </c>
      <c r="AI510" s="24" t="n">
        <f aca="false">IF(AB510="",0,IFERROR(INDEX(Resep!$C$9:$C$13,MATCH(LEFT(AB510,3),Resep!$B$9:$B$13,0)),0))</f>
        <v>0</v>
      </c>
      <c r="AJ510" s="24" t="n">
        <f aca="false">IF(AC510="",0,IFERROR(INDEX(Resep!$C$9:$C$13,MATCH(LEFT(AC510,3),Resep!$B$9:$B$13,0)),0))</f>
        <v>0</v>
      </c>
      <c r="AK510" s="24" t="n">
        <f aca="false">IF(AD510="",0,IFERROR(INDEX(Resep!$C$15:$C$18,MATCH(LEFT(AD510,3),Resep!$B$15:$B$18,0)),0))</f>
        <v>0</v>
      </c>
      <c r="AL510" s="24" t="str">
        <f aca="false">IF(X510="","",AG510+AH510+AI510+AJ510+AK510)</f>
        <v/>
      </c>
      <c r="AM510" s="22" t="str">
        <f aca="false">IF(X510="","",AL510*(Pengaturan!$B$6+Pengaturan!$B$7)+Pengaturan!$B$8+AE510*Pengaturan!$B$9+AF510*Pengaturan!$B$10)</f>
        <v/>
      </c>
      <c r="AN510" s="22" t="str">
        <f aca="false">IF(X510="","",N(G510)-AM510)</f>
        <v/>
      </c>
      <c r="AO510" s="25" t="str">
        <f aca="false">IF(OR(X510="",N(G510)=0),"",AN510/G510)</f>
        <v/>
      </c>
    </row>
    <row r="511" customFormat="false" ht="15" hidden="false" customHeight="false" outlineLevel="0" collapsed="false">
      <c r="A511" s="19"/>
      <c r="B511" s="20"/>
      <c r="C511" s="19"/>
      <c r="D511" s="19"/>
      <c r="E511" s="19"/>
      <c r="F511" s="19"/>
      <c r="G511" s="21"/>
      <c r="H511" s="19"/>
      <c r="I511" s="21"/>
      <c r="J511" s="19"/>
      <c r="K511" s="20"/>
      <c r="L511" s="20"/>
      <c r="M511" s="19"/>
      <c r="N511" s="19"/>
      <c r="O511" s="20"/>
      <c r="P511" s="20"/>
      <c r="Q511" s="19"/>
      <c r="R511" s="22" t="str">
        <f aca="false">IF(A511="","",N(G511)+N(I511))</f>
        <v/>
      </c>
      <c r="S511" s="23" t="str">
        <f aca="false">IF(OR(K511="",O511=""),"",O511-K511)</f>
        <v/>
      </c>
      <c r="T511" s="23" t="str">
        <f aca="true">IF(AND(C511="Cetak",L511&lt;&gt;"",L511&lt;TODAY()),"YA","")</f>
        <v/>
      </c>
      <c r="U511" s="23" t="str">
        <f aca="false">IF(B511="","",TEXT(B511,"yyyy-mm"))</f>
        <v/>
      </c>
      <c r="V511" s="23" t="str">
        <f aca="false">IF(K511="","",TEXT(K511,"yyyy-mm"))</f>
        <v/>
      </c>
      <c r="W511" s="23" t="n">
        <f aca="false">IF(OR(C511="Cetak",C511="Dikirim",C511="Selesai"),1,0)</f>
        <v>0</v>
      </c>
      <c r="X511" s="23" t="str">
        <f aca="false">IF(F511="","",SUBSTITUTE(SUBSTITUTE(MID(UPPER(TRIM(F511)),4,99),"-LED",""),"-TK",""))</f>
        <v/>
      </c>
      <c r="Y511" s="23" t="str">
        <f aca="false">IF(X511="","",(LEN(X511)+1)/7)</f>
        <v/>
      </c>
      <c r="Z511" s="23" t="str">
        <f aca="false">IF(X511="","",LEFT(X511,6))</f>
        <v/>
      </c>
      <c r="AA511" s="23" t="str">
        <f aca="false">IF(X511="","",IF(Y511&gt;=3,MID(X511,8,6),""))</f>
        <v/>
      </c>
      <c r="AB511" s="23" t="str">
        <f aca="false">IF(X511="","",IF(Y511&gt;=4,MID(X511,15,6),""))</f>
        <v/>
      </c>
      <c r="AC511" s="23" t="str">
        <f aca="false">IF(X511="","",IF(Y511&gt;=5,MID(X511,22,6),""))</f>
        <v/>
      </c>
      <c r="AD511" s="23" t="str">
        <f aca="false">IF(X511="","",RIGHT(X511,6))</f>
        <v/>
      </c>
      <c r="AE511" s="23" t="str">
        <f aca="false">IF(F511="","",IF(ISNUMBER(SEARCH("-TK",UPPER(F511))),0,1))</f>
        <v/>
      </c>
      <c r="AF511" s="23" t="str">
        <f aca="false">IF(F511="","",IF(ISNUMBER(SEARCH("-LED",UPPER(F511))),1,0))</f>
        <v/>
      </c>
      <c r="AG511" s="24" t="n">
        <f aca="false">IF(Z511="",0,IFERROR(INDEX(Resep!$C$5:$C$7,MATCH(LEFT(Z511,3),Resep!$B$5:$B$7,0)),0))</f>
        <v>0</v>
      </c>
      <c r="AH511" s="24" t="n">
        <f aca="false">IF(AA511="",0,IFERROR(INDEX(Resep!$C$9:$C$13,MATCH(LEFT(AA511,3),Resep!$B$9:$B$13,0)),0))</f>
        <v>0</v>
      </c>
      <c r="AI511" s="24" t="n">
        <f aca="false">IF(AB511="",0,IFERROR(INDEX(Resep!$C$9:$C$13,MATCH(LEFT(AB511,3),Resep!$B$9:$B$13,0)),0))</f>
        <v>0</v>
      </c>
      <c r="AJ511" s="24" t="n">
        <f aca="false">IF(AC511="",0,IFERROR(INDEX(Resep!$C$9:$C$13,MATCH(LEFT(AC511,3),Resep!$B$9:$B$13,0)),0))</f>
        <v>0</v>
      </c>
      <c r="AK511" s="24" t="n">
        <f aca="false">IF(AD511="",0,IFERROR(INDEX(Resep!$C$15:$C$18,MATCH(LEFT(AD511,3),Resep!$B$15:$B$18,0)),0))</f>
        <v>0</v>
      </c>
      <c r="AL511" s="24" t="str">
        <f aca="false">IF(X511="","",AG511+AH511+AI511+AJ511+AK511)</f>
        <v/>
      </c>
      <c r="AM511" s="22" t="str">
        <f aca="false">IF(X511="","",AL511*(Pengaturan!$B$6+Pengaturan!$B$7)+Pengaturan!$B$8+AE511*Pengaturan!$B$9+AF511*Pengaturan!$B$10)</f>
        <v/>
      </c>
      <c r="AN511" s="22" t="str">
        <f aca="false">IF(X511="","",N(G511)-AM511)</f>
        <v/>
      </c>
      <c r="AO511" s="25" t="str">
        <f aca="false">IF(OR(X511="",N(G511)=0),"",AN511/G511)</f>
        <v/>
      </c>
    </row>
    <row r="512" customFormat="false" ht="15" hidden="false" customHeight="false" outlineLevel="0" collapsed="false">
      <c r="A512" s="19"/>
      <c r="B512" s="20"/>
      <c r="C512" s="19"/>
      <c r="D512" s="19"/>
      <c r="E512" s="19"/>
      <c r="F512" s="19"/>
      <c r="G512" s="21"/>
      <c r="H512" s="19"/>
      <c r="I512" s="21"/>
      <c r="J512" s="19"/>
      <c r="K512" s="20"/>
      <c r="L512" s="20"/>
      <c r="M512" s="19"/>
      <c r="N512" s="19"/>
      <c r="O512" s="20"/>
      <c r="P512" s="20"/>
      <c r="Q512" s="19"/>
      <c r="R512" s="22" t="str">
        <f aca="false">IF(A512="","",N(G512)+N(I512))</f>
        <v/>
      </c>
      <c r="S512" s="23" t="str">
        <f aca="false">IF(OR(K512="",O512=""),"",O512-K512)</f>
        <v/>
      </c>
      <c r="T512" s="23" t="str">
        <f aca="true">IF(AND(C512="Cetak",L512&lt;&gt;"",L512&lt;TODAY()),"YA","")</f>
        <v/>
      </c>
      <c r="U512" s="23" t="str">
        <f aca="false">IF(B512="","",TEXT(B512,"yyyy-mm"))</f>
        <v/>
      </c>
      <c r="V512" s="23" t="str">
        <f aca="false">IF(K512="","",TEXT(K512,"yyyy-mm"))</f>
        <v/>
      </c>
      <c r="W512" s="23" t="n">
        <f aca="false">IF(OR(C512="Cetak",C512="Dikirim",C512="Selesai"),1,0)</f>
        <v>0</v>
      </c>
      <c r="X512" s="23" t="str">
        <f aca="false">IF(F512="","",SUBSTITUTE(SUBSTITUTE(MID(UPPER(TRIM(F512)),4,99),"-LED",""),"-TK",""))</f>
        <v/>
      </c>
      <c r="Y512" s="23" t="str">
        <f aca="false">IF(X512="","",(LEN(X512)+1)/7)</f>
        <v/>
      </c>
      <c r="Z512" s="23" t="str">
        <f aca="false">IF(X512="","",LEFT(X512,6))</f>
        <v/>
      </c>
      <c r="AA512" s="23" t="str">
        <f aca="false">IF(X512="","",IF(Y512&gt;=3,MID(X512,8,6),""))</f>
        <v/>
      </c>
      <c r="AB512" s="23" t="str">
        <f aca="false">IF(X512="","",IF(Y512&gt;=4,MID(X512,15,6),""))</f>
        <v/>
      </c>
      <c r="AC512" s="23" t="str">
        <f aca="false">IF(X512="","",IF(Y512&gt;=5,MID(X512,22,6),""))</f>
        <v/>
      </c>
      <c r="AD512" s="23" t="str">
        <f aca="false">IF(X512="","",RIGHT(X512,6))</f>
        <v/>
      </c>
      <c r="AE512" s="23" t="str">
        <f aca="false">IF(F512="","",IF(ISNUMBER(SEARCH("-TK",UPPER(F512))),0,1))</f>
        <v/>
      </c>
      <c r="AF512" s="23" t="str">
        <f aca="false">IF(F512="","",IF(ISNUMBER(SEARCH("-LED",UPPER(F512))),1,0))</f>
        <v/>
      </c>
      <c r="AG512" s="24" t="n">
        <f aca="false">IF(Z512="",0,IFERROR(INDEX(Resep!$C$5:$C$7,MATCH(LEFT(Z512,3),Resep!$B$5:$B$7,0)),0))</f>
        <v>0</v>
      </c>
      <c r="AH512" s="24" t="n">
        <f aca="false">IF(AA512="",0,IFERROR(INDEX(Resep!$C$9:$C$13,MATCH(LEFT(AA512,3),Resep!$B$9:$B$13,0)),0))</f>
        <v>0</v>
      </c>
      <c r="AI512" s="24" t="n">
        <f aca="false">IF(AB512="",0,IFERROR(INDEX(Resep!$C$9:$C$13,MATCH(LEFT(AB512,3),Resep!$B$9:$B$13,0)),0))</f>
        <v>0</v>
      </c>
      <c r="AJ512" s="24" t="n">
        <f aca="false">IF(AC512="",0,IFERROR(INDEX(Resep!$C$9:$C$13,MATCH(LEFT(AC512,3),Resep!$B$9:$B$13,0)),0))</f>
        <v>0</v>
      </c>
      <c r="AK512" s="24" t="n">
        <f aca="false">IF(AD512="",0,IFERROR(INDEX(Resep!$C$15:$C$18,MATCH(LEFT(AD512,3),Resep!$B$15:$B$18,0)),0))</f>
        <v>0</v>
      </c>
      <c r="AL512" s="24" t="str">
        <f aca="false">IF(X512="","",AG512+AH512+AI512+AJ512+AK512)</f>
        <v/>
      </c>
      <c r="AM512" s="22" t="str">
        <f aca="false">IF(X512="","",AL512*(Pengaturan!$B$6+Pengaturan!$B$7)+Pengaturan!$B$8+AE512*Pengaturan!$B$9+AF512*Pengaturan!$B$10)</f>
        <v/>
      </c>
      <c r="AN512" s="22" t="str">
        <f aca="false">IF(X512="","",N(G512)-AM512)</f>
        <v/>
      </c>
      <c r="AO512" s="25" t="str">
        <f aca="false">IF(OR(X512="",N(G512)=0),"",AN512/G512)</f>
        <v/>
      </c>
    </row>
    <row r="513" customFormat="false" ht="15" hidden="false" customHeight="false" outlineLevel="0" collapsed="false">
      <c r="A513" s="19"/>
      <c r="B513" s="20"/>
      <c r="C513" s="19"/>
      <c r="D513" s="19"/>
      <c r="E513" s="19"/>
      <c r="F513" s="19"/>
      <c r="G513" s="21"/>
      <c r="H513" s="19"/>
      <c r="I513" s="21"/>
      <c r="J513" s="19"/>
      <c r="K513" s="20"/>
      <c r="L513" s="20"/>
      <c r="M513" s="19"/>
      <c r="N513" s="19"/>
      <c r="O513" s="20"/>
      <c r="P513" s="20"/>
      <c r="Q513" s="19"/>
      <c r="R513" s="22" t="str">
        <f aca="false">IF(A513="","",N(G513)+N(I513))</f>
        <v/>
      </c>
      <c r="S513" s="23" t="str">
        <f aca="false">IF(OR(K513="",O513=""),"",O513-K513)</f>
        <v/>
      </c>
      <c r="T513" s="23" t="str">
        <f aca="true">IF(AND(C513="Cetak",L513&lt;&gt;"",L513&lt;TODAY()),"YA","")</f>
        <v/>
      </c>
      <c r="U513" s="23" t="str">
        <f aca="false">IF(B513="","",TEXT(B513,"yyyy-mm"))</f>
        <v/>
      </c>
      <c r="V513" s="23" t="str">
        <f aca="false">IF(K513="","",TEXT(K513,"yyyy-mm"))</f>
        <v/>
      </c>
      <c r="W513" s="23" t="n">
        <f aca="false">IF(OR(C513="Cetak",C513="Dikirim",C513="Selesai"),1,0)</f>
        <v>0</v>
      </c>
      <c r="X513" s="23" t="str">
        <f aca="false">IF(F513="","",SUBSTITUTE(SUBSTITUTE(MID(UPPER(TRIM(F513)),4,99),"-LED",""),"-TK",""))</f>
        <v/>
      </c>
      <c r="Y513" s="23" t="str">
        <f aca="false">IF(X513="","",(LEN(X513)+1)/7)</f>
        <v/>
      </c>
      <c r="Z513" s="23" t="str">
        <f aca="false">IF(X513="","",LEFT(X513,6))</f>
        <v/>
      </c>
      <c r="AA513" s="23" t="str">
        <f aca="false">IF(X513="","",IF(Y513&gt;=3,MID(X513,8,6),""))</f>
        <v/>
      </c>
      <c r="AB513" s="23" t="str">
        <f aca="false">IF(X513="","",IF(Y513&gt;=4,MID(X513,15,6),""))</f>
        <v/>
      </c>
      <c r="AC513" s="23" t="str">
        <f aca="false">IF(X513="","",IF(Y513&gt;=5,MID(X513,22,6),""))</f>
        <v/>
      </c>
      <c r="AD513" s="23" t="str">
        <f aca="false">IF(X513="","",RIGHT(X513,6))</f>
        <v/>
      </c>
      <c r="AE513" s="23" t="str">
        <f aca="false">IF(F513="","",IF(ISNUMBER(SEARCH("-TK",UPPER(F513))),0,1))</f>
        <v/>
      </c>
      <c r="AF513" s="23" t="str">
        <f aca="false">IF(F513="","",IF(ISNUMBER(SEARCH("-LED",UPPER(F513))),1,0))</f>
        <v/>
      </c>
      <c r="AG513" s="24" t="n">
        <f aca="false">IF(Z513="",0,IFERROR(INDEX(Resep!$C$5:$C$7,MATCH(LEFT(Z513,3),Resep!$B$5:$B$7,0)),0))</f>
        <v>0</v>
      </c>
      <c r="AH513" s="24" t="n">
        <f aca="false">IF(AA513="",0,IFERROR(INDEX(Resep!$C$9:$C$13,MATCH(LEFT(AA513,3),Resep!$B$9:$B$13,0)),0))</f>
        <v>0</v>
      </c>
      <c r="AI513" s="24" t="n">
        <f aca="false">IF(AB513="",0,IFERROR(INDEX(Resep!$C$9:$C$13,MATCH(LEFT(AB513,3),Resep!$B$9:$B$13,0)),0))</f>
        <v>0</v>
      </c>
      <c r="AJ513" s="24" t="n">
        <f aca="false">IF(AC513="",0,IFERROR(INDEX(Resep!$C$9:$C$13,MATCH(LEFT(AC513,3),Resep!$B$9:$B$13,0)),0))</f>
        <v>0</v>
      </c>
      <c r="AK513" s="24" t="n">
        <f aca="false">IF(AD513="",0,IFERROR(INDEX(Resep!$C$15:$C$18,MATCH(LEFT(AD513,3),Resep!$B$15:$B$18,0)),0))</f>
        <v>0</v>
      </c>
      <c r="AL513" s="24" t="str">
        <f aca="false">IF(X513="","",AG513+AH513+AI513+AJ513+AK513)</f>
        <v/>
      </c>
      <c r="AM513" s="22" t="str">
        <f aca="false">IF(X513="","",AL513*(Pengaturan!$B$6+Pengaturan!$B$7)+Pengaturan!$B$8+AE513*Pengaturan!$B$9+AF513*Pengaturan!$B$10)</f>
        <v/>
      </c>
      <c r="AN513" s="22" t="str">
        <f aca="false">IF(X513="","",N(G513)-AM513)</f>
        <v/>
      </c>
      <c r="AO513" s="25" t="str">
        <f aca="false">IF(OR(X513="",N(G513)=0),"",AN513/G513)</f>
        <v/>
      </c>
    </row>
    <row r="514" customFormat="false" ht="15" hidden="false" customHeight="false" outlineLevel="0" collapsed="false">
      <c r="A514" s="19"/>
      <c r="B514" s="20"/>
      <c r="C514" s="19"/>
      <c r="D514" s="19"/>
      <c r="E514" s="19"/>
      <c r="F514" s="19"/>
      <c r="G514" s="21"/>
      <c r="H514" s="19"/>
      <c r="I514" s="21"/>
      <c r="J514" s="19"/>
      <c r="K514" s="20"/>
      <c r="L514" s="20"/>
      <c r="M514" s="19"/>
      <c r="N514" s="19"/>
      <c r="O514" s="20"/>
      <c r="P514" s="20"/>
      <c r="Q514" s="19"/>
      <c r="R514" s="22" t="str">
        <f aca="false">IF(A514="","",N(G514)+N(I514))</f>
        <v/>
      </c>
      <c r="S514" s="23" t="str">
        <f aca="false">IF(OR(K514="",O514=""),"",O514-K514)</f>
        <v/>
      </c>
      <c r="T514" s="23" t="str">
        <f aca="true">IF(AND(C514="Cetak",L514&lt;&gt;"",L514&lt;TODAY()),"YA","")</f>
        <v/>
      </c>
      <c r="U514" s="23" t="str">
        <f aca="false">IF(B514="","",TEXT(B514,"yyyy-mm"))</f>
        <v/>
      </c>
      <c r="V514" s="23" t="str">
        <f aca="false">IF(K514="","",TEXT(K514,"yyyy-mm"))</f>
        <v/>
      </c>
      <c r="W514" s="23" t="n">
        <f aca="false">IF(OR(C514="Cetak",C514="Dikirim",C514="Selesai"),1,0)</f>
        <v>0</v>
      </c>
      <c r="X514" s="23" t="str">
        <f aca="false">IF(F514="","",SUBSTITUTE(SUBSTITUTE(MID(UPPER(TRIM(F514)),4,99),"-LED",""),"-TK",""))</f>
        <v/>
      </c>
      <c r="Y514" s="23" t="str">
        <f aca="false">IF(X514="","",(LEN(X514)+1)/7)</f>
        <v/>
      </c>
      <c r="Z514" s="23" t="str">
        <f aca="false">IF(X514="","",LEFT(X514,6))</f>
        <v/>
      </c>
      <c r="AA514" s="23" t="str">
        <f aca="false">IF(X514="","",IF(Y514&gt;=3,MID(X514,8,6),""))</f>
        <v/>
      </c>
      <c r="AB514" s="23" t="str">
        <f aca="false">IF(X514="","",IF(Y514&gt;=4,MID(X514,15,6),""))</f>
        <v/>
      </c>
      <c r="AC514" s="23" t="str">
        <f aca="false">IF(X514="","",IF(Y514&gt;=5,MID(X514,22,6),""))</f>
        <v/>
      </c>
      <c r="AD514" s="23" t="str">
        <f aca="false">IF(X514="","",RIGHT(X514,6))</f>
        <v/>
      </c>
      <c r="AE514" s="23" t="str">
        <f aca="false">IF(F514="","",IF(ISNUMBER(SEARCH("-TK",UPPER(F514))),0,1))</f>
        <v/>
      </c>
      <c r="AF514" s="23" t="str">
        <f aca="false">IF(F514="","",IF(ISNUMBER(SEARCH("-LED",UPPER(F514))),1,0))</f>
        <v/>
      </c>
      <c r="AG514" s="24" t="n">
        <f aca="false">IF(Z514="",0,IFERROR(INDEX(Resep!$C$5:$C$7,MATCH(LEFT(Z514,3),Resep!$B$5:$B$7,0)),0))</f>
        <v>0</v>
      </c>
      <c r="AH514" s="24" t="n">
        <f aca="false">IF(AA514="",0,IFERROR(INDEX(Resep!$C$9:$C$13,MATCH(LEFT(AA514,3),Resep!$B$9:$B$13,0)),0))</f>
        <v>0</v>
      </c>
      <c r="AI514" s="24" t="n">
        <f aca="false">IF(AB514="",0,IFERROR(INDEX(Resep!$C$9:$C$13,MATCH(LEFT(AB514,3),Resep!$B$9:$B$13,0)),0))</f>
        <v>0</v>
      </c>
      <c r="AJ514" s="24" t="n">
        <f aca="false">IF(AC514="",0,IFERROR(INDEX(Resep!$C$9:$C$13,MATCH(LEFT(AC514,3),Resep!$B$9:$B$13,0)),0))</f>
        <v>0</v>
      </c>
      <c r="AK514" s="24" t="n">
        <f aca="false">IF(AD514="",0,IFERROR(INDEX(Resep!$C$15:$C$18,MATCH(LEFT(AD514,3),Resep!$B$15:$B$18,0)),0))</f>
        <v>0</v>
      </c>
      <c r="AL514" s="24" t="str">
        <f aca="false">IF(X514="","",AG514+AH514+AI514+AJ514+AK514)</f>
        <v/>
      </c>
      <c r="AM514" s="22" t="str">
        <f aca="false">IF(X514="","",AL514*(Pengaturan!$B$6+Pengaturan!$B$7)+Pengaturan!$B$8+AE514*Pengaturan!$B$9+AF514*Pengaturan!$B$10)</f>
        <v/>
      </c>
      <c r="AN514" s="22" t="str">
        <f aca="false">IF(X514="","",N(G514)-AM514)</f>
        <v/>
      </c>
      <c r="AO514" s="25" t="str">
        <f aca="false">IF(OR(X514="",N(G514)=0),"",AN514/G514)</f>
        <v/>
      </c>
    </row>
    <row r="515" customFormat="false" ht="15" hidden="false" customHeight="false" outlineLevel="0" collapsed="false">
      <c r="A515" s="19"/>
      <c r="B515" s="20"/>
      <c r="C515" s="19"/>
      <c r="D515" s="19"/>
      <c r="E515" s="19"/>
      <c r="F515" s="19"/>
      <c r="G515" s="21"/>
      <c r="H515" s="19"/>
      <c r="I515" s="21"/>
      <c r="J515" s="19"/>
      <c r="K515" s="20"/>
      <c r="L515" s="20"/>
      <c r="M515" s="19"/>
      <c r="N515" s="19"/>
      <c r="O515" s="20"/>
      <c r="P515" s="20"/>
      <c r="Q515" s="19"/>
      <c r="R515" s="22" t="str">
        <f aca="false">IF(A515="","",N(G515)+N(I515))</f>
        <v/>
      </c>
      <c r="S515" s="23" t="str">
        <f aca="false">IF(OR(K515="",O515=""),"",O515-K515)</f>
        <v/>
      </c>
      <c r="T515" s="23" t="str">
        <f aca="true">IF(AND(C515="Cetak",L515&lt;&gt;"",L515&lt;TODAY()),"YA","")</f>
        <v/>
      </c>
      <c r="U515" s="23" t="str">
        <f aca="false">IF(B515="","",TEXT(B515,"yyyy-mm"))</f>
        <v/>
      </c>
      <c r="V515" s="23" t="str">
        <f aca="false">IF(K515="","",TEXT(K515,"yyyy-mm"))</f>
        <v/>
      </c>
      <c r="W515" s="23" t="n">
        <f aca="false">IF(OR(C515="Cetak",C515="Dikirim",C515="Selesai"),1,0)</f>
        <v>0</v>
      </c>
      <c r="X515" s="23" t="str">
        <f aca="false">IF(F515="","",SUBSTITUTE(SUBSTITUTE(MID(UPPER(TRIM(F515)),4,99),"-LED",""),"-TK",""))</f>
        <v/>
      </c>
      <c r="Y515" s="23" t="str">
        <f aca="false">IF(X515="","",(LEN(X515)+1)/7)</f>
        <v/>
      </c>
      <c r="Z515" s="23" t="str">
        <f aca="false">IF(X515="","",LEFT(X515,6))</f>
        <v/>
      </c>
      <c r="AA515" s="23" t="str">
        <f aca="false">IF(X515="","",IF(Y515&gt;=3,MID(X515,8,6),""))</f>
        <v/>
      </c>
      <c r="AB515" s="23" t="str">
        <f aca="false">IF(X515="","",IF(Y515&gt;=4,MID(X515,15,6),""))</f>
        <v/>
      </c>
      <c r="AC515" s="23" t="str">
        <f aca="false">IF(X515="","",IF(Y515&gt;=5,MID(X515,22,6),""))</f>
        <v/>
      </c>
      <c r="AD515" s="23" t="str">
        <f aca="false">IF(X515="","",RIGHT(X515,6))</f>
        <v/>
      </c>
      <c r="AE515" s="23" t="str">
        <f aca="false">IF(F515="","",IF(ISNUMBER(SEARCH("-TK",UPPER(F515))),0,1))</f>
        <v/>
      </c>
      <c r="AF515" s="23" t="str">
        <f aca="false">IF(F515="","",IF(ISNUMBER(SEARCH("-LED",UPPER(F515))),1,0))</f>
        <v/>
      </c>
      <c r="AG515" s="24" t="n">
        <f aca="false">IF(Z515="",0,IFERROR(INDEX(Resep!$C$5:$C$7,MATCH(LEFT(Z515,3),Resep!$B$5:$B$7,0)),0))</f>
        <v>0</v>
      </c>
      <c r="AH515" s="24" t="n">
        <f aca="false">IF(AA515="",0,IFERROR(INDEX(Resep!$C$9:$C$13,MATCH(LEFT(AA515,3),Resep!$B$9:$B$13,0)),0))</f>
        <v>0</v>
      </c>
      <c r="AI515" s="24" t="n">
        <f aca="false">IF(AB515="",0,IFERROR(INDEX(Resep!$C$9:$C$13,MATCH(LEFT(AB515,3),Resep!$B$9:$B$13,0)),0))</f>
        <v>0</v>
      </c>
      <c r="AJ515" s="24" t="n">
        <f aca="false">IF(AC515="",0,IFERROR(INDEX(Resep!$C$9:$C$13,MATCH(LEFT(AC515,3),Resep!$B$9:$B$13,0)),0))</f>
        <v>0</v>
      </c>
      <c r="AK515" s="24" t="n">
        <f aca="false">IF(AD515="",0,IFERROR(INDEX(Resep!$C$15:$C$18,MATCH(LEFT(AD515,3),Resep!$B$15:$B$18,0)),0))</f>
        <v>0</v>
      </c>
      <c r="AL515" s="24" t="str">
        <f aca="false">IF(X515="","",AG515+AH515+AI515+AJ515+AK515)</f>
        <v/>
      </c>
      <c r="AM515" s="22" t="str">
        <f aca="false">IF(X515="","",AL515*(Pengaturan!$B$6+Pengaturan!$B$7)+Pengaturan!$B$8+AE515*Pengaturan!$B$9+AF515*Pengaturan!$B$10)</f>
        <v/>
      </c>
      <c r="AN515" s="22" t="str">
        <f aca="false">IF(X515="","",N(G515)-AM515)</f>
        <v/>
      </c>
      <c r="AO515" s="25" t="str">
        <f aca="false">IF(OR(X515="",N(G515)=0),"",AN515/G515)</f>
        <v/>
      </c>
    </row>
    <row r="516" customFormat="false" ht="15" hidden="false" customHeight="false" outlineLevel="0" collapsed="false">
      <c r="A516" s="19"/>
      <c r="B516" s="20"/>
      <c r="C516" s="19"/>
      <c r="D516" s="19"/>
      <c r="E516" s="19"/>
      <c r="F516" s="19"/>
      <c r="G516" s="21"/>
      <c r="H516" s="19"/>
      <c r="I516" s="21"/>
      <c r="J516" s="19"/>
      <c r="K516" s="20"/>
      <c r="L516" s="20"/>
      <c r="M516" s="19"/>
      <c r="N516" s="19"/>
      <c r="O516" s="20"/>
      <c r="P516" s="20"/>
      <c r="Q516" s="19"/>
      <c r="R516" s="22" t="str">
        <f aca="false">IF(A516="","",N(G516)+N(I516))</f>
        <v/>
      </c>
      <c r="S516" s="23" t="str">
        <f aca="false">IF(OR(K516="",O516=""),"",O516-K516)</f>
        <v/>
      </c>
      <c r="T516" s="23" t="str">
        <f aca="true">IF(AND(C516="Cetak",L516&lt;&gt;"",L516&lt;TODAY()),"YA","")</f>
        <v/>
      </c>
      <c r="U516" s="23" t="str">
        <f aca="false">IF(B516="","",TEXT(B516,"yyyy-mm"))</f>
        <v/>
      </c>
      <c r="V516" s="23" t="str">
        <f aca="false">IF(K516="","",TEXT(K516,"yyyy-mm"))</f>
        <v/>
      </c>
      <c r="W516" s="23" t="n">
        <f aca="false">IF(OR(C516="Cetak",C516="Dikirim",C516="Selesai"),1,0)</f>
        <v>0</v>
      </c>
      <c r="X516" s="23" t="str">
        <f aca="false">IF(F516="","",SUBSTITUTE(SUBSTITUTE(MID(UPPER(TRIM(F516)),4,99),"-LED",""),"-TK",""))</f>
        <v/>
      </c>
      <c r="Y516" s="23" t="str">
        <f aca="false">IF(X516="","",(LEN(X516)+1)/7)</f>
        <v/>
      </c>
      <c r="Z516" s="23" t="str">
        <f aca="false">IF(X516="","",LEFT(X516,6))</f>
        <v/>
      </c>
      <c r="AA516" s="23" t="str">
        <f aca="false">IF(X516="","",IF(Y516&gt;=3,MID(X516,8,6),""))</f>
        <v/>
      </c>
      <c r="AB516" s="23" t="str">
        <f aca="false">IF(X516="","",IF(Y516&gt;=4,MID(X516,15,6),""))</f>
        <v/>
      </c>
      <c r="AC516" s="23" t="str">
        <f aca="false">IF(X516="","",IF(Y516&gt;=5,MID(X516,22,6),""))</f>
        <v/>
      </c>
      <c r="AD516" s="23" t="str">
        <f aca="false">IF(X516="","",RIGHT(X516,6))</f>
        <v/>
      </c>
      <c r="AE516" s="23" t="str">
        <f aca="false">IF(F516="","",IF(ISNUMBER(SEARCH("-TK",UPPER(F516))),0,1))</f>
        <v/>
      </c>
      <c r="AF516" s="23" t="str">
        <f aca="false">IF(F516="","",IF(ISNUMBER(SEARCH("-LED",UPPER(F516))),1,0))</f>
        <v/>
      </c>
      <c r="AG516" s="24" t="n">
        <f aca="false">IF(Z516="",0,IFERROR(INDEX(Resep!$C$5:$C$7,MATCH(LEFT(Z516,3),Resep!$B$5:$B$7,0)),0))</f>
        <v>0</v>
      </c>
      <c r="AH516" s="24" t="n">
        <f aca="false">IF(AA516="",0,IFERROR(INDEX(Resep!$C$9:$C$13,MATCH(LEFT(AA516,3),Resep!$B$9:$B$13,0)),0))</f>
        <v>0</v>
      </c>
      <c r="AI516" s="24" t="n">
        <f aca="false">IF(AB516="",0,IFERROR(INDEX(Resep!$C$9:$C$13,MATCH(LEFT(AB516,3),Resep!$B$9:$B$13,0)),0))</f>
        <v>0</v>
      </c>
      <c r="AJ516" s="24" t="n">
        <f aca="false">IF(AC516="",0,IFERROR(INDEX(Resep!$C$9:$C$13,MATCH(LEFT(AC516,3),Resep!$B$9:$B$13,0)),0))</f>
        <v>0</v>
      </c>
      <c r="AK516" s="24" t="n">
        <f aca="false">IF(AD516="",0,IFERROR(INDEX(Resep!$C$15:$C$18,MATCH(LEFT(AD516,3),Resep!$B$15:$B$18,0)),0))</f>
        <v>0</v>
      </c>
      <c r="AL516" s="24" t="str">
        <f aca="false">IF(X516="","",AG516+AH516+AI516+AJ516+AK516)</f>
        <v/>
      </c>
      <c r="AM516" s="22" t="str">
        <f aca="false">IF(X516="","",AL516*(Pengaturan!$B$6+Pengaturan!$B$7)+Pengaturan!$B$8+AE516*Pengaturan!$B$9+AF516*Pengaturan!$B$10)</f>
        <v/>
      </c>
      <c r="AN516" s="22" t="str">
        <f aca="false">IF(X516="","",N(G516)-AM516)</f>
        <v/>
      </c>
      <c r="AO516" s="25" t="str">
        <f aca="false">IF(OR(X516="",N(G516)=0),"",AN516/G516)</f>
        <v/>
      </c>
    </row>
    <row r="517" customFormat="false" ht="15" hidden="false" customHeight="false" outlineLevel="0" collapsed="false">
      <c r="A517" s="19"/>
      <c r="B517" s="20"/>
      <c r="C517" s="19"/>
      <c r="D517" s="19"/>
      <c r="E517" s="19"/>
      <c r="F517" s="19"/>
      <c r="G517" s="21"/>
      <c r="H517" s="19"/>
      <c r="I517" s="21"/>
      <c r="J517" s="19"/>
      <c r="K517" s="20"/>
      <c r="L517" s="20"/>
      <c r="M517" s="19"/>
      <c r="N517" s="19"/>
      <c r="O517" s="20"/>
      <c r="P517" s="20"/>
      <c r="Q517" s="19"/>
      <c r="R517" s="22" t="str">
        <f aca="false">IF(A517="","",N(G517)+N(I517))</f>
        <v/>
      </c>
      <c r="S517" s="23" t="str">
        <f aca="false">IF(OR(K517="",O517=""),"",O517-K517)</f>
        <v/>
      </c>
      <c r="T517" s="23" t="str">
        <f aca="true">IF(AND(C517="Cetak",L517&lt;&gt;"",L517&lt;TODAY()),"YA","")</f>
        <v/>
      </c>
      <c r="U517" s="23" t="str">
        <f aca="false">IF(B517="","",TEXT(B517,"yyyy-mm"))</f>
        <v/>
      </c>
      <c r="V517" s="23" t="str">
        <f aca="false">IF(K517="","",TEXT(K517,"yyyy-mm"))</f>
        <v/>
      </c>
      <c r="W517" s="23" t="n">
        <f aca="false">IF(OR(C517="Cetak",C517="Dikirim",C517="Selesai"),1,0)</f>
        <v>0</v>
      </c>
      <c r="X517" s="23" t="str">
        <f aca="false">IF(F517="","",SUBSTITUTE(SUBSTITUTE(MID(UPPER(TRIM(F517)),4,99),"-LED",""),"-TK",""))</f>
        <v/>
      </c>
      <c r="Y517" s="23" t="str">
        <f aca="false">IF(X517="","",(LEN(X517)+1)/7)</f>
        <v/>
      </c>
      <c r="Z517" s="23" t="str">
        <f aca="false">IF(X517="","",LEFT(X517,6))</f>
        <v/>
      </c>
      <c r="AA517" s="23" t="str">
        <f aca="false">IF(X517="","",IF(Y517&gt;=3,MID(X517,8,6),""))</f>
        <v/>
      </c>
      <c r="AB517" s="23" t="str">
        <f aca="false">IF(X517="","",IF(Y517&gt;=4,MID(X517,15,6),""))</f>
        <v/>
      </c>
      <c r="AC517" s="23" t="str">
        <f aca="false">IF(X517="","",IF(Y517&gt;=5,MID(X517,22,6),""))</f>
        <v/>
      </c>
      <c r="AD517" s="23" t="str">
        <f aca="false">IF(X517="","",RIGHT(X517,6))</f>
        <v/>
      </c>
      <c r="AE517" s="23" t="str">
        <f aca="false">IF(F517="","",IF(ISNUMBER(SEARCH("-TK",UPPER(F517))),0,1))</f>
        <v/>
      </c>
      <c r="AF517" s="23" t="str">
        <f aca="false">IF(F517="","",IF(ISNUMBER(SEARCH("-LED",UPPER(F517))),1,0))</f>
        <v/>
      </c>
      <c r="AG517" s="24" t="n">
        <f aca="false">IF(Z517="",0,IFERROR(INDEX(Resep!$C$5:$C$7,MATCH(LEFT(Z517,3),Resep!$B$5:$B$7,0)),0))</f>
        <v>0</v>
      </c>
      <c r="AH517" s="24" t="n">
        <f aca="false">IF(AA517="",0,IFERROR(INDEX(Resep!$C$9:$C$13,MATCH(LEFT(AA517,3),Resep!$B$9:$B$13,0)),0))</f>
        <v>0</v>
      </c>
      <c r="AI517" s="24" t="n">
        <f aca="false">IF(AB517="",0,IFERROR(INDEX(Resep!$C$9:$C$13,MATCH(LEFT(AB517,3),Resep!$B$9:$B$13,0)),0))</f>
        <v>0</v>
      </c>
      <c r="AJ517" s="24" t="n">
        <f aca="false">IF(AC517="",0,IFERROR(INDEX(Resep!$C$9:$C$13,MATCH(LEFT(AC517,3),Resep!$B$9:$B$13,0)),0))</f>
        <v>0</v>
      </c>
      <c r="AK517" s="24" t="n">
        <f aca="false">IF(AD517="",0,IFERROR(INDEX(Resep!$C$15:$C$18,MATCH(LEFT(AD517,3),Resep!$B$15:$B$18,0)),0))</f>
        <v>0</v>
      </c>
      <c r="AL517" s="24" t="str">
        <f aca="false">IF(X517="","",AG517+AH517+AI517+AJ517+AK517)</f>
        <v/>
      </c>
      <c r="AM517" s="22" t="str">
        <f aca="false">IF(X517="","",AL517*(Pengaturan!$B$6+Pengaturan!$B$7)+Pengaturan!$B$8+AE517*Pengaturan!$B$9+AF517*Pengaturan!$B$10)</f>
        <v/>
      </c>
      <c r="AN517" s="22" t="str">
        <f aca="false">IF(X517="","",N(G517)-AM517)</f>
        <v/>
      </c>
      <c r="AO517" s="25" t="str">
        <f aca="false">IF(OR(X517="",N(G517)=0),"",AN517/G517)</f>
        <v/>
      </c>
    </row>
    <row r="518" customFormat="false" ht="15" hidden="false" customHeight="false" outlineLevel="0" collapsed="false">
      <c r="A518" s="19"/>
      <c r="B518" s="20"/>
      <c r="C518" s="19"/>
      <c r="D518" s="19"/>
      <c r="E518" s="19"/>
      <c r="F518" s="19"/>
      <c r="G518" s="21"/>
      <c r="H518" s="19"/>
      <c r="I518" s="21"/>
      <c r="J518" s="19"/>
      <c r="K518" s="20"/>
      <c r="L518" s="20"/>
      <c r="M518" s="19"/>
      <c r="N518" s="19"/>
      <c r="O518" s="20"/>
      <c r="P518" s="20"/>
      <c r="Q518" s="19"/>
      <c r="R518" s="22" t="str">
        <f aca="false">IF(A518="","",N(G518)+N(I518))</f>
        <v/>
      </c>
      <c r="S518" s="23" t="str">
        <f aca="false">IF(OR(K518="",O518=""),"",O518-K518)</f>
        <v/>
      </c>
      <c r="T518" s="23" t="str">
        <f aca="true">IF(AND(C518="Cetak",L518&lt;&gt;"",L518&lt;TODAY()),"YA","")</f>
        <v/>
      </c>
      <c r="U518" s="23" t="str">
        <f aca="false">IF(B518="","",TEXT(B518,"yyyy-mm"))</f>
        <v/>
      </c>
      <c r="V518" s="23" t="str">
        <f aca="false">IF(K518="","",TEXT(K518,"yyyy-mm"))</f>
        <v/>
      </c>
      <c r="W518" s="23" t="n">
        <f aca="false">IF(OR(C518="Cetak",C518="Dikirim",C518="Selesai"),1,0)</f>
        <v>0</v>
      </c>
      <c r="X518" s="23" t="str">
        <f aca="false">IF(F518="","",SUBSTITUTE(SUBSTITUTE(MID(UPPER(TRIM(F518)),4,99),"-LED",""),"-TK",""))</f>
        <v/>
      </c>
      <c r="Y518" s="23" t="str">
        <f aca="false">IF(X518="","",(LEN(X518)+1)/7)</f>
        <v/>
      </c>
      <c r="Z518" s="23" t="str">
        <f aca="false">IF(X518="","",LEFT(X518,6))</f>
        <v/>
      </c>
      <c r="AA518" s="23" t="str">
        <f aca="false">IF(X518="","",IF(Y518&gt;=3,MID(X518,8,6),""))</f>
        <v/>
      </c>
      <c r="AB518" s="23" t="str">
        <f aca="false">IF(X518="","",IF(Y518&gt;=4,MID(X518,15,6),""))</f>
        <v/>
      </c>
      <c r="AC518" s="23" t="str">
        <f aca="false">IF(X518="","",IF(Y518&gt;=5,MID(X518,22,6),""))</f>
        <v/>
      </c>
      <c r="AD518" s="23" t="str">
        <f aca="false">IF(X518="","",RIGHT(X518,6))</f>
        <v/>
      </c>
      <c r="AE518" s="23" t="str">
        <f aca="false">IF(F518="","",IF(ISNUMBER(SEARCH("-TK",UPPER(F518))),0,1))</f>
        <v/>
      </c>
      <c r="AF518" s="23" t="str">
        <f aca="false">IF(F518="","",IF(ISNUMBER(SEARCH("-LED",UPPER(F518))),1,0))</f>
        <v/>
      </c>
      <c r="AG518" s="24" t="n">
        <f aca="false">IF(Z518="",0,IFERROR(INDEX(Resep!$C$5:$C$7,MATCH(LEFT(Z518,3),Resep!$B$5:$B$7,0)),0))</f>
        <v>0</v>
      </c>
      <c r="AH518" s="24" t="n">
        <f aca="false">IF(AA518="",0,IFERROR(INDEX(Resep!$C$9:$C$13,MATCH(LEFT(AA518,3),Resep!$B$9:$B$13,0)),0))</f>
        <v>0</v>
      </c>
      <c r="AI518" s="24" t="n">
        <f aca="false">IF(AB518="",0,IFERROR(INDEX(Resep!$C$9:$C$13,MATCH(LEFT(AB518,3),Resep!$B$9:$B$13,0)),0))</f>
        <v>0</v>
      </c>
      <c r="AJ518" s="24" t="n">
        <f aca="false">IF(AC518="",0,IFERROR(INDEX(Resep!$C$9:$C$13,MATCH(LEFT(AC518,3),Resep!$B$9:$B$13,0)),0))</f>
        <v>0</v>
      </c>
      <c r="AK518" s="24" t="n">
        <f aca="false">IF(AD518="",0,IFERROR(INDEX(Resep!$C$15:$C$18,MATCH(LEFT(AD518,3),Resep!$B$15:$B$18,0)),0))</f>
        <v>0</v>
      </c>
      <c r="AL518" s="24" t="str">
        <f aca="false">IF(X518="","",AG518+AH518+AI518+AJ518+AK518)</f>
        <v/>
      </c>
      <c r="AM518" s="22" t="str">
        <f aca="false">IF(X518="","",AL518*(Pengaturan!$B$6+Pengaturan!$B$7)+Pengaturan!$B$8+AE518*Pengaturan!$B$9+AF518*Pengaturan!$B$10)</f>
        <v/>
      </c>
      <c r="AN518" s="22" t="str">
        <f aca="false">IF(X518="","",N(G518)-AM518)</f>
        <v/>
      </c>
      <c r="AO518" s="25" t="str">
        <f aca="false">IF(OR(X518="",N(G518)=0),"",AN518/G518)</f>
        <v/>
      </c>
    </row>
    <row r="519" customFormat="false" ht="15" hidden="false" customHeight="false" outlineLevel="0" collapsed="false">
      <c r="A519" s="19"/>
      <c r="B519" s="20"/>
      <c r="C519" s="19"/>
      <c r="D519" s="19"/>
      <c r="E519" s="19"/>
      <c r="F519" s="19"/>
      <c r="G519" s="21"/>
      <c r="H519" s="19"/>
      <c r="I519" s="21"/>
      <c r="J519" s="19"/>
      <c r="K519" s="20"/>
      <c r="L519" s="20"/>
      <c r="M519" s="19"/>
      <c r="N519" s="19"/>
      <c r="O519" s="20"/>
      <c r="P519" s="20"/>
      <c r="Q519" s="19"/>
      <c r="R519" s="22" t="str">
        <f aca="false">IF(A519="","",N(G519)+N(I519))</f>
        <v/>
      </c>
      <c r="S519" s="23" t="str">
        <f aca="false">IF(OR(K519="",O519=""),"",O519-K519)</f>
        <v/>
      </c>
      <c r="T519" s="23" t="str">
        <f aca="true">IF(AND(C519="Cetak",L519&lt;&gt;"",L519&lt;TODAY()),"YA","")</f>
        <v/>
      </c>
      <c r="U519" s="23" t="str">
        <f aca="false">IF(B519="","",TEXT(B519,"yyyy-mm"))</f>
        <v/>
      </c>
      <c r="V519" s="23" t="str">
        <f aca="false">IF(K519="","",TEXT(K519,"yyyy-mm"))</f>
        <v/>
      </c>
      <c r="W519" s="23" t="n">
        <f aca="false">IF(OR(C519="Cetak",C519="Dikirim",C519="Selesai"),1,0)</f>
        <v>0</v>
      </c>
      <c r="X519" s="23" t="str">
        <f aca="false">IF(F519="","",SUBSTITUTE(SUBSTITUTE(MID(UPPER(TRIM(F519)),4,99),"-LED",""),"-TK",""))</f>
        <v/>
      </c>
      <c r="Y519" s="23" t="str">
        <f aca="false">IF(X519="","",(LEN(X519)+1)/7)</f>
        <v/>
      </c>
      <c r="Z519" s="23" t="str">
        <f aca="false">IF(X519="","",LEFT(X519,6))</f>
        <v/>
      </c>
      <c r="AA519" s="23" t="str">
        <f aca="false">IF(X519="","",IF(Y519&gt;=3,MID(X519,8,6),""))</f>
        <v/>
      </c>
      <c r="AB519" s="23" t="str">
        <f aca="false">IF(X519="","",IF(Y519&gt;=4,MID(X519,15,6),""))</f>
        <v/>
      </c>
      <c r="AC519" s="23" t="str">
        <f aca="false">IF(X519="","",IF(Y519&gt;=5,MID(X519,22,6),""))</f>
        <v/>
      </c>
      <c r="AD519" s="23" t="str">
        <f aca="false">IF(X519="","",RIGHT(X519,6))</f>
        <v/>
      </c>
      <c r="AE519" s="23" t="str">
        <f aca="false">IF(F519="","",IF(ISNUMBER(SEARCH("-TK",UPPER(F519))),0,1))</f>
        <v/>
      </c>
      <c r="AF519" s="23" t="str">
        <f aca="false">IF(F519="","",IF(ISNUMBER(SEARCH("-LED",UPPER(F519))),1,0))</f>
        <v/>
      </c>
      <c r="AG519" s="24" t="n">
        <f aca="false">IF(Z519="",0,IFERROR(INDEX(Resep!$C$5:$C$7,MATCH(LEFT(Z519,3),Resep!$B$5:$B$7,0)),0))</f>
        <v>0</v>
      </c>
      <c r="AH519" s="24" t="n">
        <f aca="false">IF(AA519="",0,IFERROR(INDEX(Resep!$C$9:$C$13,MATCH(LEFT(AA519,3),Resep!$B$9:$B$13,0)),0))</f>
        <v>0</v>
      </c>
      <c r="AI519" s="24" t="n">
        <f aca="false">IF(AB519="",0,IFERROR(INDEX(Resep!$C$9:$C$13,MATCH(LEFT(AB519,3),Resep!$B$9:$B$13,0)),0))</f>
        <v>0</v>
      </c>
      <c r="AJ519" s="24" t="n">
        <f aca="false">IF(AC519="",0,IFERROR(INDEX(Resep!$C$9:$C$13,MATCH(LEFT(AC519,3),Resep!$B$9:$B$13,0)),0))</f>
        <v>0</v>
      </c>
      <c r="AK519" s="24" t="n">
        <f aca="false">IF(AD519="",0,IFERROR(INDEX(Resep!$C$15:$C$18,MATCH(LEFT(AD519,3),Resep!$B$15:$B$18,0)),0))</f>
        <v>0</v>
      </c>
      <c r="AL519" s="24" t="str">
        <f aca="false">IF(X519="","",AG519+AH519+AI519+AJ519+AK519)</f>
        <v/>
      </c>
      <c r="AM519" s="22" t="str">
        <f aca="false">IF(X519="","",AL519*(Pengaturan!$B$6+Pengaturan!$B$7)+Pengaturan!$B$8+AE519*Pengaturan!$B$9+AF519*Pengaturan!$B$10)</f>
        <v/>
      </c>
      <c r="AN519" s="22" t="str">
        <f aca="false">IF(X519="","",N(G519)-AM519)</f>
        <v/>
      </c>
      <c r="AO519" s="25" t="str">
        <f aca="false">IF(OR(X519="",N(G519)=0),"",AN519/G519)</f>
        <v/>
      </c>
    </row>
    <row r="520" customFormat="false" ht="15" hidden="false" customHeight="false" outlineLevel="0" collapsed="false">
      <c r="A520" s="19"/>
      <c r="B520" s="20"/>
      <c r="C520" s="19"/>
      <c r="D520" s="19"/>
      <c r="E520" s="19"/>
      <c r="F520" s="19"/>
      <c r="G520" s="21"/>
      <c r="H520" s="19"/>
      <c r="I520" s="21"/>
      <c r="J520" s="19"/>
      <c r="K520" s="20"/>
      <c r="L520" s="20"/>
      <c r="M520" s="19"/>
      <c r="N520" s="19"/>
      <c r="O520" s="20"/>
      <c r="P520" s="20"/>
      <c r="Q520" s="19"/>
      <c r="R520" s="22" t="str">
        <f aca="false">IF(A520="","",N(G520)+N(I520))</f>
        <v/>
      </c>
      <c r="S520" s="23" t="str">
        <f aca="false">IF(OR(K520="",O520=""),"",O520-K520)</f>
        <v/>
      </c>
      <c r="T520" s="23" t="str">
        <f aca="true">IF(AND(C520="Cetak",L520&lt;&gt;"",L520&lt;TODAY()),"YA","")</f>
        <v/>
      </c>
      <c r="U520" s="23" t="str">
        <f aca="false">IF(B520="","",TEXT(B520,"yyyy-mm"))</f>
        <v/>
      </c>
      <c r="V520" s="23" t="str">
        <f aca="false">IF(K520="","",TEXT(K520,"yyyy-mm"))</f>
        <v/>
      </c>
      <c r="W520" s="23" t="n">
        <f aca="false">IF(OR(C520="Cetak",C520="Dikirim",C520="Selesai"),1,0)</f>
        <v>0</v>
      </c>
      <c r="X520" s="23" t="str">
        <f aca="false">IF(F520="","",SUBSTITUTE(SUBSTITUTE(MID(UPPER(TRIM(F520)),4,99),"-LED",""),"-TK",""))</f>
        <v/>
      </c>
      <c r="Y520" s="23" t="str">
        <f aca="false">IF(X520="","",(LEN(X520)+1)/7)</f>
        <v/>
      </c>
      <c r="Z520" s="23" t="str">
        <f aca="false">IF(X520="","",LEFT(X520,6))</f>
        <v/>
      </c>
      <c r="AA520" s="23" t="str">
        <f aca="false">IF(X520="","",IF(Y520&gt;=3,MID(X520,8,6),""))</f>
        <v/>
      </c>
      <c r="AB520" s="23" t="str">
        <f aca="false">IF(X520="","",IF(Y520&gt;=4,MID(X520,15,6),""))</f>
        <v/>
      </c>
      <c r="AC520" s="23" t="str">
        <f aca="false">IF(X520="","",IF(Y520&gt;=5,MID(X520,22,6),""))</f>
        <v/>
      </c>
      <c r="AD520" s="23" t="str">
        <f aca="false">IF(X520="","",RIGHT(X520,6))</f>
        <v/>
      </c>
      <c r="AE520" s="23" t="str">
        <f aca="false">IF(F520="","",IF(ISNUMBER(SEARCH("-TK",UPPER(F520))),0,1))</f>
        <v/>
      </c>
      <c r="AF520" s="23" t="str">
        <f aca="false">IF(F520="","",IF(ISNUMBER(SEARCH("-LED",UPPER(F520))),1,0))</f>
        <v/>
      </c>
      <c r="AG520" s="24" t="n">
        <f aca="false">IF(Z520="",0,IFERROR(INDEX(Resep!$C$5:$C$7,MATCH(LEFT(Z520,3),Resep!$B$5:$B$7,0)),0))</f>
        <v>0</v>
      </c>
      <c r="AH520" s="24" t="n">
        <f aca="false">IF(AA520="",0,IFERROR(INDEX(Resep!$C$9:$C$13,MATCH(LEFT(AA520,3),Resep!$B$9:$B$13,0)),0))</f>
        <v>0</v>
      </c>
      <c r="AI520" s="24" t="n">
        <f aca="false">IF(AB520="",0,IFERROR(INDEX(Resep!$C$9:$C$13,MATCH(LEFT(AB520,3),Resep!$B$9:$B$13,0)),0))</f>
        <v>0</v>
      </c>
      <c r="AJ520" s="24" t="n">
        <f aca="false">IF(AC520="",0,IFERROR(INDEX(Resep!$C$9:$C$13,MATCH(LEFT(AC520,3),Resep!$B$9:$B$13,0)),0))</f>
        <v>0</v>
      </c>
      <c r="AK520" s="24" t="n">
        <f aca="false">IF(AD520="",0,IFERROR(INDEX(Resep!$C$15:$C$18,MATCH(LEFT(AD520,3),Resep!$B$15:$B$18,0)),0))</f>
        <v>0</v>
      </c>
      <c r="AL520" s="24" t="str">
        <f aca="false">IF(X520="","",AG520+AH520+AI520+AJ520+AK520)</f>
        <v/>
      </c>
      <c r="AM520" s="22" t="str">
        <f aca="false">IF(X520="","",AL520*(Pengaturan!$B$6+Pengaturan!$B$7)+Pengaturan!$B$8+AE520*Pengaturan!$B$9+AF520*Pengaturan!$B$10)</f>
        <v/>
      </c>
      <c r="AN520" s="22" t="str">
        <f aca="false">IF(X520="","",N(G520)-AM520)</f>
        <v/>
      </c>
      <c r="AO520" s="25" t="str">
        <f aca="false">IF(OR(X520="",N(G520)=0),"",AN520/G520)</f>
        <v/>
      </c>
    </row>
    <row r="521" customFormat="false" ht="15" hidden="false" customHeight="false" outlineLevel="0" collapsed="false">
      <c r="A521" s="19"/>
      <c r="B521" s="20"/>
      <c r="C521" s="19"/>
      <c r="D521" s="19"/>
      <c r="E521" s="19"/>
      <c r="F521" s="19"/>
      <c r="G521" s="21"/>
      <c r="H521" s="19"/>
      <c r="I521" s="21"/>
      <c r="J521" s="19"/>
      <c r="K521" s="20"/>
      <c r="L521" s="20"/>
      <c r="M521" s="19"/>
      <c r="N521" s="19"/>
      <c r="O521" s="20"/>
      <c r="P521" s="20"/>
      <c r="Q521" s="19"/>
      <c r="R521" s="22" t="str">
        <f aca="false">IF(A521="","",N(G521)+N(I521))</f>
        <v/>
      </c>
      <c r="S521" s="23" t="str">
        <f aca="false">IF(OR(K521="",O521=""),"",O521-K521)</f>
        <v/>
      </c>
      <c r="T521" s="23" t="str">
        <f aca="true">IF(AND(C521="Cetak",L521&lt;&gt;"",L521&lt;TODAY()),"YA","")</f>
        <v/>
      </c>
      <c r="U521" s="23" t="str">
        <f aca="false">IF(B521="","",TEXT(B521,"yyyy-mm"))</f>
        <v/>
      </c>
      <c r="V521" s="23" t="str">
        <f aca="false">IF(K521="","",TEXT(K521,"yyyy-mm"))</f>
        <v/>
      </c>
      <c r="W521" s="23" t="n">
        <f aca="false">IF(OR(C521="Cetak",C521="Dikirim",C521="Selesai"),1,0)</f>
        <v>0</v>
      </c>
      <c r="X521" s="23" t="str">
        <f aca="false">IF(F521="","",SUBSTITUTE(SUBSTITUTE(MID(UPPER(TRIM(F521)),4,99),"-LED",""),"-TK",""))</f>
        <v/>
      </c>
      <c r="Y521" s="23" t="str">
        <f aca="false">IF(X521="","",(LEN(X521)+1)/7)</f>
        <v/>
      </c>
      <c r="Z521" s="23" t="str">
        <f aca="false">IF(X521="","",LEFT(X521,6))</f>
        <v/>
      </c>
      <c r="AA521" s="23" t="str">
        <f aca="false">IF(X521="","",IF(Y521&gt;=3,MID(X521,8,6),""))</f>
        <v/>
      </c>
      <c r="AB521" s="23" t="str">
        <f aca="false">IF(X521="","",IF(Y521&gt;=4,MID(X521,15,6),""))</f>
        <v/>
      </c>
      <c r="AC521" s="23" t="str">
        <f aca="false">IF(X521="","",IF(Y521&gt;=5,MID(X521,22,6),""))</f>
        <v/>
      </c>
      <c r="AD521" s="23" t="str">
        <f aca="false">IF(X521="","",RIGHT(X521,6))</f>
        <v/>
      </c>
      <c r="AE521" s="23" t="str">
        <f aca="false">IF(F521="","",IF(ISNUMBER(SEARCH("-TK",UPPER(F521))),0,1))</f>
        <v/>
      </c>
      <c r="AF521" s="23" t="str">
        <f aca="false">IF(F521="","",IF(ISNUMBER(SEARCH("-LED",UPPER(F521))),1,0))</f>
        <v/>
      </c>
      <c r="AG521" s="24" t="n">
        <f aca="false">IF(Z521="",0,IFERROR(INDEX(Resep!$C$5:$C$7,MATCH(LEFT(Z521,3),Resep!$B$5:$B$7,0)),0))</f>
        <v>0</v>
      </c>
      <c r="AH521" s="24" t="n">
        <f aca="false">IF(AA521="",0,IFERROR(INDEX(Resep!$C$9:$C$13,MATCH(LEFT(AA521,3),Resep!$B$9:$B$13,0)),0))</f>
        <v>0</v>
      </c>
      <c r="AI521" s="24" t="n">
        <f aca="false">IF(AB521="",0,IFERROR(INDEX(Resep!$C$9:$C$13,MATCH(LEFT(AB521,3),Resep!$B$9:$B$13,0)),0))</f>
        <v>0</v>
      </c>
      <c r="AJ521" s="24" t="n">
        <f aca="false">IF(AC521="",0,IFERROR(INDEX(Resep!$C$9:$C$13,MATCH(LEFT(AC521,3),Resep!$B$9:$B$13,0)),0))</f>
        <v>0</v>
      </c>
      <c r="AK521" s="24" t="n">
        <f aca="false">IF(AD521="",0,IFERROR(INDEX(Resep!$C$15:$C$18,MATCH(LEFT(AD521,3),Resep!$B$15:$B$18,0)),0))</f>
        <v>0</v>
      </c>
      <c r="AL521" s="24" t="str">
        <f aca="false">IF(X521="","",AG521+AH521+AI521+AJ521+AK521)</f>
        <v/>
      </c>
      <c r="AM521" s="22" t="str">
        <f aca="false">IF(X521="","",AL521*(Pengaturan!$B$6+Pengaturan!$B$7)+Pengaturan!$B$8+AE521*Pengaturan!$B$9+AF521*Pengaturan!$B$10)</f>
        <v/>
      </c>
      <c r="AN521" s="22" t="str">
        <f aca="false">IF(X521="","",N(G521)-AM521)</f>
        <v/>
      </c>
      <c r="AO521" s="25" t="str">
        <f aca="false">IF(OR(X521="",N(G521)=0),"",AN521/G521)</f>
        <v/>
      </c>
    </row>
    <row r="522" customFormat="false" ht="15" hidden="false" customHeight="false" outlineLevel="0" collapsed="false">
      <c r="A522" s="19"/>
      <c r="B522" s="20"/>
      <c r="C522" s="19"/>
      <c r="D522" s="19"/>
      <c r="E522" s="19"/>
      <c r="F522" s="19"/>
      <c r="G522" s="21"/>
      <c r="H522" s="19"/>
      <c r="I522" s="21"/>
      <c r="J522" s="19"/>
      <c r="K522" s="20"/>
      <c r="L522" s="20"/>
      <c r="M522" s="19"/>
      <c r="N522" s="19"/>
      <c r="O522" s="20"/>
      <c r="P522" s="20"/>
      <c r="Q522" s="19"/>
      <c r="R522" s="22" t="str">
        <f aca="false">IF(A522="","",N(G522)+N(I522))</f>
        <v/>
      </c>
      <c r="S522" s="23" t="str">
        <f aca="false">IF(OR(K522="",O522=""),"",O522-K522)</f>
        <v/>
      </c>
      <c r="T522" s="23" t="str">
        <f aca="true">IF(AND(C522="Cetak",L522&lt;&gt;"",L522&lt;TODAY()),"YA","")</f>
        <v/>
      </c>
      <c r="U522" s="23" t="str">
        <f aca="false">IF(B522="","",TEXT(B522,"yyyy-mm"))</f>
        <v/>
      </c>
      <c r="V522" s="23" t="str">
        <f aca="false">IF(K522="","",TEXT(K522,"yyyy-mm"))</f>
        <v/>
      </c>
      <c r="W522" s="23" t="n">
        <f aca="false">IF(OR(C522="Cetak",C522="Dikirim",C522="Selesai"),1,0)</f>
        <v>0</v>
      </c>
      <c r="X522" s="23" t="str">
        <f aca="false">IF(F522="","",SUBSTITUTE(SUBSTITUTE(MID(UPPER(TRIM(F522)),4,99),"-LED",""),"-TK",""))</f>
        <v/>
      </c>
      <c r="Y522" s="23" t="str">
        <f aca="false">IF(X522="","",(LEN(X522)+1)/7)</f>
        <v/>
      </c>
      <c r="Z522" s="23" t="str">
        <f aca="false">IF(X522="","",LEFT(X522,6))</f>
        <v/>
      </c>
      <c r="AA522" s="23" t="str">
        <f aca="false">IF(X522="","",IF(Y522&gt;=3,MID(X522,8,6),""))</f>
        <v/>
      </c>
      <c r="AB522" s="23" t="str">
        <f aca="false">IF(X522="","",IF(Y522&gt;=4,MID(X522,15,6),""))</f>
        <v/>
      </c>
      <c r="AC522" s="23" t="str">
        <f aca="false">IF(X522="","",IF(Y522&gt;=5,MID(X522,22,6),""))</f>
        <v/>
      </c>
      <c r="AD522" s="23" t="str">
        <f aca="false">IF(X522="","",RIGHT(X522,6))</f>
        <v/>
      </c>
      <c r="AE522" s="23" t="str">
        <f aca="false">IF(F522="","",IF(ISNUMBER(SEARCH("-TK",UPPER(F522))),0,1))</f>
        <v/>
      </c>
      <c r="AF522" s="23" t="str">
        <f aca="false">IF(F522="","",IF(ISNUMBER(SEARCH("-LED",UPPER(F522))),1,0))</f>
        <v/>
      </c>
      <c r="AG522" s="24" t="n">
        <f aca="false">IF(Z522="",0,IFERROR(INDEX(Resep!$C$5:$C$7,MATCH(LEFT(Z522,3),Resep!$B$5:$B$7,0)),0))</f>
        <v>0</v>
      </c>
      <c r="AH522" s="24" t="n">
        <f aca="false">IF(AA522="",0,IFERROR(INDEX(Resep!$C$9:$C$13,MATCH(LEFT(AA522,3),Resep!$B$9:$B$13,0)),0))</f>
        <v>0</v>
      </c>
      <c r="AI522" s="24" t="n">
        <f aca="false">IF(AB522="",0,IFERROR(INDEX(Resep!$C$9:$C$13,MATCH(LEFT(AB522,3),Resep!$B$9:$B$13,0)),0))</f>
        <v>0</v>
      </c>
      <c r="AJ522" s="24" t="n">
        <f aca="false">IF(AC522="",0,IFERROR(INDEX(Resep!$C$9:$C$13,MATCH(LEFT(AC522,3),Resep!$B$9:$B$13,0)),0))</f>
        <v>0</v>
      </c>
      <c r="AK522" s="24" t="n">
        <f aca="false">IF(AD522="",0,IFERROR(INDEX(Resep!$C$15:$C$18,MATCH(LEFT(AD522,3),Resep!$B$15:$B$18,0)),0))</f>
        <v>0</v>
      </c>
      <c r="AL522" s="24" t="str">
        <f aca="false">IF(X522="","",AG522+AH522+AI522+AJ522+AK522)</f>
        <v/>
      </c>
      <c r="AM522" s="22" t="str">
        <f aca="false">IF(X522="","",AL522*(Pengaturan!$B$6+Pengaturan!$B$7)+Pengaturan!$B$8+AE522*Pengaturan!$B$9+AF522*Pengaturan!$B$10)</f>
        <v/>
      </c>
      <c r="AN522" s="22" t="str">
        <f aca="false">IF(X522="","",N(G522)-AM522)</f>
        <v/>
      </c>
      <c r="AO522" s="25" t="str">
        <f aca="false">IF(OR(X522="",N(G522)=0),"",AN522/G522)</f>
        <v/>
      </c>
    </row>
    <row r="523" customFormat="false" ht="15" hidden="false" customHeight="false" outlineLevel="0" collapsed="false">
      <c r="A523" s="19"/>
      <c r="B523" s="20"/>
      <c r="C523" s="19"/>
      <c r="D523" s="19"/>
      <c r="E523" s="19"/>
      <c r="F523" s="19"/>
      <c r="G523" s="21"/>
      <c r="H523" s="19"/>
      <c r="I523" s="21"/>
      <c r="J523" s="19"/>
      <c r="K523" s="20"/>
      <c r="L523" s="20"/>
      <c r="M523" s="19"/>
      <c r="N523" s="19"/>
      <c r="O523" s="20"/>
      <c r="P523" s="20"/>
      <c r="Q523" s="19"/>
      <c r="R523" s="22" t="str">
        <f aca="false">IF(A523="","",N(G523)+N(I523))</f>
        <v/>
      </c>
      <c r="S523" s="23" t="str">
        <f aca="false">IF(OR(K523="",O523=""),"",O523-K523)</f>
        <v/>
      </c>
      <c r="T523" s="23" t="str">
        <f aca="true">IF(AND(C523="Cetak",L523&lt;&gt;"",L523&lt;TODAY()),"YA","")</f>
        <v/>
      </c>
      <c r="U523" s="23" t="str">
        <f aca="false">IF(B523="","",TEXT(B523,"yyyy-mm"))</f>
        <v/>
      </c>
      <c r="V523" s="23" t="str">
        <f aca="false">IF(K523="","",TEXT(K523,"yyyy-mm"))</f>
        <v/>
      </c>
      <c r="W523" s="23" t="n">
        <f aca="false">IF(OR(C523="Cetak",C523="Dikirim",C523="Selesai"),1,0)</f>
        <v>0</v>
      </c>
      <c r="X523" s="23" t="str">
        <f aca="false">IF(F523="","",SUBSTITUTE(SUBSTITUTE(MID(UPPER(TRIM(F523)),4,99),"-LED",""),"-TK",""))</f>
        <v/>
      </c>
      <c r="Y523" s="23" t="str">
        <f aca="false">IF(X523="","",(LEN(X523)+1)/7)</f>
        <v/>
      </c>
      <c r="Z523" s="23" t="str">
        <f aca="false">IF(X523="","",LEFT(X523,6))</f>
        <v/>
      </c>
      <c r="AA523" s="23" t="str">
        <f aca="false">IF(X523="","",IF(Y523&gt;=3,MID(X523,8,6),""))</f>
        <v/>
      </c>
      <c r="AB523" s="23" t="str">
        <f aca="false">IF(X523="","",IF(Y523&gt;=4,MID(X523,15,6),""))</f>
        <v/>
      </c>
      <c r="AC523" s="23" t="str">
        <f aca="false">IF(X523="","",IF(Y523&gt;=5,MID(X523,22,6),""))</f>
        <v/>
      </c>
      <c r="AD523" s="23" t="str">
        <f aca="false">IF(X523="","",RIGHT(X523,6))</f>
        <v/>
      </c>
      <c r="AE523" s="23" t="str">
        <f aca="false">IF(F523="","",IF(ISNUMBER(SEARCH("-TK",UPPER(F523))),0,1))</f>
        <v/>
      </c>
      <c r="AF523" s="23" t="str">
        <f aca="false">IF(F523="","",IF(ISNUMBER(SEARCH("-LED",UPPER(F523))),1,0))</f>
        <v/>
      </c>
      <c r="AG523" s="24" t="n">
        <f aca="false">IF(Z523="",0,IFERROR(INDEX(Resep!$C$5:$C$7,MATCH(LEFT(Z523,3),Resep!$B$5:$B$7,0)),0))</f>
        <v>0</v>
      </c>
      <c r="AH523" s="24" t="n">
        <f aca="false">IF(AA523="",0,IFERROR(INDEX(Resep!$C$9:$C$13,MATCH(LEFT(AA523,3),Resep!$B$9:$B$13,0)),0))</f>
        <v>0</v>
      </c>
      <c r="AI523" s="24" t="n">
        <f aca="false">IF(AB523="",0,IFERROR(INDEX(Resep!$C$9:$C$13,MATCH(LEFT(AB523,3),Resep!$B$9:$B$13,0)),0))</f>
        <v>0</v>
      </c>
      <c r="AJ523" s="24" t="n">
        <f aca="false">IF(AC523="",0,IFERROR(INDEX(Resep!$C$9:$C$13,MATCH(LEFT(AC523,3),Resep!$B$9:$B$13,0)),0))</f>
        <v>0</v>
      </c>
      <c r="AK523" s="24" t="n">
        <f aca="false">IF(AD523="",0,IFERROR(INDEX(Resep!$C$15:$C$18,MATCH(LEFT(AD523,3),Resep!$B$15:$B$18,0)),0))</f>
        <v>0</v>
      </c>
      <c r="AL523" s="24" t="str">
        <f aca="false">IF(X523="","",AG523+AH523+AI523+AJ523+AK523)</f>
        <v/>
      </c>
      <c r="AM523" s="22" t="str">
        <f aca="false">IF(X523="","",AL523*(Pengaturan!$B$6+Pengaturan!$B$7)+Pengaturan!$B$8+AE523*Pengaturan!$B$9+AF523*Pengaturan!$B$10)</f>
        <v/>
      </c>
      <c r="AN523" s="22" t="str">
        <f aca="false">IF(X523="","",N(G523)-AM523)</f>
        <v/>
      </c>
      <c r="AO523" s="25" t="str">
        <f aca="false">IF(OR(X523="",N(G523)=0),"",AN523/G523)</f>
        <v/>
      </c>
    </row>
    <row r="524" customFormat="false" ht="15" hidden="false" customHeight="false" outlineLevel="0" collapsed="false">
      <c r="A524" s="19"/>
      <c r="B524" s="20"/>
      <c r="C524" s="19"/>
      <c r="D524" s="19"/>
      <c r="E524" s="19"/>
      <c r="F524" s="19"/>
      <c r="G524" s="21"/>
      <c r="H524" s="19"/>
      <c r="I524" s="21"/>
      <c r="J524" s="19"/>
      <c r="K524" s="20"/>
      <c r="L524" s="20"/>
      <c r="M524" s="19"/>
      <c r="N524" s="19"/>
      <c r="O524" s="20"/>
      <c r="P524" s="20"/>
      <c r="Q524" s="19"/>
      <c r="R524" s="22" t="str">
        <f aca="false">IF(A524="","",N(G524)+N(I524))</f>
        <v/>
      </c>
      <c r="S524" s="23" t="str">
        <f aca="false">IF(OR(K524="",O524=""),"",O524-K524)</f>
        <v/>
      </c>
      <c r="T524" s="23" t="str">
        <f aca="true">IF(AND(C524="Cetak",L524&lt;&gt;"",L524&lt;TODAY()),"YA","")</f>
        <v/>
      </c>
      <c r="U524" s="23" t="str">
        <f aca="false">IF(B524="","",TEXT(B524,"yyyy-mm"))</f>
        <v/>
      </c>
      <c r="V524" s="23" t="str">
        <f aca="false">IF(K524="","",TEXT(K524,"yyyy-mm"))</f>
        <v/>
      </c>
      <c r="W524" s="23" t="n">
        <f aca="false">IF(OR(C524="Cetak",C524="Dikirim",C524="Selesai"),1,0)</f>
        <v>0</v>
      </c>
      <c r="X524" s="23" t="str">
        <f aca="false">IF(F524="","",SUBSTITUTE(SUBSTITUTE(MID(UPPER(TRIM(F524)),4,99),"-LED",""),"-TK",""))</f>
        <v/>
      </c>
      <c r="Y524" s="23" t="str">
        <f aca="false">IF(X524="","",(LEN(X524)+1)/7)</f>
        <v/>
      </c>
      <c r="Z524" s="23" t="str">
        <f aca="false">IF(X524="","",LEFT(X524,6))</f>
        <v/>
      </c>
      <c r="AA524" s="23" t="str">
        <f aca="false">IF(X524="","",IF(Y524&gt;=3,MID(X524,8,6),""))</f>
        <v/>
      </c>
      <c r="AB524" s="23" t="str">
        <f aca="false">IF(X524="","",IF(Y524&gt;=4,MID(X524,15,6),""))</f>
        <v/>
      </c>
      <c r="AC524" s="23" t="str">
        <f aca="false">IF(X524="","",IF(Y524&gt;=5,MID(X524,22,6),""))</f>
        <v/>
      </c>
      <c r="AD524" s="23" t="str">
        <f aca="false">IF(X524="","",RIGHT(X524,6))</f>
        <v/>
      </c>
      <c r="AE524" s="23" t="str">
        <f aca="false">IF(F524="","",IF(ISNUMBER(SEARCH("-TK",UPPER(F524))),0,1))</f>
        <v/>
      </c>
      <c r="AF524" s="23" t="str">
        <f aca="false">IF(F524="","",IF(ISNUMBER(SEARCH("-LED",UPPER(F524))),1,0))</f>
        <v/>
      </c>
      <c r="AG524" s="24" t="n">
        <f aca="false">IF(Z524="",0,IFERROR(INDEX(Resep!$C$5:$C$7,MATCH(LEFT(Z524,3),Resep!$B$5:$B$7,0)),0))</f>
        <v>0</v>
      </c>
      <c r="AH524" s="24" t="n">
        <f aca="false">IF(AA524="",0,IFERROR(INDEX(Resep!$C$9:$C$13,MATCH(LEFT(AA524,3),Resep!$B$9:$B$13,0)),0))</f>
        <v>0</v>
      </c>
      <c r="AI524" s="24" t="n">
        <f aca="false">IF(AB524="",0,IFERROR(INDEX(Resep!$C$9:$C$13,MATCH(LEFT(AB524,3),Resep!$B$9:$B$13,0)),0))</f>
        <v>0</v>
      </c>
      <c r="AJ524" s="24" t="n">
        <f aca="false">IF(AC524="",0,IFERROR(INDEX(Resep!$C$9:$C$13,MATCH(LEFT(AC524,3),Resep!$B$9:$B$13,0)),0))</f>
        <v>0</v>
      </c>
      <c r="AK524" s="24" t="n">
        <f aca="false">IF(AD524="",0,IFERROR(INDEX(Resep!$C$15:$C$18,MATCH(LEFT(AD524,3),Resep!$B$15:$B$18,0)),0))</f>
        <v>0</v>
      </c>
      <c r="AL524" s="24" t="str">
        <f aca="false">IF(X524="","",AG524+AH524+AI524+AJ524+AK524)</f>
        <v/>
      </c>
      <c r="AM524" s="22" t="str">
        <f aca="false">IF(X524="","",AL524*(Pengaturan!$B$6+Pengaturan!$B$7)+Pengaturan!$B$8+AE524*Pengaturan!$B$9+AF524*Pengaturan!$B$10)</f>
        <v/>
      </c>
      <c r="AN524" s="22" t="str">
        <f aca="false">IF(X524="","",N(G524)-AM524)</f>
        <v/>
      </c>
      <c r="AO524" s="25" t="str">
        <f aca="false">IF(OR(X524="",N(G524)=0),"",AN524/G524)</f>
        <v/>
      </c>
    </row>
    <row r="525" customFormat="false" ht="15" hidden="false" customHeight="false" outlineLevel="0" collapsed="false">
      <c r="A525" s="19"/>
      <c r="B525" s="20"/>
      <c r="C525" s="19"/>
      <c r="D525" s="19"/>
      <c r="E525" s="19"/>
      <c r="F525" s="19"/>
      <c r="G525" s="21"/>
      <c r="H525" s="19"/>
      <c r="I525" s="21"/>
      <c r="J525" s="19"/>
      <c r="K525" s="20"/>
      <c r="L525" s="20"/>
      <c r="M525" s="19"/>
      <c r="N525" s="19"/>
      <c r="O525" s="20"/>
      <c r="P525" s="20"/>
      <c r="Q525" s="19"/>
      <c r="R525" s="22" t="str">
        <f aca="false">IF(A525="","",N(G525)+N(I525))</f>
        <v/>
      </c>
      <c r="S525" s="23" t="str">
        <f aca="false">IF(OR(K525="",O525=""),"",O525-K525)</f>
        <v/>
      </c>
      <c r="T525" s="23" t="str">
        <f aca="true">IF(AND(C525="Cetak",L525&lt;&gt;"",L525&lt;TODAY()),"YA","")</f>
        <v/>
      </c>
      <c r="U525" s="23" t="str">
        <f aca="false">IF(B525="","",TEXT(B525,"yyyy-mm"))</f>
        <v/>
      </c>
      <c r="V525" s="23" t="str">
        <f aca="false">IF(K525="","",TEXT(K525,"yyyy-mm"))</f>
        <v/>
      </c>
      <c r="W525" s="23" t="n">
        <f aca="false">IF(OR(C525="Cetak",C525="Dikirim",C525="Selesai"),1,0)</f>
        <v>0</v>
      </c>
      <c r="X525" s="23" t="str">
        <f aca="false">IF(F525="","",SUBSTITUTE(SUBSTITUTE(MID(UPPER(TRIM(F525)),4,99),"-LED",""),"-TK",""))</f>
        <v/>
      </c>
      <c r="Y525" s="23" t="str">
        <f aca="false">IF(X525="","",(LEN(X525)+1)/7)</f>
        <v/>
      </c>
      <c r="Z525" s="23" t="str">
        <f aca="false">IF(X525="","",LEFT(X525,6))</f>
        <v/>
      </c>
      <c r="AA525" s="23" t="str">
        <f aca="false">IF(X525="","",IF(Y525&gt;=3,MID(X525,8,6),""))</f>
        <v/>
      </c>
      <c r="AB525" s="23" t="str">
        <f aca="false">IF(X525="","",IF(Y525&gt;=4,MID(X525,15,6),""))</f>
        <v/>
      </c>
      <c r="AC525" s="23" t="str">
        <f aca="false">IF(X525="","",IF(Y525&gt;=5,MID(X525,22,6),""))</f>
        <v/>
      </c>
      <c r="AD525" s="23" t="str">
        <f aca="false">IF(X525="","",RIGHT(X525,6))</f>
        <v/>
      </c>
      <c r="AE525" s="23" t="str">
        <f aca="false">IF(F525="","",IF(ISNUMBER(SEARCH("-TK",UPPER(F525))),0,1))</f>
        <v/>
      </c>
      <c r="AF525" s="23" t="str">
        <f aca="false">IF(F525="","",IF(ISNUMBER(SEARCH("-LED",UPPER(F525))),1,0))</f>
        <v/>
      </c>
      <c r="AG525" s="24" t="n">
        <f aca="false">IF(Z525="",0,IFERROR(INDEX(Resep!$C$5:$C$7,MATCH(LEFT(Z525,3),Resep!$B$5:$B$7,0)),0))</f>
        <v>0</v>
      </c>
      <c r="AH525" s="24" t="n">
        <f aca="false">IF(AA525="",0,IFERROR(INDEX(Resep!$C$9:$C$13,MATCH(LEFT(AA525,3),Resep!$B$9:$B$13,0)),0))</f>
        <v>0</v>
      </c>
      <c r="AI525" s="24" t="n">
        <f aca="false">IF(AB525="",0,IFERROR(INDEX(Resep!$C$9:$C$13,MATCH(LEFT(AB525,3),Resep!$B$9:$B$13,0)),0))</f>
        <v>0</v>
      </c>
      <c r="AJ525" s="24" t="n">
        <f aca="false">IF(AC525="",0,IFERROR(INDEX(Resep!$C$9:$C$13,MATCH(LEFT(AC525,3),Resep!$B$9:$B$13,0)),0))</f>
        <v>0</v>
      </c>
      <c r="AK525" s="24" t="n">
        <f aca="false">IF(AD525="",0,IFERROR(INDEX(Resep!$C$15:$C$18,MATCH(LEFT(AD525,3),Resep!$B$15:$B$18,0)),0))</f>
        <v>0</v>
      </c>
      <c r="AL525" s="24" t="str">
        <f aca="false">IF(X525="","",AG525+AH525+AI525+AJ525+AK525)</f>
        <v/>
      </c>
      <c r="AM525" s="22" t="str">
        <f aca="false">IF(X525="","",AL525*(Pengaturan!$B$6+Pengaturan!$B$7)+Pengaturan!$B$8+AE525*Pengaturan!$B$9+AF525*Pengaturan!$B$10)</f>
        <v/>
      </c>
      <c r="AN525" s="22" t="str">
        <f aca="false">IF(X525="","",N(G525)-AM525)</f>
        <v/>
      </c>
      <c r="AO525" s="25" t="str">
        <f aca="false">IF(OR(X525="",N(G525)=0),"",AN525/G525)</f>
        <v/>
      </c>
    </row>
    <row r="526" customFormat="false" ht="15" hidden="false" customHeight="false" outlineLevel="0" collapsed="false">
      <c r="A526" s="19"/>
      <c r="B526" s="20"/>
      <c r="C526" s="19"/>
      <c r="D526" s="19"/>
      <c r="E526" s="19"/>
      <c r="F526" s="19"/>
      <c r="G526" s="21"/>
      <c r="H526" s="19"/>
      <c r="I526" s="21"/>
      <c r="J526" s="19"/>
      <c r="K526" s="20"/>
      <c r="L526" s="20"/>
      <c r="M526" s="19"/>
      <c r="N526" s="19"/>
      <c r="O526" s="20"/>
      <c r="P526" s="20"/>
      <c r="Q526" s="19"/>
      <c r="R526" s="22" t="str">
        <f aca="false">IF(A526="","",N(G526)+N(I526))</f>
        <v/>
      </c>
      <c r="S526" s="23" t="str">
        <f aca="false">IF(OR(K526="",O526=""),"",O526-K526)</f>
        <v/>
      </c>
      <c r="T526" s="23" t="str">
        <f aca="true">IF(AND(C526="Cetak",L526&lt;&gt;"",L526&lt;TODAY()),"YA","")</f>
        <v/>
      </c>
      <c r="U526" s="23" t="str">
        <f aca="false">IF(B526="","",TEXT(B526,"yyyy-mm"))</f>
        <v/>
      </c>
      <c r="V526" s="23" t="str">
        <f aca="false">IF(K526="","",TEXT(K526,"yyyy-mm"))</f>
        <v/>
      </c>
      <c r="W526" s="23" t="n">
        <f aca="false">IF(OR(C526="Cetak",C526="Dikirim",C526="Selesai"),1,0)</f>
        <v>0</v>
      </c>
      <c r="X526" s="23" t="str">
        <f aca="false">IF(F526="","",SUBSTITUTE(SUBSTITUTE(MID(UPPER(TRIM(F526)),4,99),"-LED",""),"-TK",""))</f>
        <v/>
      </c>
      <c r="Y526" s="23" t="str">
        <f aca="false">IF(X526="","",(LEN(X526)+1)/7)</f>
        <v/>
      </c>
      <c r="Z526" s="23" t="str">
        <f aca="false">IF(X526="","",LEFT(X526,6))</f>
        <v/>
      </c>
      <c r="AA526" s="23" t="str">
        <f aca="false">IF(X526="","",IF(Y526&gt;=3,MID(X526,8,6),""))</f>
        <v/>
      </c>
      <c r="AB526" s="23" t="str">
        <f aca="false">IF(X526="","",IF(Y526&gt;=4,MID(X526,15,6),""))</f>
        <v/>
      </c>
      <c r="AC526" s="23" t="str">
        <f aca="false">IF(X526="","",IF(Y526&gt;=5,MID(X526,22,6),""))</f>
        <v/>
      </c>
      <c r="AD526" s="23" t="str">
        <f aca="false">IF(X526="","",RIGHT(X526,6))</f>
        <v/>
      </c>
      <c r="AE526" s="23" t="str">
        <f aca="false">IF(F526="","",IF(ISNUMBER(SEARCH("-TK",UPPER(F526))),0,1))</f>
        <v/>
      </c>
      <c r="AF526" s="23" t="str">
        <f aca="false">IF(F526="","",IF(ISNUMBER(SEARCH("-LED",UPPER(F526))),1,0))</f>
        <v/>
      </c>
      <c r="AG526" s="24" t="n">
        <f aca="false">IF(Z526="",0,IFERROR(INDEX(Resep!$C$5:$C$7,MATCH(LEFT(Z526,3),Resep!$B$5:$B$7,0)),0))</f>
        <v>0</v>
      </c>
      <c r="AH526" s="24" t="n">
        <f aca="false">IF(AA526="",0,IFERROR(INDEX(Resep!$C$9:$C$13,MATCH(LEFT(AA526,3),Resep!$B$9:$B$13,0)),0))</f>
        <v>0</v>
      </c>
      <c r="AI526" s="24" t="n">
        <f aca="false">IF(AB526="",0,IFERROR(INDEX(Resep!$C$9:$C$13,MATCH(LEFT(AB526,3),Resep!$B$9:$B$13,0)),0))</f>
        <v>0</v>
      </c>
      <c r="AJ526" s="24" t="n">
        <f aca="false">IF(AC526="",0,IFERROR(INDEX(Resep!$C$9:$C$13,MATCH(LEFT(AC526,3),Resep!$B$9:$B$13,0)),0))</f>
        <v>0</v>
      </c>
      <c r="AK526" s="24" t="n">
        <f aca="false">IF(AD526="",0,IFERROR(INDEX(Resep!$C$15:$C$18,MATCH(LEFT(AD526,3),Resep!$B$15:$B$18,0)),0))</f>
        <v>0</v>
      </c>
      <c r="AL526" s="24" t="str">
        <f aca="false">IF(X526="","",AG526+AH526+AI526+AJ526+AK526)</f>
        <v/>
      </c>
      <c r="AM526" s="22" t="str">
        <f aca="false">IF(X526="","",AL526*(Pengaturan!$B$6+Pengaturan!$B$7)+Pengaturan!$B$8+AE526*Pengaturan!$B$9+AF526*Pengaturan!$B$10)</f>
        <v/>
      </c>
      <c r="AN526" s="22" t="str">
        <f aca="false">IF(X526="","",N(G526)-AM526)</f>
        <v/>
      </c>
      <c r="AO526" s="25" t="str">
        <f aca="false">IF(OR(X526="",N(G526)=0),"",AN526/G526)</f>
        <v/>
      </c>
    </row>
    <row r="527" customFormat="false" ht="15" hidden="false" customHeight="false" outlineLevel="0" collapsed="false">
      <c r="A527" s="19"/>
      <c r="B527" s="20"/>
      <c r="C527" s="19"/>
      <c r="D527" s="19"/>
      <c r="E527" s="19"/>
      <c r="F527" s="19"/>
      <c r="G527" s="21"/>
      <c r="H527" s="19"/>
      <c r="I527" s="21"/>
      <c r="J527" s="19"/>
      <c r="K527" s="20"/>
      <c r="L527" s="20"/>
      <c r="M527" s="19"/>
      <c r="N527" s="19"/>
      <c r="O527" s="20"/>
      <c r="P527" s="20"/>
      <c r="Q527" s="19"/>
      <c r="R527" s="22" t="str">
        <f aca="false">IF(A527="","",N(G527)+N(I527))</f>
        <v/>
      </c>
      <c r="S527" s="23" t="str">
        <f aca="false">IF(OR(K527="",O527=""),"",O527-K527)</f>
        <v/>
      </c>
      <c r="T527" s="23" t="str">
        <f aca="true">IF(AND(C527="Cetak",L527&lt;&gt;"",L527&lt;TODAY()),"YA","")</f>
        <v/>
      </c>
      <c r="U527" s="23" t="str">
        <f aca="false">IF(B527="","",TEXT(B527,"yyyy-mm"))</f>
        <v/>
      </c>
      <c r="V527" s="23" t="str">
        <f aca="false">IF(K527="","",TEXT(K527,"yyyy-mm"))</f>
        <v/>
      </c>
      <c r="W527" s="23" t="n">
        <f aca="false">IF(OR(C527="Cetak",C527="Dikirim",C527="Selesai"),1,0)</f>
        <v>0</v>
      </c>
      <c r="X527" s="23" t="str">
        <f aca="false">IF(F527="","",SUBSTITUTE(SUBSTITUTE(MID(UPPER(TRIM(F527)),4,99),"-LED",""),"-TK",""))</f>
        <v/>
      </c>
      <c r="Y527" s="23" t="str">
        <f aca="false">IF(X527="","",(LEN(X527)+1)/7)</f>
        <v/>
      </c>
      <c r="Z527" s="23" t="str">
        <f aca="false">IF(X527="","",LEFT(X527,6))</f>
        <v/>
      </c>
      <c r="AA527" s="23" t="str">
        <f aca="false">IF(X527="","",IF(Y527&gt;=3,MID(X527,8,6),""))</f>
        <v/>
      </c>
      <c r="AB527" s="23" t="str">
        <f aca="false">IF(X527="","",IF(Y527&gt;=4,MID(X527,15,6),""))</f>
        <v/>
      </c>
      <c r="AC527" s="23" t="str">
        <f aca="false">IF(X527="","",IF(Y527&gt;=5,MID(X527,22,6),""))</f>
        <v/>
      </c>
      <c r="AD527" s="23" t="str">
        <f aca="false">IF(X527="","",RIGHT(X527,6))</f>
        <v/>
      </c>
      <c r="AE527" s="23" t="str">
        <f aca="false">IF(F527="","",IF(ISNUMBER(SEARCH("-TK",UPPER(F527))),0,1))</f>
        <v/>
      </c>
      <c r="AF527" s="23" t="str">
        <f aca="false">IF(F527="","",IF(ISNUMBER(SEARCH("-LED",UPPER(F527))),1,0))</f>
        <v/>
      </c>
      <c r="AG527" s="24" t="n">
        <f aca="false">IF(Z527="",0,IFERROR(INDEX(Resep!$C$5:$C$7,MATCH(LEFT(Z527,3),Resep!$B$5:$B$7,0)),0))</f>
        <v>0</v>
      </c>
      <c r="AH527" s="24" t="n">
        <f aca="false">IF(AA527="",0,IFERROR(INDEX(Resep!$C$9:$C$13,MATCH(LEFT(AA527,3),Resep!$B$9:$B$13,0)),0))</f>
        <v>0</v>
      </c>
      <c r="AI527" s="24" t="n">
        <f aca="false">IF(AB527="",0,IFERROR(INDEX(Resep!$C$9:$C$13,MATCH(LEFT(AB527,3),Resep!$B$9:$B$13,0)),0))</f>
        <v>0</v>
      </c>
      <c r="AJ527" s="24" t="n">
        <f aca="false">IF(AC527="",0,IFERROR(INDEX(Resep!$C$9:$C$13,MATCH(LEFT(AC527,3),Resep!$B$9:$B$13,0)),0))</f>
        <v>0</v>
      </c>
      <c r="AK527" s="24" t="n">
        <f aca="false">IF(AD527="",0,IFERROR(INDEX(Resep!$C$15:$C$18,MATCH(LEFT(AD527,3),Resep!$B$15:$B$18,0)),0))</f>
        <v>0</v>
      </c>
      <c r="AL527" s="24" t="str">
        <f aca="false">IF(X527="","",AG527+AH527+AI527+AJ527+AK527)</f>
        <v/>
      </c>
      <c r="AM527" s="22" t="str">
        <f aca="false">IF(X527="","",AL527*(Pengaturan!$B$6+Pengaturan!$B$7)+Pengaturan!$B$8+AE527*Pengaturan!$B$9+AF527*Pengaturan!$B$10)</f>
        <v/>
      </c>
      <c r="AN527" s="22" t="str">
        <f aca="false">IF(X527="","",N(G527)-AM527)</f>
        <v/>
      </c>
      <c r="AO527" s="25" t="str">
        <f aca="false">IF(OR(X527="",N(G527)=0),"",AN527/G527)</f>
        <v/>
      </c>
    </row>
    <row r="528" customFormat="false" ht="15" hidden="false" customHeight="false" outlineLevel="0" collapsed="false">
      <c r="A528" s="19"/>
      <c r="B528" s="20"/>
      <c r="C528" s="19"/>
      <c r="D528" s="19"/>
      <c r="E528" s="19"/>
      <c r="F528" s="19"/>
      <c r="G528" s="21"/>
      <c r="H528" s="19"/>
      <c r="I528" s="21"/>
      <c r="J528" s="19"/>
      <c r="K528" s="20"/>
      <c r="L528" s="20"/>
      <c r="M528" s="19"/>
      <c r="N528" s="19"/>
      <c r="O528" s="20"/>
      <c r="P528" s="20"/>
      <c r="Q528" s="19"/>
      <c r="R528" s="22" t="str">
        <f aca="false">IF(A528="","",N(G528)+N(I528))</f>
        <v/>
      </c>
      <c r="S528" s="23" t="str">
        <f aca="false">IF(OR(K528="",O528=""),"",O528-K528)</f>
        <v/>
      </c>
      <c r="T528" s="23" t="str">
        <f aca="true">IF(AND(C528="Cetak",L528&lt;&gt;"",L528&lt;TODAY()),"YA","")</f>
        <v/>
      </c>
      <c r="U528" s="23" t="str">
        <f aca="false">IF(B528="","",TEXT(B528,"yyyy-mm"))</f>
        <v/>
      </c>
      <c r="V528" s="23" t="str">
        <f aca="false">IF(K528="","",TEXT(K528,"yyyy-mm"))</f>
        <v/>
      </c>
      <c r="W528" s="23" t="n">
        <f aca="false">IF(OR(C528="Cetak",C528="Dikirim",C528="Selesai"),1,0)</f>
        <v>0</v>
      </c>
      <c r="X528" s="23" t="str">
        <f aca="false">IF(F528="","",SUBSTITUTE(SUBSTITUTE(MID(UPPER(TRIM(F528)),4,99),"-LED",""),"-TK",""))</f>
        <v/>
      </c>
      <c r="Y528" s="23" t="str">
        <f aca="false">IF(X528="","",(LEN(X528)+1)/7)</f>
        <v/>
      </c>
      <c r="Z528" s="23" t="str">
        <f aca="false">IF(X528="","",LEFT(X528,6))</f>
        <v/>
      </c>
      <c r="AA528" s="23" t="str">
        <f aca="false">IF(X528="","",IF(Y528&gt;=3,MID(X528,8,6),""))</f>
        <v/>
      </c>
      <c r="AB528" s="23" t="str">
        <f aca="false">IF(X528="","",IF(Y528&gt;=4,MID(X528,15,6),""))</f>
        <v/>
      </c>
      <c r="AC528" s="23" t="str">
        <f aca="false">IF(X528="","",IF(Y528&gt;=5,MID(X528,22,6),""))</f>
        <v/>
      </c>
      <c r="AD528" s="23" t="str">
        <f aca="false">IF(X528="","",RIGHT(X528,6))</f>
        <v/>
      </c>
      <c r="AE528" s="23" t="str">
        <f aca="false">IF(F528="","",IF(ISNUMBER(SEARCH("-TK",UPPER(F528))),0,1))</f>
        <v/>
      </c>
      <c r="AF528" s="23" t="str">
        <f aca="false">IF(F528="","",IF(ISNUMBER(SEARCH("-LED",UPPER(F528))),1,0))</f>
        <v/>
      </c>
      <c r="AG528" s="24" t="n">
        <f aca="false">IF(Z528="",0,IFERROR(INDEX(Resep!$C$5:$C$7,MATCH(LEFT(Z528,3),Resep!$B$5:$B$7,0)),0))</f>
        <v>0</v>
      </c>
      <c r="AH528" s="24" t="n">
        <f aca="false">IF(AA528="",0,IFERROR(INDEX(Resep!$C$9:$C$13,MATCH(LEFT(AA528,3),Resep!$B$9:$B$13,0)),0))</f>
        <v>0</v>
      </c>
      <c r="AI528" s="24" t="n">
        <f aca="false">IF(AB528="",0,IFERROR(INDEX(Resep!$C$9:$C$13,MATCH(LEFT(AB528,3),Resep!$B$9:$B$13,0)),0))</f>
        <v>0</v>
      </c>
      <c r="AJ528" s="24" t="n">
        <f aca="false">IF(AC528="",0,IFERROR(INDEX(Resep!$C$9:$C$13,MATCH(LEFT(AC528,3),Resep!$B$9:$B$13,0)),0))</f>
        <v>0</v>
      </c>
      <c r="AK528" s="24" t="n">
        <f aca="false">IF(AD528="",0,IFERROR(INDEX(Resep!$C$15:$C$18,MATCH(LEFT(AD528,3),Resep!$B$15:$B$18,0)),0))</f>
        <v>0</v>
      </c>
      <c r="AL528" s="24" t="str">
        <f aca="false">IF(X528="","",AG528+AH528+AI528+AJ528+AK528)</f>
        <v/>
      </c>
      <c r="AM528" s="22" t="str">
        <f aca="false">IF(X528="","",AL528*(Pengaturan!$B$6+Pengaturan!$B$7)+Pengaturan!$B$8+AE528*Pengaturan!$B$9+AF528*Pengaturan!$B$10)</f>
        <v/>
      </c>
      <c r="AN528" s="22" t="str">
        <f aca="false">IF(X528="","",N(G528)-AM528)</f>
        <v/>
      </c>
      <c r="AO528" s="25" t="str">
        <f aca="false">IF(OR(X528="",N(G528)=0),"",AN528/G528)</f>
        <v/>
      </c>
    </row>
    <row r="529" customFormat="false" ht="15" hidden="false" customHeight="false" outlineLevel="0" collapsed="false">
      <c r="A529" s="19"/>
      <c r="B529" s="20"/>
      <c r="C529" s="19"/>
      <c r="D529" s="19"/>
      <c r="E529" s="19"/>
      <c r="F529" s="19"/>
      <c r="G529" s="21"/>
      <c r="H529" s="19"/>
      <c r="I529" s="21"/>
      <c r="J529" s="19"/>
      <c r="K529" s="20"/>
      <c r="L529" s="20"/>
      <c r="M529" s="19"/>
      <c r="N529" s="19"/>
      <c r="O529" s="20"/>
      <c r="P529" s="20"/>
      <c r="Q529" s="19"/>
      <c r="R529" s="22" t="str">
        <f aca="false">IF(A529="","",N(G529)+N(I529))</f>
        <v/>
      </c>
      <c r="S529" s="23" t="str">
        <f aca="false">IF(OR(K529="",O529=""),"",O529-K529)</f>
        <v/>
      </c>
      <c r="T529" s="23" t="str">
        <f aca="true">IF(AND(C529="Cetak",L529&lt;&gt;"",L529&lt;TODAY()),"YA","")</f>
        <v/>
      </c>
      <c r="U529" s="23" t="str">
        <f aca="false">IF(B529="","",TEXT(B529,"yyyy-mm"))</f>
        <v/>
      </c>
      <c r="V529" s="23" t="str">
        <f aca="false">IF(K529="","",TEXT(K529,"yyyy-mm"))</f>
        <v/>
      </c>
      <c r="W529" s="23" t="n">
        <f aca="false">IF(OR(C529="Cetak",C529="Dikirim",C529="Selesai"),1,0)</f>
        <v>0</v>
      </c>
      <c r="X529" s="23" t="str">
        <f aca="false">IF(F529="","",SUBSTITUTE(SUBSTITUTE(MID(UPPER(TRIM(F529)),4,99),"-LED",""),"-TK",""))</f>
        <v/>
      </c>
      <c r="Y529" s="23" t="str">
        <f aca="false">IF(X529="","",(LEN(X529)+1)/7)</f>
        <v/>
      </c>
      <c r="Z529" s="23" t="str">
        <f aca="false">IF(X529="","",LEFT(X529,6))</f>
        <v/>
      </c>
      <c r="AA529" s="23" t="str">
        <f aca="false">IF(X529="","",IF(Y529&gt;=3,MID(X529,8,6),""))</f>
        <v/>
      </c>
      <c r="AB529" s="23" t="str">
        <f aca="false">IF(X529="","",IF(Y529&gt;=4,MID(X529,15,6),""))</f>
        <v/>
      </c>
      <c r="AC529" s="23" t="str">
        <f aca="false">IF(X529="","",IF(Y529&gt;=5,MID(X529,22,6),""))</f>
        <v/>
      </c>
      <c r="AD529" s="23" t="str">
        <f aca="false">IF(X529="","",RIGHT(X529,6))</f>
        <v/>
      </c>
      <c r="AE529" s="23" t="str">
        <f aca="false">IF(F529="","",IF(ISNUMBER(SEARCH("-TK",UPPER(F529))),0,1))</f>
        <v/>
      </c>
      <c r="AF529" s="23" t="str">
        <f aca="false">IF(F529="","",IF(ISNUMBER(SEARCH("-LED",UPPER(F529))),1,0))</f>
        <v/>
      </c>
      <c r="AG529" s="24" t="n">
        <f aca="false">IF(Z529="",0,IFERROR(INDEX(Resep!$C$5:$C$7,MATCH(LEFT(Z529,3),Resep!$B$5:$B$7,0)),0))</f>
        <v>0</v>
      </c>
      <c r="AH529" s="24" t="n">
        <f aca="false">IF(AA529="",0,IFERROR(INDEX(Resep!$C$9:$C$13,MATCH(LEFT(AA529,3),Resep!$B$9:$B$13,0)),0))</f>
        <v>0</v>
      </c>
      <c r="AI529" s="24" t="n">
        <f aca="false">IF(AB529="",0,IFERROR(INDEX(Resep!$C$9:$C$13,MATCH(LEFT(AB529,3),Resep!$B$9:$B$13,0)),0))</f>
        <v>0</v>
      </c>
      <c r="AJ529" s="24" t="n">
        <f aca="false">IF(AC529="",0,IFERROR(INDEX(Resep!$C$9:$C$13,MATCH(LEFT(AC529,3),Resep!$B$9:$B$13,0)),0))</f>
        <v>0</v>
      </c>
      <c r="AK529" s="24" t="n">
        <f aca="false">IF(AD529="",0,IFERROR(INDEX(Resep!$C$15:$C$18,MATCH(LEFT(AD529,3),Resep!$B$15:$B$18,0)),0))</f>
        <v>0</v>
      </c>
      <c r="AL529" s="24" t="str">
        <f aca="false">IF(X529="","",AG529+AH529+AI529+AJ529+AK529)</f>
        <v/>
      </c>
      <c r="AM529" s="22" t="str">
        <f aca="false">IF(X529="","",AL529*(Pengaturan!$B$6+Pengaturan!$B$7)+Pengaturan!$B$8+AE529*Pengaturan!$B$9+AF529*Pengaturan!$B$10)</f>
        <v/>
      </c>
      <c r="AN529" s="22" t="str">
        <f aca="false">IF(X529="","",N(G529)-AM529)</f>
        <v/>
      </c>
      <c r="AO529" s="25" t="str">
        <f aca="false">IF(OR(X529="",N(G529)=0),"",AN529/G529)</f>
        <v/>
      </c>
    </row>
    <row r="530" customFormat="false" ht="15" hidden="false" customHeight="false" outlineLevel="0" collapsed="false">
      <c r="A530" s="19"/>
      <c r="B530" s="20"/>
      <c r="C530" s="19"/>
      <c r="D530" s="19"/>
      <c r="E530" s="19"/>
      <c r="F530" s="19"/>
      <c r="G530" s="21"/>
      <c r="H530" s="19"/>
      <c r="I530" s="21"/>
      <c r="J530" s="19"/>
      <c r="K530" s="20"/>
      <c r="L530" s="20"/>
      <c r="M530" s="19"/>
      <c r="N530" s="19"/>
      <c r="O530" s="20"/>
      <c r="P530" s="20"/>
      <c r="Q530" s="19"/>
      <c r="R530" s="22" t="str">
        <f aca="false">IF(A530="","",N(G530)+N(I530))</f>
        <v/>
      </c>
      <c r="S530" s="23" t="str">
        <f aca="false">IF(OR(K530="",O530=""),"",O530-K530)</f>
        <v/>
      </c>
      <c r="T530" s="23" t="str">
        <f aca="true">IF(AND(C530="Cetak",L530&lt;&gt;"",L530&lt;TODAY()),"YA","")</f>
        <v/>
      </c>
      <c r="U530" s="23" t="str">
        <f aca="false">IF(B530="","",TEXT(B530,"yyyy-mm"))</f>
        <v/>
      </c>
      <c r="V530" s="23" t="str">
        <f aca="false">IF(K530="","",TEXT(K530,"yyyy-mm"))</f>
        <v/>
      </c>
      <c r="W530" s="23" t="n">
        <f aca="false">IF(OR(C530="Cetak",C530="Dikirim",C530="Selesai"),1,0)</f>
        <v>0</v>
      </c>
      <c r="X530" s="23" t="str">
        <f aca="false">IF(F530="","",SUBSTITUTE(SUBSTITUTE(MID(UPPER(TRIM(F530)),4,99),"-LED",""),"-TK",""))</f>
        <v/>
      </c>
      <c r="Y530" s="23" t="str">
        <f aca="false">IF(X530="","",(LEN(X530)+1)/7)</f>
        <v/>
      </c>
      <c r="Z530" s="23" t="str">
        <f aca="false">IF(X530="","",LEFT(X530,6))</f>
        <v/>
      </c>
      <c r="AA530" s="23" t="str">
        <f aca="false">IF(X530="","",IF(Y530&gt;=3,MID(X530,8,6),""))</f>
        <v/>
      </c>
      <c r="AB530" s="23" t="str">
        <f aca="false">IF(X530="","",IF(Y530&gt;=4,MID(X530,15,6),""))</f>
        <v/>
      </c>
      <c r="AC530" s="23" t="str">
        <f aca="false">IF(X530="","",IF(Y530&gt;=5,MID(X530,22,6),""))</f>
        <v/>
      </c>
      <c r="AD530" s="23" t="str">
        <f aca="false">IF(X530="","",RIGHT(X530,6))</f>
        <v/>
      </c>
      <c r="AE530" s="23" t="str">
        <f aca="false">IF(F530="","",IF(ISNUMBER(SEARCH("-TK",UPPER(F530))),0,1))</f>
        <v/>
      </c>
      <c r="AF530" s="23" t="str">
        <f aca="false">IF(F530="","",IF(ISNUMBER(SEARCH("-LED",UPPER(F530))),1,0))</f>
        <v/>
      </c>
      <c r="AG530" s="24" t="n">
        <f aca="false">IF(Z530="",0,IFERROR(INDEX(Resep!$C$5:$C$7,MATCH(LEFT(Z530,3),Resep!$B$5:$B$7,0)),0))</f>
        <v>0</v>
      </c>
      <c r="AH530" s="24" t="n">
        <f aca="false">IF(AA530="",0,IFERROR(INDEX(Resep!$C$9:$C$13,MATCH(LEFT(AA530,3),Resep!$B$9:$B$13,0)),0))</f>
        <v>0</v>
      </c>
      <c r="AI530" s="24" t="n">
        <f aca="false">IF(AB530="",0,IFERROR(INDEX(Resep!$C$9:$C$13,MATCH(LEFT(AB530,3),Resep!$B$9:$B$13,0)),0))</f>
        <v>0</v>
      </c>
      <c r="AJ530" s="24" t="n">
        <f aca="false">IF(AC530="",0,IFERROR(INDEX(Resep!$C$9:$C$13,MATCH(LEFT(AC530,3),Resep!$B$9:$B$13,0)),0))</f>
        <v>0</v>
      </c>
      <c r="AK530" s="24" t="n">
        <f aca="false">IF(AD530="",0,IFERROR(INDEX(Resep!$C$15:$C$18,MATCH(LEFT(AD530,3),Resep!$B$15:$B$18,0)),0))</f>
        <v>0</v>
      </c>
      <c r="AL530" s="24" t="str">
        <f aca="false">IF(X530="","",AG530+AH530+AI530+AJ530+AK530)</f>
        <v/>
      </c>
      <c r="AM530" s="22" t="str">
        <f aca="false">IF(X530="","",AL530*(Pengaturan!$B$6+Pengaturan!$B$7)+Pengaturan!$B$8+AE530*Pengaturan!$B$9+AF530*Pengaturan!$B$10)</f>
        <v/>
      </c>
      <c r="AN530" s="22" t="str">
        <f aca="false">IF(X530="","",N(G530)-AM530)</f>
        <v/>
      </c>
      <c r="AO530" s="25" t="str">
        <f aca="false">IF(OR(X530="",N(G530)=0),"",AN530/G530)</f>
        <v/>
      </c>
    </row>
    <row r="531" customFormat="false" ht="15" hidden="false" customHeight="false" outlineLevel="0" collapsed="false">
      <c r="A531" s="19"/>
      <c r="B531" s="20"/>
      <c r="C531" s="19"/>
      <c r="D531" s="19"/>
      <c r="E531" s="19"/>
      <c r="F531" s="19"/>
      <c r="G531" s="21"/>
      <c r="H531" s="19"/>
      <c r="I531" s="21"/>
      <c r="J531" s="19"/>
      <c r="K531" s="20"/>
      <c r="L531" s="20"/>
      <c r="M531" s="19"/>
      <c r="N531" s="19"/>
      <c r="O531" s="20"/>
      <c r="P531" s="20"/>
      <c r="Q531" s="19"/>
      <c r="R531" s="22" t="str">
        <f aca="false">IF(A531="","",N(G531)+N(I531))</f>
        <v/>
      </c>
      <c r="S531" s="23" t="str">
        <f aca="false">IF(OR(K531="",O531=""),"",O531-K531)</f>
        <v/>
      </c>
      <c r="T531" s="23" t="str">
        <f aca="true">IF(AND(C531="Cetak",L531&lt;&gt;"",L531&lt;TODAY()),"YA","")</f>
        <v/>
      </c>
      <c r="U531" s="23" t="str">
        <f aca="false">IF(B531="","",TEXT(B531,"yyyy-mm"))</f>
        <v/>
      </c>
      <c r="V531" s="23" t="str">
        <f aca="false">IF(K531="","",TEXT(K531,"yyyy-mm"))</f>
        <v/>
      </c>
      <c r="W531" s="23" t="n">
        <f aca="false">IF(OR(C531="Cetak",C531="Dikirim",C531="Selesai"),1,0)</f>
        <v>0</v>
      </c>
      <c r="X531" s="23" t="str">
        <f aca="false">IF(F531="","",SUBSTITUTE(SUBSTITUTE(MID(UPPER(TRIM(F531)),4,99),"-LED",""),"-TK",""))</f>
        <v/>
      </c>
      <c r="Y531" s="23" t="str">
        <f aca="false">IF(X531="","",(LEN(X531)+1)/7)</f>
        <v/>
      </c>
      <c r="Z531" s="23" t="str">
        <f aca="false">IF(X531="","",LEFT(X531,6))</f>
        <v/>
      </c>
      <c r="AA531" s="23" t="str">
        <f aca="false">IF(X531="","",IF(Y531&gt;=3,MID(X531,8,6),""))</f>
        <v/>
      </c>
      <c r="AB531" s="23" t="str">
        <f aca="false">IF(X531="","",IF(Y531&gt;=4,MID(X531,15,6),""))</f>
        <v/>
      </c>
      <c r="AC531" s="23" t="str">
        <f aca="false">IF(X531="","",IF(Y531&gt;=5,MID(X531,22,6),""))</f>
        <v/>
      </c>
      <c r="AD531" s="23" t="str">
        <f aca="false">IF(X531="","",RIGHT(X531,6))</f>
        <v/>
      </c>
      <c r="AE531" s="23" t="str">
        <f aca="false">IF(F531="","",IF(ISNUMBER(SEARCH("-TK",UPPER(F531))),0,1))</f>
        <v/>
      </c>
      <c r="AF531" s="23" t="str">
        <f aca="false">IF(F531="","",IF(ISNUMBER(SEARCH("-LED",UPPER(F531))),1,0))</f>
        <v/>
      </c>
      <c r="AG531" s="24" t="n">
        <f aca="false">IF(Z531="",0,IFERROR(INDEX(Resep!$C$5:$C$7,MATCH(LEFT(Z531,3),Resep!$B$5:$B$7,0)),0))</f>
        <v>0</v>
      </c>
      <c r="AH531" s="24" t="n">
        <f aca="false">IF(AA531="",0,IFERROR(INDEX(Resep!$C$9:$C$13,MATCH(LEFT(AA531,3),Resep!$B$9:$B$13,0)),0))</f>
        <v>0</v>
      </c>
      <c r="AI531" s="24" t="n">
        <f aca="false">IF(AB531="",0,IFERROR(INDEX(Resep!$C$9:$C$13,MATCH(LEFT(AB531,3),Resep!$B$9:$B$13,0)),0))</f>
        <v>0</v>
      </c>
      <c r="AJ531" s="24" t="n">
        <f aca="false">IF(AC531="",0,IFERROR(INDEX(Resep!$C$9:$C$13,MATCH(LEFT(AC531,3),Resep!$B$9:$B$13,0)),0))</f>
        <v>0</v>
      </c>
      <c r="AK531" s="24" t="n">
        <f aca="false">IF(AD531="",0,IFERROR(INDEX(Resep!$C$15:$C$18,MATCH(LEFT(AD531,3),Resep!$B$15:$B$18,0)),0))</f>
        <v>0</v>
      </c>
      <c r="AL531" s="24" t="str">
        <f aca="false">IF(X531="","",AG531+AH531+AI531+AJ531+AK531)</f>
        <v/>
      </c>
      <c r="AM531" s="22" t="str">
        <f aca="false">IF(X531="","",AL531*(Pengaturan!$B$6+Pengaturan!$B$7)+Pengaturan!$B$8+AE531*Pengaturan!$B$9+AF531*Pengaturan!$B$10)</f>
        <v/>
      </c>
      <c r="AN531" s="22" t="str">
        <f aca="false">IF(X531="","",N(G531)-AM531)</f>
        <v/>
      </c>
      <c r="AO531" s="25" t="str">
        <f aca="false">IF(OR(X531="",N(G531)=0),"",AN531/G531)</f>
        <v/>
      </c>
    </row>
    <row r="532" customFormat="false" ht="15" hidden="false" customHeight="false" outlineLevel="0" collapsed="false">
      <c r="A532" s="19"/>
      <c r="B532" s="20"/>
      <c r="C532" s="19"/>
      <c r="D532" s="19"/>
      <c r="E532" s="19"/>
      <c r="F532" s="19"/>
      <c r="G532" s="21"/>
      <c r="H532" s="19"/>
      <c r="I532" s="21"/>
      <c r="J532" s="19"/>
      <c r="K532" s="20"/>
      <c r="L532" s="20"/>
      <c r="M532" s="19"/>
      <c r="N532" s="19"/>
      <c r="O532" s="20"/>
      <c r="P532" s="20"/>
      <c r="Q532" s="19"/>
      <c r="R532" s="22" t="str">
        <f aca="false">IF(A532="","",N(G532)+N(I532))</f>
        <v/>
      </c>
      <c r="S532" s="23" t="str">
        <f aca="false">IF(OR(K532="",O532=""),"",O532-K532)</f>
        <v/>
      </c>
      <c r="T532" s="23" t="str">
        <f aca="true">IF(AND(C532="Cetak",L532&lt;&gt;"",L532&lt;TODAY()),"YA","")</f>
        <v/>
      </c>
      <c r="U532" s="23" t="str">
        <f aca="false">IF(B532="","",TEXT(B532,"yyyy-mm"))</f>
        <v/>
      </c>
      <c r="V532" s="23" t="str">
        <f aca="false">IF(K532="","",TEXT(K532,"yyyy-mm"))</f>
        <v/>
      </c>
      <c r="W532" s="23" t="n">
        <f aca="false">IF(OR(C532="Cetak",C532="Dikirim",C532="Selesai"),1,0)</f>
        <v>0</v>
      </c>
      <c r="X532" s="23" t="str">
        <f aca="false">IF(F532="","",SUBSTITUTE(SUBSTITUTE(MID(UPPER(TRIM(F532)),4,99),"-LED",""),"-TK",""))</f>
        <v/>
      </c>
      <c r="Y532" s="23" t="str">
        <f aca="false">IF(X532="","",(LEN(X532)+1)/7)</f>
        <v/>
      </c>
      <c r="Z532" s="23" t="str">
        <f aca="false">IF(X532="","",LEFT(X532,6))</f>
        <v/>
      </c>
      <c r="AA532" s="23" t="str">
        <f aca="false">IF(X532="","",IF(Y532&gt;=3,MID(X532,8,6),""))</f>
        <v/>
      </c>
      <c r="AB532" s="23" t="str">
        <f aca="false">IF(X532="","",IF(Y532&gt;=4,MID(X532,15,6),""))</f>
        <v/>
      </c>
      <c r="AC532" s="23" t="str">
        <f aca="false">IF(X532="","",IF(Y532&gt;=5,MID(X532,22,6),""))</f>
        <v/>
      </c>
      <c r="AD532" s="23" t="str">
        <f aca="false">IF(X532="","",RIGHT(X532,6))</f>
        <v/>
      </c>
      <c r="AE532" s="23" t="str">
        <f aca="false">IF(F532="","",IF(ISNUMBER(SEARCH("-TK",UPPER(F532))),0,1))</f>
        <v/>
      </c>
      <c r="AF532" s="23" t="str">
        <f aca="false">IF(F532="","",IF(ISNUMBER(SEARCH("-LED",UPPER(F532))),1,0))</f>
        <v/>
      </c>
      <c r="AG532" s="24" t="n">
        <f aca="false">IF(Z532="",0,IFERROR(INDEX(Resep!$C$5:$C$7,MATCH(LEFT(Z532,3),Resep!$B$5:$B$7,0)),0))</f>
        <v>0</v>
      </c>
      <c r="AH532" s="24" t="n">
        <f aca="false">IF(AA532="",0,IFERROR(INDEX(Resep!$C$9:$C$13,MATCH(LEFT(AA532,3),Resep!$B$9:$B$13,0)),0))</f>
        <v>0</v>
      </c>
      <c r="AI532" s="24" t="n">
        <f aca="false">IF(AB532="",0,IFERROR(INDEX(Resep!$C$9:$C$13,MATCH(LEFT(AB532,3),Resep!$B$9:$B$13,0)),0))</f>
        <v>0</v>
      </c>
      <c r="AJ532" s="24" t="n">
        <f aca="false">IF(AC532="",0,IFERROR(INDEX(Resep!$C$9:$C$13,MATCH(LEFT(AC532,3),Resep!$B$9:$B$13,0)),0))</f>
        <v>0</v>
      </c>
      <c r="AK532" s="24" t="n">
        <f aca="false">IF(AD532="",0,IFERROR(INDEX(Resep!$C$15:$C$18,MATCH(LEFT(AD532,3),Resep!$B$15:$B$18,0)),0))</f>
        <v>0</v>
      </c>
      <c r="AL532" s="24" t="str">
        <f aca="false">IF(X532="","",AG532+AH532+AI532+AJ532+AK532)</f>
        <v/>
      </c>
      <c r="AM532" s="22" t="str">
        <f aca="false">IF(X532="","",AL532*(Pengaturan!$B$6+Pengaturan!$B$7)+Pengaturan!$B$8+AE532*Pengaturan!$B$9+AF532*Pengaturan!$B$10)</f>
        <v/>
      </c>
      <c r="AN532" s="22" t="str">
        <f aca="false">IF(X532="","",N(G532)-AM532)</f>
        <v/>
      </c>
      <c r="AO532" s="25" t="str">
        <f aca="false">IF(OR(X532="",N(G532)=0),"",AN532/G532)</f>
        <v/>
      </c>
    </row>
    <row r="533" customFormat="false" ht="15" hidden="false" customHeight="false" outlineLevel="0" collapsed="false">
      <c r="A533" s="19"/>
      <c r="B533" s="20"/>
      <c r="C533" s="19"/>
      <c r="D533" s="19"/>
      <c r="E533" s="19"/>
      <c r="F533" s="19"/>
      <c r="G533" s="21"/>
      <c r="H533" s="19"/>
      <c r="I533" s="21"/>
      <c r="J533" s="19"/>
      <c r="K533" s="20"/>
      <c r="L533" s="20"/>
      <c r="M533" s="19"/>
      <c r="N533" s="19"/>
      <c r="O533" s="20"/>
      <c r="P533" s="20"/>
      <c r="Q533" s="19"/>
      <c r="R533" s="22" t="str">
        <f aca="false">IF(A533="","",N(G533)+N(I533))</f>
        <v/>
      </c>
      <c r="S533" s="23" t="str">
        <f aca="false">IF(OR(K533="",O533=""),"",O533-K533)</f>
        <v/>
      </c>
      <c r="T533" s="23" t="str">
        <f aca="true">IF(AND(C533="Cetak",L533&lt;&gt;"",L533&lt;TODAY()),"YA","")</f>
        <v/>
      </c>
      <c r="U533" s="23" t="str">
        <f aca="false">IF(B533="","",TEXT(B533,"yyyy-mm"))</f>
        <v/>
      </c>
      <c r="V533" s="23" t="str">
        <f aca="false">IF(K533="","",TEXT(K533,"yyyy-mm"))</f>
        <v/>
      </c>
      <c r="W533" s="23" t="n">
        <f aca="false">IF(OR(C533="Cetak",C533="Dikirim",C533="Selesai"),1,0)</f>
        <v>0</v>
      </c>
      <c r="X533" s="23" t="str">
        <f aca="false">IF(F533="","",SUBSTITUTE(SUBSTITUTE(MID(UPPER(TRIM(F533)),4,99),"-LED",""),"-TK",""))</f>
        <v/>
      </c>
      <c r="Y533" s="23" t="str">
        <f aca="false">IF(X533="","",(LEN(X533)+1)/7)</f>
        <v/>
      </c>
      <c r="Z533" s="23" t="str">
        <f aca="false">IF(X533="","",LEFT(X533,6))</f>
        <v/>
      </c>
      <c r="AA533" s="23" t="str">
        <f aca="false">IF(X533="","",IF(Y533&gt;=3,MID(X533,8,6),""))</f>
        <v/>
      </c>
      <c r="AB533" s="23" t="str">
        <f aca="false">IF(X533="","",IF(Y533&gt;=4,MID(X533,15,6),""))</f>
        <v/>
      </c>
      <c r="AC533" s="23" t="str">
        <f aca="false">IF(X533="","",IF(Y533&gt;=5,MID(X533,22,6),""))</f>
        <v/>
      </c>
      <c r="AD533" s="23" t="str">
        <f aca="false">IF(X533="","",RIGHT(X533,6))</f>
        <v/>
      </c>
      <c r="AE533" s="23" t="str">
        <f aca="false">IF(F533="","",IF(ISNUMBER(SEARCH("-TK",UPPER(F533))),0,1))</f>
        <v/>
      </c>
      <c r="AF533" s="23" t="str">
        <f aca="false">IF(F533="","",IF(ISNUMBER(SEARCH("-LED",UPPER(F533))),1,0))</f>
        <v/>
      </c>
      <c r="AG533" s="24" t="n">
        <f aca="false">IF(Z533="",0,IFERROR(INDEX(Resep!$C$5:$C$7,MATCH(LEFT(Z533,3),Resep!$B$5:$B$7,0)),0))</f>
        <v>0</v>
      </c>
      <c r="AH533" s="24" t="n">
        <f aca="false">IF(AA533="",0,IFERROR(INDEX(Resep!$C$9:$C$13,MATCH(LEFT(AA533,3),Resep!$B$9:$B$13,0)),0))</f>
        <v>0</v>
      </c>
      <c r="AI533" s="24" t="n">
        <f aca="false">IF(AB533="",0,IFERROR(INDEX(Resep!$C$9:$C$13,MATCH(LEFT(AB533,3),Resep!$B$9:$B$13,0)),0))</f>
        <v>0</v>
      </c>
      <c r="AJ533" s="24" t="n">
        <f aca="false">IF(AC533="",0,IFERROR(INDEX(Resep!$C$9:$C$13,MATCH(LEFT(AC533,3),Resep!$B$9:$B$13,0)),0))</f>
        <v>0</v>
      </c>
      <c r="AK533" s="24" t="n">
        <f aca="false">IF(AD533="",0,IFERROR(INDEX(Resep!$C$15:$C$18,MATCH(LEFT(AD533,3),Resep!$B$15:$B$18,0)),0))</f>
        <v>0</v>
      </c>
      <c r="AL533" s="24" t="str">
        <f aca="false">IF(X533="","",AG533+AH533+AI533+AJ533+AK533)</f>
        <v/>
      </c>
      <c r="AM533" s="22" t="str">
        <f aca="false">IF(X533="","",AL533*(Pengaturan!$B$6+Pengaturan!$B$7)+Pengaturan!$B$8+AE533*Pengaturan!$B$9+AF533*Pengaturan!$B$10)</f>
        <v/>
      </c>
      <c r="AN533" s="22" t="str">
        <f aca="false">IF(X533="","",N(G533)-AM533)</f>
        <v/>
      </c>
      <c r="AO533" s="25" t="str">
        <f aca="false">IF(OR(X533="",N(G533)=0),"",AN533/G533)</f>
        <v/>
      </c>
    </row>
    <row r="534" customFormat="false" ht="15" hidden="false" customHeight="false" outlineLevel="0" collapsed="false">
      <c r="A534" s="19"/>
      <c r="B534" s="20"/>
      <c r="C534" s="19"/>
      <c r="D534" s="19"/>
      <c r="E534" s="19"/>
      <c r="F534" s="19"/>
      <c r="G534" s="21"/>
      <c r="H534" s="19"/>
      <c r="I534" s="21"/>
      <c r="J534" s="19"/>
      <c r="K534" s="20"/>
      <c r="L534" s="20"/>
      <c r="M534" s="19"/>
      <c r="N534" s="19"/>
      <c r="O534" s="20"/>
      <c r="P534" s="20"/>
      <c r="Q534" s="19"/>
      <c r="R534" s="22" t="str">
        <f aca="false">IF(A534="","",N(G534)+N(I534))</f>
        <v/>
      </c>
      <c r="S534" s="23" t="str">
        <f aca="false">IF(OR(K534="",O534=""),"",O534-K534)</f>
        <v/>
      </c>
      <c r="T534" s="23" t="str">
        <f aca="true">IF(AND(C534="Cetak",L534&lt;&gt;"",L534&lt;TODAY()),"YA","")</f>
        <v/>
      </c>
      <c r="U534" s="23" t="str">
        <f aca="false">IF(B534="","",TEXT(B534,"yyyy-mm"))</f>
        <v/>
      </c>
      <c r="V534" s="23" t="str">
        <f aca="false">IF(K534="","",TEXT(K534,"yyyy-mm"))</f>
        <v/>
      </c>
      <c r="W534" s="23" t="n">
        <f aca="false">IF(OR(C534="Cetak",C534="Dikirim",C534="Selesai"),1,0)</f>
        <v>0</v>
      </c>
      <c r="X534" s="23" t="str">
        <f aca="false">IF(F534="","",SUBSTITUTE(SUBSTITUTE(MID(UPPER(TRIM(F534)),4,99),"-LED",""),"-TK",""))</f>
        <v/>
      </c>
      <c r="Y534" s="23" t="str">
        <f aca="false">IF(X534="","",(LEN(X534)+1)/7)</f>
        <v/>
      </c>
      <c r="Z534" s="23" t="str">
        <f aca="false">IF(X534="","",LEFT(X534,6))</f>
        <v/>
      </c>
      <c r="AA534" s="23" t="str">
        <f aca="false">IF(X534="","",IF(Y534&gt;=3,MID(X534,8,6),""))</f>
        <v/>
      </c>
      <c r="AB534" s="23" t="str">
        <f aca="false">IF(X534="","",IF(Y534&gt;=4,MID(X534,15,6),""))</f>
        <v/>
      </c>
      <c r="AC534" s="23" t="str">
        <f aca="false">IF(X534="","",IF(Y534&gt;=5,MID(X534,22,6),""))</f>
        <v/>
      </c>
      <c r="AD534" s="23" t="str">
        <f aca="false">IF(X534="","",RIGHT(X534,6))</f>
        <v/>
      </c>
      <c r="AE534" s="23" t="str">
        <f aca="false">IF(F534="","",IF(ISNUMBER(SEARCH("-TK",UPPER(F534))),0,1))</f>
        <v/>
      </c>
      <c r="AF534" s="23" t="str">
        <f aca="false">IF(F534="","",IF(ISNUMBER(SEARCH("-LED",UPPER(F534))),1,0))</f>
        <v/>
      </c>
      <c r="AG534" s="24" t="n">
        <f aca="false">IF(Z534="",0,IFERROR(INDEX(Resep!$C$5:$C$7,MATCH(LEFT(Z534,3),Resep!$B$5:$B$7,0)),0))</f>
        <v>0</v>
      </c>
      <c r="AH534" s="24" t="n">
        <f aca="false">IF(AA534="",0,IFERROR(INDEX(Resep!$C$9:$C$13,MATCH(LEFT(AA534,3),Resep!$B$9:$B$13,0)),0))</f>
        <v>0</v>
      </c>
      <c r="AI534" s="24" t="n">
        <f aca="false">IF(AB534="",0,IFERROR(INDEX(Resep!$C$9:$C$13,MATCH(LEFT(AB534,3),Resep!$B$9:$B$13,0)),0))</f>
        <v>0</v>
      </c>
      <c r="AJ534" s="24" t="n">
        <f aca="false">IF(AC534="",0,IFERROR(INDEX(Resep!$C$9:$C$13,MATCH(LEFT(AC534,3),Resep!$B$9:$B$13,0)),0))</f>
        <v>0</v>
      </c>
      <c r="AK534" s="24" t="n">
        <f aca="false">IF(AD534="",0,IFERROR(INDEX(Resep!$C$15:$C$18,MATCH(LEFT(AD534,3),Resep!$B$15:$B$18,0)),0))</f>
        <v>0</v>
      </c>
      <c r="AL534" s="24" t="str">
        <f aca="false">IF(X534="","",AG534+AH534+AI534+AJ534+AK534)</f>
        <v/>
      </c>
      <c r="AM534" s="22" t="str">
        <f aca="false">IF(X534="","",AL534*(Pengaturan!$B$6+Pengaturan!$B$7)+Pengaturan!$B$8+AE534*Pengaturan!$B$9+AF534*Pengaturan!$B$10)</f>
        <v/>
      </c>
      <c r="AN534" s="22" t="str">
        <f aca="false">IF(X534="","",N(G534)-AM534)</f>
        <v/>
      </c>
      <c r="AO534" s="25" t="str">
        <f aca="false">IF(OR(X534="",N(G534)=0),"",AN534/G534)</f>
        <v/>
      </c>
    </row>
    <row r="535" customFormat="false" ht="15" hidden="false" customHeight="false" outlineLevel="0" collapsed="false">
      <c r="A535" s="19"/>
      <c r="B535" s="20"/>
      <c r="C535" s="19"/>
      <c r="D535" s="19"/>
      <c r="E535" s="19"/>
      <c r="F535" s="19"/>
      <c r="G535" s="21"/>
      <c r="H535" s="19"/>
      <c r="I535" s="21"/>
      <c r="J535" s="19"/>
      <c r="K535" s="20"/>
      <c r="L535" s="20"/>
      <c r="M535" s="19"/>
      <c r="N535" s="19"/>
      <c r="O535" s="20"/>
      <c r="P535" s="20"/>
      <c r="Q535" s="19"/>
      <c r="R535" s="22" t="str">
        <f aca="false">IF(A535="","",N(G535)+N(I535))</f>
        <v/>
      </c>
      <c r="S535" s="23" t="str">
        <f aca="false">IF(OR(K535="",O535=""),"",O535-K535)</f>
        <v/>
      </c>
      <c r="T535" s="23" t="str">
        <f aca="true">IF(AND(C535="Cetak",L535&lt;&gt;"",L535&lt;TODAY()),"YA","")</f>
        <v/>
      </c>
      <c r="U535" s="23" t="str">
        <f aca="false">IF(B535="","",TEXT(B535,"yyyy-mm"))</f>
        <v/>
      </c>
      <c r="V535" s="23" t="str">
        <f aca="false">IF(K535="","",TEXT(K535,"yyyy-mm"))</f>
        <v/>
      </c>
      <c r="W535" s="23" t="n">
        <f aca="false">IF(OR(C535="Cetak",C535="Dikirim",C535="Selesai"),1,0)</f>
        <v>0</v>
      </c>
      <c r="X535" s="23" t="str">
        <f aca="false">IF(F535="","",SUBSTITUTE(SUBSTITUTE(MID(UPPER(TRIM(F535)),4,99),"-LED",""),"-TK",""))</f>
        <v/>
      </c>
      <c r="Y535" s="23" t="str">
        <f aca="false">IF(X535="","",(LEN(X535)+1)/7)</f>
        <v/>
      </c>
      <c r="Z535" s="23" t="str">
        <f aca="false">IF(X535="","",LEFT(X535,6))</f>
        <v/>
      </c>
      <c r="AA535" s="23" t="str">
        <f aca="false">IF(X535="","",IF(Y535&gt;=3,MID(X535,8,6),""))</f>
        <v/>
      </c>
      <c r="AB535" s="23" t="str">
        <f aca="false">IF(X535="","",IF(Y535&gt;=4,MID(X535,15,6),""))</f>
        <v/>
      </c>
      <c r="AC535" s="23" t="str">
        <f aca="false">IF(X535="","",IF(Y535&gt;=5,MID(X535,22,6),""))</f>
        <v/>
      </c>
      <c r="AD535" s="23" t="str">
        <f aca="false">IF(X535="","",RIGHT(X535,6))</f>
        <v/>
      </c>
      <c r="AE535" s="23" t="str">
        <f aca="false">IF(F535="","",IF(ISNUMBER(SEARCH("-TK",UPPER(F535))),0,1))</f>
        <v/>
      </c>
      <c r="AF535" s="23" t="str">
        <f aca="false">IF(F535="","",IF(ISNUMBER(SEARCH("-LED",UPPER(F535))),1,0))</f>
        <v/>
      </c>
      <c r="AG535" s="24" t="n">
        <f aca="false">IF(Z535="",0,IFERROR(INDEX(Resep!$C$5:$C$7,MATCH(LEFT(Z535,3),Resep!$B$5:$B$7,0)),0))</f>
        <v>0</v>
      </c>
      <c r="AH535" s="24" t="n">
        <f aca="false">IF(AA535="",0,IFERROR(INDEX(Resep!$C$9:$C$13,MATCH(LEFT(AA535,3),Resep!$B$9:$B$13,0)),0))</f>
        <v>0</v>
      </c>
      <c r="AI535" s="24" t="n">
        <f aca="false">IF(AB535="",0,IFERROR(INDEX(Resep!$C$9:$C$13,MATCH(LEFT(AB535,3),Resep!$B$9:$B$13,0)),0))</f>
        <v>0</v>
      </c>
      <c r="AJ535" s="24" t="n">
        <f aca="false">IF(AC535="",0,IFERROR(INDEX(Resep!$C$9:$C$13,MATCH(LEFT(AC535,3),Resep!$B$9:$B$13,0)),0))</f>
        <v>0</v>
      </c>
      <c r="AK535" s="24" t="n">
        <f aca="false">IF(AD535="",0,IFERROR(INDEX(Resep!$C$15:$C$18,MATCH(LEFT(AD535,3),Resep!$B$15:$B$18,0)),0))</f>
        <v>0</v>
      </c>
      <c r="AL535" s="24" t="str">
        <f aca="false">IF(X535="","",AG535+AH535+AI535+AJ535+AK535)</f>
        <v/>
      </c>
      <c r="AM535" s="22" t="str">
        <f aca="false">IF(X535="","",AL535*(Pengaturan!$B$6+Pengaturan!$B$7)+Pengaturan!$B$8+AE535*Pengaturan!$B$9+AF535*Pengaturan!$B$10)</f>
        <v/>
      </c>
      <c r="AN535" s="22" t="str">
        <f aca="false">IF(X535="","",N(G535)-AM535)</f>
        <v/>
      </c>
      <c r="AO535" s="25" t="str">
        <f aca="false">IF(OR(X535="",N(G535)=0),"",AN535/G535)</f>
        <v/>
      </c>
    </row>
    <row r="536" customFormat="false" ht="15" hidden="false" customHeight="false" outlineLevel="0" collapsed="false">
      <c r="A536" s="19"/>
      <c r="B536" s="20"/>
      <c r="C536" s="19"/>
      <c r="D536" s="19"/>
      <c r="E536" s="19"/>
      <c r="F536" s="19"/>
      <c r="G536" s="21"/>
      <c r="H536" s="19"/>
      <c r="I536" s="21"/>
      <c r="J536" s="19"/>
      <c r="K536" s="20"/>
      <c r="L536" s="20"/>
      <c r="M536" s="19"/>
      <c r="N536" s="19"/>
      <c r="O536" s="20"/>
      <c r="P536" s="20"/>
      <c r="Q536" s="19"/>
      <c r="R536" s="22" t="str">
        <f aca="false">IF(A536="","",N(G536)+N(I536))</f>
        <v/>
      </c>
      <c r="S536" s="23" t="str">
        <f aca="false">IF(OR(K536="",O536=""),"",O536-K536)</f>
        <v/>
      </c>
      <c r="T536" s="23" t="str">
        <f aca="true">IF(AND(C536="Cetak",L536&lt;&gt;"",L536&lt;TODAY()),"YA","")</f>
        <v/>
      </c>
      <c r="U536" s="23" t="str">
        <f aca="false">IF(B536="","",TEXT(B536,"yyyy-mm"))</f>
        <v/>
      </c>
      <c r="V536" s="23" t="str">
        <f aca="false">IF(K536="","",TEXT(K536,"yyyy-mm"))</f>
        <v/>
      </c>
      <c r="W536" s="23" t="n">
        <f aca="false">IF(OR(C536="Cetak",C536="Dikirim",C536="Selesai"),1,0)</f>
        <v>0</v>
      </c>
      <c r="X536" s="23" t="str">
        <f aca="false">IF(F536="","",SUBSTITUTE(SUBSTITUTE(MID(UPPER(TRIM(F536)),4,99),"-LED",""),"-TK",""))</f>
        <v/>
      </c>
      <c r="Y536" s="23" t="str">
        <f aca="false">IF(X536="","",(LEN(X536)+1)/7)</f>
        <v/>
      </c>
      <c r="Z536" s="23" t="str">
        <f aca="false">IF(X536="","",LEFT(X536,6))</f>
        <v/>
      </c>
      <c r="AA536" s="23" t="str">
        <f aca="false">IF(X536="","",IF(Y536&gt;=3,MID(X536,8,6),""))</f>
        <v/>
      </c>
      <c r="AB536" s="23" t="str">
        <f aca="false">IF(X536="","",IF(Y536&gt;=4,MID(X536,15,6),""))</f>
        <v/>
      </c>
      <c r="AC536" s="23" t="str">
        <f aca="false">IF(X536="","",IF(Y536&gt;=5,MID(X536,22,6),""))</f>
        <v/>
      </c>
      <c r="AD536" s="23" t="str">
        <f aca="false">IF(X536="","",RIGHT(X536,6))</f>
        <v/>
      </c>
      <c r="AE536" s="23" t="str">
        <f aca="false">IF(F536="","",IF(ISNUMBER(SEARCH("-TK",UPPER(F536))),0,1))</f>
        <v/>
      </c>
      <c r="AF536" s="23" t="str">
        <f aca="false">IF(F536="","",IF(ISNUMBER(SEARCH("-LED",UPPER(F536))),1,0))</f>
        <v/>
      </c>
      <c r="AG536" s="24" t="n">
        <f aca="false">IF(Z536="",0,IFERROR(INDEX(Resep!$C$5:$C$7,MATCH(LEFT(Z536,3),Resep!$B$5:$B$7,0)),0))</f>
        <v>0</v>
      </c>
      <c r="AH536" s="24" t="n">
        <f aca="false">IF(AA536="",0,IFERROR(INDEX(Resep!$C$9:$C$13,MATCH(LEFT(AA536,3),Resep!$B$9:$B$13,0)),0))</f>
        <v>0</v>
      </c>
      <c r="AI536" s="24" t="n">
        <f aca="false">IF(AB536="",0,IFERROR(INDEX(Resep!$C$9:$C$13,MATCH(LEFT(AB536,3),Resep!$B$9:$B$13,0)),0))</f>
        <v>0</v>
      </c>
      <c r="AJ536" s="24" t="n">
        <f aca="false">IF(AC536="",0,IFERROR(INDEX(Resep!$C$9:$C$13,MATCH(LEFT(AC536,3),Resep!$B$9:$B$13,0)),0))</f>
        <v>0</v>
      </c>
      <c r="AK536" s="24" t="n">
        <f aca="false">IF(AD536="",0,IFERROR(INDEX(Resep!$C$15:$C$18,MATCH(LEFT(AD536,3),Resep!$B$15:$B$18,0)),0))</f>
        <v>0</v>
      </c>
      <c r="AL536" s="24" t="str">
        <f aca="false">IF(X536="","",AG536+AH536+AI536+AJ536+AK536)</f>
        <v/>
      </c>
      <c r="AM536" s="22" t="str">
        <f aca="false">IF(X536="","",AL536*(Pengaturan!$B$6+Pengaturan!$B$7)+Pengaturan!$B$8+AE536*Pengaturan!$B$9+AF536*Pengaturan!$B$10)</f>
        <v/>
      </c>
      <c r="AN536" s="22" t="str">
        <f aca="false">IF(X536="","",N(G536)-AM536)</f>
        <v/>
      </c>
      <c r="AO536" s="25" t="str">
        <f aca="false">IF(OR(X536="",N(G536)=0),"",AN536/G536)</f>
        <v/>
      </c>
    </row>
    <row r="537" customFormat="false" ht="15" hidden="false" customHeight="false" outlineLevel="0" collapsed="false">
      <c r="A537" s="19"/>
      <c r="B537" s="20"/>
      <c r="C537" s="19"/>
      <c r="D537" s="19"/>
      <c r="E537" s="19"/>
      <c r="F537" s="19"/>
      <c r="G537" s="21"/>
      <c r="H537" s="19"/>
      <c r="I537" s="21"/>
      <c r="J537" s="19"/>
      <c r="K537" s="20"/>
      <c r="L537" s="20"/>
      <c r="M537" s="19"/>
      <c r="N537" s="19"/>
      <c r="O537" s="20"/>
      <c r="P537" s="20"/>
      <c r="Q537" s="19"/>
      <c r="R537" s="22" t="str">
        <f aca="false">IF(A537="","",N(G537)+N(I537))</f>
        <v/>
      </c>
      <c r="S537" s="23" t="str">
        <f aca="false">IF(OR(K537="",O537=""),"",O537-K537)</f>
        <v/>
      </c>
      <c r="T537" s="23" t="str">
        <f aca="true">IF(AND(C537="Cetak",L537&lt;&gt;"",L537&lt;TODAY()),"YA","")</f>
        <v/>
      </c>
      <c r="U537" s="23" t="str">
        <f aca="false">IF(B537="","",TEXT(B537,"yyyy-mm"))</f>
        <v/>
      </c>
      <c r="V537" s="23" t="str">
        <f aca="false">IF(K537="","",TEXT(K537,"yyyy-mm"))</f>
        <v/>
      </c>
      <c r="W537" s="23" t="n">
        <f aca="false">IF(OR(C537="Cetak",C537="Dikirim",C537="Selesai"),1,0)</f>
        <v>0</v>
      </c>
      <c r="X537" s="23" t="str">
        <f aca="false">IF(F537="","",SUBSTITUTE(SUBSTITUTE(MID(UPPER(TRIM(F537)),4,99),"-LED",""),"-TK",""))</f>
        <v/>
      </c>
      <c r="Y537" s="23" t="str">
        <f aca="false">IF(X537="","",(LEN(X537)+1)/7)</f>
        <v/>
      </c>
      <c r="Z537" s="23" t="str">
        <f aca="false">IF(X537="","",LEFT(X537,6))</f>
        <v/>
      </c>
      <c r="AA537" s="23" t="str">
        <f aca="false">IF(X537="","",IF(Y537&gt;=3,MID(X537,8,6),""))</f>
        <v/>
      </c>
      <c r="AB537" s="23" t="str">
        <f aca="false">IF(X537="","",IF(Y537&gt;=4,MID(X537,15,6),""))</f>
        <v/>
      </c>
      <c r="AC537" s="23" t="str">
        <f aca="false">IF(X537="","",IF(Y537&gt;=5,MID(X537,22,6),""))</f>
        <v/>
      </c>
      <c r="AD537" s="23" t="str">
        <f aca="false">IF(X537="","",RIGHT(X537,6))</f>
        <v/>
      </c>
      <c r="AE537" s="23" t="str">
        <f aca="false">IF(F537="","",IF(ISNUMBER(SEARCH("-TK",UPPER(F537))),0,1))</f>
        <v/>
      </c>
      <c r="AF537" s="23" t="str">
        <f aca="false">IF(F537="","",IF(ISNUMBER(SEARCH("-LED",UPPER(F537))),1,0))</f>
        <v/>
      </c>
      <c r="AG537" s="24" t="n">
        <f aca="false">IF(Z537="",0,IFERROR(INDEX(Resep!$C$5:$C$7,MATCH(LEFT(Z537,3),Resep!$B$5:$B$7,0)),0))</f>
        <v>0</v>
      </c>
      <c r="AH537" s="24" t="n">
        <f aca="false">IF(AA537="",0,IFERROR(INDEX(Resep!$C$9:$C$13,MATCH(LEFT(AA537,3),Resep!$B$9:$B$13,0)),0))</f>
        <v>0</v>
      </c>
      <c r="AI537" s="24" t="n">
        <f aca="false">IF(AB537="",0,IFERROR(INDEX(Resep!$C$9:$C$13,MATCH(LEFT(AB537,3),Resep!$B$9:$B$13,0)),0))</f>
        <v>0</v>
      </c>
      <c r="AJ537" s="24" t="n">
        <f aca="false">IF(AC537="",0,IFERROR(INDEX(Resep!$C$9:$C$13,MATCH(LEFT(AC537,3),Resep!$B$9:$B$13,0)),0))</f>
        <v>0</v>
      </c>
      <c r="AK537" s="24" t="n">
        <f aca="false">IF(AD537="",0,IFERROR(INDEX(Resep!$C$15:$C$18,MATCH(LEFT(AD537,3),Resep!$B$15:$B$18,0)),0))</f>
        <v>0</v>
      </c>
      <c r="AL537" s="24" t="str">
        <f aca="false">IF(X537="","",AG537+AH537+AI537+AJ537+AK537)</f>
        <v/>
      </c>
      <c r="AM537" s="22" t="str">
        <f aca="false">IF(X537="","",AL537*(Pengaturan!$B$6+Pengaturan!$B$7)+Pengaturan!$B$8+AE537*Pengaturan!$B$9+AF537*Pengaturan!$B$10)</f>
        <v/>
      </c>
      <c r="AN537" s="22" t="str">
        <f aca="false">IF(X537="","",N(G537)-AM537)</f>
        <v/>
      </c>
      <c r="AO537" s="25" t="str">
        <f aca="false">IF(OR(X537="",N(G537)=0),"",AN537/G537)</f>
        <v/>
      </c>
    </row>
    <row r="538" customFormat="false" ht="15" hidden="false" customHeight="false" outlineLevel="0" collapsed="false">
      <c r="A538" s="19"/>
      <c r="B538" s="20"/>
      <c r="C538" s="19"/>
      <c r="D538" s="19"/>
      <c r="E538" s="19"/>
      <c r="F538" s="19"/>
      <c r="G538" s="21"/>
      <c r="H538" s="19"/>
      <c r="I538" s="21"/>
      <c r="J538" s="19"/>
      <c r="K538" s="20"/>
      <c r="L538" s="20"/>
      <c r="M538" s="19"/>
      <c r="N538" s="19"/>
      <c r="O538" s="20"/>
      <c r="P538" s="20"/>
      <c r="Q538" s="19"/>
      <c r="R538" s="22" t="str">
        <f aca="false">IF(A538="","",N(G538)+N(I538))</f>
        <v/>
      </c>
      <c r="S538" s="23" t="str">
        <f aca="false">IF(OR(K538="",O538=""),"",O538-K538)</f>
        <v/>
      </c>
      <c r="T538" s="23" t="str">
        <f aca="true">IF(AND(C538="Cetak",L538&lt;&gt;"",L538&lt;TODAY()),"YA","")</f>
        <v/>
      </c>
      <c r="U538" s="23" t="str">
        <f aca="false">IF(B538="","",TEXT(B538,"yyyy-mm"))</f>
        <v/>
      </c>
      <c r="V538" s="23" t="str">
        <f aca="false">IF(K538="","",TEXT(K538,"yyyy-mm"))</f>
        <v/>
      </c>
      <c r="W538" s="23" t="n">
        <f aca="false">IF(OR(C538="Cetak",C538="Dikirim",C538="Selesai"),1,0)</f>
        <v>0</v>
      </c>
      <c r="X538" s="23" t="str">
        <f aca="false">IF(F538="","",SUBSTITUTE(SUBSTITUTE(MID(UPPER(TRIM(F538)),4,99),"-LED",""),"-TK",""))</f>
        <v/>
      </c>
      <c r="Y538" s="23" t="str">
        <f aca="false">IF(X538="","",(LEN(X538)+1)/7)</f>
        <v/>
      </c>
      <c r="Z538" s="23" t="str">
        <f aca="false">IF(X538="","",LEFT(X538,6))</f>
        <v/>
      </c>
      <c r="AA538" s="23" t="str">
        <f aca="false">IF(X538="","",IF(Y538&gt;=3,MID(X538,8,6),""))</f>
        <v/>
      </c>
      <c r="AB538" s="23" t="str">
        <f aca="false">IF(X538="","",IF(Y538&gt;=4,MID(X538,15,6),""))</f>
        <v/>
      </c>
      <c r="AC538" s="23" t="str">
        <f aca="false">IF(X538="","",IF(Y538&gt;=5,MID(X538,22,6),""))</f>
        <v/>
      </c>
      <c r="AD538" s="23" t="str">
        <f aca="false">IF(X538="","",RIGHT(X538,6))</f>
        <v/>
      </c>
      <c r="AE538" s="23" t="str">
        <f aca="false">IF(F538="","",IF(ISNUMBER(SEARCH("-TK",UPPER(F538))),0,1))</f>
        <v/>
      </c>
      <c r="AF538" s="23" t="str">
        <f aca="false">IF(F538="","",IF(ISNUMBER(SEARCH("-LED",UPPER(F538))),1,0))</f>
        <v/>
      </c>
      <c r="AG538" s="24" t="n">
        <f aca="false">IF(Z538="",0,IFERROR(INDEX(Resep!$C$5:$C$7,MATCH(LEFT(Z538,3),Resep!$B$5:$B$7,0)),0))</f>
        <v>0</v>
      </c>
      <c r="AH538" s="24" t="n">
        <f aca="false">IF(AA538="",0,IFERROR(INDEX(Resep!$C$9:$C$13,MATCH(LEFT(AA538,3),Resep!$B$9:$B$13,0)),0))</f>
        <v>0</v>
      </c>
      <c r="AI538" s="24" t="n">
        <f aca="false">IF(AB538="",0,IFERROR(INDEX(Resep!$C$9:$C$13,MATCH(LEFT(AB538,3),Resep!$B$9:$B$13,0)),0))</f>
        <v>0</v>
      </c>
      <c r="AJ538" s="24" t="n">
        <f aca="false">IF(AC538="",0,IFERROR(INDEX(Resep!$C$9:$C$13,MATCH(LEFT(AC538,3),Resep!$B$9:$B$13,0)),0))</f>
        <v>0</v>
      </c>
      <c r="AK538" s="24" t="n">
        <f aca="false">IF(AD538="",0,IFERROR(INDEX(Resep!$C$15:$C$18,MATCH(LEFT(AD538,3),Resep!$B$15:$B$18,0)),0))</f>
        <v>0</v>
      </c>
      <c r="AL538" s="24" t="str">
        <f aca="false">IF(X538="","",AG538+AH538+AI538+AJ538+AK538)</f>
        <v/>
      </c>
      <c r="AM538" s="22" t="str">
        <f aca="false">IF(X538="","",AL538*(Pengaturan!$B$6+Pengaturan!$B$7)+Pengaturan!$B$8+AE538*Pengaturan!$B$9+AF538*Pengaturan!$B$10)</f>
        <v/>
      </c>
      <c r="AN538" s="22" t="str">
        <f aca="false">IF(X538="","",N(G538)-AM538)</f>
        <v/>
      </c>
      <c r="AO538" s="25" t="str">
        <f aca="false">IF(OR(X538="",N(G538)=0),"",AN538/G538)</f>
        <v/>
      </c>
    </row>
    <row r="539" customFormat="false" ht="15" hidden="false" customHeight="false" outlineLevel="0" collapsed="false">
      <c r="A539" s="19"/>
      <c r="B539" s="20"/>
      <c r="C539" s="19"/>
      <c r="D539" s="19"/>
      <c r="E539" s="19"/>
      <c r="F539" s="19"/>
      <c r="G539" s="21"/>
      <c r="H539" s="19"/>
      <c r="I539" s="21"/>
      <c r="J539" s="19"/>
      <c r="K539" s="20"/>
      <c r="L539" s="20"/>
      <c r="M539" s="19"/>
      <c r="N539" s="19"/>
      <c r="O539" s="20"/>
      <c r="P539" s="20"/>
      <c r="Q539" s="19"/>
      <c r="R539" s="22" t="str">
        <f aca="false">IF(A539="","",N(G539)+N(I539))</f>
        <v/>
      </c>
      <c r="S539" s="23" t="str">
        <f aca="false">IF(OR(K539="",O539=""),"",O539-K539)</f>
        <v/>
      </c>
      <c r="T539" s="23" t="str">
        <f aca="true">IF(AND(C539="Cetak",L539&lt;&gt;"",L539&lt;TODAY()),"YA","")</f>
        <v/>
      </c>
      <c r="U539" s="23" t="str">
        <f aca="false">IF(B539="","",TEXT(B539,"yyyy-mm"))</f>
        <v/>
      </c>
      <c r="V539" s="23" t="str">
        <f aca="false">IF(K539="","",TEXT(K539,"yyyy-mm"))</f>
        <v/>
      </c>
      <c r="W539" s="23" t="n">
        <f aca="false">IF(OR(C539="Cetak",C539="Dikirim",C539="Selesai"),1,0)</f>
        <v>0</v>
      </c>
      <c r="X539" s="23" t="str">
        <f aca="false">IF(F539="","",SUBSTITUTE(SUBSTITUTE(MID(UPPER(TRIM(F539)),4,99),"-LED",""),"-TK",""))</f>
        <v/>
      </c>
      <c r="Y539" s="23" t="str">
        <f aca="false">IF(X539="","",(LEN(X539)+1)/7)</f>
        <v/>
      </c>
      <c r="Z539" s="23" t="str">
        <f aca="false">IF(X539="","",LEFT(X539,6))</f>
        <v/>
      </c>
      <c r="AA539" s="23" t="str">
        <f aca="false">IF(X539="","",IF(Y539&gt;=3,MID(X539,8,6),""))</f>
        <v/>
      </c>
      <c r="AB539" s="23" t="str">
        <f aca="false">IF(X539="","",IF(Y539&gt;=4,MID(X539,15,6),""))</f>
        <v/>
      </c>
      <c r="AC539" s="23" t="str">
        <f aca="false">IF(X539="","",IF(Y539&gt;=5,MID(X539,22,6),""))</f>
        <v/>
      </c>
      <c r="AD539" s="23" t="str">
        <f aca="false">IF(X539="","",RIGHT(X539,6))</f>
        <v/>
      </c>
      <c r="AE539" s="23" t="str">
        <f aca="false">IF(F539="","",IF(ISNUMBER(SEARCH("-TK",UPPER(F539))),0,1))</f>
        <v/>
      </c>
      <c r="AF539" s="23" t="str">
        <f aca="false">IF(F539="","",IF(ISNUMBER(SEARCH("-LED",UPPER(F539))),1,0))</f>
        <v/>
      </c>
      <c r="AG539" s="24" t="n">
        <f aca="false">IF(Z539="",0,IFERROR(INDEX(Resep!$C$5:$C$7,MATCH(LEFT(Z539,3),Resep!$B$5:$B$7,0)),0))</f>
        <v>0</v>
      </c>
      <c r="AH539" s="24" t="n">
        <f aca="false">IF(AA539="",0,IFERROR(INDEX(Resep!$C$9:$C$13,MATCH(LEFT(AA539,3),Resep!$B$9:$B$13,0)),0))</f>
        <v>0</v>
      </c>
      <c r="AI539" s="24" t="n">
        <f aca="false">IF(AB539="",0,IFERROR(INDEX(Resep!$C$9:$C$13,MATCH(LEFT(AB539,3),Resep!$B$9:$B$13,0)),0))</f>
        <v>0</v>
      </c>
      <c r="AJ539" s="24" t="n">
        <f aca="false">IF(AC539="",0,IFERROR(INDEX(Resep!$C$9:$C$13,MATCH(LEFT(AC539,3),Resep!$B$9:$B$13,0)),0))</f>
        <v>0</v>
      </c>
      <c r="AK539" s="24" t="n">
        <f aca="false">IF(AD539="",0,IFERROR(INDEX(Resep!$C$15:$C$18,MATCH(LEFT(AD539,3),Resep!$B$15:$B$18,0)),0))</f>
        <v>0</v>
      </c>
      <c r="AL539" s="24" t="str">
        <f aca="false">IF(X539="","",AG539+AH539+AI539+AJ539+AK539)</f>
        <v/>
      </c>
      <c r="AM539" s="22" t="str">
        <f aca="false">IF(X539="","",AL539*(Pengaturan!$B$6+Pengaturan!$B$7)+Pengaturan!$B$8+AE539*Pengaturan!$B$9+AF539*Pengaturan!$B$10)</f>
        <v/>
      </c>
      <c r="AN539" s="22" t="str">
        <f aca="false">IF(X539="","",N(G539)-AM539)</f>
        <v/>
      </c>
      <c r="AO539" s="25" t="str">
        <f aca="false">IF(OR(X539="",N(G539)=0),"",AN539/G539)</f>
        <v/>
      </c>
    </row>
    <row r="540" customFormat="false" ht="15" hidden="false" customHeight="false" outlineLevel="0" collapsed="false">
      <c r="A540" s="19"/>
      <c r="B540" s="20"/>
      <c r="C540" s="19"/>
      <c r="D540" s="19"/>
      <c r="E540" s="19"/>
      <c r="F540" s="19"/>
      <c r="G540" s="21"/>
      <c r="H540" s="19"/>
      <c r="I540" s="21"/>
      <c r="J540" s="19"/>
      <c r="K540" s="20"/>
      <c r="L540" s="20"/>
      <c r="M540" s="19"/>
      <c r="N540" s="19"/>
      <c r="O540" s="20"/>
      <c r="P540" s="20"/>
      <c r="Q540" s="19"/>
      <c r="R540" s="22" t="str">
        <f aca="false">IF(A540="","",N(G540)+N(I540))</f>
        <v/>
      </c>
      <c r="S540" s="23" t="str">
        <f aca="false">IF(OR(K540="",O540=""),"",O540-K540)</f>
        <v/>
      </c>
      <c r="T540" s="23" t="str">
        <f aca="true">IF(AND(C540="Cetak",L540&lt;&gt;"",L540&lt;TODAY()),"YA","")</f>
        <v/>
      </c>
      <c r="U540" s="23" t="str">
        <f aca="false">IF(B540="","",TEXT(B540,"yyyy-mm"))</f>
        <v/>
      </c>
      <c r="V540" s="23" t="str">
        <f aca="false">IF(K540="","",TEXT(K540,"yyyy-mm"))</f>
        <v/>
      </c>
      <c r="W540" s="23" t="n">
        <f aca="false">IF(OR(C540="Cetak",C540="Dikirim",C540="Selesai"),1,0)</f>
        <v>0</v>
      </c>
      <c r="X540" s="23" t="str">
        <f aca="false">IF(F540="","",SUBSTITUTE(SUBSTITUTE(MID(UPPER(TRIM(F540)),4,99),"-LED",""),"-TK",""))</f>
        <v/>
      </c>
      <c r="Y540" s="23" t="str">
        <f aca="false">IF(X540="","",(LEN(X540)+1)/7)</f>
        <v/>
      </c>
      <c r="Z540" s="23" t="str">
        <f aca="false">IF(X540="","",LEFT(X540,6))</f>
        <v/>
      </c>
      <c r="AA540" s="23" t="str">
        <f aca="false">IF(X540="","",IF(Y540&gt;=3,MID(X540,8,6),""))</f>
        <v/>
      </c>
      <c r="AB540" s="23" t="str">
        <f aca="false">IF(X540="","",IF(Y540&gt;=4,MID(X540,15,6),""))</f>
        <v/>
      </c>
      <c r="AC540" s="23" t="str">
        <f aca="false">IF(X540="","",IF(Y540&gt;=5,MID(X540,22,6),""))</f>
        <v/>
      </c>
      <c r="AD540" s="23" t="str">
        <f aca="false">IF(X540="","",RIGHT(X540,6))</f>
        <v/>
      </c>
      <c r="AE540" s="23" t="str">
        <f aca="false">IF(F540="","",IF(ISNUMBER(SEARCH("-TK",UPPER(F540))),0,1))</f>
        <v/>
      </c>
      <c r="AF540" s="23" t="str">
        <f aca="false">IF(F540="","",IF(ISNUMBER(SEARCH("-LED",UPPER(F540))),1,0))</f>
        <v/>
      </c>
      <c r="AG540" s="24" t="n">
        <f aca="false">IF(Z540="",0,IFERROR(INDEX(Resep!$C$5:$C$7,MATCH(LEFT(Z540,3),Resep!$B$5:$B$7,0)),0))</f>
        <v>0</v>
      </c>
      <c r="AH540" s="24" t="n">
        <f aca="false">IF(AA540="",0,IFERROR(INDEX(Resep!$C$9:$C$13,MATCH(LEFT(AA540,3),Resep!$B$9:$B$13,0)),0))</f>
        <v>0</v>
      </c>
      <c r="AI540" s="24" t="n">
        <f aca="false">IF(AB540="",0,IFERROR(INDEX(Resep!$C$9:$C$13,MATCH(LEFT(AB540,3),Resep!$B$9:$B$13,0)),0))</f>
        <v>0</v>
      </c>
      <c r="AJ540" s="24" t="n">
        <f aca="false">IF(AC540="",0,IFERROR(INDEX(Resep!$C$9:$C$13,MATCH(LEFT(AC540,3),Resep!$B$9:$B$13,0)),0))</f>
        <v>0</v>
      </c>
      <c r="AK540" s="24" t="n">
        <f aca="false">IF(AD540="",0,IFERROR(INDEX(Resep!$C$15:$C$18,MATCH(LEFT(AD540,3),Resep!$B$15:$B$18,0)),0))</f>
        <v>0</v>
      </c>
      <c r="AL540" s="24" t="str">
        <f aca="false">IF(X540="","",AG540+AH540+AI540+AJ540+AK540)</f>
        <v/>
      </c>
      <c r="AM540" s="22" t="str">
        <f aca="false">IF(X540="","",AL540*(Pengaturan!$B$6+Pengaturan!$B$7)+Pengaturan!$B$8+AE540*Pengaturan!$B$9+AF540*Pengaturan!$B$10)</f>
        <v/>
      </c>
      <c r="AN540" s="22" t="str">
        <f aca="false">IF(X540="","",N(G540)-AM540)</f>
        <v/>
      </c>
      <c r="AO540" s="25" t="str">
        <f aca="false">IF(OR(X540="",N(G540)=0),"",AN540/G540)</f>
        <v/>
      </c>
    </row>
    <row r="541" customFormat="false" ht="15" hidden="false" customHeight="false" outlineLevel="0" collapsed="false">
      <c r="A541" s="19"/>
      <c r="B541" s="20"/>
      <c r="C541" s="19"/>
      <c r="D541" s="19"/>
      <c r="E541" s="19"/>
      <c r="F541" s="19"/>
      <c r="G541" s="21"/>
      <c r="H541" s="19"/>
      <c r="I541" s="21"/>
      <c r="J541" s="19"/>
      <c r="K541" s="20"/>
      <c r="L541" s="20"/>
      <c r="M541" s="19"/>
      <c r="N541" s="19"/>
      <c r="O541" s="20"/>
      <c r="P541" s="20"/>
      <c r="Q541" s="19"/>
      <c r="R541" s="22" t="str">
        <f aca="false">IF(A541="","",N(G541)+N(I541))</f>
        <v/>
      </c>
      <c r="S541" s="23" t="str">
        <f aca="false">IF(OR(K541="",O541=""),"",O541-K541)</f>
        <v/>
      </c>
      <c r="T541" s="23" t="str">
        <f aca="true">IF(AND(C541="Cetak",L541&lt;&gt;"",L541&lt;TODAY()),"YA","")</f>
        <v/>
      </c>
      <c r="U541" s="23" t="str">
        <f aca="false">IF(B541="","",TEXT(B541,"yyyy-mm"))</f>
        <v/>
      </c>
      <c r="V541" s="23" t="str">
        <f aca="false">IF(K541="","",TEXT(K541,"yyyy-mm"))</f>
        <v/>
      </c>
      <c r="W541" s="23" t="n">
        <f aca="false">IF(OR(C541="Cetak",C541="Dikirim",C541="Selesai"),1,0)</f>
        <v>0</v>
      </c>
      <c r="X541" s="23" t="str">
        <f aca="false">IF(F541="","",SUBSTITUTE(SUBSTITUTE(MID(UPPER(TRIM(F541)),4,99),"-LED",""),"-TK",""))</f>
        <v/>
      </c>
      <c r="Y541" s="23" t="str">
        <f aca="false">IF(X541="","",(LEN(X541)+1)/7)</f>
        <v/>
      </c>
      <c r="Z541" s="23" t="str">
        <f aca="false">IF(X541="","",LEFT(X541,6))</f>
        <v/>
      </c>
      <c r="AA541" s="23" t="str">
        <f aca="false">IF(X541="","",IF(Y541&gt;=3,MID(X541,8,6),""))</f>
        <v/>
      </c>
      <c r="AB541" s="23" t="str">
        <f aca="false">IF(X541="","",IF(Y541&gt;=4,MID(X541,15,6),""))</f>
        <v/>
      </c>
      <c r="AC541" s="23" t="str">
        <f aca="false">IF(X541="","",IF(Y541&gt;=5,MID(X541,22,6),""))</f>
        <v/>
      </c>
      <c r="AD541" s="23" t="str">
        <f aca="false">IF(X541="","",RIGHT(X541,6))</f>
        <v/>
      </c>
      <c r="AE541" s="23" t="str">
        <f aca="false">IF(F541="","",IF(ISNUMBER(SEARCH("-TK",UPPER(F541))),0,1))</f>
        <v/>
      </c>
      <c r="AF541" s="23" t="str">
        <f aca="false">IF(F541="","",IF(ISNUMBER(SEARCH("-LED",UPPER(F541))),1,0))</f>
        <v/>
      </c>
      <c r="AG541" s="24" t="n">
        <f aca="false">IF(Z541="",0,IFERROR(INDEX(Resep!$C$5:$C$7,MATCH(LEFT(Z541,3),Resep!$B$5:$B$7,0)),0))</f>
        <v>0</v>
      </c>
      <c r="AH541" s="24" t="n">
        <f aca="false">IF(AA541="",0,IFERROR(INDEX(Resep!$C$9:$C$13,MATCH(LEFT(AA541,3),Resep!$B$9:$B$13,0)),0))</f>
        <v>0</v>
      </c>
      <c r="AI541" s="24" t="n">
        <f aca="false">IF(AB541="",0,IFERROR(INDEX(Resep!$C$9:$C$13,MATCH(LEFT(AB541,3),Resep!$B$9:$B$13,0)),0))</f>
        <v>0</v>
      </c>
      <c r="AJ541" s="24" t="n">
        <f aca="false">IF(AC541="",0,IFERROR(INDEX(Resep!$C$9:$C$13,MATCH(LEFT(AC541,3),Resep!$B$9:$B$13,0)),0))</f>
        <v>0</v>
      </c>
      <c r="AK541" s="24" t="n">
        <f aca="false">IF(AD541="",0,IFERROR(INDEX(Resep!$C$15:$C$18,MATCH(LEFT(AD541,3),Resep!$B$15:$B$18,0)),0))</f>
        <v>0</v>
      </c>
      <c r="AL541" s="24" t="str">
        <f aca="false">IF(X541="","",AG541+AH541+AI541+AJ541+AK541)</f>
        <v/>
      </c>
      <c r="AM541" s="22" t="str">
        <f aca="false">IF(X541="","",AL541*(Pengaturan!$B$6+Pengaturan!$B$7)+Pengaturan!$B$8+AE541*Pengaturan!$B$9+AF541*Pengaturan!$B$10)</f>
        <v/>
      </c>
      <c r="AN541" s="22" t="str">
        <f aca="false">IF(X541="","",N(G541)-AM541)</f>
        <v/>
      </c>
      <c r="AO541" s="25" t="str">
        <f aca="false">IF(OR(X541="",N(G541)=0),"",AN541/G541)</f>
        <v/>
      </c>
    </row>
    <row r="542" customFormat="false" ht="15" hidden="false" customHeight="false" outlineLevel="0" collapsed="false">
      <c r="A542" s="19"/>
      <c r="B542" s="20"/>
      <c r="C542" s="19"/>
      <c r="D542" s="19"/>
      <c r="E542" s="19"/>
      <c r="F542" s="19"/>
      <c r="G542" s="21"/>
      <c r="H542" s="19"/>
      <c r="I542" s="21"/>
      <c r="J542" s="19"/>
      <c r="K542" s="20"/>
      <c r="L542" s="20"/>
      <c r="M542" s="19"/>
      <c r="N542" s="19"/>
      <c r="O542" s="20"/>
      <c r="P542" s="20"/>
      <c r="Q542" s="19"/>
      <c r="R542" s="22" t="str">
        <f aca="false">IF(A542="","",N(G542)+N(I542))</f>
        <v/>
      </c>
      <c r="S542" s="23" t="str">
        <f aca="false">IF(OR(K542="",O542=""),"",O542-K542)</f>
        <v/>
      </c>
      <c r="T542" s="23" t="str">
        <f aca="true">IF(AND(C542="Cetak",L542&lt;&gt;"",L542&lt;TODAY()),"YA","")</f>
        <v/>
      </c>
      <c r="U542" s="23" t="str">
        <f aca="false">IF(B542="","",TEXT(B542,"yyyy-mm"))</f>
        <v/>
      </c>
      <c r="V542" s="23" t="str">
        <f aca="false">IF(K542="","",TEXT(K542,"yyyy-mm"))</f>
        <v/>
      </c>
      <c r="W542" s="23" t="n">
        <f aca="false">IF(OR(C542="Cetak",C542="Dikirim",C542="Selesai"),1,0)</f>
        <v>0</v>
      </c>
      <c r="X542" s="23" t="str">
        <f aca="false">IF(F542="","",SUBSTITUTE(SUBSTITUTE(MID(UPPER(TRIM(F542)),4,99),"-LED",""),"-TK",""))</f>
        <v/>
      </c>
      <c r="Y542" s="23" t="str">
        <f aca="false">IF(X542="","",(LEN(X542)+1)/7)</f>
        <v/>
      </c>
      <c r="Z542" s="23" t="str">
        <f aca="false">IF(X542="","",LEFT(X542,6))</f>
        <v/>
      </c>
      <c r="AA542" s="23" t="str">
        <f aca="false">IF(X542="","",IF(Y542&gt;=3,MID(X542,8,6),""))</f>
        <v/>
      </c>
      <c r="AB542" s="23" t="str">
        <f aca="false">IF(X542="","",IF(Y542&gt;=4,MID(X542,15,6),""))</f>
        <v/>
      </c>
      <c r="AC542" s="23" t="str">
        <f aca="false">IF(X542="","",IF(Y542&gt;=5,MID(X542,22,6),""))</f>
        <v/>
      </c>
      <c r="AD542" s="23" t="str">
        <f aca="false">IF(X542="","",RIGHT(X542,6))</f>
        <v/>
      </c>
      <c r="AE542" s="23" t="str">
        <f aca="false">IF(F542="","",IF(ISNUMBER(SEARCH("-TK",UPPER(F542))),0,1))</f>
        <v/>
      </c>
      <c r="AF542" s="23" t="str">
        <f aca="false">IF(F542="","",IF(ISNUMBER(SEARCH("-LED",UPPER(F542))),1,0))</f>
        <v/>
      </c>
      <c r="AG542" s="24" t="n">
        <f aca="false">IF(Z542="",0,IFERROR(INDEX(Resep!$C$5:$C$7,MATCH(LEFT(Z542,3),Resep!$B$5:$B$7,0)),0))</f>
        <v>0</v>
      </c>
      <c r="AH542" s="24" t="n">
        <f aca="false">IF(AA542="",0,IFERROR(INDEX(Resep!$C$9:$C$13,MATCH(LEFT(AA542,3),Resep!$B$9:$B$13,0)),0))</f>
        <v>0</v>
      </c>
      <c r="AI542" s="24" t="n">
        <f aca="false">IF(AB542="",0,IFERROR(INDEX(Resep!$C$9:$C$13,MATCH(LEFT(AB542,3),Resep!$B$9:$B$13,0)),0))</f>
        <v>0</v>
      </c>
      <c r="AJ542" s="24" t="n">
        <f aca="false">IF(AC542="",0,IFERROR(INDEX(Resep!$C$9:$C$13,MATCH(LEFT(AC542,3),Resep!$B$9:$B$13,0)),0))</f>
        <v>0</v>
      </c>
      <c r="AK542" s="24" t="n">
        <f aca="false">IF(AD542="",0,IFERROR(INDEX(Resep!$C$15:$C$18,MATCH(LEFT(AD542,3),Resep!$B$15:$B$18,0)),0))</f>
        <v>0</v>
      </c>
      <c r="AL542" s="24" t="str">
        <f aca="false">IF(X542="","",AG542+AH542+AI542+AJ542+AK542)</f>
        <v/>
      </c>
      <c r="AM542" s="22" t="str">
        <f aca="false">IF(X542="","",AL542*(Pengaturan!$B$6+Pengaturan!$B$7)+Pengaturan!$B$8+AE542*Pengaturan!$B$9+AF542*Pengaturan!$B$10)</f>
        <v/>
      </c>
      <c r="AN542" s="22" t="str">
        <f aca="false">IF(X542="","",N(G542)-AM542)</f>
        <v/>
      </c>
      <c r="AO542" s="25" t="str">
        <f aca="false">IF(OR(X542="",N(G542)=0),"",AN542/G542)</f>
        <v/>
      </c>
    </row>
    <row r="543" customFormat="false" ht="15" hidden="false" customHeight="false" outlineLevel="0" collapsed="false">
      <c r="A543" s="19"/>
      <c r="B543" s="20"/>
      <c r="C543" s="19"/>
      <c r="D543" s="19"/>
      <c r="E543" s="19"/>
      <c r="F543" s="19"/>
      <c r="G543" s="21"/>
      <c r="H543" s="19"/>
      <c r="I543" s="21"/>
      <c r="J543" s="19"/>
      <c r="K543" s="20"/>
      <c r="L543" s="20"/>
      <c r="M543" s="19"/>
      <c r="N543" s="19"/>
      <c r="O543" s="20"/>
      <c r="P543" s="20"/>
      <c r="Q543" s="19"/>
      <c r="R543" s="22" t="str">
        <f aca="false">IF(A543="","",N(G543)+N(I543))</f>
        <v/>
      </c>
      <c r="S543" s="23" t="str">
        <f aca="false">IF(OR(K543="",O543=""),"",O543-K543)</f>
        <v/>
      </c>
      <c r="T543" s="23" t="str">
        <f aca="true">IF(AND(C543="Cetak",L543&lt;&gt;"",L543&lt;TODAY()),"YA","")</f>
        <v/>
      </c>
      <c r="U543" s="23" t="str">
        <f aca="false">IF(B543="","",TEXT(B543,"yyyy-mm"))</f>
        <v/>
      </c>
      <c r="V543" s="23" t="str">
        <f aca="false">IF(K543="","",TEXT(K543,"yyyy-mm"))</f>
        <v/>
      </c>
      <c r="W543" s="23" t="n">
        <f aca="false">IF(OR(C543="Cetak",C543="Dikirim",C543="Selesai"),1,0)</f>
        <v>0</v>
      </c>
      <c r="X543" s="23" t="str">
        <f aca="false">IF(F543="","",SUBSTITUTE(SUBSTITUTE(MID(UPPER(TRIM(F543)),4,99),"-LED",""),"-TK",""))</f>
        <v/>
      </c>
      <c r="Y543" s="23" t="str">
        <f aca="false">IF(X543="","",(LEN(X543)+1)/7)</f>
        <v/>
      </c>
      <c r="Z543" s="23" t="str">
        <f aca="false">IF(X543="","",LEFT(X543,6))</f>
        <v/>
      </c>
      <c r="AA543" s="23" t="str">
        <f aca="false">IF(X543="","",IF(Y543&gt;=3,MID(X543,8,6),""))</f>
        <v/>
      </c>
      <c r="AB543" s="23" t="str">
        <f aca="false">IF(X543="","",IF(Y543&gt;=4,MID(X543,15,6),""))</f>
        <v/>
      </c>
      <c r="AC543" s="23" t="str">
        <f aca="false">IF(X543="","",IF(Y543&gt;=5,MID(X543,22,6),""))</f>
        <v/>
      </c>
      <c r="AD543" s="23" t="str">
        <f aca="false">IF(X543="","",RIGHT(X543,6))</f>
        <v/>
      </c>
      <c r="AE543" s="23" t="str">
        <f aca="false">IF(F543="","",IF(ISNUMBER(SEARCH("-TK",UPPER(F543))),0,1))</f>
        <v/>
      </c>
      <c r="AF543" s="23" t="str">
        <f aca="false">IF(F543="","",IF(ISNUMBER(SEARCH("-LED",UPPER(F543))),1,0))</f>
        <v/>
      </c>
      <c r="AG543" s="24" t="n">
        <f aca="false">IF(Z543="",0,IFERROR(INDEX(Resep!$C$5:$C$7,MATCH(LEFT(Z543,3),Resep!$B$5:$B$7,0)),0))</f>
        <v>0</v>
      </c>
      <c r="AH543" s="24" t="n">
        <f aca="false">IF(AA543="",0,IFERROR(INDEX(Resep!$C$9:$C$13,MATCH(LEFT(AA543,3),Resep!$B$9:$B$13,0)),0))</f>
        <v>0</v>
      </c>
      <c r="AI543" s="24" t="n">
        <f aca="false">IF(AB543="",0,IFERROR(INDEX(Resep!$C$9:$C$13,MATCH(LEFT(AB543,3),Resep!$B$9:$B$13,0)),0))</f>
        <v>0</v>
      </c>
      <c r="AJ543" s="24" t="n">
        <f aca="false">IF(AC543="",0,IFERROR(INDEX(Resep!$C$9:$C$13,MATCH(LEFT(AC543,3),Resep!$B$9:$B$13,0)),0))</f>
        <v>0</v>
      </c>
      <c r="AK543" s="24" t="n">
        <f aca="false">IF(AD543="",0,IFERROR(INDEX(Resep!$C$15:$C$18,MATCH(LEFT(AD543,3),Resep!$B$15:$B$18,0)),0))</f>
        <v>0</v>
      </c>
      <c r="AL543" s="24" t="str">
        <f aca="false">IF(X543="","",AG543+AH543+AI543+AJ543+AK543)</f>
        <v/>
      </c>
      <c r="AM543" s="22" t="str">
        <f aca="false">IF(X543="","",AL543*(Pengaturan!$B$6+Pengaturan!$B$7)+Pengaturan!$B$8+AE543*Pengaturan!$B$9+AF543*Pengaturan!$B$10)</f>
        <v/>
      </c>
      <c r="AN543" s="22" t="str">
        <f aca="false">IF(X543="","",N(G543)-AM543)</f>
        <v/>
      </c>
      <c r="AO543" s="25" t="str">
        <f aca="false">IF(OR(X543="",N(G543)=0),"",AN543/G543)</f>
        <v/>
      </c>
    </row>
    <row r="544" customFormat="false" ht="15" hidden="false" customHeight="false" outlineLevel="0" collapsed="false">
      <c r="A544" s="19"/>
      <c r="B544" s="20"/>
      <c r="C544" s="19"/>
      <c r="D544" s="19"/>
      <c r="E544" s="19"/>
      <c r="F544" s="19"/>
      <c r="G544" s="21"/>
      <c r="H544" s="19"/>
      <c r="I544" s="21"/>
      <c r="J544" s="19"/>
      <c r="K544" s="20"/>
      <c r="L544" s="20"/>
      <c r="M544" s="19"/>
      <c r="N544" s="19"/>
      <c r="O544" s="20"/>
      <c r="P544" s="20"/>
      <c r="Q544" s="19"/>
      <c r="R544" s="22" t="str">
        <f aca="false">IF(A544="","",N(G544)+N(I544))</f>
        <v/>
      </c>
      <c r="S544" s="23" t="str">
        <f aca="false">IF(OR(K544="",O544=""),"",O544-K544)</f>
        <v/>
      </c>
      <c r="T544" s="23" t="str">
        <f aca="true">IF(AND(C544="Cetak",L544&lt;&gt;"",L544&lt;TODAY()),"YA","")</f>
        <v/>
      </c>
      <c r="U544" s="23" t="str">
        <f aca="false">IF(B544="","",TEXT(B544,"yyyy-mm"))</f>
        <v/>
      </c>
      <c r="V544" s="23" t="str">
        <f aca="false">IF(K544="","",TEXT(K544,"yyyy-mm"))</f>
        <v/>
      </c>
      <c r="W544" s="23" t="n">
        <f aca="false">IF(OR(C544="Cetak",C544="Dikirim",C544="Selesai"),1,0)</f>
        <v>0</v>
      </c>
      <c r="X544" s="23" t="str">
        <f aca="false">IF(F544="","",SUBSTITUTE(SUBSTITUTE(MID(UPPER(TRIM(F544)),4,99),"-LED",""),"-TK",""))</f>
        <v/>
      </c>
      <c r="Y544" s="23" t="str">
        <f aca="false">IF(X544="","",(LEN(X544)+1)/7)</f>
        <v/>
      </c>
      <c r="Z544" s="23" t="str">
        <f aca="false">IF(X544="","",LEFT(X544,6))</f>
        <v/>
      </c>
      <c r="AA544" s="23" t="str">
        <f aca="false">IF(X544="","",IF(Y544&gt;=3,MID(X544,8,6),""))</f>
        <v/>
      </c>
      <c r="AB544" s="23" t="str">
        <f aca="false">IF(X544="","",IF(Y544&gt;=4,MID(X544,15,6),""))</f>
        <v/>
      </c>
      <c r="AC544" s="23" t="str">
        <f aca="false">IF(X544="","",IF(Y544&gt;=5,MID(X544,22,6),""))</f>
        <v/>
      </c>
      <c r="AD544" s="23" t="str">
        <f aca="false">IF(X544="","",RIGHT(X544,6))</f>
        <v/>
      </c>
      <c r="AE544" s="23" t="str">
        <f aca="false">IF(F544="","",IF(ISNUMBER(SEARCH("-TK",UPPER(F544))),0,1))</f>
        <v/>
      </c>
      <c r="AF544" s="23" t="str">
        <f aca="false">IF(F544="","",IF(ISNUMBER(SEARCH("-LED",UPPER(F544))),1,0))</f>
        <v/>
      </c>
      <c r="AG544" s="24" t="n">
        <f aca="false">IF(Z544="",0,IFERROR(INDEX(Resep!$C$5:$C$7,MATCH(LEFT(Z544,3),Resep!$B$5:$B$7,0)),0))</f>
        <v>0</v>
      </c>
      <c r="AH544" s="24" t="n">
        <f aca="false">IF(AA544="",0,IFERROR(INDEX(Resep!$C$9:$C$13,MATCH(LEFT(AA544,3),Resep!$B$9:$B$13,0)),0))</f>
        <v>0</v>
      </c>
      <c r="AI544" s="24" t="n">
        <f aca="false">IF(AB544="",0,IFERROR(INDEX(Resep!$C$9:$C$13,MATCH(LEFT(AB544,3),Resep!$B$9:$B$13,0)),0))</f>
        <v>0</v>
      </c>
      <c r="AJ544" s="24" t="n">
        <f aca="false">IF(AC544="",0,IFERROR(INDEX(Resep!$C$9:$C$13,MATCH(LEFT(AC544,3),Resep!$B$9:$B$13,0)),0))</f>
        <v>0</v>
      </c>
      <c r="AK544" s="24" t="n">
        <f aca="false">IF(AD544="",0,IFERROR(INDEX(Resep!$C$15:$C$18,MATCH(LEFT(AD544,3),Resep!$B$15:$B$18,0)),0))</f>
        <v>0</v>
      </c>
      <c r="AL544" s="24" t="str">
        <f aca="false">IF(X544="","",AG544+AH544+AI544+AJ544+AK544)</f>
        <v/>
      </c>
      <c r="AM544" s="22" t="str">
        <f aca="false">IF(X544="","",AL544*(Pengaturan!$B$6+Pengaturan!$B$7)+Pengaturan!$B$8+AE544*Pengaturan!$B$9+AF544*Pengaturan!$B$10)</f>
        <v/>
      </c>
      <c r="AN544" s="22" t="str">
        <f aca="false">IF(X544="","",N(G544)-AM544)</f>
        <v/>
      </c>
      <c r="AO544" s="25" t="str">
        <f aca="false">IF(OR(X544="",N(G544)=0),"",AN544/G544)</f>
        <v/>
      </c>
    </row>
    <row r="545" customFormat="false" ht="15" hidden="false" customHeight="false" outlineLevel="0" collapsed="false">
      <c r="A545" s="19"/>
      <c r="B545" s="20"/>
      <c r="C545" s="19"/>
      <c r="D545" s="19"/>
      <c r="E545" s="19"/>
      <c r="F545" s="19"/>
      <c r="G545" s="21"/>
      <c r="H545" s="19"/>
      <c r="I545" s="21"/>
      <c r="J545" s="19"/>
      <c r="K545" s="20"/>
      <c r="L545" s="20"/>
      <c r="M545" s="19"/>
      <c r="N545" s="19"/>
      <c r="O545" s="20"/>
      <c r="P545" s="20"/>
      <c r="Q545" s="19"/>
      <c r="R545" s="22" t="str">
        <f aca="false">IF(A545="","",N(G545)+N(I545))</f>
        <v/>
      </c>
      <c r="S545" s="23" t="str">
        <f aca="false">IF(OR(K545="",O545=""),"",O545-K545)</f>
        <v/>
      </c>
      <c r="T545" s="23" t="str">
        <f aca="true">IF(AND(C545="Cetak",L545&lt;&gt;"",L545&lt;TODAY()),"YA","")</f>
        <v/>
      </c>
      <c r="U545" s="23" t="str">
        <f aca="false">IF(B545="","",TEXT(B545,"yyyy-mm"))</f>
        <v/>
      </c>
      <c r="V545" s="23" t="str">
        <f aca="false">IF(K545="","",TEXT(K545,"yyyy-mm"))</f>
        <v/>
      </c>
      <c r="W545" s="23" t="n">
        <f aca="false">IF(OR(C545="Cetak",C545="Dikirim",C545="Selesai"),1,0)</f>
        <v>0</v>
      </c>
      <c r="X545" s="23" t="str">
        <f aca="false">IF(F545="","",SUBSTITUTE(SUBSTITUTE(MID(UPPER(TRIM(F545)),4,99),"-LED",""),"-TK",""))</f>
        <v/>
      </c>
      <c r="Y545" s="23" t="str">
        <f aca="false">IF(X545="","",(LEN(X545)+1)/7)</f>
        <v/>
      </c>
      <c r="Z545" s="23" t="str">
        <f aca="false">IF(X545="","",LEFT(X545,6))</f>
        <v/>
      </c>
      <c r="AA545" s="23" t="str">
        <f aca="false">IF(X545="","",IF(Y545&gt;=3,MID(X545,8,6),""))</f>
        <v/>
      </c>
      <c r="AB545" s="23" t="str">
        <f aca="false">IF(X545="","",IF(Y545&gt;=4,MID(X545,15,6),""))</f>
        <v/>
      </c>
      <c r="AC545" s="23" t="str">
        <f aca="false">IF(X545="","",IF(Y545&gt;=5,MID(X545,22,6),""))</f>
        <v/>
      </c>
      <c r="AD545" s="23" t="str">
        <f aca="false">IF(X545="","",RIGHT(X545,6))</f>
        <v/>
      </c>
      <c r="AE545" s="23" t="str">
        <f aca="false">IF(F545="","",IF(ISNUMBER(SEARCH("-TK",UPPER(F545))),0,1))</f>
        <v/>
      </c>
      <c r="AF545" s="23" t="str">
        <f aca="false">IF(F545="","",IF(ISNUMBER(SEARCH("-LED",UPPER(F545))),1,0))</f>
        <v/>
      </c>
      <c r="AG545" s="24" t="n">
        <f aca="false">IF(Z545="",0,IFERROR(INDEX(Resep!$C$5:$C$7,MATCH(LEFT(Z545,3),Resep!$B$5:$B$7,0)),0))</f>
        <v>0</v>
      </c>
      <c r="AH545" s="24" t="n">
        <f aca="false">IF(AA545="",0,IFERROR(INDEX(Resep!$C$9:$C$13,MATCH(LEFT(AA545,3),Resep!$B$9:$B$13,0)),0))</f>
        <v>0</v>
      </c>
      <c r="AI545" s="24" t="n">
        <f aca="false">IF(AB545="",0,IFERROR(INDEX(Resep!$C$9:$C$13,MATCH(LEFT(AB545,3),Resep!$B$9:$B$13,0)),0))</f>
        <v>0</v>
      </c>
      <c r="AJ545" s="24" t="n">
        <f aca="false">IF(AC545="",0,IFERROR(INDEX(Resep!$C$9:$C$13,MATCH(LEFT(AC545,3),Resep!$B$9:$B$13,0)),0))</f>
        <v>0</v>
      </c>
      <c r="AK545" s="24" t="n">
        <f aca="false">IF(AD545="",0,IFERROR(INDEX(Resep!$C$15:$C$18,MATCH(LEFT(AD545,3),Resep!$B$15:$B$18,0)),0))</f>
        <v>0</v>
      </c>
      <c r="AL545" s="24" t="str">
        <f aca="false">IF(X545="","",AG545+AH545+AI545+AJ545+AK545)</f>
        <v/>
      </c>
      <c r="AM545" s="22" t="str">
        <f aca="false">IF(X545="","",AL545*(Pengaturan!$B$6+Pengaturan!$B$7)+Pengaturan!$B$8+AE545*Pengaturan!$B$9+AF545*Pengaturan!$B$10)</f>
        <v/>
      </c>
      <c r="AN545" s="22" t="str">
        <f aca="false">IF(X545="","",N(G545)-AM545)</f>
        <v/>
      </c>
      <c r="AO545" s="25" t="str">
        <f aca="false">IF(OR(X545="",N(G545)=0),"",AN545/G545)</f>
        <v/>
      </c>
    </row>
    <row r="546" customFormat="false" ht="15" hidden="false" customHeight="false" outlineLevel="0" collapsed="false">
      <c r="A546" s="19"/>
      <c r="B546" s="20"/>
      <c r="C546" s="19"/>
      <c r="D546" s="19"/>
      <c r="E546" s="19"/>
      <c r="F546" s="19"/>
      <c r="G546" s="21"/>
      <c r="H546" s="19"/>
      <c r="I546" s="21"/>
      <c r="J546" s="19"/>
      <c r="K546" s="20"/>
      <c r="L546" s="20"/>
      <c r="M546" s="19"/>
      <c r="N546" s="19"/>
      <c r="O546" s="20"/>
      <c r="P546" s="20"/>
      <c r="Q546" s="19"/>
      <c r="R546" s="22" t="str">
        <f aca="false">IF(A546="","",N(G546)+N(I546))</f>
        <v/>
      </c>
      <c r="S546" s="23" t="str">
        <f aca="false">IF(OR(K546="",O546=""),"",O546-K546)</f>
        <v/>
      </c>
      <c r="T546" s="23" t="str">
        <f aca="true">IF(AND(C546="Cetak",L546&lt;&gt;"",L546&lt;TODAY()),"YA","")</f>
        <v/>
      </c>
      <c r="U546" s="23" t="str">
        <f aca="false">IF(B546="","",TEXT(B546,"yyyy-mm"))</f>
        <v/>
      </c>
      <c r="V546" s="23" t="str">
        <f aca="false">IF(K546="","",TEXT(K546,"yyyy-mm"))</f>
        <v/>
      </c>
      <c r="W546" s="23" t="n">
        <f aca="false">IF(OR(C546="Cetak",C546="Dikirim",C546="Selesai"),1,0)</f>
        <v>0</v>
      </c>
      <c r="X546" s="23" t="str">
        <f aca="false">IF(F546="","",SUBSTITUTE(SUBSTITUTE(MID(UPPER(TRIM(F546)),4,99),"-LED",""),"-TK",""))</f>
        <v/>
      </c>
      <c r="Y546" s="23" t="str">
        <f aca="false">IF(X546="","",(LEN(X546)+1)/7)</f>
        <v/>
      </c>
      <c r="Z546" s="23" t="str">
        <f aca="false">IF(X546="","",LEFT(X546,6))</f>
        <v/>
      </c>
      <c r="AA546" s="23" t="str">
        <f aca="false">IF(X546="","",IF(Y546&gt;=3,MID(X546,8,6),""))</f>
        <v/>
      </c>
      <c r="AB546" s="23" t="str">
        <f aca="false">IF(X546="","",IF(Y546&gt;=4,MID(X546,15,6),""))</f>
        <v/>
      </c>
      <c r="AC546" s="23" t="str">
        <f aca="false">IF(X546="","",IF(Y546&gt;=5,MID(X546,22,6),""))</f>
        <v/>
      </c>
      <c r="AD546" s="23" t="str">
        <f aca="false">IF(X546="","",RIGHT(X546,6))</f>
        <v/>
      </c>
      <c r="AE546" s="23" t="str">
        <f aca="false">IF(F546="","",IF(ISNUMBER(SEARCH("-TK",UPPER(F546))),0,1))</f>
        <v/>
      </c>
      <c r="AF546" s="23" t="str">
        <f aca="false">IF(F546="","",IF(ISNUMBER(SEARCH("-LED",UPPER(F546))),1,0))</f>
        <v/>
      </c>
      <c r="AG546" s="24" t="n">
        <f aca="false">IF(Z546="",0,IFERROR(INDEX(Resep!$C$5:$C$7,MATCH(LEFT(Z546,3),Resep!$B$5:$B$7,0)),0))</f>
        <v>0</v>
      </c>
      <c r="AH546" s="24" t="n">
        <f aca="false">IF(AA546="",0,IFERROR(INDEX(Resep!$C$9:$C$13,MATCH(LEFT(AA546,3),Resep!$B$9:$B$13,0)),0))</f>
        <v>0</v>
      </c>
      <c r="AI546" s="24" t="n">
        <f aca="false">IF(AB546="",0,IFERROR(INDEX(Resep!$C$9:$C$13,MATCH(LEFT(AB546,3),Resep!$B$9:$B$13,0)),0))</f>
        <v>0</v>
      </c>
      <c r="AJ546" s="24" t="n">
        <f aca="false">IF(AC546="",0,IFERROR(INDEX(Resep!$C$9:$C$13,MATCH(LEFT(AC546,3),Resep!$B$9:$B$13,0)),0))</f>
        <v>0</v>
      </c>
      <c r="AK546" s="24" t="n">
        <f aca="false">IF(AD546="",0,IFERROR(INDEX(Resep!$C$15:$C$18,MATCH(LEFT(AD546,3),Resep!$B$15:$B$18,0)),0))</f>
        <v>0</v>
      </c>
      <c r="AL546" s="24" t="str">
        <f aca="false">IF(X546="","",AG546+AH546+AI546+AJ546+AK546)</f>
        <v/>
      </c>
      <c r="AM546" s="22" t="str">
        <f aca="false">IF(X546="","",AL546*(Pengaturan!$B$6+Pengaturan!$B$7)+Pengaturan!$B$8+AE546*Pengaturan!$B$9+AF546*Pengaturan!$B$10)</f>
        <v/>
      </c>
      <c r="AN546" s="22" t="str">
        <f aca="false">IF(X546="","",N(G546)-AM546)</f>
        <v/>
      </c>
      <c r="AO546" s="25" t="str">
        <f aca="false">IF(OR(X546="",N(G546)=0),"",AN546/G546)</f>
        <v/>
      </c>
    </row>
    <row r="547" customFormat="false" ht="15" hidden="false" customHeight="false" outlineLevel="0" collapsed="false">
      <c r="A547" s="19"/>
      <c r="B547" s="20"/>
      <c r="C547" s="19"/>
      <c r="D547" s="19"/>
      <c r="E547" s="19"/>
      <c r="F547" s="19"/>
      <c r="G547" s="21"/>
      <c r="H547" s="19"/>
      <c r="I547" s="21"/>
      <c r="J547" s="19"/>
      <c r="K547" s="20"/>
      <c r="L547" s="20"/>
      <c r="M547" s="19"/>
      <c r="N547" s="19"/>
      <c r="O547" s="20"/>
      <c r="P547" s="20"/>
      <c r="Q547" s="19"/>
      <c r="R547" s="22" t="str">
        <f aca="false">IF(A547="","",N(G547)+N(I547))</f>
        <v/>
      </c>
      <c r="S547" s="23" t="str">
        <f aca="false">IF(OR(K547="",O547=""),"",O547-K547)</f>
        <v/>
      </c>
      <c r="T547" s="23" t="str">
        <f aca="true">IF(AND(C547="Cetak",L547&lt;&gt;"",L547&lt;TODAY()),"YA","")</f>
        <v/>
      </c>
      <c r="U547" s="23" t="str">
        <f aca="false">IF(B547="","",TEXT(B547,"yyyy-mm"))</f>
        <v/>
      </c>
      <c r="V547" s="23" t="str">
        <f aca="false">IF(K547="","",TEXT(K547,"yyyy-mm"))</f>
        <v/>
      </c>
      <c r="W547" s="23" t="n">
        <f aca="false">IF(OR(C547="Cetak",C547="Dikirim",C547="Selesai"),1,0)</f>
        <v>0</v>
      </c>
      <c r="X547" s="23" t="str">
        <f aca="false">IF(F547="","",SUBSTITUTE(SUBSTITUTE(MID(UPPER(TRIM(F547)),4,99),"-LED",""),"-TK",""))</f>
        <v/>
      </c>
      <c r="Y547" s="23" t="str">
        <f aca="false">IF(X547="","",(LEN(X547)+1)/7)</f>
        <v/>
      </c>
      <c r="Z547" s="23" t="str">
        <f aca="false">IF(X547="","",LEFT(X547,6))</f>
        <v/>
      </c>
      <c r="AA547" s="23" t="str">
        <f aca="false">IF(X547="","",IF(Y547&gt;=3,MID(X547,8,6),""))</f>
        <v/>
      </c>
      <c r="AB547" s="23" t="str">
        <f aca="false">IF(X547="","",IF(Y547&gt;=4,MID(X547,15,6),""))</f>
        <v/>
      </c>
      <c r="AC547" s="23" t="str">
        <f aca="false">IF(X547="","",IF(Y547&gt;=5,MID(X547,22,6),""))</f>
        <v/>
      </c>
      <c r="AD547" s="23" t="str">
        <f aca="false">IF(X547="","",RIGHT(X547,6))</f>
        <v/>
      </c>
      <c r="AE547" s="23" t="str">
        <f aca="false">IF(F547="","",IF(ISNUMBER(SEARCH("-TK",UPPER(F547))),0,1))</f>
        <v/>
      </c>
      <c r="AF547" s="23" t="str">
        <f aca="false">IF(F547="","",IF(ISNUMBER(SEARCH("-LED",UPPER(F547))),1,0))</f>
        <v/>
      </c>
      <c r="AG547" s="24" t="n">
        <f aca="false">IF(Z547="",0,IFERROR(INDEX(Resep!$C$5:$C$7,MATCH(LEFT(Z547,3),Resep!$B$5:$B$7,0)),0))</f>
        <v>0</v>
      </c>
      <c r="AH547" s="24" t="n">
        <f aca="false">IF(AA547="",0,IFERROR(INDEX(Resep!$C$9:$C$13,MATCH(LEFT(AA547,3),Resep!$B$9:$B$13,0)),0))</f>
        <v>0</v>
      </c>
      <c r="AI547" s="24" t="n">
        <f aca="false">IF(AB547="",0,IFERROR(INDEX(Resep!$C$9:$C$13,MATCH(LEFT(AB547,3),Resep!$B$9:$B$13,0)),0))</f>
        <v>0</v>
      </c>
      <c r="AJ547" s="24" t="n">
        <f aca="false">IF(AC547="",0,IFERROR(INDEX(Resep!$C$9:$C$13,MATCH(LEFT(AC547,3),Resep!$B$9:$B$13,0)),0))</f>
        <v>0</v>
      </c>
      <c r="AK547" s="24" t="n">
        <f aca="false">IF(AD547="",0,IFERROR(INDEX(Resep!$C$15:$C$18,MATCH(LEFT(AD547,3),Resep!$B$15:$B$18,0)),0))</f>
        <v>0</v>
      </c>
      <c r="AL547" s="24" t="str">
        <f aca="false">IF(X547="","",AG547+AH547+AI547+AJ547+AK547)</f>
        <v/>
      </c>
      <c r="AM547" s="22" t="str">
        <f aca="false">IF(X547="","",AL547*(Pengaturan!$B$6+Pengaturan!$B$7)+Pengaturan!$B$8+AE547*Pengaturan!$B$9+AF547*Pengaturan!$B$10)</f>
        <v/>
      </c>
      <c r="AN547" s="22" t="str">
        <f aca="false">IF(X547="","",N(G547)-AM547)</f>
        <v/>
      </c>
      <c r="AO547" s="25" t="str">
        <f aca="false">IF(OR(X547="",N(G547)=0),"",AN547/G547)</f>
        <v/>
      </c>
    </row>
    <row r="548" customFormat="false" ht="15" hidden="false" customHeight="false" outlineLevel="0" collapsed="false">
      <c r="A548" s="19"/>
      <c r="B548" s="20"/>
      <c r="C548" s="19"/>
      <c r="D548" s="19"/>
      <c r="E548" s="19"/>
      <c r="F548" s="19"/>
      <c r="G548" s="21"/>
      <c r="H548" s="19"/>
      <c r="I548" s="21"/>
      <c r="J548" s="19"/>
      <c r="K548" s="20"/>
      <c r="L548" s="20"/>
      <c r="M548" s="19"/>
      <c r="N548" s="19"/>
      <c r="O548" s="20"/>
      <c r="P548" s="20"/>
      <c r="Q548" s="19"/>
      <c r="R548" s="22" t="str">
        <f aca="false">IF(A548="","",N(G548)+N(I548))</f>
        <v/>
      </c>
      <c r="S548" s="23" t="str">
        <f aca="false">IF(OR(K548="",O548=""),"",O548-K548)</f>
        <v/>
      </c>
      <c r="T548" s="23" t="str">
        <f aca="true">IF(AND(C548="Cetak",L548&lt;&gt;"",L548&lt;TODAY()),"YA","")</f>
        <v/>
      </c>
      <c r="U548" s="23" t="str">
        <f aca="false">IF(B548="","",TEXT(B548,"yyyy-mm"))</f>
        <v/>
      </c>
      <c r="V548" s="23" t="str">
        <f aca="false">IF(K548="","",TEXT(K548,"yyyy-mm"))</f>
        <v/>
      </c>
      <c r="W548" s="23" t="n">
        <f aca="false">IF(OR(C548="Cetak",C548="Dikirim",C548="Selesai"),1,0)</f>
        <v>0</v>
      </c>
      <c r="X548" s="23" t="str">
        <f aca="false">IF(F548="","",SUBSTITUTE(SUBSTITUTE(MID(UPPER(TRIM(F548)),4,99),"-LED",""),"-TK",""))</f>
        <v/>
      </c>
      <c r="Y548" s="23" t="str">
        <f aca="false">IF(X548="","",(LEN(X548)+1)/7)</f>
        <v/>
      </c>
      <c r="Z548" s="23" t="str">
        <f aca="false">IF(X548="","",LEFT(X548,6))</f>
        <v/>
      </c>
      <c r="AA548" s="23" t="str">
        <f aca="false">IF(X548="","",IF(Y548&gt;=3,MID(X548,8,6),""))</f>
        <v/>
      </c>
      <c r="AB548" s="23" t="str">
        <f aca="false">IF(X548="","",IF(Y548&gt;=4,MID(X548,15,6),""))</f>
        <v/>
      </c>
      <c r="AC548" s="23" t="str">
        <f aca="false">IF(X548="","",IF(Y548&gt;=5,MID(X548,22,6),""))</f>
        <v/>
      </c>
      <c r="AD548" s="23" t="str">
        <f aca="false">IF(X548="","",RIGHT(X548,6))</f>
        <v/>
      </c>
      <c r="AE548" s="23" t="str">
        <f aca="false">IF(F548="","",IF(ISNUMBER(SEARCH("-TK",UPPER(F548))),0,1))</f>
        <v/>
      </c>
      <c r="AF548" s="23" t="str">
        <f aca="false">IF(F548="","",IF(ISNUMBER(SEARCH("-LED",UPPER(F548))),1,0))</f>
        <v/>
      </c>
      <c r="AG548" s="24" t="n">
        <f aca="false">IF(Z548="",0,IFERROR(INDEX(Resep!$C$5:$C$7,MATCH(LEFT(Z548,3),Resep!$B$5:$B$7,0)),0))</f>
        <v>0</v>
      </c>
      <c r="AH548" s="24" t="n">
        <f aca="false">IF(AA548="",0,IFERROR(INDEX(Resep!$C$9:$C$13,MATCH(LEFT(AA548,3),Resep!$B$9:$B$13,0)),0))</f>
        <v>0</v>
      </c>
      <c r="AI548" s="24" t="n">
        <f aca="false">IF(AB548="",0,IFERROR(INDEX(Resep!$C$9:$C$13,MATCH(LEFT(AB548,3),Resep!$B$9:$B$13,0)),0))</f>
        <v>0</v>
      </c>
      <c r="AJ548" s="24" t="n">
        <f aca="false">IF(AC548="",0,IFERROR(INDEX(Resep!$C$9:$C$13,MATCH(LEFT(AC548,3),Resep!$B$9:$B$13,0)),0))</f>
        <v>0</v>
      </c>
      <c r="AK548" s="24" t="n">
        <f aca="false">IF(AD548="",0,IFERROR(INDEX(Resep!$C$15:$C$18,MATCH(LEFT(AD548,3),Resep!$B$15:$B$18,0)),0))</f>
        <v>0</v>
      </c>
      <c r="AL548" s="24" t="str">
        <f aca="false">IF(X548="","",AG548+AH548+AI548+AJ548+AK548)</f>
        <v/>
      </c>
      <c r="AM548" s="22" t="str">
        <f aca="false">IF(X548="","",AL548*(Pengaturan!$B$6+Pengaturan!$B$7)+Pengaturan!$B$8+AE548*Pengaturan!$B$9+AF548*Pengaturan!$B$10)</f>
        <v/>
      </c>
      <c r="AN548" s="22" t="str">
        <f aca="false">IF(X548="","",N(G548)-AM548)</f>
        <v/>
      </c>
      <c r="AO548" s="25" t="str">
        <f aca="false">IF(OR(X548="",N(G548)=0),"",AN548/G548)</f>
        <v/>
      </c>
    </row>
    <row r="549" customFormat="false" ht="15" hidden="false" customHeight="false" outlineLevel="0" collapsed="false">
      <c r="A549" s="19"/>
      <c r="B549" s="20"/>
      <c r="C549" s="19"/>
      <c r="D549" s="19"/>
      <c r="E549" s="19"/>
      <c r="F549" s="19"/>
      <c r="G549" s="21"/>
      <c r="H549" s="19"/>
      <c r="I549" s="21"/>
      <c r="J549" s="19"/>
      <c r="K549" s="20"/>
      <c r="L549" s="20"/>
      <c r="M549" s="19"/>
      <c r="N549" s="19"/>
      <c r="O549" s="20"/>
      <c r="P549" s="20"/>
      <c r="Q549" s="19"/>
      <c r="R549" s="22" t="str">
        <f aca="false">IF(A549="","",N(G549)+N(I549))</f>
        <v/>
      </c>
      <c r="S549" s="23" t="str">
        <f aca="false">IF(OR(K549="",O549=""),"",O549-K549)</f>
        <v/>
      </c>
      <c r="T549" s="23" t="str">
        <f aca="true">IF(AND(C549="Cetak",L549&lt;&gt;"",L549&lt;TODAY()),"YA","")</f>
        <v/>
      </c>
      <c r="U549" s="23" t="str">
        <f aca="false">IF(B549="","",TEXT(B549,"yyyy-mm"))</f>
        <v/>
      </c>
      <c r="V549" s="23" t="str">
        <f aca="false">IF(K549="","",TEXT(K549,"yyyy-mm"))</f>
        <v/>
      </c>
      <c r="W549" s="23" t="n">
        <f aca="false">IF(OR(C549="Cetak",C549="Dikirim",C549="Selesai"),1,0)</f>
        <v>0</v>
      </c>
      <c r="X549" s="23" t="str">
        <f aca="false">IF(F549="","",SUBSTITUTE(SUBSTITUTE(MID(UPPER(TRIM(F549)),4,99),"-LED",""),"-TK",""))</f>
        <v/>
      </c>
      <c r="Y549" s="23" t="str">
        <f aca="false">IF(X549="","",(LEN(X549)+1)/7)</f>
        <v/>
      </c>
      <c r="Z549" s="23" t="str">
        <f aca="false">IF(X549="","",LEFT(X549,6))</f>
        <v/>
      </c>
      <c r="AA549" s="23" t="str">
        <f aca="false">IF(X549="","",IF(Y549&gt;=3,MID(X549,8,6),""))</f>
        <v/>
      </c>
      <c r="AB549" s="23" t="str">
        <f aca="false">IF(X549="","",IF(Y549&gt;=4,MID(X549,15,6),""))</f>
        <v/>
      </c>
      <c r="AC549" s="23" t="str">
        <f aca="false">IF(X549="","",IF(Y549&gt;=5,MID(X549,22,6),""))</f>
        <v/>
      </c>
      <c r="AD549" s="23" t="str">
        <f aca="false">IF(X549="","",RIGHT(X549,6))</f>
        <v/>
      </c>
      <c r="AE549" s="23" t="str">
        <f aca="false">IF(F549="","",IF(ISNUMBER(SEARCH("-TK",UPPER(F549))),0,1))</f>
        <v/>
      </c>
      <c r="AF549" s="23" t="str">
        <f aca="false">IF(F549="","",IF(ISNUMBER(SEARCH("-LED",UPPER(F549))),1,0))</f>
        <v/>
      </c>
      <c r="AG549" s="24" t="n">
        <f aca="false">IF(Z549="",0,IFERROR(INDEX(Resep!$C$5:$C$7,MATCH(LEFT(Z549,3),Resep!$B$5:$B$7,0)),0))</f>
        <v>0</v>
      </c>
      <c r="AH549" s="24" t="n">
        <f aca="false">IF(AA549="",0,IFERROR(INDEX(Resep!$C$9:$C$13,MATCH(LEFT(AA549,3),Resep!$B$9:$B$13,0)),0))</f>
        <v>0</v>
      </c>
      <c r="AI549" s="24" t="n">
        <f aca="false">IF(AB549="",0,IFERROR(INDEX(Resep!$C$9:$C$13,MATCH(LEFT(AB549,3),Resep!$B$9:$B$13,0)),0))</f>
        <v>0</v>
      </c>
      <c r="AJ549" s="24" t="n">
        <f aca="false">IF(AC549="",0,IFERROR(INDEX(Resep!$C$9:$C$13,MATCH(LEFT(AC549,3),Resep!$B$9:$B$13,0)),0))</f>
        <v>0</v>
      </c>
      <c r="AK549" s="24" t="n">
        <f aca="false">IF(AD549="",0,IFERROR(INDEX(Resep!$C$15:$C$18,MATCH(LEFT(AD549,3),Resep!$B$15:$B$18,0)),0))</f>
        <v>0</v>
      </c>
      <c r="AL549" s="24" t="str">
        <f aca="false">IF(X549="","",AG549+AH549+AI549+AJ549+AK549)</f>
        <v/>
      </c>
      <c r="AM549" s="22" t="str">
        <f aca="false">IF(X549="","",AL549*(Pengaturan!$B$6+Pengaturan!$B$7)+Pengaturan!$B$8+AE549*Pengaturan!$B$9+AF549*Pengaturan!$B$10)</f>
        <v/>
      </c>
      <c r="AN549" s="22" t="str">
        <f aca="false">IF(X549="","",N(G549)-AM549)</f>
        <v/>
      </c>
      <c r="AO549" s="25" t="str">
        <f aca="false">IF(OR(X549="",N(G549)=0),"",AN549/G549)</f>
        <v/>
      </c>
    </row>
    <row r="550" customFormat="false" ht="15" hidden="false" customHeight="false" outlineLevel="0" collapsed="false">
      <c r="A550" s="19"/>
      <c r="B550" s="20"/>
      <c r="C550" s="19"/>
      <c r="D550" s="19"/>
      <c r="E550" s="19"/>
      <c r="F550" s="19"/>
      <c r="G550" s="21"/>
      <c r="H550" s="19"/>
      <c r="I550" s="21"/>
      <c r="J550" s="19"/>
      <c r="K550" s="20"/>
      <c r="L550" s="20"/>
      <c r="M550" s="19"/>
      <c r="N550" s="19"/>
      <c r="O550" s="20"/>
      <c r="P550" s="20"/>
      <c r="Q550" s="19"/>
      <c r="R550" s="22" t="str">
        <f aca="false">IF(A550="","",N(G550)+N(I550))</f>
        <v/>
      </c>
      <c r="S550" s="23" t="str">
        <f aca="false">IF(OR(K550="",O550=""),"",O550-K550)</f>
        <v/>
      </c>
      <c r="T550" s="23" t="str">
        <f aca="true">IF(AND(C550="Cetak",L550&lt;&gt;"",L550&lt;TODAY()),"YA","")</f>
        <v/>
      </c>
      <c r="U550" s="23" t="str">
        <f aca="false">IF(B550="","",TEXT(B550,"yyyy-mm"))</f>
        <v/>
      </c>
      <c r="V550" s="23" t="str">
        <f aca="false">IF(K550="","",TEXT(K550,"yyyy-mm"))</f>
        <v/>
      </c>
      <c r="W550" s="23" t="n">
        <f aca="false">IF(OR(C550="Cetak",C550="Dikirim",C550="Selesai"),1,0)</f>
        <v>0</v>
      </c>
      <c r="X550" s="23" t="str">
        <f aca="false">IF(F550="","",SUBSTITUTE(SUBSTITUTE(MID(UPPER(TRIM(F550)),4,99),"-LED",""),"-TK",""))</f>
        <v/>
      </c>
      <c r="Y550" s="23" t="str">
        <f aca="false">IF(X550="","",(LEN(X550)+1)/7)</f>
        <v/>
      </c>
      <c r="Z550" s="23" t="str">
        <f aca="false">IF(X550="","",LEFT(X550,6))</f>
        <v/>
      </c>
      <c r="AA550" s="23" t="str">
        <f aca="false">IF(X550="","",IF(Y550&gt;=3,MID(X550,8,6),""))</f>
        <v/>
      </c>
      <c r="AB550" s="23" t="str">
        <f aca="false">IF(X550="","",IF(Y550&gt;=4,MID(X550,15,6),""))</f>
        <v/>
      </c>
      <c r="AC550" s="23" t="str">
        <f aca="false">IF(X550="","",IF(Y550&gt;=5,MID(X550,22,6),""))</f>
        <v/>
      </c>
      <c r="AD550" s="23" t="str">
        <f aca="false">IF(X550="","",RIGHT(X550,6))</f>
        <v/>
      </c>
      <c r="AE550" s="23" t="str">
        <f aca="false">IF(F550="","",IF(ISNUMBER(SEARCH("-TK",UPPER(F550))),0,1))</f>
        <v/>
      </c>
      <c r="AF550" s="23" t="str">
        <f aca="false">IF(F550="","",IF(ISNUMBER(SEARCH("-LED",UPPER(F550))),1,0))</f>
        <v/>
      </c>
      <c r="AG550" s="24" t="n">
        <f aca="false">IF(Z550="",0,IFERROR(INDEX(Resep!$C$5:$C$7,MATCH(LEFT(Z550,3),Resep!$B$5:$B$7,0)),0))</f>
        <v>0</v>
      </c>
      <c r="AH550" s="24" t="n">
        <f aca="false">IF(AA550="",0,IFERROR(INDEX(Resep!$C$9:$C$13,MATCH(LEFT(AA550,3),Resep!$B$9:$B$13,0)),0))</f>
        <v>0</v>
      </c>
      <c r="AI550" s="24" t="n">
        <f aca="false">IF(AB550="",0,IFERROR(INDEX(Resep!$C$9:$C$13,MATCH(LEFT(AB550,3),Resep!$B$9:$B$13,0)),0))</f>
        <v>0</v>
      </c>
      <c r="AJ550" s="24" t="n">
        <f aca="false">IF(AC550="",0,IFERROR(INDEX(Resep!$C$9:$C$13,MATCH(LEFT(AC550,3),Resep!$B$9:$B$13,0)),0))</f>
        <v>0</v>
      </c>
      <c r="AK550" s="24" t="n">
        <f aca="false">IF(AD550="",0,IFERROR(INDEX(Resep!$C$15:$C$18,MATCH(LEFT(AD550,3),Resep!$B$15:$B$18,0)),0))</f>
        <v>0</v>
      </c>
      <c r="AL550" s="24" t="str">
        <f aca="false">IF(X550="","",AG550+AH550+AI550+AJ550+AK550)</f>
        <v/>
      </c>
      <c r="AM550" s="22" t="str">
        <f aca="false">IF(X550="","",AL550*(Pengaturan!$B$6+Pengaturan!$B$7)+Pengaturan!$B$8+AE550*Pengaturan!$B$9+AF550*Pengaturan!$B$10)</f>
        <v/>
      </c>
      <c r="AN550" s="22" t="str">
        <f aca="false">IF(X550="","",N(G550)-AM550)</f>
        <v/>
      </c>
      <c r="AO550" s="25" t="str">
        <f aca="false">IF(OR(X550="",N(G550)=0),"",AN550/G550)</f>
        <v/>
      </c>
    </row>
    <row r="551" customFormat="false" ht="15" hidden="false" customHeight="false" outlineLevel="0" collapsed="false">
      <c r="A551" s="19"/>
      <c r="B551" s="20"/>
      <c r="C551" s="19"/>
      <c r="D551" s="19"/>
      <c r="E551" s="19"/>
      <c r="F551" s="19"/>
      <c r="G551" s="21"/>
      <c r="H551" s="19"/>
      <c r="I551" s="21"/>
      <c r="J551" s="19"/>
      <c r="K551" s="20"/>
      <c r="L551" s="20"/>
      <c r="M551" s="19"/>
      <c r="N551" s="19"/>
      <c r="O551" s="20"/>
      <c r="P551" s="20"/>
      <c r="Q551" s="19"/>
      <c r="R551" s="22" t="str">
        <f aca="false">IF(A551="","",N(G551)+N(I551))</f>
        <v/>
      </c>
      <c r="S551" s="23" t="str">
        <f aca="false">IF(OR(K551="",O551=""),"",O551-K551)</f>
        <v/>
      </c>
      <c r="T551" s="23" t="str">
        <f aca="true">IF(AND(C551="Cetak",L551&lt;&gt;"",L551&lt;TODAY()),"YA","")</f>
        <v/>
      </c>
      <c r="U551" s="23" t="str">
        <f aca="false">IF(B551="","",TEXT(B551,"yyyy-mm"))</f>
        <v/>
      </c>
      <c r="V551" s="23" t="str">
        <f aca="false">IF(K551="","",TEXT(K551,"yyyy-mm"))</f>
        <v/>
      </c>
      <c r="W551" s="23" t="n">
        <f aca="false">IF(OR(C551="Cetak",C551="Dikirim",C551="Selesai"),1,0)</f>
        <v>0</v>
      </c>
      <c r="X551" s="23" t="str">
        <f aca="false">IF(F551="","",SUBSTITUTE(SUBSTITUTE(MID(UPPER(TRIM(F551)),4,99),"-LED",""),"-TK",""))</f>
        <v/>
      </c>
      <c r="Y551" s="23" t="str">
        <f aca="false">IF(X551="","",(LEN(X551)+1)/7)</f>
        <v/>
      </c>
      <c r="Z551" s="23" t="str">
        <f aca="false">IF(X551="","",LEFT(X551,6))</f>
        <v/>
      </c>
      <c r="AA551" s="23" t="str">
        <f aca="false">IF(X551="","",IF(Y551&gt;=3,MID(X551,8,6),""))</f>
        <v/>
      </c>
      <c r="AB551" s="23" t="str">
        <f aca="false">IF(X551="","",IF(Y551&gt;=4,MID(X551,15,6),""))</f>
        <v/>
      </c>
      <c r="AC551" s="23" t="str">
        <f aca="false">IF(X551="","",IF(Y551&gt;=5,MID(X551,22,6),""))</f>
        <v/>
      </c>
      <c r="AD551" s="23" t="str">
        <f aca="false">IF(X551="","",RIGHT(X551,6))</f>
        <v/>
      </c>
      <c r="AE551" s="23" t="str">
        <f aca="false">IF(F551="","",IF(ISNUMBER(SEARCH("-TK",UPPER(F551))),0,1))</f>
        <v/>
      </c>
      <c r="AF551" s="23" t="str">
        <f aca="false">IF(F551="","",IF(ISNUMBER(SEARCH("-LED",UPPER(F551))),1,0))</f>
        <v/>
      </c>
      <c r="AG551" s="24" t="n">
        <f aca="false">IF(Z551="",0,IFERROR(INDEX(Resep!$C$5:$C$7,MATCH(LEFT(Z551,3),Resep!$B$5:$B$7,0)),0))</f>
        <v>0</v>
      </c>
      <c r="AH551" s="24" t="n">
        <f aca="false">IF(AA551="",0,IFERROR(INDEX(Resep!$C$9:$C$13,MATCH(LEFT(AA551,3),Resep!$B$9:$B$13,0)),0))</f>
        <v>0</v>
      </c>
      <c r="AI551" s="24" t="n">
        <f aca="false">IF(AB551="",0,IFERROR(INDEX(Resep!$C$9:$C$13,MATCH(LEFT(AB551,3),Resep!$B$9:$B$13,0)),0))</f>
        <v>0</v>
      </c>
      <c r="AJ551" s="24" t="n">
        <f aca="false">IF(AC551="",0,IFERROR(INDEX(Resep!$C$9:$C$13,MATCH(LEFT(AC551,3),Resep!$B$9:$B$13,0)),0))</f>
        <v>0</v>
      </c>
      <c r="AK551" s="24" t="n">
        <f aca="false">IF(AD551="",0,IFERROR(INDEX(Resep!$C$15:$C$18,MATCH(LEFT(AD551,3),Resep!$B$15:$B$18,0)),0))</f>
        <v>0</v>
      </c>
      <c r="AL551" s="24" t="str">
        <f aca="false">IF(X551="","",AG551+AH551+AI551+AJ551+AK551)</f>
        <v/>
      </c>
      <c r="AM551" s="22" t="str">
        <f aca="false">IF(X551="","",AL551*(Pengaturan!$B$6+Pengaturan!$B$7)+Pengaturan!$B$8+AE551*Pengaturan!$B$9+AF551*Pengaturan!$B$10)</f>
        <v/>
      </c>
      <c r="AN551" s="22" t="str">
        <f aca="false">IF(X551="","",N(G551)-AM551)</f>
        <v/>
      </c>
      <c r="AO551" s="25" t="str">
        <f aca="false">IF(OR(X551="",N(G551)=0),"",AN551/G551)</f>
        <v/>
      </c>
    </row>
    <row r="552" customFormat="false" ht="15" hidden="false" customHeight="false" outlineLevel="0" collapsed="false">
      <c r="A552" s="19"/>
      <c r="B552" s="20"/>
      <c r="C552" s="19"/>
      <c r="D552" s="19"/>
      <c r="E552" s="19"/>
      <c r="F552" s="19"/>
      <c r="G552" s="21"/>
      <c r="H552" s="19"/>
      <c r="I552" s="21"/>
      <c r="J552" s="19"/>
      <c r="K552" s="20"/>
      <c r="L552" s="20"/>
      <c r="M552" s="19"/>
      <c r="N552" s="19"/>
      <c r="O552" s="20"/>
      <c r="P552" s="20"/>
      <c r="Q552" s="19"/>
      <c r="R552" s="22" t="str">
        <f aca="false">IF(A552="","",N(G552)+N(I552))</f>
        <v/>
      </c>
      <c r="S552" s="23" t="str">
        <f aca="false">IF(OR(K552="",O552=""),"",O552-K552)</f>
        <v/>
      </c>
      <c r="T552" s="23" t="str">
        <f aca="true">IF(AND(C552="Cetak",L552&lt;&gt;"",L552&lt;TODAY()),"YA","")</f>
        <v/>
      </c>
      <c r="U552" s="23" t="str">
        <f aca="false">IF(B552="","",TEXT(B552,"yyyy-mm"))</f>
        <v/>
      </c>
      <c r="V552" s="23" t="str">
        <f aca="false">IF(K552="","",TEXT(K552,"yyyy-mm"))</f>
        <v/>
      </c>
      <c r="W552" s="23" t="n">
        <f aca="false">IF(OR(C552="Cetak",C552="Dikirim",C552="Selesai"),1,0)</f>
        <v>0</v>
      </c>
      <c r="X552" s="23" t="str">
        <f aca="false">IF(F552="","",SUBSTITUTE(SUBSTITUTE(MID(UPPER(TRIM(F552)),4,99),"-LED",""),"-TK",""))</f>
        <v/>
      </c>
      <c r="Y552" s="23" t="str">
        <f aca="false">IF(X552="","",(LEN(X552)+1)/7)</f>
        <v/>
      </c>
      <c r="Z552" s="23" t="str">
        <f aca="false">IF(X552="","",LEFT(X552,6))</f>
        <v/>
      </c>
      <c r="AA552" s="23" t="str">
        <f aca="false">IF(X552="","",IF(Y552&gt;=3,MID(X552,8,6),""))</f>
        <v/>
      </c>
      <c r="AB552" s="23" t="str">
        <f aca="false">IF(X552="","",IF(Y552&gt;=4,MID(X552,15,6),""))</f>
        <v/>
      </c>
      <c r="AC552" s="23" t="str">
        <f aca="false">IF(X552="","",IF(Y552&gt;=5,MID(X552,22,6),""))</f>
        <v/>
      </c>
      <c r="AD552" s="23" t="str">
        <f aca="false">IF(X552="","",RIGHT(X552,6))</f>
        <v/>
      </c>
      <c r="AE552" s="23" t="str">
        <f aca="false">IF(F552="","",IF(ISNUMBER(SEARCH("-TK",UPPER(F552))),0,1))</f>
        <v/>
      </c>
      <c r="AF552" s="23" t="str">
        <f aca="false">IF(F552="","",IF(ISNUMBER(SEARCH("-LED",UPPER(F552))),1,0))</f>
        <v/>
      </c>
      <c r="AG552" s="24" t="n">
        <f aca="false">IF(Z552="",0,IFERROR(INDEX(Resep!$C$5:$C$7,MATCH(LEFT(Z552,3),Resep!$B$5:$B$7,0)),0))</f>
        <v>0</v>
      </c>
      <c r="AH552" s="24" t="n">
        <f aca="false">IF(AA552="",0,IFERROR(INDEX(Resep!$C$9:$C$13,MATCH(LEFT(AA552,3),Resep!$B$9:$B$13,0)),0))</f>
        <v>0</v>
      </c>
      <c r="AI552" s="24" t="n">
        <f aca="false">IF(AB552="",0,IFERROR(INDEX(Resep!$C$9:$C$13,MATCH(LEFT(AB552,3),Resep!$B$9:$B$13,0)),0))</f>
        <v>0</v>
      </c>
      <c r="AJ552" s="24" t="n">
        <f aca="false">IF(AC552="",0,IFERROR(INDEX(Resep!$C$9:$C$13,MATCH(LEFT(AC552,3),Resep!$B$9:$B$13,0)),0))</f>
        <v>0</v>
      </c>
      <c r="AK552" s="24" t="n">
        <f aca="false">IF(AD552="",0,IFERROR(INDEX(Resep!$C$15:$C$18,MATCH(LEFT(AD552,3),Resep!$B$15:$B$18,0)),0))</f>
        <v>0</v>
      </c>
      <c r="AL552" s="24" t="str">
        <f aca="false">IF(X552="","",AG552+AH552+AI552+AJ552+AK552)</f>
        <v/>
      </c>
      <c r="AM552" s="22" t="str">
        <f aca="false">IF(X552="","",AL552*(Pengaturan!$B$6+Pengaturan!$B$7)+Pengaturan!$B$8+AE552*Pengaturan!$B$9+AF552*Pengaturan!$B$10)</f>
        <v/>
      </c>
      <c r="AN552" s="22" t="str">
        <f aca="false">IF(X552="","",N(G552)-AM552)</f>
        <v/>
      </c>
      <c r="AO552" s="25" t="str">
        <f aca="false">IF(OR(X552="",N(G552)=0),"",AN552/G552)</f>
        <v/>
      </c>
    </row>
    <row r="553" customFormat="false" ht="15" hidden="false" customHeight="false" outlineLevel="0" collapsed="false">
      <c r="A553" s="19"/>
      <c r="B553" s="20"/>
      <c r="C553" s="19"/>
      <c r="D553" s="19"/>
      <c r="E553" s="19"/>
      <c r="F553" s="19"/>
      <c r="G553" s="21"/>
      <c r="H553" s="19"/>
      <c r="I553" s="21"/>
      <c r="J553" s="19"/>
      <c r="K553" s="20"/>
      <c r="L553" s="20"/>
      <c r="M553" s="19"/>
      <c r="N553" s="19"/>
      <c r="O553" s="20"/>
      <c r="P553" s="20"/>
      <c r="Q553" s="19"/>
      <c r="R553" s="22" t="str">
        <f aca="false">IF(A553="","",N(G553)+N(I553))</f>
        <v/>
      </c>
      <c r="S553" s="23" t="str">
        <f aca="false">IF(OR(K553="",O553=""),"",O553-K553)</f>
        <v/>
      </c>
      <c r="T553" s="23" t="str">
        <f aca="true">IF(AND(C553="Cetak",L553&lt;&gt;"",L553&lt;TODAY()),"YA","")</f>
        <v/>
      </c>
      <c r="U553" s="23" t="str">
        <f aca="false">IF(B553="","",TEXT(B553,"yyyy-mm"))</f>
        <v/>
      </c>
      <c r="V553" s="23" t="str">
        <f aca="false">IF(K553="","",TEXT(K553,"yyyy-mm"))</f>
        <v/>
      </c>
      <c r="W553" s="23" t="n">
        <f aca="false">IF(OR(C553="Cetak",C553="Dikirim",C553="Selesai"),1,0)</f>
        <v>0</v>
      </c>
      <c r="X553" s="23" t="str">
        <f aca="false">IF(F553="","",SUBSTITUTE(SUBSTITUTE(MID(UPPER(TRIM(F553)),4,99),"-LED",""),"-TK",""))</f>
        <v/>
      </c>
      <c r="Y553" s="23" t="str">
        <f aca="false">IF(X553="","",(LEN(X553)+1)/7)</f>
        <v/>
      </c>
      <c r="Z553" s="23" t="str">
        <f aca="false">IF(X553="","",LEFT(X553,6))</f>
        <v/>
      </c>
      <c r="AA553" s="23" t="str">
        <f aca="false">IF(X553="","",IF(Y553&gt;=3,MID(X553,8,6),""))</f>
        <v/>
      </c>
      <c r="AB553" s="23" t="str">
        <f aca="false">IF(X553="","",IF(Y553&gt;=4,MID(X553,15,6),""))</f>
        <v/>
      </c>
      <c r="AC553" s="23" t="str">
        <f aca="false">IF(X553="","",IF(Y553&gt;=5,MID(X553,22,6),""))</f>
        <v/>
      </c>
      <c r="AD553" s="23" t="str">
        <f aca="false">IF(X553="","",RIGHT(X553,6))</f>
        <v/>
      </c>
      <c r="AE553" s="23" t="str">
        <f aca="false">IF(F553="","",IF(ISNUMBER(SEARCH("-TK",UPPER(F553))),0,1))</f>
        <v/>
      </c>
      <c r="AF553" s="23" t="str">
        <f aca="false">IF(F553="","",IF(ISNUMBER(SEARCH("-LED",UPPER(F553))),1,0))</f>
        <v/>
      </c>
      <c r="AG553" s="24" t="n">
        <f aca="false">IF(Z553="",0,IFERROR(INDEX(Resep!$C$5:$C$7,MATCH(LEFT(Z553,3),Resep!$B$5:$B$7,0)),0))</f>
        <v>0</v>
      </c>
      <c r="AH553" s="24" t="n">
        <f aca="false">IF(AA553="",0,IFERROR(INDEX(Resep!$C$9:$C$13,MATCH(LEFT(AA553,3),Resep!$B$9:$B$13,0)),0))</f>
        <v>0</v>
      </c>
      <c r="AI553" s="24" t="n">
        <f aca="false">IF(AB553="",0,IFERROR(INDEX(Resep!$C$9:$C$13,MATCH(LEFT(AB553,3),Resep!$B$9:$B$13,0)),0))</f>
        <v>0</v>
      </c>
      <c r="AJ553" s="24" t="n">
        <f aca="false">IF(AC553="",0,IFERROR(INDEX(Resep!$C$9:$C$13,MATCH(LEFT(AC553,3),Resep!$B$9:$B$13,0)),0))</f>
        <v>0</v>
      </c>
      <c r="AK553" s="24" t="n">
        <f aca="false">IF(AD553="",0,IFERROR(INDEX(Resep!$C$15:$C$18,MATCH(LEFT(AD553,3),Resep!$B$15:$B$18,0)),0))</f>
        <v>0</v>
      </c>
      <c r="AL553" s="24" t="str">
        <f aca="false">IF(X553="","",AG553+AH553+AI553+AJ553+AK553)</f>
        <v/>
      </c>
      <c r="AM553" s="22" t="str">
        <f aca="false">IF(X553="","",AL553*(Pengaturan!$B$6+Pengaturan!$B$7)+Pengaturan!$B$8+AE553*Pengaturan!$B$9+AF553*Pengaturan!$B$10)</f>
        <v/>
      </c>
      <c r="AN553" s="22" t="str">
        <f aca="false">IF(X553="","",N(G553)-AM553)</f>
        <v/>
      </c>
      <c r="AO553" s="25" t="str">
        <f aca="false">IF(OR(X553="",N(G553)=0),"",AN553/G553)</f>
        <v/>
      </c>
    </row>
    <row r="554" customFormat="false" ht="15" hidden="false" customHeight="false" outlineLevel="0" collapsed="false">
      <c r="A554" s="19"/>
      <c r="B554" s="20"/>
      <c r="C554" s="19"/>
      <c r="D554" s="19"/>
      <c r="E554" s="19"/>
      <c r="F554" s="19"/>
      <c r="G554" s="21"/>
      <c r="H554" s="19"/>
      <c r="I554" s="21"/>
      <c r="J554" s="19"/>
      <c r="K554" s="20"/>
      <c r="L554" s="20"/>
      <c r="M554" s="19"/>
      <c r="N554" s="19"/>
      <c r="O554" s="20"/>
      <c r="P554" s="20"/>
      <c r="Q554" s="19"/>
      <c r="R554" s="22" t="str">
        <f aca="false">IF(A554="","",N(G554)+N(I554))</f>
        <v/>
      </c>
      <c r="S554" s="23" t="str">
        <f aca="false">IF(OR(K554="",O554=""),"",O554-K554)</f>
        <v/>
      </c>
      <c r="T554" s="23" t="str">
        <f aca="true">IF(AND(C554="Cetak",L554&lt;&gt;"",L554&lt;TODAY()),"YA","")</f>
        <v/>
      </c>
      <c r="U554" s="23" t="str">
        <f aca="false">IF(B554="","",TEXT(B554,"yyyy-mm"))</f>
        <v/>
      </c>
      <c r="V554" s="23" t="str">
        <f aca="false">IF(K554="","",TEXT(K554,"yyyy-mm"))</f>
        <v/>
      </c>
      <c r="W554" s="23" t="n">
        <f aca="false">IF(OR(C554="Cetak",C554="Dikirim",C554="Selesai"),1,0)</f>
        <v>0</v>
      </c>
      <c r="X554" s="23" t="str">
        <f aca="false">IF(F554="","",SUBSTITUTE(SUBSTITUTE(MID(UPPER(TRIM(F554)),4,99),"-LED",""),"-TK",""))</f>
        <v/>
      </c>
      <c r="Y554" s="23" t="str">
        <f aca="false">IF(X554="","",(LEN(X554)+1)/7)</f>
        <v/>
      </c>
      <c r="Z554" s="23" t="str">
        <f aca="false">IF(X554="","",LEFT(X554,6))</f>
        <v/>
      </c>
      <c r="AA554" s="23" t="str">
        <f aca="false">IF(X554="","",IF(Y554&gt;=3,MID(X554,8,6),""))</f>
        <v/>
      </c>
      <c r="AB554" s="23" t="str">
        <f aca="false">IF(X554="","",IF(Y554&gt;=4,MID(X554,15,6),""))</f>
        <v/>
      </c>
      <c r="AC554" s="23" t="str">
        <f aca="false">IF(X554="","",IF(Y554&gt;=5,MID(X554,22,6),""))</f>
        <v/>
      </c>
      <c r="AD554" s="23" t="str">
        <f aca="false">IF(X554="","",RIGHT(X554,6))</f>
        <v/>
      </c>
      <c r="AE554" s="23" t="str">
        <f aca="false">IF(F554="","",IF(ISNUMBER(SEARCH("-TK",UPPER(F554))),0,1))</f>
        <v/>
      </c>
      <c r="AF554" s="23" t="str">
        <f aca="false">IF(F554="","",IF(ISNUMBER(SEARCH("-LED",UPPER(F554))),1,0))</f>
        <v/>
      </c>
      <c r="AG554" s="24" t="n">
        <f aca="false">IF(Z554="",0,IFERROR(INDEX(Resep!$C$5:$C$7,MATCH(LEFT(Z554,3),Resep!$B$5:$B$7,0)),0))</f>
        <v>0</v>
      </c>
      <c r="AH554" s="24" t="n">
        <f aca="false">IF(AA554="",0,IFERROR(INDEX(Resep!$C$9:$C$13,MATCH(LEFT(AA554,3),Resep!$B$9:$B$13,0)),0))</f>
        <v>0</v>
      </c>
      <c r="AI554" s="24" t="n">
        <f aca="false">IF(AB554="",0,IFERROR(INDEX(Resep!$C$9:$C$13,MATCH(LEFT(AB554,3),Resep!$B$9:$B$13,0)),0))</f>
        <v>0</v>
      </c>
      <c r="AJ554" s="24" t="n">
        <f aca="false">IF(AC554="",0,IFERROR(INDEX(Resep!$C$9:$C$13,MATCH(LEFT(AC554,3),Resep!$B$9:$B$13,0)),0))</f>
        <v>0</v>
      </c>
      <c r="AK554" s="24" t="n">
        <f aca="false">IF(AD554="",0,IFERROR(INDEX(Resep!$C$15:$C$18,MATCH(LEFT(AD554,3),Resep!$B$15:$B$18,0)),0))</f>
        <v>0</v>
      </c>
      <c r="AL554" s="24" t="str">
        <f aca="false">IF(X554="","",AG554+AH554+AI554+AJ554+AK554)</f>
        <v/>
      </c>
      <c r="AM554" s="22" t="str">
        <f aca="false">IF(X554="","",AL554*(Pengaturan!$B$6+Pengaturan!$B$7)+Pengaturan!$B$8+AE554*Pengaturan!$B$9+AF554*Pengaturan!$B$10)</f>
        <v/>
      </c>
      <c r="AN554" s="22" t="str">
        <f aca="false">IF(X554="","",N(G554)-AM554)</f>
        <v/>
      </c>
      <c r="AO554" s="25" t="str">
        <f aca="false">IF(OR(X554="",N(G554)=0),"",AN554/G554)</f>
        <v/>
      </c>
    </row>
    <row r="555" customFormat="false" ht="15" hidden="false" customHeight="false" outlineLevel="0" collapsed="false">
      <c r="A555" s="19"/>
      <c r="B555" s="20"/>
      <c r="C555" s="19"/>
      <c r="D555" s="19"/>
      <c r="E555" s="19"/>
      <c r="F555" s="19"/>
      <c r="G555" s="21"/>
      <c r="H555" s="19"/>
      <c r="I555" s="21"/>
      <c r="J555" s="19"/>
      <c r="K555" s="20"/>
      <c r="L555" s="20"/>
      <c r="M555" s="19"/>
      <c r="N555" s="19"/>
      <c r="O555" s="20"/>
      <c r="P555" s="20"/>
      <c r="Q555" s="19"/>
      <c r="R555" s="22" t="str">
        <f aca="false">IF(A555="","",N(G555)+N(I555))</f>
        <v/>
      </c>
      <c r="S555" s="23" t="str">
        <f aca="false">IF(OR(K555="",O555=""),"",O555-K555)</f>
        <v/>
      </c>
      <c r="T555" s="23" t="str">
        <f aca="true">IF(AND(C555="Cetak",L555&lt;&gt;"",L555&lt;TODAY()),"YA","")</f>
        <v/>
      </c>
      <c r="U555" s="23" t="str">
        <f aca="false">IF(B555="","",TEXT(B555,"yyyy-mm"))</f>
        <v/>
      </c>
      <c r="V555" s="23" t="str">
        <f aca="false">IF(K555="","",TEXT(K555,"yyyy-mm"))</f>
        <v/>
      </c>
      <c r="W555" s="23" t="n">
        <f aca="false">IF(OR(C555="Cetak",C555="Dikirim",C555="Selesai"),1,0)</f>
        <v>0</v>
      </c>
      <c r="X555" s="23" t="str">
        <f aca="false">IF(F555="","",SUBSTITUTE(SUBSTITUTE(MID(UPPER(TRIM(F555)),4,99),"-LED",""),"-TK",""))</f>
        <v/>
      </c>
      <c r="Y555" s="23" t="str">
        <f aca="false">IF(X555="","",(LEN(X555)+1)/7)</f>
        <v/>
      </c>
      <c r="Z555" s="23" t="str">
        <f aca="false">IF(X555="","",LEFT(X555,6))</f>
        <v/>
      </c>
      <c r="AA555" s="23" t="str">
        <f aca="false">IF(X555="","",IF(Y555&gt;=3,MID(X555,8,6),""))</f>
        <v/>
      </c>
      <c r="AB555" s="23" t="str">
        <f aca="false">IF(X555="","",IF(Y555&gt;=4,MID(X555,15,6),""))</f>
        <v/>
      </c>
      <c r="AC555" s="23" t="str">
        <f aca="false">IF(X555="","",IF(Y555&gt;=5,MID(X555,22,6),""))</f>
        <v/>
      </c>
      <c r="AD555" s="23" t="str">
        <f aca="false">IF(X555="","",RIGHT(X555,6))</f>
        <v/>
      </c>
      <c r="AE555" s="23" t="str">
        <f aca="false">IF(F555="","",IF(ISNUMBER(SEARCH("-TK",UPPER(F555))),0,1))</f>
        <v/>
      </c>
      <c r="AF555" s="23" t="str">
        <f aca="false">IF(F555="","",IF(ISNUMBER(SEARCH("-LED",UPPER(F555))),1,0))</f>
        <v/>
      </c>
      <c r="AG555" s="24" t="n">
        <f aca="false">IF(Z555="",0,IFERROR(INDEX(Resep!$C$5:$C$7,MATCH(LEFT(Z555,3),Resep!$B$5:$B$7,0)),0))</f>
        <v>0</v>
      </c>
      <c r="AH555" s="24" t="n">
        <f aca="false">IF(AA555="",0,IFERROR(INDEX(Resep!$C$9:$C$13,MATCH(LEFT(AA555,3),Resep!$B$9:$B$13,0)),0))</f>
        <v>0</v>
      </c>
      <c r="AI555" s="24" t="n">
        <f aca="false">IF(AB555="",0,IFERROR(INDEX(Resep!$C$9:$C$13,MATCH(LEFT(AB555,3),Resep!$B$9:$B$13,0)),0))</f>
        <v>0</v>
      </c>
      <c r="AJ555" s="24" t="n">
        <f aca="false">IF(AC555="",0,IFERROR(INDEX(Resep!$C$9:$C$13,MATCH(LEFT(AC555,3),Resep!$B$9:$B$13,0)),0))</f>
        <v>0</v>
      </c>
      <c r="AK555" s="24" t="n">
        <f aca="false">IF(AD555="",0,IFERROR(INDEX(Resep!$C$15:$C$18,MATCH(LEFT(AD555,3),Resep!$B$15:$B$18,0)),0))</f>
        <v>0</v>
      </c>
      <c r="AL555" s="24" t="str">
        <f aca="false">IF(X555="","",AG555+AH555+AI555+AJ555+AK555)</f>
        <v/>
      </c>
      <c r="AM555" s="22" t="str">
        <f aca="false">IF(X555="","",AL555*(Pengaturan!$B$6+Pengaturan!$B$7)+Pengaturan!$B$8+AE555*Pengaturan!$B$9+AF555*Pengaturan!$B$10)</f>
        <v/>
      </c>
      <c r="AN555" s="22" t="str">
        <f aca="false">IF(X555="","",N(G555)-AM555)</f>
        <v/>
      </c>
      <c r="AO555" s="25" t="str">
        <f aca="false">IF(OR(X555="",N(G555)=0),"",AN555/G555)</f>
        <v/>
      </c>
    </row>
    <row r="556" customFormat="false" ht="15" hidden="false" customHeight="false" outlineLevel="0" collapsed="false">
      <c r="A556" s="19"/>
      <c r="B556" s="20"/>
      <c r="C556" s="19"/>
      <c r="D556" s="19"/>
      <c r="E556" s="19"/>
      <c r="F556" s="19"/>
      <c r="G556" s="21"/>
      <c r="H556" s="19"/>
      <c r="I556" s="21"/>
      <c r="J556" s="19"/>
      <c r="K556" s="20"/>
      <c r="L556" s="20"/>
      <c r="M556" s="19"/>
      <c r="N556" s="19"/>
      <c r="O556" s="20"/>
      <c r="P556" s="20"/>
      <c r="Q556" s="19"/>
      <c r="R556" s="22" t="str">
        <f aca="false">IF(A556="","",N(G556)+N(I556))</f>
        <v/>
      </c>
      <c r="S556" s="23" t="str">
        <f aca="false">IF(OR(K556="",O556=""),"",O556-K556)</f>
        <v/>
      </c>
      <c r="T556" s="23" t="str">
        <f aca="true">IF(AND(C556="Cetak",L556&lt;&gt;"",L556&lt;TODAY()),"YA","")</f>
        <v/>
      </c>
      <c r="U556" s="23" t="str">
        <f aca="false">IF(B556="","",TEXT(B556,"yyyy-mm"))</f>
        <v/>
      </c>
      <c r="V556" s="23" t="str">
        <f aca="false">IF(K556="","",TEXT(K556,"yyyy-mm"))</f>
        <v/>
      </c>
      <c r="W556" s="23" t="n">
        <f aca="false">IF(OR(C556="Cetak",C556="Dikirim",C556="Selesai"),1,0)</f>
        <v>0</v>
      </c>
      <c r="X556" s="23" t="str">
        <f aca="false">IF(F556="","",SUBSTITUTE(SUBSTITUTE(MID(UPPER(TRIM(F556)),4,99),"-LED",""),"-TK",""))</f>
        <v/>
      </c>
      <c r="Y556" s="23" t="str">
        <f aca="false">IF(X556="","",(LEN(X556)+1)/7)</f>
        <v/>
      </c>
      <c r="Z556" s="23" t="str">
        <f aca="false">IF(X556="","",LEFT(X556,6))</f>
        <v/>
      </c>
      <c r="AA556" s="23" t="str">
        <f aca="false">IF(X556="","",IF(Y556&gt;=3,MID(X556,8,6),""))</f>
        <v/>
      </c>
      <c r="AB556" s="23" t="str">
        <f aca="false">IF(X556="","",IF(Y556&gt;=4,MID(X556,15,6),""))</f>
        <v/>
      </c>
      <c r="AC556" s="23" t="str">
        <f aca="false">IF(X556="","",IF(Y556&gt;=5,MID(X556,22,6),""))</f>
        <v/>
      </c>
      <c r="AD556" s="23" t="str">
        <f aca="false">IF(X556="","",RIGHT(X556,6))</f>
        <v/>
      </c>
      <c r="AE556" s="23" t="str">
        <f aca="false">IF(F556="","",IF(ISNUMBER(SEARCH("-TK",UPPER(F556))),0,1))</f>
        <v/>
      </c>
      <c r="AF556" s="23" t="str">
        <f aca="false">IF(F556="","",IF(ISNUMBER(SEARCH("-LED",UPPER(F556))),1,0))</f>
        <v/>
      </c>
      <c r="AG556" s="24" t="n">
        <f aca="false">IF(Z556="",0,IFERROR(INDEX(Resep!$C$5:$C$7,MATCH(LEFT(Z556,3),Resep!$B$5:$B$7,0)),0))</f>
        <v>0</v>
      </c>
      <c r="AH556" s="24" t="n">
        <f aca="false">IF(AA556="",0,IFERROR(INDEX(Resep!$C$9:$C$13,MATCH(LEFT(AA556,3),Resep!$B$9:$B$13,0)),0))</f>
        <v>0</v>
      </c>
      <c r="AI556" s="24" t="n">
        <f aca="false">IF(AB556="",0,IFERROR(INDEX(Resep!$C$9:$C$13,MATCH(LEFT(AB556,3),Resep!$B$9:$B$13,0)),0))</f>
        <v>0</v>
      </c>
      <c r="AJ556" s="24" t="n">
        <f aca="false">IF(AC556="",0,IFERROR(INDEX(Resep!$C$9:$C$13,MATCH(LEFT(AC556,3),Resep!$B$9:$B$13,0)),0))</f>
        <v>0</v>
      </c>
      <c r="AK556" s="24" t="n">
        <f aca="false">IF(AD556="",0,IFERROR(INDEX(Resep!$C$15:$C$18,MATCH(LEFT(AD556,3),Resep!$B$15:$B$18,0)),0))</f>
        <v>0</v>
      </c>
      <c r="AL556" s="24" t="str">
        <f aca="false">IF(X556="","",AG556+AH556+AI556+AJ556+AK556)</f>
        <v/>
      </c>
      <c r="AM556" s="22" t="str">
        <f aca="false">IF(X556="","",AL556*(Pengaturan!$B$6+Pengaturan!$B$7)+Pengaturan!$B$8+AE556*Pengaturan!$B$9+AF556*Pengaturan!$B$10)</f>
        <v/>
      </c>
      <c r="AN556" s="22" t="str">
        <f aca="false">IF(X556="","",N(G556)-AM556)</f>
        <v/>
      </c>
      <c r="AO556" s="25" t="str">
        <f aca="false">IF(OR(X556="",N(G556)=0),"",AN556/G556)</f>
        <v/>
      </c>
    </row>
    <row r="557" customFormat="false" ht="15" hidden="false" customHeight="false" outlineLevel="0" collapsed="false">
      <c r="A557" s="19"/>
      <c r="B557" s="20"/>
      <c r="C557" s="19"/>
      <c r="D557" s="19"/>
      <c r="E557" s="19"/>
      <c r="F557" s="19"/>
      <c r="G557" s="21"/>
      <c r="H557" s="19"/>
      <c r="I557" s="21"/>
      <c r="J557" s="19"/>
      <c r="K557" s="20"/>
      <c r="L557" s="20"/>
      <c r="M557" s="19"/>
      <c r="N557" s="19"/>
      <c r="O557" s="20"/>
      <c r="P557" s="20"/>
      <c r="Q557" s="19"/>
      <c r="R557" s="22" t="str">
        <f aca="false">IF(A557="","",N(G557)+N(I557))</f>
        <v/>
      </c>
      <c r="S557" s="23" t="str">
        <f aca="false">IF(OR(K557="",O557=""),"",O557-K557)</f>
        <v/>
      </c>
      <c r="T557" s="23" t="str">
        <f aca="true">IF(AND(C557="Cetak",L557&lt;&gt;"",L557&lt;TODAY()),"YA","")</f>
        <v/>
      </c>
      <c r="U557" s="23" t="str">
        <f aca="false">IF(B557="","",TEXT(B557,"yyyy-mm"))</f>
        <v/>
      </c>
      <c r="V557" s="23" t="str">
        <f aca="false">IF(K557="","",TEXT(K557,"yyyy-mm"))</f>
        <v/>
      </c>
      <c r="W557" s="23" t="n">
        <f aca="false">IF(OR(C557="Cetak",C557="Dikirim",C557="Selesai"),1,0)</f>
        <v>0</v>
      </c>
      <c r="X557" s="23" t="str">
        <f aca="false">IF(F557="","",SUBSTITUTE(SUBSTITUTE(MID(UPPER(TRIM(F557)),4,99),"-LED",""),"-TK",""))</f>
        <v/>
      </c>
      <c r="Y557" s="23" t="str">
        <f aca="false">IF(X557="","",(LEN(X557)+1)/7)</f>
        <v/>
      </c>
      <c r="Z557" s="23" t="str">
        <f aca="false">IF(X557="","",LEFT(X557,6))</f>
        <v/>
      </c>
      <c r="AA557" s="23" t="str">
        <f aca="false">IF(X557="","",IF(Y557&gt;=3,MID(X557,8,6),""))</f>
        <v/>
      </c>
      <c r="AB557" s="23" t="str">
        <f aca="false">IF(X557="","",IF(Y557&gt;=4,MID(X557,15,6),""))</f>
        <v/>
      </c>
      <c r="AC557" s="23" t="str">
        <f aca="false">IF(X557="","",IF(Y557&gt;=5,MID(X557,22,6),""))</f>
        <v/>
      </c>
      <c r="AD557" s="23" t="str">
        <f aca="false">IF(X557="","",RIGHT(X557,6))</f>
        <v/>
      </c>
      <c r="AE557" s="23" t="str">
        <f aca="false">IF(F557="","",IF(ISNUMBER(SEARCH("-TK",UPPER(F557))),0,1))</f>
        <v/>
      </c>
      <c r="AF557" s="23" t="str">
        <f aca="false">IF(F557="","",IF(ISNUMBER(SEARCH("-LED",UPPER(F557))),1,0))</f>
        <v/>
      </c>
      <c r="AG557" s="24" t="n">
        <f aca="false">IF(Z557="",0,IFERROR(INDEX(Resep!$C$5:$C$7,MATCH(LEFT(Z557,3),Resep!$B$5:$B$7,0)),0))</f>
        <v>0</v>
      </c>
      <c r="AH557" s="24" t="n">
        <f aca="false">IF(AA557="",0,IFERROR(INDEX(Resep!$C$9:$C$13,MATCH(LEFT(AA557,3),Resep!$B$9:$B$13,0)),0))</f>
        <v>0</v>
      </c>
      <c r="AI557" s="24" t="n">
        <f aca="false">IF(AB557="",0,IFERROR(INDEX(Resep!$C$9:$C$13,MATCH(LEFT(AB557,3),Resep!$B$9:$B$13,0)),0))</f>
        <v>0</v>
      </c>
      <c r="AJ557" s="24" t="n">
        <f aca="false">IF(AC557="",0,IFERROR(INDEX(Resep!$C$9:$C$13,MATCH(LEFT(AC557,3),Resep!$B$9:$B$13,0)),0))</f>
        <v>0</v>
      </c>
      <c r="AK557" s="24" t="n">
        <f aca="false">IF(AD557="",0,IFERROR(INDEX(Resep!$C$15:$C$18,MATCH(LEFT(AD557,3),Resep!$B$15:$B$18,0)),0))</f>
        <v>0</v>
      </c>
      <c r="AL557" s="24" t="str">
        <f aca="false">IF(X557="","",AG557+AH557+AI557+AJ557+AK557)</f>
        <v/>
      </c>
      <c r="AM557" s="22" t="str">
        <f aca="false">IF(X557="","",AL557*(Pengaturan!$B$6+Pengaturan!$B$7)+Pengaturan!$B$8+AE557*Pengaturan!$B$9+AF557*Pengaturan!$B$10)</f>
        <v/>
      </c>
      <c r="AN557" s="22" t="str">
        <f aca="false">IF(X557="","",N(G557)-AM557)</f>
        <v/>
      </c>
      <c r="AO557" s="25" t="str">
        <f aca="false">IF(OR(X557="",N(G557)=0),"",AN557/G557)</f>
        <v/>
      </c>
    </row>
    <row r="558" customFormat="false" ht="15" hidden="false" customHeight="false" outlineLevel="0" collapsed="false">
      <c r="A558" s="19"/>
      <c r="B558" s="20"/>
      <c r="C558" s="19"/>
      <c r="D558" s="19"/>
      <c r="E558" s="19"/>
      <c r="F558" s="19"/>
      <c r="G558" s="21"/>
      <c r="H558" s="19"/>
      <c r="I558" s="21"/>
      <c r="J558" s="19"/>
      <c r="K558" s="20"/>
      <c r="L558" s="20"/>
      <c r="M558" s="19"/>
      <c r="N558" s="19"/>
      <c r="O558" s="20"/>
      <c r="P558" s="20"/>
      <c r="Q558" s="19"/>
      <c r="R558" s="22" t="str">
        <f aca="false">IF(A558="","",N(G558)+N(I558))</f>
        <v/>
      </c>
      <c r="S558" s="23" t="str">
        <f aca="false">IF(OR(K558="",O558=""),"",O558-K558)</f>
        <v/>
      </c>
      <c r="T558" s="23" t="str">
        <f aca="true">IF(AND(C558="Cetak",L558&lt;&gt;"",L558&lt;TODAY()),"YA","")</f>
        <v/>
      </c>
      <c r="U558" s="23" t="str">
        <f aca="false">IF(B558="","",TEXT(B558,"yyyy-mm"))</f>
        <v/>
      </c>
      <c r="V558" s="23" t="str">
        <f aca="false">IF(K558="","",TEXT(K558,"yyyy-mm"))</f>
        <v/>
      </c>
      <c r="W558" s="23" t="n">
        <f aca="false">IF(OR(C558="Cetak",C558="Dikirim",C558="Selesai"),1,0)</f>
        <v>0</v>
      </c>
      <c r="X558" s="23" t="str">
        <f aca="false">IF(F558="","",SUBSTITUTE(SUBSTITUTE(MID(UPPER(TRIM(F558)),4,99),"-LED",""),"-TK",""))</f>
        <v/>
      </c>
      <c r="Y558" s="23" t="str">
        <f aca="false">IF(X558="","",(LEN(X558)+1)/7)</f>
        <v/>
      </c>
      <c r="Z558" s="23" t="str">
        <f aca="false">IF(X558="","",LEFT(X558,6))</f>
        <v/>
      </c>
      <c r="AA558" s="23" t="str">
        <f aca="false">IF(X558="","",IF(Y558&gt;=3,MID(X558,8,6),""))</f>
        <v/>
      </c>
      <c r="AB558" s="23" t="str">
        <f aca="false">IF(X558="","",IF(Y558&gt;=4,MID(X558,15,6),""))</f>
        <v/>
      </c>
      <c r="AC558" s="23" t="str">
        <f aca="false">IF(X558="","",IF(Y558&gt;=5,MID(X558,22,6),""))</f>
        <v/>
      </c>
      <c r="AD558" s="23" t="str">
        <f aca="false">IF(X558="","",RIGHT(X558,6))</f>
        <v/>
      </c>
      <c r="AE558" s="23" t="str">
        <f aca="false">IF(F558="","",IF(ISNUMBER(SEARCH("-TK",UPPER(F558))),0,1))</f>
        <v/>
      </c>
      <c r="AF558" s="23" t="str">
        <f aca="false">IF(F558="","",IF(ISNUMBER(SEARCH("-LED",UPPER(F558))),1,0))</f>
        <v/>
      </c>
      <c r="AG558" s="24" t="n">
        <f aca="false">IF(Z558="",0,IFERROR(INDEX(Resep!$C$5:$C$7,MATCH(LEFT(Z558,3),Resep!$B$5:$B$7,0)),0))</f>
        <v>0</v>
      </c>
      <c r="AH558" s="24" t="n">
        <f aca="false">IF(AA558="",0,IFERROR(INDEX(Resep!$C$9:$C$13,MATCH(LEFT(AA558,3),Resep!$B$9:$B$13,0)),0))</f>
        <v>0</v>
      </c>
      <c r="AI558" s="24" t="n">
        <f aca="false">IF(AB558="",0,IFERROR(INDEX(Resep!$C$9:$C$13,MATCH(LEFT(AB558,3),Resep!$B$9:$B$13,0)),0))</f>
        <v>0</v>
      </c>
      <c r="AJ558" s="24" t="n">
        <f aca="false">IF(AC558="",0,IFERROR(INDEX(Resep!$C$9:$C$13,MATCH(LEFT(AC558,3),Resep!$B$9:$B$13,0)),0))</f>
        <v>0</v>
      </c>
      <c r="AK558" s="24" t="n">
        <f aca="false">IF(AD558="",0,IFERROR(INDEX(Resep!$C$15:$C$18,MATCH(LEFT(AD558,3),Resep!$B$15:$B$18,0)),0))</f>
        <v>0</v>
      </c>
      <c r="AL558" s="24" t="str">
        <f aca="false">IF(X558="","",AG558+AH558+AI558+AJ558+AK558)</f>
        <v/>
      </c>
      <c r="AM558" s="22" t="str">
        <f aca="false">IF(X558="","",AL558*(Pengaturan!$B$6+Pengaturan!$B$7)+Pengaturan!$B$8+AE558*Pengaturan!$B$9+AF558*Pengaturan!$B$10)</f>
        <v/>
      </c>
      <c r="AN558" s="22" t="str">
        <f aca="false">IF(X558="","",N(G558)-AM558)</f>
        <v/>
      </c>
      <c r="AO558" s="25" t="str">
        <f aca="false">IF(OR(X558="",N(G558)=0),"",AN558/G558)</f>
        <v/>
      </c>
    </row>
    <row r="559" customFormat="false" ht="15" hidden="false" customHeight="false" outlineLevel="0" collapsed="false">
      <c r="A559" s="19"/>
      <c r="B559" s="20"/>
      <c r="C559" s="19"/>
      <c r="D559" s="19"/>
      <c r="E559" s="19"/>
      <c r="F559" s="19"/>
      <c r="G559" s="21"/>
      <c r="H559" s="19"/>
      <c r="I559" s="21"/>
      <c r="J559" s="19"/>
      <c r="K559" s="20"/>
      <c r="L559" s="20"/>
      <c r="M559" s="19"/>
      <c r="N559" s="19"/>
      <c r="O559" s="20"/>
      <c r="P559" s="20"/>
      <c r="Q559" s="19"/>
      <c r="R559" s="22" t="str">
        <f aca="false">IF(A559="","",N(G559)+N(I559))</f>
        <v/>
      </c>
      <c r="S559" s="23" t="str">
        <f aca="false">IF(OR(K559="",O559=""),"",O559-K559)</f>
        <v/>
      </c>
      <c r="T559" s="23" t="str">
        <f aca="true">IF(AND(C559="Cetak",L559&lt;&gt;"",L559&lt;TODAY()),"YA","")</f>
        <v/>
      </c>
      <c r="U559" s="23" t="str">
        <f aca="false">IF(B559="","",TEXT(B559,"yyyy-mm"))</f>
        <v/>
      </c>
      <c r="V559" s="23" t="str">
        <f aca="false">IF(K559="","",TEXT(K559,"yyyy-mm"))</f>
        <v/>
      </c>
      <c r="W559" s="23" t="n">
        <f aca="false">IF(OR(C559="Cetak",C559="Dikirim",C559="Selesai"),1,0)</f>
        <v>0</v>
      </c>
      <c r="X559" s="23" t="str">
        <f aca="false">IF(F559="","",SUBSTITUTE(SUBSTITUTE(MID(UPPER(TRIM(F559)),4,99),"-LED",""),"-TK",""))</f>
        <v/>
      </c>
      <c r="Y559" s="23" t="str">
        <f aca="false">IF(X559="","",(LEN(X559)+1)/7)</f>
        <v/>
      </c>
      <c r="Z559" s="23" t="str">
        <f aca="false">IF(X559="","",LEFT(X559,6))</f>
        <v/>
      </c>
      <c r="AA559" s="23" t="str">
        <f aca="false">IF(X559="","",IF(Y559&gt;=3,MID(X559,8,6),""))</f>
        <v/>
      </c>
      <c r="AB559" s="23" t="str">
        <f aca="false">IF(X559="","",IF(Y559&gt;=4,MID(X559,15,6),""))</f>
        <v/>
      </c>
      <c r="AC559" s="23" t="str">
        <f aca="false">IF(X559="","",IF(Y559&gt;=5,MID(X559,22,6),""))</f>
        <v/>
      </c>
      <c r="AD559" s="23" t="str">
        <f aca="false">IF(X559="","",RIGHT(X559,6))</f>
        <v/>
      </c>
      <c r="AE559" s="23" t="str">
        <f aca="false">IF(F559="","",IF(ISNUMBER(SEARCH("-TK",UPPER(F559))),0,1))</f>
        <v/>
      </c>
      <c r="AF559" s="23" t="str">
        <f aca="false">IF(F559="","",IF(ISNUMBER(SEARCH("-LED",UPPER(F559))),1,0))</f>
        <v/>
      </c>
      <c r="AG559" s="24" t="n">
        <f aca="false">IF(Z559="",0,IFERROR(INDEX(Resep!$C$5:$C$7,MATCH(LEFT(Z559,3),Resep!$B$5:$B$7,0)),0))</f>
        <v>0</v>
      </c>
      <c r="AH559" s="24" t="n">
        <f aca="false">IF(AA559="",0,IFERROR(INDEX(Resep!$C$9:$C$13,MATCH(LEFT(AA559,3),Resep!$B$9:$B$13,0)),0))</f>
        <v>0</v>
      </c>
      <c r="AI559" s="24" t="n">
        <f aca="false">IF(AB559="",0,IFERROR(INDEX(Resep!$C$9:$C$13,MATCH(LEFT(AB559,3),Resep!$B$9:$B$13,0)),0))</f>
        <v>0</v>
      </c>
      <c r="AJ559" s="24" t="n">
        <f aca="false">IF(AC559="",0,IFERROR(INDEX(Resep!$C$9:$C$13,MATCH(LEFT(AC559,3),Resep!$B$9:$B$13,0)),0))</f>
        <v>0</v>
      </c>
      <c r="AK559" s="24" t="n">
        <f aca="false">IF(AD559="",0,IFERROR(INDEX(Resep!$C$15:$C$18,MATCH(LEFT(AD559,3),Resep!$B$15:$B$18,0)),0))</f>
        <v>0</v>
      </c>
      <c r="AL559" s="24" t="str">
        <f aca="false">IF(X559="","",AG559+AH559+AI559+AJ559+AK559)</f>
        <v/>
      </c>
      <c r="AM559" s="22" t="str">
        <f aca="false">IF(X559="","",AL559*(Pengaturan!$B$6+Pengaturan!$B$7)+Pengaturan!$B$8+AE559*Pengaturan!$B$9+AF559*Pengaturan!$B$10)</f>
        <v/>
      </c>
      <c r="AN559" s="22" t="str">
        <f aca="false">IF(X559="","",N(G559)-AM559)</f>
        <v/>
      </c>
      <c r="AO559" s="25" t="str">
        <f aca="false">IF(OR(X559="",N(G559)=0),"",AN559/G559)</f>
        <v/>
      </c>
    </row>
    <row r="560" customFormat="false" ht="15" hidden="false" customHeight="false" outlineLevel="0" collapsed="false">
      <c r="A560" s="19"/>
      <c r="B560" s="20"/>
      <c r="C560" s="19"/>
      <c r="D560" s="19"/>
      <c r="E560" s="19"/>
      <c r="F560" s="19"/>
      <c r="G560" s="21"/>
      <c r="H560" s="19"/>
      <c r="I560" s="21"/>
      <c r="J560" s="19"/>
      <c r="K560" s="20"/>
      <c r="L560" s="20"/>
      <c r="M560" s="19"/>
      <c r="N560" s="19"/>
      <c r="O560" s="20"/>
      <c r="P560" s="20"/>
      <c r="Q560" s="19"/>
      <c r="R560" s="22" t="str">
        <f aca="false">IF(A560="","",N(G560)+N(I560))</f>
        <v/>
      </c>
      <c r="S560" s="23" t="str">
        <f aca="false">IF(OR(K560="",O560=""),"",O560-K560)</f>
        <v/>
      </c>
      <c r="T560" s="23" t="str">
        <f aca="true">IF(AND(C560="Cetak",L560&lt;&gt;"",L560&lt;TODAY()),"YA","")</f>
        <v/>
      </c>
      <c r="U560" s="23" t="str">
        <f aca="false">IF(B560="","",TEXT(B560,"yyyy-mm"))</f>
        <v/>
      </c>
      <c r="V560" s="23" t="str">
        <f aca="false">IF(K560="","",TEXT(K560,"yyyy-mm"))</f>
        <v/>
      </c>
      <c r="W560" s="23" t="n">
        <f aca="false">IF(OR(C560="Cetak",C560="Dikirim",C560="Selesai"),1,0)</f>
        <v>0</v>
      </c>
      <c r="X560" s="23" t="str">
        <f aca="false">IF(F560="","",SUBSTITUTE(SUBSTITUTE(MID(UPPER(TRIM(F560)),4,99),"-LED",""),"-TK",""))</f>
        <v/>
      </c>
      <c r="Y560" s="23" t="str">
        <f aca="false">IF(X560="","",(LEN(X560)+1)/7)</f>
        <v/>
      </c>
      <c r="Z560" s="23" t="str">
        <f aca="false">IF(X560="","",LEFT(X560,6))</f>
        <v/>
      </c>
      <c r="AA560" s="23" t="str">
        <f aca="false">IF(X560="","",IF(Y560&gt;=3,MID(X560,8,6),""))</f>
        <v/>
      </c>
      <c r="AB560" s="23" t="str">
        <f aca="false">IF(X560="","",IF(Y560&gt;=4,MID(X560,15,6),""))</f>
        <v/>
      </c>
      <c r="AC560" s="23" t="str">
        <f aca="false">IF(X560="","",IF(Y560&gt;=5,MID(X560,22,6),""))</f>
        <v/>
      </c>
      <c r="AD560" s="23" t="str">
        <f aca="false">IF(X560="","",RIGHT(X560,6))</f>
        <v/>
      </c>
      <c r="AE560" s="23" t="str">
        <f aca="false">IF(F560="","",IF(ISNUMBER(SEARCH("-TK",UPPER(F560))),0,1))</f>
        <v/>
      </c>
      <c r="AF560" s="23" t="str">
        <f aca="false">IF(F560="","",IF(ISNUMBER(SEARCH("-LED",UPPER(F560))),1,0))</f>
        <v/>
      </c>
      <c r="AG560" s="24" t="n">
        <f aca="false">IF(Z560="",0,IFERROR(INDEX(Resep!$C$5:$C$7,MATCH(LEFT(Z560,3),Resep!$B$5:$B$7,0)),0))</f>
        <v>0</v>
      </c>
      <c r="AH560" s="24" t="n">
        <f aca="false">IF(AA560="",0,IFERROR(INDEX(Resep!$C$9:$C$13,MATCH(LEFT(AA560,3),Resep!$B$9:$B$13,0)),0))</f>
        <v>0</v>
      </c>
      <c r="AI560" s="24" t="n">
        <f aca="false">IF(AB560="",0,IFERROR(INDEX(Resep!$C$9:$C$13,MATCH(LEFT(AB560,3),Resep!$B$9:$B$13,0)),0))</f>
        <v>0</v>
      </c>
      <c r="AJ560" s="24" t="n">
        <f aca="false">IF(AC560="",0,IFERROR(INDEX(Resep!$C$9:$C$13,MATCH(LEFT(AC560,3),Resep!$B$9:$B$13,0)),0))</f>
        <v>0</v>
      </c>
      <c r="AK560" s="24" t="n">
        <f aca="false">IF(AD560="",0,IFERROR(INDEX(Resep!$C$15:$C$18,MATCH(LEFT(AD560,3),Resep!$B$15:$B$18,0)),0))</f>
        <v>0</v>
      </c>
      <c r="AL560" s="24" t="str">
        <f aca="false">IF(X560="","",AG560+AH560+AI560+AJ560+AK560)</f>
        <v/>
      </c>
      <c r="AM560" s="22" t="str">
        <f aca="false">IF(X560="","",AL560*(Pengaturan!$B$6+Pengaturan!$B$7)+Pengaturan!$B$8+AE560*Pengaturan!$B$9+AF560*Pengaturan!$B$10)</f>
        <v/>
      </c>
      <c r="AN560" s="22" t="str">
        <f aca="false">IF(X560="","",N(G560)-AM560)</f>
        <v/>
      </c>
      <c r="AO560" s="25" t="str">
        <f aca="false">IF(OR(X560="",N(G560)=0),"",AN560/G560)</f>
        <v/>
      </c>
    </row>
    <row r="561" customFormat="false" ht="15" hidden="false" customHeight="false" outlineLevel="0" collapsed="false">
      <c r="A561" s="19"/>
      <c r="B561" s="20"/>
      <c r="C561" s="19"/>
      <c r="D561" s="19"/>
      <c r="E561" s="19"/>
      <c r="F561" s="19"/>
      <c r="G561" s="21"/>
      <c r="H561" s="19"/>
      <c r="I561" s="21"/>
      <c r="J561" s="19"/>
      <c r="K561" s="20"/>
      <c r="L561" s="20"/>
      <c r="M561" s="19"/>
      <c r="N561" s="19"/>
      <c r="O561" s="20"/>
      <c r="P561" s="20"/>
      <c r="Q561" s="19"/>
      <c r="R561" s="22" t="str">
        <f aca="false">IF(A561="","",N(G561)+N(I561))</f>
        <v/>
      </c>
      <c r="S561" s="23" t="str">
        <f aca="false">IF(OR(K561="",O561=""),"",O561-K561)</f>
        <v/>
      </c>
      <c r="T561" s="23" t="str">
        <f aca="true">IF(AND(C561="Cetak",L561&lt;&gt;"",L561&lt;TODAY()),"YA","")</f>
        <v/>
      </c>
      <c r="U561" s="23" t="str">
        <f aca="false">IF(B561="","",TEXT(B561,"yyyy-mm"))</f>
        <v/>
      </c>
      <c r="V561" s="23" t="str">
        <f aca="false">IF(K561="","",TEXT(K561,"yyyy-mm"))</f>
        <v/>
      </c>
      <c r="W561" s="23" t="n">
        <f aca="false">IF(OR(C561="Cetak",C561="Dikirim",C561="Selesai"),1,0)</f>
        <v>0</v>
      </c>
      <c r="X561" s="23" t="str">
        <f aca="false">IF(F561="","",SUBSTITUTE(SUBSTITUTE(MID(UPPER(TRIM(F561)),4,99),"-LED",""),"-TK",""))</f>
        <v/>
      </c>
      <c r="Y561" s="23" t="str">
        <f aca="false">IF(X561="","",(LEN(X561)+1)/7)</f>
        <v/>
      </c>
      <c r="Z561" s="23" t="str">
        <f aca="false">IF(X561="","",LEFT(X561,6))</f>
        <v/>
      </c>
      <c r="AA561" s="23" t="str">
        <f aca="false">IF(X561="","",IF(Y561&gt;=3,MID(X561,8,6),""))</f>
        <v/>
      </c>
      <c r="AB561" s="23" t="str">
        <f aca="false">IF(X561="","",IF(Y561&gt;=4,MID(X561,15,6),""))</f>
        <v/>
      </c>
      <c r="AC561" s="23" t="str">
        <f aca="false">IF(X561="","",IF(Y561&gt;=5,MID(X561,22,6),""))</f>
        <v/>
      </c>
      <c r="AD561" s="23" t="str">
        <f aca="false">IF(X561="","",RIGHT(X561,6))</f>
        <v/>
      </c>
      <c r="AE561" s="23" t="str">
        <f aca="false">IF(F561="","",IF(ISNUMBER(SEARCH("-TK",UPPER(F561))),0,1))</f>
        <v/>
      </c>
      <c r="AF561" s="23" t="str">
        <f aca="false">IF(F561="","",IF(ISNUMBER(SEARCH("-LED",UPPER(F561))),1,0))</f>
        <v/>
      </c>
      <c r="AG561" s="24" t="n">
        <f aca="false">IF(Z561="",0,IFERROR(INDEX(Resep!$C$5:$C$7,MATCH(LEFT(Z561,3),Resep!$B$5:$B$7,0)),0))</f>
        <v>0</v>
      </c>
      <c r="AH561" s="24" t="n">
        <f aca="false">IF(AA561="",0,IFERROR(INDEX(Resep!$C$9:$C$13,MATCH(LEFT(AA561,3),Resep!$B$9:$B$13,0)),0))</f>
        <v>0</v>
      </c>
      <c r="AI561" s="24" t="n">
        <f aca="false">IF(AB561="",0,IFERROR(INDEX(Resep!$C$9:$C$13,MATCH(LEFT(AB561,3),Resep!$B$9:$B$13,0)),0))</f>
        <v>0</v>
      </c>
      <c r="AJ561" s="24" t="n">
        <f aca="false">IF(AC561="",0,IFERROR(INDEX(Resep!$C$9:$C$13,MATCH(LEFT(AC561,3),Resep!$B$9:$B$13,0)),0))</f>
        <v>0</v>
      </c>
      <c r="AK561" s="24" t="n">
        <f aca="false">IF(AD561="",0,IFERROR(INDEX(Resep!$C$15:$C$18,MATCH(LEFT(AD561,3),Resep!$B$15:$B$18,0)),0))</f>
        <v>0</v>
      </c>
      <c r="AL561" s="24" t="str">
        <f aca="false">IF(X561="","",AG561+AH561+AI561+AJ561+AK561)</f>
        <v/>
      </c>
      <c r="AM561" s="22" t="str">
        <f aca="false">IF(X561="","",AL561*(Pengaturan!$B$6+Pengaturan!$B$7)+Pengaturan!$B$8+AE561*Pengaturan!$B$9+AF561*Pengaturan!$B$10)</f>
        <v/>
      </c>
      <c r="AN561" s="22" t="str">
        <f aca="false">IF(X561="","",N(G561)-AM561)</f>
        <v/>
      </c>
      <c r="AO561" s="25" t="str">
        <f aca="false">IF(OR(X561="",N(G561)=0),"",AN561/G561)</f>
        <v/>
      </c>
    </row>
    <row r="562" customFormat="false" ht="15" hidden="false" customHeight="false" outlineLevel="0" collapsed="false">
      <c r="A562" s="19"/>
      <c r="B562" s="20"/>
      <c r="C562" s="19"/>
      <c r="D562" s="19"/>
      <c r="E562" s="19"/>
      <c r="F562" s="19"/>
      <c r="G562" s="21"/>
      <c r="H562" s="19"/>
      <c r="I562" s="21"/>
      <c r="J562" s="19"/>
      <c r="K562" s="20"/>
      <c r="L562" s="20"/>
      <c r="M562" s="19"/>
      <c r="N562" s="19"/>
      <c r="O562" s="20"/>
      <c r="P562" s="20"/>
      <c r="Q562" s="19"/>
      <c r="R562" s="22" t="str">
        <f aca="false">IF(A562="","",N(G562)+N(I562))</f>
        <v/>
      </c>
      <c r="S562" s="23" t="str">
        <f aca="false">IF(OR(K562="",O562=""),"",O562-K562)</f>
        <v/>
      </c>
      <c r="T562" s="23" t="str">
        <f aca="true">IF(AND(C562="Cetak",L562&lt;&gt;"",L562&lt;TODAY()),"YA","")</f>
        <v/>
      </c>
      <c r="U562" s="23" t="str">
        <f aca="false">IF(B562="","",TEXT(B562,"yyyy-mm"))</f>
        <v/>
      </c>
      <c r="V562" s="23" t="str">
        <f aca="false">IF(K562="","",TEXT(K562,"yyyy-mm"))</f>
        <v/>
      </c>
      <c r="W562" s="23" t="n">
        <f aca="false">IF(OR(C562="Cetak",C562="Dikirim",C562="Selesai"),1,0)</f>
        <v>0</v>
      </c>
      <c r="X562" s="23" t="str">
        <f aca="false">IF(F562="","",SUBSTITUTE(SUBSTITUTE(MID(UPPER(TRIM(F562)),4,99),"-LED",""),"-TK",""))</f>
        <v/>
      </c>
      <c r="Y562" s="23" t="str">
        <f aca="false">IF(X562="","",(LEN(X562)+1)/7)</f>
        <v/>
      </c>
      <c r="Z562" s="23" t="str">
        <f aca="false">IF(X562="","",LEFT(X562,6))</f>
        <v/>
      </c>
      <c r="AA562" s="23" t="str">
        <f aca="false">IF(X562="","",IF(Y562&gt;=3,MID(X562,8,6),""))</f>
        <v/>
      </c>
      <c r="AB562" s="23" t="str">
        <f aca="false">IF(X562="","",IF(Y562&gt;=4,MID(X562,15,6),""))</f>
        <v/>
      </c>
      <c r="AC562" s="23" t="str">
        <f aca="false">IF(X562="","",IF(Y562&gt;=5,MID(X562,22,6),""))</f>
        <v/>
      </c>
      <c r="AD562" s="23" t="str">
        <f aca="false">IF(X562="","",RIGHT(X562,6))</f>
        <v/>
      </c>
      <c r="AE562" s="23" t="str">
        <f aca="false">IF(F562="","",IF(ISNUMBER(SEARCH("-TK",UPPER(F562))),0,1))</f>
        <v/>
      </c>
      <c r="AF562" s="23" t="str">
        <f aca="false">IF(F562="","",IF(ISNUMBER(SEARCH("-LED",UPPER(F562))),1,0))</f>
        <v/>
      </c>
      <c r="AG562" s="24" t="n">
        <f aca="false">IF(Z562="",0,IFERROR(INDEX(Resep!$C$5:$C$7,MATCH(LEFT(Z562,3),Resep!$B$5:$B$7,0)),0))</f>
        <v>0</v>
      </c>
      <c r="AH562" s="24" t="n">
        <f aca="false">IF(AA562="",0,IFERROR(INDEX(Resep!$C$9:$C$13,MATCH(LEFT(AA562,3),Resep!$B$9:$B$13,0)),0))</f>
        <v>0</v>
      </c>
      <c r="AI562" s="24" t="n">
        <f aca="false">IF(AB562="",0,IFERROR(INDEX(Resep!$C$9:$C$13,MATCH(LEFT(AB562,3),Resep!$B$9:$B$13,0)),0))</f>
        <v>0</v>
      </c>
      <c r="AJ562" s="24" t="n">
        <f aca="false">IF(AC562="",0,IFERROR(INDEX(Resep!$C$9:$C$13,MATCH(LEFT(AC562,3),Resep!$B$9:$B$13,0)),0))</f>
        <v>0</v>
      </c>
      <c r="AK562" s="24" t="n">
        <f aca="false">IF(AD562="",0,IFERROR(INDEX(Resep!$C$15:$C$18,MATCH(LEFT(AD562,3),Resep!$B$15:$B$18,0)),0))</f>
        <v>0</v>
      </c>
      <c r="AL562" s="24" t="str">
        <f aca="false">IF(X562="","",AG562+AH562+AI562+AJ562+AK562)</f>
        <v/>
      </c>
      <c r="AM562" s="22" t="str">
        <f aca="false">IF(X562="","",AL562*(Pengaturan!$B$6+Pengaturan!$B$7)+Pengaturan!$B$8+AE562*Pengaturan!$B$9+AF562*Pengaturan!$B$10)</f>
        <v/>
      </c>
      <c r="AN562" s="22" t="str">
        <f aca="false">IF(X562="","",N(G562)-AM562)</f>
        <v/>
      </c>
      <c r="AO562" s="25" t="str">
        <f aca="false">IF(OR(X562="",N(G562)=0),"",AN562/G562)</f>
        <v/>
      </c>
    </row>
    <row r="563" customFormat="false" ht="15" hidden="false" customHeight="false" outlineLevel="0" collapsed="false">
      <c r="A563" s="19"/>
      <c r="B563" s="20"/>
      <c r="C563" s="19"/>
      <c r="D563" s="19"/>
      <c r="E563" s="19"/>
      <c r="F563" s="19"/>
      <c r="G563" s="21"/>
      <c r="H563" s="19"/>
      <c r="I563" s="21"/>
      <c r="J563" s="19"/>
      <c r="K563" s="20"/>
      <c r="L563" s="20"/>
      <c r="M563" s="19"/>
      <c r="N563" s="19"/>
      <c r="O563" s="20"/>
      <c r="P563" s="20"/>
      <c r="Q563" s="19"/>
      <c r="R563" s="22" t="str">
        <f aca="false">IF(A563="","",N(G563)+N(I563))</f>
        <v/>
      </c>
      <c r="S563" s="23" t="str">
        <f aca="false">IF(OR(K563="",O563=""),"",O563-K563)</f>
        <v/>
      </c>
      <c r="T563" s="23" t="str">
        <f aca="true">IF(AND(C563="Cetak",L563&lt;&gt;"",L563&lt;TODAY()),"YA","")</f>
        <v/>
      </c>
      <c r="U563" s="23" t="str">
        <f aca="false">IF(B563="","",TEXT(B563,"yyyy-mm"))</f>
        <v/>
      </c>
      <c r="V563" s="23" t="str">
        <f aca="false">IF(K563="","",TEXT(K563,"yyyy-mm"))</f>
        <v/>
      </c>
      <c r="W563" s="23" t="n">
        <f aca="false">IF(OR(C563="Cetak",C563="Dikirim",C563="Selesai"),1,0)</f>
        <v>0</v>
      </c>
      <c r="X563" s="23" t="str">
        <f aca="false">IF(F563="","",SUBSTITUTE(SUBSTITUTE(MID(UPPER(TRIM(F563)),4,99),"-LED",""),"-TK",""))</f>
        <v/>
      </c>
      <c r="Y563" s="23" t="str">
        <f aca="false">IF(X563="","",(LEN(X563)+1)/7)</f>
        <v/>
      </c>
      <c r="Z563" s="23" t="str">
        <f aca="false">IF(X563="","",LEFT(X563,6))</f>
        <v/>
      </c>
      <c r="AA563" s="23" t="str">
        <f aca="false">IF(X563="","",IF(Y563&gt;=3,MID(X563,8,6),""))</f>
        <v/>
      </c>
      <c r="AB563" s="23" t="str">
        <f aca="false">IF(X563="","",IF(Y563&gt;=4,MID(X563,15,6),""))</f>
        <v/>
      </c>
      <c r="AC563" s="23" t="str">
        <f aca="false">IF(X563="","",IF(Y563&gt;=5,MID(X563,22,6),""))</f>
        <v/>
      </c>
      <c r="AD563" s="23" t="str">
        <f aca="false">IF(X563="","",RIGHT(X563,6))</f>
        <v/>
      </c>
      <c r="AE563" s="23" t="str">
        <f aca="false">IF(F563="","",IF(ISNUMBER(SEARCH("-TK",UPPER(F563))),0,1))</f>
        <v/>
      </c>
      <c r="AF563" s="23" t="str">
        <f aca="false">IF(F563="","",IF(ISNUMBER(SEARCH("-LED",UPPER(F563))),1,0))</f>
        <v/>
      </c>
      <c r="AG563" s="24" t="n">
        <f aca="false">IF(Z563="",0,IFERROR(INDEX(Resep!$C$5:$C$7,MATCH(LEFT(Z563,3),Resep!$B$5:$B$7,0)),0))</f>
        <v>0</v>
      </c>
      <c r="AH563" s="24" t="n">
        <f aca="false">IF(AA563="",0,IFERROR(INDEX(Resep!$C$9:$C$13,MATCH(LEFT(AA563,3),Resep!$B$9:$B$13,0)),0))</f>
        <v>0</v>
      </c>
      <c r="AI563" s="24" t="n">
        <f aca="false">IF(AB563="",0,IFERROR(INDEX(Resep!$C$9:$C$13,MATCH(LEFT(AB563,3),Resep!$B$9:$B$13,0)),0))</f>
        <v>0</v>
      </c>
      <c r="AJ563" s="24" t="n">
        <f aca="false">IF(AC563="",0,IFERROR(INDEX(Resep!$C$9:$C$13,MATCH(LEFT(AC563,3),Resep!$B$9:$B$13,0)),0))</f>
        <v>0</v>
      </c>
      <c r="AK563" s="24" t="n">
        <f aca="false">IF(AD563="",0,IFERROR(INDEX(Resep!$C$15:$C$18,MATCH(LEFT(AD563,3),Resep!$B$15:$B$18,0)),0))</f>
        <v>0</v>
      </c>
      <c r="AL563" s="24" t="str">
        <f aca="false">IF(X563="","",AG563+AH563+AI563+AJ563+AK563)</f>
        <v/>
      </c>
      <c r="AM563" s="22" t="str">
        <f aca="false">IF(X563="","",AL563*(Pengaturan!$B$6+Pengaturan!$B$7)+Pengaturan!$B$8+AE563*Pengaturan!$B$9+AF563*Pengaturan!$B$10)</f>
        <v/>
      </c>
      <c r="AN563" s="22" t="str">
        <f aca="false">IF(X563="","",N(G563)-AM563)</f>
        <v/>
      </c>
      <c r="AO563" s="25" t="str">
        <f aca="false">IF(OR(X563="",N(G563)=0),"",AN563/G563)</f>
        <v/>
      </c>
    </row>
    <row r="564" customFormat="false" ht="15" hidden="false" customHeight="false" outlineLevel="0" collapsed="false">
      <c r="A564" s="19"/>
      <c r="B564" s="20"/>
      <c r="C564" s="19"/>
      <c r="D564" s="19"/>
      <c r="E564" s="19"/>
      <c r="F564" s="19"/>
      <c r="G564" s="21"/>
      <c r="H564" s="19"/>
      <c r="I564" s="21"/>
      <c r="J564" s="19"/>
      <c r="K564" s="20"/>
      <c r="L564" s="20"/>
      <c r="M564" s="19"/>
      <c r="N564" s="19"/>
      <c r="O564" s="20"/>
      <c r="P564" s="20"/>
      <c r="Q564" s="19"/>
      <c r="R564" s="22" t="str">
        <f aca="false">IF(A564="","",N(G564)+N(I564))</f>
        <v/>
      </c>
      <c r="S564" s="23" t="str">
        <f aca="false">IF(OR(K564="",O564=""),"",O564-K564)</f>
        <v/>
      </c>
      <c r="T564" s="23" t="str">
        <f aca="true">IF(AND(C564="Cetak",L564&lt;&gt;"",L564&lt;TODAY()),"YA","")</f>
        <v/>
      </c>
      <c r="U564" s="23" t="str">
        <f aca="false">IF(B564="","",TEXT(B564,"yyyy-mm"))</f>
        <v/>
      </c>
      <c r="V564" s="23" t="str">
        <f aca="false">IF(K564="","",TEXT(K564,"yyyy-mm"))</f>
        <v/>
      </c>
      <c r="W564" s="23" t="n">
        <f aca="false">IF(OR(C564="Cetak",C564="Dikirim",C564="Selesai"),1,0)</f>
        <v>0</v>
      </c>
      <c r="X564" s="23" t="str">
        <f aca="false">IF(F564="","",SUBSTITUTE(SUBSTITUTE(MID(UPPER(TRIM(F564)),4,99),"-LED",""),"-TK",""))</f>
        <v/>
      </c>
      <c r="Y564" s="23" t="str">
        <f aca="false">IF(X564="","",(LEN(X564)+1)/7)</f>
        <v/>
      </c>
      <c r="Z564" s="23" t="str">
        <f aca="false">IF(X564="","",LEFT(X564,6))</f>
        <v/>
      </c>
      <c r="AA564" s="23" t="str">
        <f aca="false">IF(X564="","",IF(Y564&gt;=3,MID(X564,8,6),""))</f>
        <v/>
      </c>
      <c r="AB564" s="23" t="str">
        <f aca="false">IF(X564="","",IF(Y564&gt;=4,MID(X564,15,6),""))</f>
        <v/>
      </c>
      <c r="AC564" s="23" t="str">
        <f aca="false">IF(X564="","",IF(Y564&gt;=5,MID(X564,22,6),""))</f>
        <v/>
      </c>
      <c r="AD564" s="23" t="str">
        <f aca="false">IF(X564="","",RIGHT(X564,6))</f>
        <v/>
      </c>
      <c r="AE564" s="23" t="str">
        <f aca="false">IF(F564="","",IF(ISNUMBER(SEARCH("-TK",UPPER(F564))),0,1))</f>
        <v/>
      </c>
      <c r="AF564" s="23" t="str">
        <f aca="false">IF(F564="","",IF(ISNUMBER(SEARCH("-LED",UPPER(F564))),1,0))</f>
        <v/>
      </c>
      <c r="AG564" s="24" t="n">
        <f aca="false">IF(Z564="",0,IFERROR(INDEX(Resep!$C$5:$C$7,MATCH(LEFT(Z564,3),Resep!$B$5:$B$7,0)),0))</f>
        <v>0</v>
      </c>
      <c r="AH564" s="24" t="n">
        <f aca="false">IF(AA564="",0,IFERROR(INDEX(Resep!$C$9:$C$13,MATCH(LEFT(AA564,3),Resep!$B$9:$B$13,0)),0))</f>
        <v>0</v>
      </c>
      <c r="AI564" s="24" t="n">
        <f aca="false">IF(AB564="",0,IFERROR(INDEX(Resep!$C$9:$C$13,MATCH(LEFT(AB564,3),Resep!$B$9:$B$13,0)),0))</f>
        <v>0</v>
      </c>
      <c r="AJ564" s="24" t="n">
        <f aca="false">IF(AC564="",0,IFERROR(INDEX(Resep!$C$9:$C$13,MATCH(LEFT(AC564,3),Resep!$B$9:$B$13,0)),0))</f>
        <v>0</v>
      </c>
      <c r="AK564" s="24" t="n">
        <f aca="false">IF(AD564="",0,IFERROR(INDEX(Resep!$C$15:$C$18,MATCH(LEFT(AD564,3),Resep!$B$15:$B$18,0)),0))</f>
        <v>0</v>
      </c>
      <c r="AL564" s="24" t="str">
        <f aca="false">IF(X564="","",AG564+AH564+AI564+AJ564+AK564)</f>
        <v/>
      </c>
      <c r="AM564" s="22" t="str">
        <f aca="false">IF(X564="","",AL564*(Pengaturan!$B$6+Pengaturan!$B$7)+Pengaturan!$B$8+AE564*Pengaturan!$B$9+AF564*Pengaturan!$B$10)</f>
        <v/>
      </c>
      <c r="AN564" s="22" t="str">
        <f aca="false">IF(X564="","",N(G564)-AM564)</f>
        <v/>
      </c>
      <c r="AO564" s="25" t="str">
        <f aca="false">IF(OR(X564="",N(G564)=0),"",AN564/G564)</f>
        <v/>
      </c>
    </row>
    <row r="565" customFormat="false" ht="15" hidden="false" customHeight="false" outlineLevel="0" collapsed="false">
      <c r="A565" s="19"/>
      <c r="B565" s="20"/>
      <c r="C565" s="19"/>
      <c r="D565" s="19"/>
      <c r="E565" s="19"/>
      <c r="F565" s="19"/>
      <c r="G565" s="21"/>
      <c r="H565" s="19"/>
      <c r="I565" s="21"/>
      <c r="J565" s="19"/>
      <c r="K565" s="20"/>
      <c r="L565" s="20"/>
      <c r="M565" s="19"/>
      <c r="N565" s="19"/>
      <c r="O565" s="20"/>
      <c r="P565" s="20"/>
      <c r="Q565" s="19"/>
      <c r="R565" s="22" t="str">
        <f aca="false">IF(A565="","",N(G565)+N(I565))</f>
        <v/>
      </c>
      <c r="S565" s="23" t="str">
        <f aca="false">IF(OR(K565="",O565=""),"",O565-K565)</f>
        <v/>
      </c>
      <c r="T565" s="23" t="str">
        <f aca="true">IF(AND(C565="Cetak",L565&lt;&gt;"",L565&lt;TODAY()),"YA","")</f>
        <v/>
      </c>
      <c r="U565" s="23" t="str">
        <f aca="false">IF(B565="","",TEXT(B565,"yyyy-mm"))</f>
        <v/>
      </c>
      <c r="V565" s="23" t="str">
        <f aca="false">IF(K565="","",TEXT(K565,"yyyy-mm"))</f>
        <v/>
      </c>
      <c r="W565" s="23" t="n">
        <f aca="false">IF(OR(C565="Cetak",C565="Dikirim",C565="Selesai"),1,0)</f>
        <v>0</v>
      </c>
      <c r="X565" s="23" t="str">
        <f aca="false">IF(F565="","",SUBSTITUTE(SUBSTITUTE(MID(UPPER(TRIM(F565)),4,99),"-LED",""),"-TK",""))</f>
        <v/>
      </c>
      <c r="Y565" s="23" t="str">
        <f aca="false">IF(X565="","",(LEN(X565)+1)/7)</f>
        <v/>
      </c>
      <c r="Z565" s="23" t="str">
        <f aca="false">IF(X565="","",LEFT(X565,6))</f>
        <v/>
      </c>
      <c r="AA565" s="23" t="str">
        <f aca="false">IF(X565="","",IF(Y565&gt;=3,MID(X565,8,6),""))</f>
        <v/>
      </c>
      <c r="AB565" s="23" t="str">
        <f aca="false">IF(X565="","",IF(Y565&gt;=4,MID(X565,15,6),""))</f>
        <v/>
      </c>
      <c r="AC565" s="23" t="str">
        <f aca="false">IF(X565="","",IF(Y565&gt;=5,MID(X565,22,6),""))</f>
        <v/>
      </c>
      <c r="AD565" s="23" t="str">
        <f aca="false">IF(X565="","",RIGHT(X565,6))</f>
        <v/>
      </c>
      <c r="AE565" s="23" t="str">
        <f aca="false">IF(F565="","",IF(ISNUMBER(SEARCH("-TK",UPPER(F565))),0,1))</f>
        <v/>
      </c>
      <c r="AF565" s="23" t="str">
        <f aca="false">IF(F565="","",IF(ISNUMBER(SEARCH("-LED",UPPER(F565))),1,0))</f>
        <v/>
      </c>
      <c r="AG565" s="24" t="n">
        <f aca="false">IF(Z565="",0,IFERROR(INDEX(Resep!$C$5:$C$7,MATCH(LEFT(Z565,3),Resep!$B$5:$B$7,0)),0))</f>
        <v>0</v>
      </c>
      <c r="AH565" s="24" t="n">
        <f aca="false">IF(AA565="",0,IFERROR(INDEX(Resep!$C$9:$C$13,MATCH(LEFT(AA565,3),Resep!$B$9:$B$13,0)),0))</f>
        <v>0</v>
      </c>
      <c r="AI565" s="24" t="n">
        <f aca="false">IF(AB565="",0,IFERROR(INDEX(Resep!$C$9:$C$13,MATCH(LEFT(AB565,3),Resep!$B$9:$B$13,0)),0))</f>
        <v>0</v>
      </c>
      <c r="AJ565" s="24" t="n">
        <f aca="false">IF(AC565="",0,IFERROR(INDEX(Resep!$C$9:$C$13,MATCH(LEFT(AC565,3),Resep!$B$9:$B$13,0)),0))</f>
        <v>0</v>
      </c>
      <c r="AK565" s="24" t="n">
        <f aca="false">IF(AD565="",0,IFERROR(INDEX(Resep!$C$15:$C$18,MATCH(LEFT(AD565,3),Resep!$B$15:$B$18,0)),0))</f>
        <v>0</v>
      </c>
      <c r="AL565" s="24" t="str">
        <f aca="false">IF(X565="","",AG565+AH565+AI565+AJ565+AK565)</f>
        <v/>
      </c>
      <c r="AM565" s="22" t="str">
        <f aca="false">IF(X565="","",AL565*(Pengaturan!$B$6+Pengaturan!$B$7)+Pengaturan!$B$8+AE565*Pengaturan!$B$9+AF565*Pengaturan!$B$10)</f>
        <v/>
      </c>
      <c r="AN565" s="22" t="str">
        <f aca="false">IF(X565="","",N(G565)-AM565)</f>
        <v/>
      </c>
      <c r="AO565" s="25" t="str">
        <f aca="false">IF(OR(X565="",N(G565)=0),"",AN565/G565)</f>
        <v/>
      </c>
    </row>
    <row r="566" customFormat="false" ht="15" hidden="false" customHeight="false" outlineLevel="0" collapsed="false">
      <c r="A566" s="19"/>
      <c r="B566" s="20"/>
      <c r="C566" s="19"/>
      <c r="D566" s="19"/>
      <c r="E566" s="19"/>
      <c r="F566" s="19"/>
      <c r="G566" s="21"/>
      <c r="H566" s="19"/>
      <c r="I566" s="21"/>
      <c r="J566" s="19"/>
      <c r="K566" s="20"/>
      <c r="L566" s="20"/>
      <c r="M566" s="19"/>
      <c r="N566" s="19"/>
      <c r="O566" s="20"/>
      <c r="P566" s="20"/>
      <c r="Q566" s="19"/>
      <c r="R566" s="22" t="str">
        <f aca="false">IF(A566="","",N(G566)+N(I566))</f>
        <v/>
      </c>
      <c r="S566" s="23" t="str">
        <f aca="false">IF(OR(K566="",O566=""),"",O566-K566)</f>
        <v/>
      </c>
      <c r="T566" s="23" t="str">
        <f aca="true">IF(AND(C566="Cetak",L566&lt;&gt;"",L566&lt;TODAY()),"YA","")</f>
        <v/>
      </c>
      <c r="U566" s="23" t="str">
        <f aca="false">IF(B566="","",TEXT(B566,"yyyy-mm"))</f>
        <v/>
      </c>
      <c r="V566" s="23" t="str">
        <f aca="false">IF(K566="","",TEXT(K566,"yyyy-mm"))</f>
        <v/>
      </c>
      <c r="W566" s="23" t="n">
        <f aca="false">IF(OR(C566="Cetak",C566="Dikirim",C566="Selesai"),1,0)</f>
        <v>0</v>
      </c>
      <c r="X566" s="23" t="str">
        <f aca="false">IF(F566="","",SUBSTITUTE(SUBSTITUTE(MID(UPPER(TRIM(F566)),4,99),"-LED",""),"-TK",""))</f>
        <v/>
      </c>
      <c r="Y566" s="23" t="str">
        <f aca="false">IF(X566="","",(LEN(X566)+1)/7)</f>
        <v/>
      </c>
      <c r="Z566" s="23" t="str">
        <f aca="false">IF(X566="","",LEFT(X566,6))</f>
        <v/>
      </c>
      <c r="AA566" s="23" t="str">
        <f aca="false">IF(X566="","",IF(Y566&gt;=3,MID(X566,8,6),""))</f>
        <v/>
      </c>
      <c r="AB566" s="23" t="str">
        <f aca="false">IF(X566="","",IF(Y566&gt;=4,MID(X566,15,6),""))</f>
        <v/>
      </c>
      <c r="AC566" s="23" t="str">
        <f aca="false">IF(X566="","",IF(Y566&gt;=5,MID(X566,22,6),""))</f>
        <v/>
      </c>
      <c r="AD566" s="23" t="str">
        <f aca="false">IF(X566="","",RIGHT(X566,6))</f>
        <v/>
      </c>
      <c r="AE566" s="23" t="str">
        <f aca="false">IF(F566="","",IF(ISNUMBER(SEARCH("-TK",UPPER(F566))),0,1))</f>
        <v/>
      </c>
      <c r="AF566" s="23" t="str">
        <f aca="false">IF(F566="","",IF(ISNUMBER(SEARCH("-LED",UPPER(F566))),1,0))</f>
        <v/>
      </c>
      <c r="AG566" s="24" t="n">
        <f aca="false">IF(Z566="",0,IFERROR(INDEX(Resep!$C$5:$C$7,MATCH(LEFT(Z566,3),Resep!$B$5:$B$7,0)),0))</f>
        <v>0</v>
      </c>
      <c r="AH566" s="24" t="n">
        <f aca="false">IF(AA566="",0,IFERROR(INDEX(Resep!$C$9:$C$13,MATCH(LEFT(AA566,3),Resep!$B$9:$B$13,0)),0))</f>
        <v>0</v>
      </c>
      <c r="AI566" s="24" t="n">
        <f aca="false">IF(AB566="",0,IFERROR(INDEX(Resep!$C$9:$C$13,MATCH(LEFT(AB566,3),Resep!$B$9:$B$13,0)),0))</f>
        <v>0</v>
      </c>
      <c r="AJ566" s="24" t="n">
        <f aca="false">IF(AC566="",0,IFERROR(INDEX(Resep!$C$9:$C$13,MATCH(LEFT(AC566,3),Resep!$B$9:$B$13,0)),0))</f>
        <v>0</v>
      </c>
      <c r="AK566" s="24" t="n">
        <f aca="false">IF(AD566="",0,IFERROR(INDEX(Resep!$C$15:$C$18,MATCH(LEFT(AD566,3),Resep!$B$15:$B$18,0)),0))</f>
        <v>0</v>
      </c>
      <c r="AL566" s="24" t="str">
        <f aca="false">IF(X566="","",AG566+AH566+AI566+AJ566+AK566)</f>
        <v/>
      </c>
      <c r="AM566" s="22" t="str">
        <f aca="false">IF(X566="","",AL566*(Pengaturan!$B$6+Pengaturan!$B$7)+Pengaturan!$B$8+AE566*Pengaturan!$B$9+AF566*Pengaturan!$B$10)</f>
        <v/>
      </c>
      <c r="AN566" s="22" t="str">
        <f aca="false">IF(X566="","",N(G566)-AM566)</f>
        <v/>
      </c>
      <c r="AO566" s="25" t="str">
        <f aca="false">IF(OR(X566="",N(G566)=0),"",AN566/G566)</f>
        <v/>
      </c>
    </row>
    <row r="567" customFormat="false" ht="15" hidden="false" customHeight="false" outlineLevel="0" collapsed="false">
      <c r="A567" s="19"/>
      <c r="B567" s="20"/>
      <c r="C567" s="19"/>
      <c r="D567" s="19"/>
      <c r="E567" s="19"/>
      <c r="F567" s="19"/>
      <c r="G567" s="21"/>
      <c r="H567" s="19"/>
      <c r="I567" s="21"/>
      <c r="J567" s="19"/>
      <c r="K567" s="20"/>
      <c r="L567" s="20"/>
      <c r="M567" s="19"/>
      <c r="N567" s="19"/>
      <c r="O567" s="20"/>
      <c r="P567" s="20"/>
      <c r="Q567" s="19"/>
      <c r="R567" s="22" t="str">
        <f aca="false">IF(A567="","",N(G567)+N(I567))</f>
        <v/>
      </c>
      <c r="S567" s="23" t="str">
        <f aca="false">IF(OR(K567="",O567=""),"",O567-K567)</f>
        <v/>
      </c>
      <c r="T567" s="23" t="str">
        <f aca="true">IF(AND(C567="Cetak",L567&lt;&gt;"",L567&lt;TODAY()),"YA","")</f>
        <v/>
      </c>
      <c r="U567" s="23" t="str">
        <f aca="false">IF(B567="","",TEXT(B567,"yyyy-mm"))</f>
        <v/>
      </c>
      <c r="V567" s="23" t="str">
        <f aca="false">IF(K567="","",TEXT(K567,"yyyy-mm"))</f>
        <v/>
      </c>
      <c r="W567" s="23" t="n">
        <f aca="false">IF(OR(C567="Cetak",C567="Dikirim",C567="Selesai"),1,0)</f>
        <v>0</v>
      </c>
      <c r="X567" s="23" t="str">
        <f aca="false">IF(F567="","",SUBSTITUTE(SUBSTITUTE(MID(UPPER(TRIM(F567)),4,99),"-LED",""),"-TK",""))</f>
        <v/>
      </c>
      <c r="Y567" s="23" t="str">
        <f aca="false">IF(X567="","",(LEN(X567)+1)/7)</f>
        <v/>
      </c>
      <c r="Z567" s="23" t="str">
        <f aca="false">IF(X567="","",LEFT(X567,6))</f>
        <v/>
      </c>
      <c r="AA567" s="23" t="str">
        <f aca="false">IF(X567="","",IF(Y567&gt;=3,MID(X567,8,6),""))</f>
        <v/>
      </c>
      <c r="AB567" s="23" t="str">
        <f aca="false">IF(X567="","",IF(Y567&gt;=4,MID(X567,15,6),""))</f>
        <v/>
      </c>
      <c r="AC567" s="23" t="str">
        <f aca="false">IF(X567="","",IF(Y567&gt;=5,MID(X567,22,6),""))</f>
        <v/>
      </c>
      <c r="AD567" s="23" t="str">
        <f aca="false">IF(X567="","",RIGHT(X567,6))</f>
        <v/>
      </c>
      <c r="AE567" s="23" t="str">
        <f aca="false">IF(F567="","",IF(ISNUMBER(SEARCH("-TK",UPPER(F567))),0,1))</f>
        <v/>
      </c>
      <c r="AF567" s="23" t="str">
        <f aca="false">IF(F567="","",IF(ISNUMBER(SEARCH("-LED",UPPER(F567))),1,0))</f>
        <v/>
      </c>
      <c r="AG567" s="24" t="n">
        <f aca="false">IF(Z567="",0,IFERROR(INDEX(Resep!$C$5:$C$7,MATCH(LEFT(Z567,3),Resep!$B$5:$B$7,0)),0))</f>
        <v>0</v>
      </c>
      <c r="AH567" s="24" t="n">
        <f aca="false">IF(AA567="",0,IFERROR(INDEX(Resep!$C$9:$C$13,MATCH(LEFT(AA567,3),Resep!$B$9:$B$13,0)),0))</f>
        <v>0</v>
      </c>
      <c r="AI567" s="24" t="n">
        <f aca="false">IF(AB567="",0,IFERROR(INDEX(Resep!$C$9:$C$13,MATCH(LEFT(AB567,3),Resep!$B$9:$B$13,0)),0))</f>
        <v>0</v>
      </c>
      <c r="AJ567" s="24" t="n">
        <f aca="false">IF(AC567="",0,IFERROR(INDEX(Resep!$C$9:$C$13,MATCH(LEFT(AC567,3),Resep!$B$9:$B$13,0)),0))</f>
        <v>0</v>
      </c>
      <c r="AK567" s="24" t="n">
        <f aca="false">IF(AD567="",0,IFERROR(INDEX(Resep!$C$15:$C$18,MATCH(LEFT(AD567,3),Resep!$B$15:$B$18,0)),0))</f>
        <v>0</v>
      </c>
      <c r="AL567" s="24" t="str">
        <f aca="false">IF(X567="","",AG567+AH567+AI567+AJ567+AK567)</f>
        <v/>
      </c>
      <c r="AM567" s="22" t="str">
        <f aca="false">IF(X567="","",AL567*(Pengaturan!$B$6+Pengaturan!$B$7)+Pengaturan!$B$8+AE567*Pengaturan!$B$9+AF567*Pengaturan!$B$10)</f>
        <v/>
      </c>
      <c r="AN567" s="22" t="str">
        <f aca="false">IF(X567="","",N(G567)-AM567)</f>
        <v/>
      </c>
      <c r="AO567" s="25" t="str">
        <f aca="false">IF(OR(X567="",N(G567)=0),"",AN567/G567)</f>
        <v/>
      </c>
    </row>
    <row r="568" customFormat="false" ht="15" hidden="false" customHeight="false" outlineLevel="0" collapsed="false">
      <c r="A568" s="19"/>
      <c r="B568" s="20"/>
      <c r="C568" s="19"/>
      <c r="D568" s="19"/>
      <c r="E568" s="19"/>
      <c r="F568" s="19"/>
      <c r="G568" s="21"/>
      <c r="H568" s="19"/>
      <c r="I568" s="21"/>
      <c r="J568" s="19"/>
      <c r="K568" s="20"/>
      <c r="L568" s="20"/>
      <c r="M568" s="19"/>
      <c r="N568" s="19"/>
      <c r="O568" s="20"/>
      <c r="P568" s="20"/>
      <c r="Q568" s="19"/>
      <c r="R568" s="22" t="str">
        <f aca="false">IF(A568="","",N(G568)+N(I568))</f>
        <v/>
      </c>
      <c r="S568" s="23" t="str">
        <f aca="false">IF(OR(K568="",O568=""),"",O568-K568)</f>
        <v/>
      </c>
      <c r="T568" s="23" t="str">
        <f aca="true">IF(AND(C568="Cetak",L568&lt;&gt;"",L568&lt;TODAY()),"YA","")</f>
        <v/>
      </c>
      <c r="U568" s="23" t="str">
        <f aca="false">IF(B568="","",TEXT(B568,"yyyy-mm"))</f>
        <v/>
      </c>
      <c r="V568" s="23" t="str">
        <f aca="false">IF(K568="","",TEXT(K568,"yyyy-mm"))</f>
        <v/>
      </c>
      <c r="W568" s="23" t="n">
        <f aca="false">IF(OR(C568="Cetak",C568="Dikirim",C568="Selesai"),1,0)</f>
        <v>0</v>
      </c>
      <c r="X568" s="23" t="str">
        <f aca="false">IF(F568="","",SUBSTITUTE(SUBSTITUTE(MID(UPPER(TRIM(F568)),4,99),"-LED",""),"-TK",""))</f>
        <v/>
      </c>
      <c r="Y568" s="23" t="str">
        <f aca="false">IF(X568="","",(LEN(X568)+1)/7)</f>
        <v/>
      </c>
      <c r="Z568" s="23" t="str">
        <f aca="false">IF(X568="","",LEFT(X568,6))</f>
        <v/>
      </c>
      <c r="AA568" s="23" t="str">
        <f aca="false">IF(X568="","",IF(Y568&gt;=3,MID(X568,8,6),""))</f>
        <v/>
      </c>
      <c r="AB568" s="23" t="str">
        <f aca="false">IF(X568="","",IF(Y568&gt;=4,MID(X568,15,6),""))</f>
        <v/>
      </c>
      <c r="AC568" s="23" t="str">
        <f aca="false">IF(X568="","",IF(Y568&gt;=5,MID(X568,22,6),""))</f>
        <v/>
      </c>
      <c r="AD568" s="23" t="str">
        <f aca="false">IF(X568="","",RIGHT(X568,6))</f>
        <v/>
      </c>
      <c r="AE568" s="23" t="str">
        <f aca="false">IF(F568="","",IF(ISNUMBER(SEARCH("-TK",UPPER(F568))),0,1))</f>
        <v/>
      </c>
      <c r="AF568" s="23" t="str">
        <f aca="false">IF(F568="","",IF(ISNUMBER(SEARCH("-LED",UPPER(F568))),1,0))</f>
        <v/>
      </c>
      <c r="AG568" s="24" t="n">
        <f aca="false">IF(Z568="",0,IFERROR(INDEX(Resep!$C$5:$C$7,MATCH(LEFT(Z568,3),Resep!$B$5:$B$7,0)),0))</f>
        <v>0</v>
      </c>
      <c r="AH568" s="24" t="n">
        <f aca="false">IF(AA568="",0,IFERROR(INDEX(Resep!$C$9:$C$13,MATCH(LEFT(AA568,3),Resep!$B$9:$B$13,0)),0))</f>
        <v>0</v>
      </c>
      <c r="AI568" s="24" t="n">
        <f aca="false">IF(AB568="",0,IFERROR(INDEX(Resep!$C$9:$C$13,MATCH(LEFT(AB568,3),Resep!$B$9:$B$13,0)),0))</f>
        <v>0</v>
      </c>
      <c r="AJ568" s="24" t="n">
        <f aca="false">IF(AC568="",0,IFERROR(INDEX(Resep!$C$9:$C$13,MATCH(LEFT(AC568,3),Resep!$B$9:$B$13,0)),0))</f>
        <v>0</v>
      </c>
      <c r="AK568" s="24" t="n">
        <f aca="false">IF(AD568="",0,IFERROR(INDEX(Resep!$C$15:$C$18,MATCH(LEFT(AD568,3),Resep!$B$15:$B$18,0)),0))</f>
        <v>0</v>
      </c>
      <c r="AL568" s="24" t="str">
        <f aca="false">IF(X568="","",AG568+AH568+AI568+AJ568+AK568)</f>
        <v/>
      </c>
      <c r="AM568" s="22" t="str">
        <f aca="false">IF(X568="","",AL568*(Pengaturan!$B$6+Pengaturan!$B$7)+Pengaturan!$B$8+AE568*Pengaturan!$B$9+AF568*Pengaturan!$B$10)</f>
        <v/>
      </c>
      <c r="AN568" s="22" t="str">
        <f aca="false">IF(X568="","",N(G568)-AM568)</f>
        <v/>
      </c>
      <c r="AO568" s="25" t="str">
        <f aca="false">IF(OR(X568="",N(G568)=0),"",AN568/G568)</f>
        <v/>
      </c>
    </row>
    <row r="569" customFormat="false" ht="15" hidden="false" customHeight="false" outlineLevel="0" collapsed="false">
      <c r="A569" s="19"/>
      <c r="B569" s="20"/>
      <c r="C569" s="19"/>
      <c r="D569" s="19"/>
      <c r="E569" s="19"/>
      <c r="F569" s="19"/>
      <c r="G569" s="21"/>
      <c r="H569" s="19"/>
      <c r="I569" s="21"/>
      <c r="J569" s="19"/>
      <c r="K569" s="20"/>
      <c r="L569" s="20"/>
      <c r="M569" s="19"/>
      <c r="N569" s="19"/>
      <c r="O569" s="20"/>
      <c r="P569" s="20"/>
      <c r="Q569" s="19"/>
      <c r="R569" s="22" t="str">
        <f aca="false">IF(A569="","",N(G569)+N(I569))</f>
        <v/>
      </c>
      <c r="S569" s="23" t="str">
        <f aca="false">IF(OR(K569="",O569=""),"",O569-K569)</f>
        <v/>
      </c>
      <c r="T569" s="23" t="str">
        <f aca="true">IF(AND(C569="Cetak",L569&lt;&gt;"",L569&lt;TODAY()),"YA","")</f>
        <v/>
      </c>
      <c r="U569" s="23" t="str">
        <f aca="false">IF(B569="","",TEXT(B569,"yyyy-mm"))</f>
        <v/>
      </c>
      <c r="V569" s="23" t="str">
        <f aca="false">IF(K569="","",TEXT(K569,"yyyy-mm"))</f>
        <v/>
      </c>
      <c r="W569" s="23" t="n">
        <f aca="false">IF(OR(C569="Cetak",C569="Dikirim",C569="Selesai"),1,0)</f>
        <v>0</v>
      </c>
      <c r="X569" s="23" t="str">
        <f aca="false">IF(F569="","",SUBSTITUTE(SUBSTITUTE(MID(UPPER(TRIM(F569)),4,99),"-LED",""),"-TK",""))</f>
        <v/>
      </c>
      <c r="Y569" s="23" t="str">
        <f aca="false">IF(X569="","",(LEN(X569)+1)/7)</f>
        <v/>
      </c>
      <c r="Z569" s="23" t="str">
        <f aca="false">IF(X569="","",LEFT(X569,6))</f>
        <v/>
      </c>
      <c r="AA569" s="23" t="str">
        <f aca="false">IF(X569="","",IF(Y569&gt;=3,MID(X569,8,6),""))</f>
        <v/>
      </c>
      <c r="AB569" s="23" t="str">
        <f aca="false">IF(X569="","",IF(Y569&gt;=4,MID(X569,15,6),""))</f>
        <v/>
      </c>
      <c r="AC569" s="23" t="str">
        <f aca="false">IF(X569="","",IF(Y569&gt;=5,MID(X569,22,6),""))</f>
        <v/>
      </c>
      <c r="AD569" s="23" t="str">
        <f aca="false">IF(X569="","",RIGHT(X569,6))</f>
        <v/>
      </c>
      <c r="AE569" s="23" t="str">
        <f aca="false">IF(F569="","",IF(ISNUMBER(SEARCH("-TK",UPPER(F569))),0,1))</f>
        <v/>
      </c>
      <c r="AF569" s="23" t="str">
        <f aca="false">IF(F569="","",IF(ISNUMBER(SEARCH("-LED",UPPER(F569))),1,0))</f>
        <v/>
      </c>
      <c r="AG569" s="24" t="n">
        <f aca="false">IF(Z569="",0,IFERROR(INDEX(Resep!$C$5:$C$7,MATCH(LEFT(Z569,3),Resep!$B$5:$B$7,0)),0))</f>
        <v>0</v>
      </c>
      <c r="AH569" s="24" t="n">
        <f aca="false">IF(AA569="",0,IFERROR(INDEX(Resep!$C$9:$C$13,MATCH(LEFT(AA569,3),Resep!$B$9:$B$13,0)),0))</f>
        <v>0</v>
      </c>
      <c r="AI569" s="24" t="n">
        <f aca="false">IF(AB569="",0,IFERROR(INDEX(Resep!$C$9:$C$13,MATCH(LEFT(AB569,3),Resep!$B$9:$B$13,0)),0))</f>
        <v>0</v>
      </c>
      <c r="AJ569" s="24" t="n">
        <f aca="false">IF(AC569="",0,IFERROR(INDEX(Resep!$C$9:$C$13,MATCH(LEFT(AC569,3),Resep!$B$9:$B$13,0)),0))</f>
        <v>0</v>
      </c>
      <c r="AK569" s="24" t="n">
        <f aca="false">IF(AD569="",0,IFERROR(INDEX(Resep!$C$15:$C$18,MATCH(LEFT(AD569,3),Resep!$B$15:$B$18,0)),0))</f>
        <v>0</v>
      </c>
      <c r="AL569" s="24" t="str">
        <f aca="false">IF(X569="","",AG569+AH569+AI569+AJ569+AK569)</f>
        <v/>
      </c>
      <c r="AM569" s="22" t="str">
        <f aca="false">IF(X569="","",AL569*(Pengaturan!$B$6+Pengaturan!$B$7)+Pengaturan!$B$8+AE569*Pengaturan!$B$9+AF569*Pengaturan!$B$10)</f>
        <v/>
      </c>
      <c r="AN569" s="22" t="str">
        <f aca="false">IF(X569="","",N(G569)-AM569)</f>
        <v/>
      </c>
      <c r="AO569" s="25" t="str">
        <f aca="false">IF(OR(X569="",N(G569)=0),"",AN569/G569)</f>
        <v/>
      </c>
    </row>
    <row r="570" customFormat="false" ht="15" hidden="false" customHeight="false" outlineLevel="0" collapsed="false">
      <c r="A570" s="19"/>
      <c r="B570" s="20"/>
      <c r="C570" s="19"/>
      <c r="D570" s="19"/>
      <c r="E570" s="19"/>
      <c r="F570" s="19"/>
      <c r="G570" s="21"/>
      <c r="H570" s="19"/>
      <c r="I570" s="21"/>
      <c r="J570" s="19"/>
      <c r="K570" s="20"/>
      <c r="L570" s="20"/>
      <c r="M570" s="19"/>
      <c r="N570" s="19"/>
      <c r="O570" s="20"/>
      <c r="P570" s="20"/>
      <c r="Q570" s="19"/>
      <c r="R570" s="22" t="str">
        <f aca="false">IF(A570="","",N(G570)+N(I570))</f>
        <v/>
      </c>
      <c r="S570" s="23" t="str">
        <f aca="false">IF(OR(K570="",O570=""),"",O570-K570)</f>
        <v/>
      </c>
      <c r="T570" s="23" t="str">
        <f aca="true">IF(AND(C570="Cetak",L570&lt;&gt;"",L570&lt;TODAY()),"YA","")</f>
        <v/>
      </c>
      <c r="U570" s="23" t="str">
        <f aca="false">IF(B570="","",TEXT(B570,"yyyy-mm"))</f>
        <v/>
      </c>
      <c r="V570" s="23" t="str">
        <f aca="false">IF(K570="","",TEXT(K570,"yyyy-mm"))</f>
        <v/>
      </c>
      <c r="W570" s="23" t="n">
        <f aca="false">IF(OR(C570="Cetak",C570="Dikirim",C570="Selesai"),1,0)</f>
        <v>0</v>
      </c>
      <c r="X570" s="23" t="str">
        <f aca="false">IF(F570="","",SUBSTITUTE(SUBSTITUTE(MID(UPPER(TRIM(F570)),4,99),"-LED",""),"-TK",""))</f>
        <v/>
      </c>
      <c r="Y570" s="23" t="str">
        <f aca="false">IF(X570="","",(LEN(X570)+1)/7)</f>
        <v/>
      </c>
      <c r="Z570" s="23" t="str">
        <f aca="false">IF(X570="","",LEFT(X570,6))</f>
        <v/>
      </c>
      <c r="AA570" s="23" t="str">
        <f aca="false">IF(X570="","",IF(Y570&gt;=3,MID(X570,8,6),""))</f>
        <v/>
      </c>
      <c r="AB570" s="23" t="str">
        <f aca="false">IF(X570="","",IF(Y570&gt;=4,MID(X570,15,6),""))</f>
        <v/>
      </c>
      <c r="AC570" s="23" t="str">
        <f aca="false">IF(X570="","",IF(Y570&gt;=5,MID(X570,22,6),""))</f>
        <v/>
      </c>
      <c r="AD570" s="23" t="str">
        <f aca="false">IF(X570="","",RIGHT(X570,6))</f>
        <v/>
      </c>
      <c r="AE570" s="23" t="str">
        <f aca="false">IF(F570="","",IF(ISNUMBER(SEARCH("-TK",UPPER(F570))),0,1))</f>
        <v/>
      </c>
      <c r="AF570" s="23" t="str">
        <f aca="false">IF(F570="","",IF(ISNUMBER(SEARCH("-LED",UPPER(F570))),1,0))</f>
        <v/>
      </c>
      <c r="AG570" s="24" t="n">
        <f aca="false">IF(Z570="",0,IFERROR(INDEX(Resep!$C$5:$C$7,MATCH(LEFT(Z570,3),Resep!$B$5:$B$7,0)),0))</f>
        <v>0</v>
      </c>
      <c r="AH570" s="24" t="n">
        <f aca="false">IF(AA570="",0,IFERROR(INDEX(Resep!$C$9:$C$13,MATCH(LEFT(AA570,3),Resep!$B$9:$B$13,0)),0))</f>
        <v>0</v>
      </c>
      <c r="AI570" s="24" t="n">
        <f aca="false">IF(AB570="",0,IFERROR(INDEX(Resep!$C$9:$C$13,MATCH(LEFT(AB570,3),Resep!$B$9:$B$13,0)),0))</f>
        <v>0</v>
      </c>
      <c r="AJ570" s="24" t="n">
        <f aca="false">IF(AC570="",0,IFERROR(INDEX(Resep!$C$9:$C$13,MATCH(LEFT(AC570,3),Resep!$B$9:$B$13,0)),0))</f>
        <v>0</v>
      </c>
      <c r="AK570" s="24" t="n">
        <f aca="false">IF(AD570="",0,IFERROR(INDEX(Resep!$C$15:$C$18,MATCH(LEFT(AD570,3),Resep!$B$15:$B$18,0)),0))</f>
        <v>0</v>
      </c>
      <c r="AL570" s="24" t="str">
        <f aca="false">IF(X570="","",AG570+AH570+AI570+AJ570+AK570)</f>
        <v/>
      </c>
      <c r="AM570" s="22" t="str">
        <f aca="false">IF(X570="","",AL570*(Pengaturan!$B$6+Pengaturan!$B$7)+Pengaturan!$B$8+AE570*Pengaturan!$B$9+AF570*Pengaturan!$B$10)</f>
        <v/>
      </c>
      <c r="AN570" s="22" t="str">
        <f aca="false">IF(X570="","",N(G570)-AM570)</f>
        <v/>
      </c>
      <c r="AO570" s="25" t="str">
        <f aca="false">IF(OR(X570="",N(G570)=0),"",AN570/G570)</f>
        <v/>
      </c>
    </row>
    <row r="571" customFormat="false" ht="15" hidden="false" customHeight="false" outlineLevel="0" collapsed="false">
      <c r="A571" s="19"/>
      <c r="B571" s="20"/>
      <c r="C571" s="19"/>
      <c r="D571" s="19"/>
      <c r="E571" s="19"/>
      <c r="F571" s="19"/>
      <c r="G571" s="21"/>
      <c r="H571" s="19"/>
      <c r="I571" s="21"/>
      <c r="J571" s="19"/>
      <c r="K571" s="20"/>
      <c r="L571" s="20"/>
      <c r="M571" s="19"/>
      <c r="N571" s="19"/>
      <c r="O571" s="20"/>
      <c r="P571" s="20"/>
      <c r="Q571" s="19"/>
      <c r="R571" s="22" t="str">
        <f aca="false">IF(A571="","",N(G571)+N(I571))</f>
        <v/>
      </c>
      <c r="S571" s="23" t="str">
        <f aca="false">IF(OR(K571="",O571=""),"",O571-K571)</f>
        <v/>
      </c>
      <c r="T571" s="23" t="str">
        <f aca="true">IF(AND(C571="Cetak",L571&lt;&gt;"",L571&lt;TODAY()),"YA","")</f>
        <v/>
      </c>
      <c r="U571" s="23" t="str">
        <f aca="false">IF(B571="","",TEXT(B571,"yyyy-mm"))</f>
        <v/>
      </c>
      <c r="V571" s="23" t="str">
        <f aca="false">IF(K571="","",TEXT(K571,"yyyy-mm"))</f>
        <v/>
      </c>
      <c r="W571" s="23" t="n">
        <f aca="false">IF(OR(C571="Cetak",C571="Dikirim",C571="Selesai"),1,0)</f>
        <v>0</v>
      </c>
      <c r="X571" s="23" t="str">
        <f aca="false">IF(F571="","",SUBSTITUTE(SUBSTITUTE(MID(UPPER(TRIM(F571)),4,99),"-LED",""),"-TK",""))</f>
        <v/>
      </c>
      <c r="Y571" s="23" t="str">
        <f aca="false">IF(X571="","",(LEN(X571)+1)/7)</f>
        <v/>
      </c>
      <c r="Z571" s="23" t="str">
        <f aca="false">IF(X571="","",LEFT(X571,6))</f>
        <v/>
      </c>
      <c r="AA571" s="23" t="str">
        <f aca="false">IF(X571="","",IF(Y571&gt;=3,MID(X571,8,6),""))</f>
        <v/>
      </c>
      <c r="AB571" s="23" t="str">
        <f aca="false">IF(X571="","",IF(Y571&gt;=4,MID(X571,15,6),""))</f>
        <v/>
      </c>
      <c r="AC571" s="23" t="str">
        <f aca="false">IF(X571="","",IF(Y571&gt;=5,MID(X571,22,6),""))</f>
        <v/>
      </c>
      <c r="AD571" s="23" t="str">
        <f aca="false">IF(X571="","",RIGHT(X571,6))</f>
        <v/>
      </c>
      <c r="AE571" s="23" t="str">
        <f aca="false">IF(F571="","",IF(ISNUMBER(SEARCH("-TK",UPPER(F571))),0,1))</f>
        <v/>
      </c>
      <c r="AF571" s="23" t="str">
        <f aca="false">IF(F571="","",IF(ISNUMBER(SEARCH("-LED",UPPER(F571))),1,0))</f>
        <v/>
      </c>
      <c r="AG571" s="24" t="n">
        <f aca="false">IF(Z571="",0,IFERROR(INDEX(Resep!$C$5:$C$7,MATCH(LEFT(Z571,3),Resep!$B$5:$B$7,0)),0))</f>
        <v>0</v>
      </c>
      <c r="AH571" s="24" t="n">
        <f aca="false">IF(AA571="",0,IFERROR(INDEX(Resep!$C$9:$C$13,MATCH(LEFT(AA571,3),Resep!$B$9:$B$13,0)),0))</f>
        <v>0</v>
      </c>
      <c r="AI571" s="24" t="n">
        <f aca="false">IF(AB571="",0,IFERROR(INDEX(Resep!$C$9:$C$13,MATCH(LEFT(AB571,3),Resep!$B$9:$B$13,0)),0))</f>
        <v>0</v>
      </c>
      <c r="AJ571" s="24" t="n">
        <f aca="false">IF(AC571="",0,IFERROR(INDEX(Resep!$C$9:$C$13,MATCH(LEFT(AC571,3),Resep!$B$9:$B$13,0)),0))</f>
        <v>0</v>
      </c>
      <c r="AK571" s="24" t="n">
        <f aca="false">IF(AD571="",0,IFERROR(INDEX(Resep!$C$15:$C$18,MATCH(LEFT(AD571,3),Resep!$B$15:$B$18,0)),0))</f>
        <v>0</v>
      </c>
      <c r="AL571" s="24" t="str">
        <f aca="false">IF(X571="","",AG571+AH571+AI571+AJ571+AK571)</f>
        <v/>
      </c>
      <c r="AM571" s="22" t="str">
        <f aca="false">IF(X571="","",AL571*(Pengaturan!$B$6+Pengaturan!$B$7)+Pengaturan!$B$8+AE571*Pengaturan!$B$9+AF571*Pengaturan!$B$10)</f>
        <v/>
      </c>
      <c r="AN571" s="22" t="str">
        <f aca="false">IF(X571="","",N(G571)-AM571)</f>
        <v/>
      </c>
      <c r="AO571" s="25" t="str">
        <f aca="false">IF(OR(X571="",N(G571)=0),"",AN571/G571)</f>
        <v/>
      </c>
    </row>
    <row r="572" customFormat="false" ht="15" hidden="false" customHeight="false" outlineLevel="0" collapsed="false">
      <c r="A572" s="19"/>
      <c r="B572" s="20"/>
      <c r="C572" s="19"/>
      <c r="D572" s="19"/>
      <c r="E572" s="19"/>
      <c r="F572" s="19"/>
      <c r="G572" s="21"/>
      <c r="H572" s="19"/>
      <c r="I572" s="21"/>
      <c r="J572" s="19"/>
      <c r="K572" s="20"/>
      <c r="L572" s="20"/>
      <c r="M572" s="19"/>
      <c r="N572" s="19"/>
      <c r="O572" s="20"/>
      <c r="P572" s="20"/>
      <c r="Q572" s="19"/>
      <c r="R572" s="22" t="str">
        <f aca="false">IF(A572="","",N(G572)+N(I572))</f>
        <v/>
      </c>
      <c r="S572" s="23" t="str">
        <f aca="false">IF(OR(K572="",O572=""),"",O572-K572)</f>
        <v/>
      </c>
      <c r="T572" s="23" t="str">
        <f aca="true">IF(AND(C572="Cetak",L572&lt;&gt;"",L572&lt;TODAY()),"YA","")</f>
        <v/>
      </c>
      <c r="U572" s="23" t="str">
        <f aca="false">IF(B572="","",TEXT(B572,"yyyy-mm"))</f>
        <v/>
      </c>
      <c r="V572" s="23" t="str">
        <f aca="false">IF(K572="","",TEXT(K572,"yyyy-mm"))</f>
        <v/>
      </c>
      <c r="W572" s="23" t="n">
        <f aca="false">IF(OR(C572="Cetak",C572="Dikirim",C572="Selesai"),1,0)</f>
        <v>0</v>
      </c>
      <c r="X572" s="23" t="str">
        <f aca="false">IF(F572="","",SUBSTITUTE(SUBSTITUTE(MID(UPPER(TRIM(F572)),4,99),"-LED",""),"-TK",""))</f>
        <v/>
      </c>
      <c r="Y572" s="23" t="str">
        <f aca="false">IF(X572="","",(LEN(X572)+1)/7)</f>
        <v/>
      </c>
      <c r="Z572" s="23" t="str">
        <f aca="false">IF(X572="","",LEFT(X572,6))</f>
        <v/>
      </c>
      <c r="AA572" s="23" t="str">
        <f aca="false">IF(X572="","",IF(Y572&gt;=3,MID(X572,8,6),""))</f>
        <v/>
      </c>
      <c r="AB572" s="23" t="str">
        <f aca="false">IF(X572="","",IF(Y572&gt;=4,MID(X572,15,6),""))</f>
        <v/>
      </c>
      <c r="AC572" s="23" t="str">
        <f aca="false">IF(X572="","",IF(Y572&gt;=5,MID(X572,22,6),""))</f>
        <v/>
      </c>
      <c r="AD572" s="23" t="str">
        <f aca="false">IF(X572="","",RIGHT(X572,6))</f>
        <v/>
      </c>
      <c r="AE572" s="23" t="str">
        <f aca="false">IF(F572="","",IF(ISNUMBER(SEARCH("-TK",UPPER(F572))),0,1))</f>
        <v/>
      </c>
      <c r="AF572" s="23" t="str">
        <f aca="false">IF(F572="","",IF(ISNUMBER(SEARCH("-LED",UPPER(F572))),1,0))</f>
        <v/>
      </c>
      <c r="AG572" s="24" t="n">
        <f aca="false">IF(Z572="",0,IFERROR(INDEX(Resep!$C$5:$C$7,MATCH(LEFT(Z572,3),Resep!$B$5:$B$7,0)),0))</f>
        <v>0</v>
      </c>
      <c r="AH572" s="24" t="n">
        <f aca="false">IF(AA572="",0,IFERROR(INDEX(Resep!$C$9:$C$13,MATCH(LEFT(AA572,3),Resep!$B$9:$B$13,0)),0))</f>
        <v>0</v>
      </c>
      <c r="AI572" s="24" t="n">
        <f aca="false">IF(AB572="",0,IFERROR(INDEX(Resep!$C$9:$C$13,MATCH(LEFT(AB572,3),Resep!$B$9:$B$13,0)),0))</f>
        <v>0</v>
      </c>
      <c r="AJ572" s="24" t="n">
        <f aca="false">IF(AC572="",0,IFERROR(INDEX(Resep!$C$9:$C$13,MATCH(LEFT(AC572,3),Resep!$B$9:$B$13,0)),0))</f>
        <v>0</v>
      </c>
      <c r="AK572" s="24" t="n">
        <f aca="false">IF(AD572="",0,IFERROR(INDEX(Resep!$C$15:$C$18,MATCH(LEFT(AD572,3),Resep!$B$15:$B$18,0)),0))</f>
        <v>0</v>
      </c>
      <c r="AL572" s="24" t="str">
        <f aca="false">IF(X572="","",AG572+AH572+AI572+AJ572+AK572)</f>
        <v/>
      </c>
      <c r="AM572" s="22" t="str">
        <f aca="false">IF(X572="","",AL572*(Pengaturan!$B$6+Pengaturan!$B$7)+Pengaturan!$B$8+AE572*Pengaturan!$B$9+AF572*Pengaturan!$B$10)</f>
        <v/>
      </c>
      <c r="AN572" s="22" t="str">
        <f aca="false">IF(X572="","",N(G572)-AM572)</f>
        <v/>
      </c>
      <c r="AO572" s="25" t="str">
        <f aca="false">IF(OR(X572="",N(G572)=0),"",AN572/G572)</f>
        <v/>
      </c>
    </row>
    <row r="573" customFormat="false" ht="15" hidden="false" customHeight="false" outlineLevel="0" collapsed="false">
      <c r="A573" s="19"/>
      <c r="B573" s="20"/>
      <c r="C573" s="19"/>
      <c r="D573" s="19"/>
      <c r="E573" s="19"/>
      <c r="F573" s="19"/>
      <c r="G573" s="21"/>
      <c r="H573" s="19"/>
      <c r="I573" s="21"/>
      <c r="J573" s="19"/>
      <c r="K573" s="20"/>
      <c r="L573" s="20"/>
      <c r="M573" s="19"/>
      <c r="N573" s="19"/>
      <c r="O573" s="20"/>
      <c r="P573" s="20"/>
      <c r="Q573" s="19"/>
      <c r="R573" s="22" t="str">
        <f aca="false">IF(A573="","",N(G573)+N(I573))</f>
        <v/>
      </c>
      <c r="S573" s="23" t="str">
        <f aca="false">IF(OR(K573="",O573=""),"",O573-K573)</f>
        <v/>
      </c>
      <c r="T573" s="23" t="str">
        <f aca="true">IF(AND(C573="Cetak",L573&lt;&gt;"",L573&lt;TODAY()),"YA","")</f>
        <v/>
      </c>
      <c r="U573" s="23" t="str">
        <f aca="false">IF(B573="","",TEXT(B573,"yyyy-mm"))</f>
        <v/>
      </c>
      <c r="V573" s="23" t="str">
        <f aca="false">IF(K573="","",TEXT(K573,"yyyy-mm"))</f>
        <v/>
      </c>
      <c r="W573" s="23" t="n">
        <f aca="false">IF(OR(C573="Cetak",C573="Dikirim",C573="Selesai"),1,0)</f>
        <v>0</v>
      </c>
      <c r="X573" s="23" t="str">
        <f aca="false">IF(F573="","",SUBSTITUTE(SUBSTITUTE(MID(UPPER(TRIM(F573)),4,99),"-LED",""),"-TK",""))</f>
        <v/>
      </c>
      <c r="Y573" s="23" t="str">
        <f aca="false">IF(X573="","",(LEN(X573)+1)/7)</f>
        <v/>
      </c>
      <c r="Z573" s="23" t="str">
        <f aca="false">IF(X573="","",LEFT(X573,6))</f>
        <v/>
      </c>
      <c r="AA573" s="23" t="str">
        <f aca="false">IF(X573="","",IF(Y573&gt;=3,MID(X573,8,6),""))</f>
        <v/>
      </c>
      <c r="AB573" s="23" t="str">
        <f aca="false">IF(X573="","",IF(Y573&gt;=4,MID(X573,15,6),""))</f>
        <v/>
      </c>
      <c r="AC573" s="23" t="str">
        <f aca="false">IF(X573="","",IF(Y573&gt;=5,MID(X573,22,6),""))</f>
        <v/>
      </c>
      <c r="AD573" s="23" t="str">
        <f aca="false">IF(X573="","",RIGHT(X573,6))</f>
        <v/>
      </c>
      <c r="AE573" s="23" t="str">
        <f aca="false">IF(F573="","",IF(ISNUMBER(SEARCH("-TK",UPPER(F573))),0,1))</f>
        <v/>
      </c>
      <c r="AF573" s="23" t="str">
        <f aca="false">IF(F573="","",IF(ISNUMBER(SEARCH("-LED",UPPER(F573))),1,0))</f>
        <v/>
      </c>
      <c r="AG573" s="24" t="n">
        <f aca="false">IF(Z573="",0,IFERROR(INDEX(Resep!$C$5:$C$7,MATCH(LEFT(Z573,3),Resep!$B$5:$B$7,0)),0))</f>
        <v>0</v>
      </c>
      <c r="AH573" s="24" t="n">
        <f aca="false">IF(AA573="",0,IFERROR(INDEX(Resep!$C$9:$C$13,MATCH(LEFT(AA573,3),Resep!$B$9:$B$13,0)),0))</f>
        <v>0</v>
      </c>
      <c r="AI573" s="24" t="n">
        <f aca="false">IF(AB573="",0,IFERROR(INDEX(Resep!$C$9:$C$13,MATCH(LEFT(AB573,3),Resep!$B$9:$B$13,0)),0))</f>
        <v>0</v>
      </c>
      <c r="AJ573" s="24" t="n">
        <f aca="false">IF(AC573="",0,IFERROR(INDEX(Resep!$C$9:$C$13,MATCH(LEFT(AC573,3),Resep!$B$9:$B$13,0)),0))</f>
        <v>0</v>
      </c>
      <c r="AK573" s="24" t="n">
        <f aca="false">IF(AD573="",0,IFERROR(INDEX(Resep!$C$15:$C$18,MATCH(LEFT(AD573,3),Resep!$B$15:$B$18,0)),0))</f>
        <v>0</v>
      </c>
      <c r="AL573" s="24" t="str">
        <f aca="false">IF(X573="","",AG573+AH573+AI573+AJ573+AK573)</f>
        <v/>
      </c>
      <c r="AM573" s="22" t="str">
        <f aca="false">IF(X573="","",AL573*(Pengaturan!$B$6+Pengaturan!$B$7)+Pengaturan!$B$8+AE573*Pengaturan!$B$9+AF573*Pengaturan!$B$10)</f>
        <v/>
      </c>
      <c r="AN573" s="22" t="str">
        <f aca="false">IF(X573="","",N(G573)-AM573)</f>
        <v/>
      </c>
      <c r="AO573" s="25" t="str">
        <f aca="false">IF(OR(X573="",N(G573)=0),"",AN573/G573)</f>
        <v/>
      </c>
    </row>
    <row r="574" customFormat="false" ht="15" hidden="false" customHeight="false" outlineLevel="0" collapsed="false">
      <c r="A574" s="19"/>
      <c r="B574" s="20"/>
      <c r="C574" s="19"/>
      <c r="D574" s="19"/>
      <c r="E574" s="19"/>
      <c r="F574" s="19"/>
      <c r="G574" s="21"/>
      <c r="H574" s="19"/>
      <c r="I574" s="21"/>
      <c r="J574" s="19"/>
      <c r="K574" s="20"/>
      <c r="L574" s="20"/>
      <c r="M574" s="19"/>
      <c r="N574" s="19"/>
      <c r="O574" s="20"/>
      <c r="P574" s="20"/>
      <c r="Q574" s="19"/>
      <c r="R574" s="22" t="str">
        <f aca="false">IF(A574="","",N(G574)+N(I574))</f>
        <v/>
      </c>
      <c r="S574" s="23" t="str">
        <f aca="false">IF(OR(K574="",O574=""),"",O574-K574)</f>
        <v/>
      </c>
      <c r="T574" s="23" t="str">
        <f aca="true">IF(AND(C574="Cetak",L574&lt;&gt;"",L574&lt;TODAY()),"YA","")</f>
        <v/>
      </c>
      <c r="U574" s="23" t="str">
        <f aca="false">IF(B574="","",TEXT(B574,"yyyy-mm"))</f>
        <v/>
      </c>
      <c r="V574" s="23" t="str">
        <f aca="false">IF(K574="","",TEXT(K574,"yyyy-mm"))</f>
        <v/>
      </c>
      <c r="W574" s="23" t="n">
        <f aca="false">IF(OR(C574="Cetak",C574="Dikirim",C574="Selesai"),1,0)</f>
        <v>0</v>
      </c>
      <c r="X574" s="23" t="str">
        <f aca="false">IF(F574="","",SUBSTITUTE(SUBSTITUTE(MID(UPPER(TRIM(F574)),4,99),"-LED",""),"-TK",""))</f>
        <v/>
      </c>
      <c r="Y574" s="23" t="str">
        <f aca="false">IF(X574="","",(LEN(X574)+1)/7)</f>
        <v/>
      </c>
      <c r="Z574" s="23" t="str">
        <f aca="false">IF(X574="","",LEFT(X574,6))</f>
        <v/>
      </c>
      <c r="AA574" s="23" t="str">
        <f aca="false">IF(X574="","",IF(Y574&gt;=3,MID(X574,8,6),""))</f>
        <v/>
      </c>
      <c r="AB574" s="23" t="str">
        <f aca="false">IF(X574="","",IF(Y574&gt;=4,MID(X574,15,6),""))</f>
        <v/>
      </c>
      <c r="AC574" s="23" t="str">
        <f aca="false">IF(X574="","",IF(Y574&gt;=5,MID(X574,22,6),""))</f>
        <v/>
      </c>
      <c r="AD574" s="23" t="str">
        <f aca="false">IF(X574="","",RIGHT(X574,6))</f>
        <v/>
      </c>
      <c r="AE574" s="23" t="str">
        <f aca="false">IF(F574="","",IF(ISNUMBER(SEARCH("-TK",UPPER(F574))),0,1))</f>
        <v/>
      </c>
      <c r="AF574" s="23" t="str">
        <f aca="false">IF(F574="","",IF(ISNUMBER(SEARCH("-LED",UPPER(F574))),1,0))</f>
        <v/>
      </c>
      <c r="AG574" s="24" t="n">
        <f aca="false">IF(Z574="",0,IFERROR(INDEX(Resep!$C$5:$C$7,MATCH(LEFT(Z574,3),Resep!$B$5:$B$7,0)),0))</f>
        <v>0</v>
      </c>
      <c r="AH574" s="24" t="n">
        <f aca="false">IF(AA574="",0,IFERROR(INDEX(Resep!$C$9:$C$13,MATCH(LEFT(AA574,3),Resep!$B$9:$B$13,0)),0))</f>
        <v>0</v>
      </c>
      <c r="AI574" s="24" t="n">
        <f aca="false">IF(AB574="",0,IFERROR(INDEX(Resep!$C$9:$C$13,MATCH(LEFT(AB574,3),Resep!$B$9:$B$13,0)),0))</f>
        <v>0</v>
      </c>
      <c r="AJ574" s="24" t="n">
        <f aca="false">IF(AC574="",0,IFERROR(INDEX(Resep!$C$9:$C$13,MATCH(LEFT(AC574,3),Resep!$B$9:$B$13,0)),0))</f>
        <v>0</v>
      </c>
      <c r="AK574" s="24" t="n">
        <f aca="false">IF(AD574="",0,IFERROR(INDEX(Resep!$C$15:$C$18,MATCH(LEFT(AD574,3),Resep!$B$15:$B$18,0)),0))</f>
        <v>0</v>
      </c>
      <c r="AL574" s="24" t="str">
        <f aca="false">IF(X574="","",AG574+AH574+AI574+AJ574+AK574)</f>
        <v/>
      </c>
      <c r="AM574" s="22" t="str">
        <f aca="false">IF(X574="","",AL574*(Pengaturan!$B$6+Pengaturan!$B$7)+Pengaturan!$B$8+AE574*Pengaturan!$B$9+AF574*Pengaturan!$B$10)</f>
        <v/>
      </c>
      <c r="AN574" s="22" t="str">
        <f aca="false">IF(X574="","",N(G574)-AM574)</f>
        <v/>
      </c>
      <c r="AO574" s="25" t="str">
        <f aca="false">IF(OR(X574="",N(G574)=0),"",AN574/G574)</f>
        <v/>
      </c>
    </row>
    <row r="575" customFormat="false" ht="15" hidden="false" customHeight="false" outlineLevel="0" collapsed="false">
      <c r="A575" s="19"/>
      <c r="B575" s="20"/>
      <c r="C575" s="19"/>
      <c r="D575" s="19"/>
      <c r="E575" s="19"/>
      <c r="F575" s="19"/>
      <c r="G575" s="21"/>
      <c r="H575" s="19"/>
      <c r="I575" s="21"/>
      <c r="J575" s="19"/>
      <c r="K575" s="20"/>
      <c r="L575" s="20"/>
      <c r="M575" s="19"/>
      <c r="N575" s="19"/>
      <c r="O575" s="20"/>
      <c r="P575" s="20"/>
      <c r="Q575" s="19"/>
      <c r="R575" s="22" t="str">
        <f aca="false">IF(A575="","",N(G575)+N(I575))</f>
        <v/>
      </c>
      <c r="S575" s="23" t="str">
        <f aca="false">IF(OR(K575="",O575=""),"",O575-K575)</f>
        <v/>
      </c>
      <c r="T575" s="23" t="str">
        <f aca="true">IF(AND(C575="Cetak",L575&lt;&gt;"",L575&lt;TODAY()),"YA","")</f>
        <v/>
      </c>
      <c r="U575" s="23" t="str">
        <f aca="false">IF(B575="","",TEXT(B575,"yyyy-mm"))</f>
        <v/>
      </c>
      <c r="V575" s="23" t="str">
        <f aca="false">IF(K575="","",TEXT(K575,"yyyy-mm"))</f>
        <v/>
      </c>
      <c r="W575" s="23" t="n">
        <f aca="false">IF(OR(C575="Cetak",C575="Dikirim",C575="Selesai"),1,0)</f>
        <v>0</v>
      </c>
      <c r="X575" s="23" t="str">
        <f aca="false">IF(F575="","",SUBSTITUTE(SUBSTITUTE(MID(UPPER(TRIM(F575)),4,99),"-LED",""),"-TK",""))</f>
        <v/>
      </c>
      <c r="Y575" s="23" t="str">
        <f aca="false">IF(X575="","",(LEN(X575)+1)/7)</f>
        <v/>
      </c>
      <c r="Z575" s="23" t="str">
        <f aca="false">IF(X575="","",LEFT(X575,6))</f>
        <v/>
      </c>
      <c r="AA575" s="23" t="str">
        <f aca="false">IF(X575="","",IF(Y575&gt;=3,MID(X575,8,6),""))</f>
        <v/>
      </c>
      <c r="AB575" s="23" t="str">
        <f aca="false">IF(X575="","",IF(Y575&gt;=4,MID(X575,15,6),""))</f>
        <v/>
      </c>
      <c r="AC575" s="23" t="str">
        <f aca="false">IF(X575="","",IF(Y575&gt;=5,MID(X575,22,6),""))</f>
        <v/>
      </c>
      <c r="AD575" s="23" t="str">
        <f aca="false">IF(X575="","",RIGHT(X575,6))</f>
        <v/>
      </c>
      <c r="AE575" s="23" t="str">
        <f aca="false">IF(F575="","",IF(ISNUMBER(SEARCH("-TK",UPPER(F575))),0,1))</f>
        <v/>
      </c>
      <c r="AF575" s="23" t="str">
        <f aca="false">IF(F575="","",IF(ISNUMBER(SEARCH("-LED",UPPER(F575))),1,0))</f>
        <v/>
      </c>
      <c r="AG575" s="24" t="n">
        <f aca="false">IF(Z575="",0,IFERROR(INDEX(Resep!$C$5:$C$7,MATCH(LEFT(Z575,3),Resep!$B$5:$B$7,0)),0))</f>
        <v>0</v>
      </c>
      <c r="AH575" s="24" t="n">
        <f aca="false">IF(AA575="",0,IFERROR(INDEX(Resep!$C$9:$C$13,MATCH(LEFT(AA575,3),Resep!$B$9:$B$13,0)),0))</f>
        <v>0</v>
      </c>
      <c r="AI575" s="24" t="n">
        <f aca="false">IF(AB575="",0,IFERROR(INDEX(Resep!$C$9:$C$13,MATCH(LEFT(AB575,3),Resep!$B$9:$B$13,0)),0))</f>
        <v>0</v>
      </c>
      <c r="AJ575" s="24" t="n">
        <f aca="false">IF(AC575="",0,IFERROR(INDEX(Resep!$C$9:$C$13,MATCH(LEFT(AC575,3),Resep!$B$9:$B$13,0)),0))</f>
        <v>0</v>
      </c>
      <c r="AK575" s="24" t="n">
        <f aca="false">IF(AD575="",0,IFERROR(INDEX(Resep!$C$15:$C$18,MATCH(LEFT(AD575,3),Resep!$B$15:$B$18,0)),0))</f>
        <v>0</v>
      </c>
      <c r="AL575" s="24" t="str">
        <f aca="false">IF(X575="","",AG575+AH575+AI575+AJ575+AK575)</f>
        <v/>
      </c>
      <c r="AM575" s="22" t="str">
        <f aca="false">IF(X575="","",AL575*(Pengaturan!$B$6+Pengaturan!$B$7)+Pengaturan!$B$8+AE575*Pengaturan!$B$9+AF575*Pengaturan!$B$10)</f>
        <v/>
      </c>
      <c r="AN575" s="22" t="str">
        <f aca="false">IF(X575="","",N(G575)-AM575)</f>
        <v/>
      </c>
      <c r="AO575" s="25" t="str">
        <f aca="false">IF(OR(X575="",N(G575)=0),"",AN575/G575)</f>
        <v/>
      </c>
    </row>
    <row r="576" customFormat="false" ht="15" hidden="false" customHeight="false" outlineLevel="0" collapsed="false">
      <c r="A576" s="19"/>
      <c r="B576" s="20"/>
      <c r="C576" s="19"/>
      <c r="D576" s="19"/>
      <c r="E576" s="19"/>
      <c r="F576" s="19"/>
      <c r="G576" s="21"/>
      <c r="H576" s="19"/>
      <c r="I576" s="21"/>
      <c r="J576" s="19"/>
      <c r="K576" s="20"/>
      <c r="L576" s="20"/>
      <c r="M576" s="19"/>
      <c r="N576" s="19"/>
      <c r="O576" s="20"/>
      <c r="P576" s="20"/>
      <c r="Q576" s="19"/>
      <c r="R576" s="22" t="str">
        <f aca="false">IF(A576="","",N(G576)+N(I576))</f>
        <v/>
      </c>
      <c r="S576" s="23" t="str">
        <f aca="false">IF(OR(K576="",O576=""),"",O576-K576)</f>
        <v/>
      </c>
      <c r="T576" s="23" t="str">
        <f aca="true">IF(AND(C576="Cetak",L576&lt;&gt;"",L576&lt;TODAY()),"YA","")</f>
        <v/>
      </c>
      <c r="U576" s="23" t="str">
        <f aca="false">IF(B576="","",TEXT(B576,"yyyy-mm"))</f>
        <v/>
      </c>
      <c r="V576" s="23" t="str">
        <f aca="false">IF(K576="","",TEXT(K576,"yyyy-mm"))</f>
        <v/>
      </c>
      <c r="W576" s="23" t="n">
        <f aca="false">IF(OR(C576="Cetak",C576="Dikirim",C576="Selesai"),1,0)</f>
        <v>0</v>
      </c>
      <c r="X576" s="23" t="str">
        <f aca="false">IF(F576="","",SUBSTITUTE(SUBSTITUTE(MID(UPPER(TRIM(F576)),4,99),"-LED",""),"-TK",""))</f>
        <v/>
      </c>
      <c r="Y576" s="23" t="str">
        <f aca="false">IF(X576="","",(LEN(X576)+1)/7)</f>
        <v/>
      </c>
      <c r="Z576" s="23" t="str">
        <f aca="false">IF(X576="","",LEFT(X576,6))</f>
        <v/>
      </c>
      <c r="AA576" s="23" t="str">
        <f aca="false">IF(X576="","",IF(Y576&gt;=3,MID(X576,8,6),""))</f>
        <v/>
      </c>
      <c r="AB576" s="23" t="str">
        <f aca="false">IF(X576="","",IF(Y576&gt;=4,MID(X576,15,6),""))</f>
        <v/>
      </c>
      <c r="AC576" s="23" t="str">
        <f aca="false">IF(X576="","",IF(Y576&gt;=5,MID(X576,22,6),""))</f>
        <v/>
      </c>
      <c r="AD576" s="23" t="str">
        <f aca="false">IF(X576="","",RIGHT(X576,6))</f>
        <v/>
      </c>
      <c r="AE576" s="23" t="str">
        <f aca="false">IF(F576="","",IF(ISNUMBER(SEARCH("-TK",UPPER(F576))),0,1))</f>
        <v/>
      </c>
      <c r="AF576" s="23" t="str">
        <f aca="false">IF(F576="","",IF(ISNUMBER(SEARCH("-LED",UPPER(F576))),1,0))</f>
        <v/>
      </c>
      <c r="AG576" s="24" t="n">
        <f aca="false">IF(Z576="",0,IFERROR(INDEX(Resep!$C$5:$C$7,MATCH(LEFT(Z576,3),Resep!$B$5:$B$7,0)),0))</f>
        <v>0</v>
      </c>
      <c r="AH576" s="24" t="n">
        <f aca="false">IF(AA576="",0,IFERROR(INDEX(Resep!$C$9:$C$13,MATCH(LEFT(AA576,3),Resep!$B$9:$B$13,0)),0))</f>
        <v>0</v>
      </c>
      <c r="AI576" s="24" t="n">
        <f aca="false">IF(AB576="",0,IFERROR(INDEX(Resep!$C$9:$C$13,MATCH(LEFT(AB576,3),Resep!$B$9:$B$13,0)),0))</f>
        <v>0</v>
      </c>
      <c r="AJ576" s="24" t="n">
        <f aca="false">IF(AC576="",0,IFERROR(INDEX(Resep!$C$9:$C$13,MATCH(LEFT(AC576,3),Resep!$B$9:$B$13,0)),0))</f>
        <v>0</v>
      </c>
      <c r="AK576" s="24" t="n">
        <f aca="false">IF(AD576="",0,IFERROR(INDEX(Resep!$C$15:$C$18,MATCH(LEFT(AD576,3),Resep!$B$15:$B$18,0)),0))</f>
        <v>0</v>
      </c>
      <c r="AL576" s="24" t="str">
        <f aca="false">IF(X576="","",AG576+AH576+AI576+AJ576+AK576)</f>
        <v/>
      </c>
      <c r="AM576" s="22" t="str">
        <f aca="false">IF(X576="","",AL576*(Pengaturan!$B$6+Pengaturan!$B$7)+Pengaturan!$B$8+AE576*Pengaturan!$B$9+AF576*Pengaturan!$B$10)</f>
        <v/>
      </c>
      <c r="AN576" s="22" t="str">
        <f aca="false">IF(X576="","",N(G576)-AM576)</f>
        <v/>
      </c>
      <c r="AO576" s="25" t="str">
        <f aca="false">IF(OR(X576="",N(G576)=0),"",AN576/G576)</f>
        <v/>
      </c>
    </row>
    <row r="577" customFormat="false" ht="15" hidden="false" customHeight="false" outlineLevel="0" collapsed="false">
      <c r="A577" s="19"/>
      <c r="B577" s="20"/>
      <c r="C577" s="19"/>
      <c r="D577" s="19"/>
      <c r="E577" s="19"/>
      <c r="F577" s="19"/>
      <c r="G577" s="21"/>
      <c r="H577" s="19"/>
      <c r="I577" s="21"/>
      <c r="J577" s="19"/>
      <c r="K577" s="20"/>
      <c r="L577" s="20"/>
      <c r="M577" s="19"/>
      <c r="N577" s="19"/>
      <c r="O577" s="20"/>
      <c r="P577" s="20"/>
      <c r="Q577" s="19"/>
      <c r="R577" s="22" t="str">
        <f aca="false">IF(A577="","",N(G577)+N(I577))</f>
        <v/>
      </c>
      <c r="S577" s="23" t="str">
        <f aca="false">IF(OR(K577="",O577=""),"",O577-K577)</f>
        <v/>
      </c>
      <c r="T577" s="23" t="str">
        <f aca="true">IF(AND(C577="Cetak",L577&lt;&gt;"",L577&lt;TODAY()),"YA","")</f>
        <v/>
      </c>
      <c r="U577" s="23" t="str">
        <f aca="false">IF(B577="","",TEXT(B577,"yyyy-mm"))</f>
        <v/>
      </c>
      <c r="V577" s="23" t="str">
        <f aca="false">IF(K577="","",TEXT(K577,"yyyy-mm"))</f>
        <v/>
      </c>
      <c r="W577" s="23" t="n">
        <f aca="false">IF(OR(C577="Cetak",C577="Dikirim",C577="Selesai"),1,0)</f>
        <v>0</v>
      </c>
      <c r="X577" s="23" t="str">
        <f aca="false">IF(F577="","",SUBSTITUTE(SUBSTITUTE(MID(UPPER(TRIM(F577)),4,99),"-LED",""),"-TK",""))</f>
        <v/>
      </c>
      <c r="Y577" s="23" t="str">
        <f aca="false">IF(X577="","",(LEN(X577)+1)/7)</f>
        <v/>
      </c>
      <c r="Z577" s="23" t="str">
        <f aca="false">IF(X577="","",LEFT(X577,6))</f>
        <v/>
      </c>
      <c r="AA577" s="23" t="str">
        <f aca="false">IF(X577="","",IF(Y577&gt;=3,MID(X577,8,6),""))</f>
        <v/>
      </c>
      <c r="AB577" s="23" t="str">
        <f aca="false">IF(X577="","",IF(Y577&gt;=4,MID(X577,15,6),""))</f>
        <v/>
      </c>
      <c r="AC577" s="23" t="str">
        <f aca="false">IF(X577="","",IF(Y577&gt;=5,MID(X577,22,6),""))</f>
        <v/>
      </c>
      <c r="AD577" s="23" t="str">
        <f aca="false">IF(X577="","",RIGHT(X577,6))</f>
        <v/>
      </c>
      <c r="AE577" s="23" t="str">
        <f aca="false">IF(F577="","",IF(ISNUMBER(SEARCH("-TK",UPPER(F577))),0,1))</f>
        <v/>
      </c>
      <c r="AF577" s="23" t="str">
        <f aca="false">IF(F577="","",IF(ISNUMBER(SEARCH("-LED",UPPER(F577))),1,0))</f>
        <v/>
      </c>
      <c r="AG577" s="24" t="n">
        <f aca="false">IF(Z577="",0,IFERROR(INDEX(Resep!$C$5:$C$7,MATCH(LEFT(Z577,3),Resep!$B$5:$B$7,0)),0))</f>
        <v>0</v>
      </c>
      <c r="AH577" s="24" t="n">
        <f aca="false">IF(AA577="",0,IFERROR(INDEX(Resep!$C$9:$C$13,MATCH(LEFT(AA577,3),Resep!$B$9:$B$13,0)),0))</f>
        <v>0</v>
      </c>
      <c r="AI577" s="24" t="n">
        <f aca="false">IF(AB577="",0,IFERROR(INDEX(Resep!$C$9:$C$13,MATCH(LEFT(AB577,3),Resep!$B$9:$B$13,0)),0))</f>
        <v>0</v>
      </c>
      <c r="AJ577" s="24" t="n">
        <f aca="false">IF(AC577="",0,IFERROR(INDEX(Resep!$C$9:$C$13,MATCH(LEFT(AC577,3),Resep!$B$9:$B$13,0)),0))</f>
        <v>0</v>
      </c>
      <c r="AK577" s="24" t="n">
        <f aca="false">IF(AD577="",0,IFERROR(INDEX(Resep!$C$15:$C$18,MATCH(LEFT(AD577,3),Resep!$B$15:$B$18,0)),0))</f>
        <v>0</v>
      </c>
      <c r="AL577" s="24" t="str">
        <f aca="false">IF(X577="","",AG577+AH577+AI577+AJ577+AK577)</f>
        <v/>
      </c>
      <c r="AM577" s="22" t="str">
        <f aca="false">IF(X577="","",AL577*(Pengaturan!$B$6+Pengaturan!$B$7)+Pengaturan!$B$8+AE577*Pengaturan!$B$9+AF577*Pengaturan!$B$10)</f>
        <v/>
      </c>
      <c r="AN577" s="22" t="str">
        <f aca="false">IF(X577="","",N(G577)-AM577)</f>
        <v/>
      </c>
      <c r="AO577" s="25" t="str">
        <f aca="false">IF(OR(X577="",N(G577)=0),"",AN577/G577)</f>
        <v/>
      </c>
    </row>
    <row r="578" customFormat="false" ht="15" hidden="false" customHeight="false" outlineLevel="0" collapsed="false">
      <c r="A578" s="19"/>
      <c r="B578" s="20"/>
      <c r="C578" s="19"/>
      <c r="D578" s="19"/>
      <c r="E578" s="19"/>
      <c r="F578" s="19"/>
      <c r="G578" s="21"/>
      <c r="H578" s="19"/>
      <c r="I578" s="21"/>
      <c r="J578" s="19"/>
      <c r="K578" s="20"/>
      <c r="L578" s="20"/>
      <c r="M578" s="19"/>
      <c r="N578" s="19"/>
      <c r="O578" s="20"/>
      <c r="P578" s="20"/>
      <c r="Q578" s="19"/>
      <c r="R578" s="22" t="str">
        <f aca="false">IF(A578="","",N(G578)+N(I578))</f>
        <v/>
      </c>
      <c r="S578" s="23" t="str">
        <f aca="false">IF(OR(K578="",O578=""),"",O578-K578)</f>
        <v/>
      </c>
      <c r="T578" s="23" t="str">
        <f aca="true">IF(AND(C578="Cetak",L578&lt;&gt;"",L578&lt;TODAY()),"YA","")</f>
        <v/>
      </c>
      <c r="U578" s="23" t="str">
        <f aca="false">IF(B578="","",TEXT(B578,"yyyy-mm"))</f>
        <v/>
      </c>
      <c r="V578" s="23" t="str">
        <f aca="false">IF(K578="","",TEXT(K578,"yyyy-mm"))</f>
        <v/>
      </c>
      <c r="W578" s="23" t="n">
        <f aca="false">IF(OR(C578="Cetak",C578="Dikirim",C578="Selesai"),1,0)</f>
        <v>0</v>
      </c>
      <c r="X578" s="23" t="str">
        <f aca="false">IF(F578="","",SUBSTITUTE(SUBSTITUTE(MID(UPPER(TRIM(F578)),4,99),"-LED",""),"-TK",""))</f>
        <v/>
      </c>
      <c r="Y578" s="23" t="str">
        <f aca="false">IF(X578="","",(LEN(X578)+1)/7)</f>
        <v/>
      </c>
      <c r="Z578" s="23" t="str">
        <f aca="false">IF(X578="","",LEFT(X578,6))</f>
        <v/>
      </c>
      <c r="AA578" s="23" t="str">
        <f aca="false">IF(X578="","",IF(Y578&gt;=3,MID(X578,8,6),""))</f>
        <v/>
      </c>
      <c r="AB578" s="23" t="str">
        <f aca="false">IF(X578="","",IF(Y578&gt;=4,MID(X578,15,6),""))</f>
        <v/>
      </c>
      <c r="AC578" s="23" t="str">
        <f aca="false">IF(X578="","",IF(Y578&gt;=5,MID(X578,22,6),""))</f>
        <v/>
      </c>
      <c r="AD578" s="23" t="str">
        <f aca="false">IF(X578="","",RIGHT(X578,6))</f>
        <v/>
      </c>
      <c r="AE578" s="23" t="str">
        <f aca="false">IF(F578="","",IF(ISNUMBER(SEARCH("-TK",UPPER(F578))),0,1))</f>
        <v/>
      </c>
      <c r="AF578" s="23" t="str">
        <f aca="false">IF(F578="","",IF(ISNUMBER(SEARCH("-LED",UPPER(F578))),1,0))</f>
        <v/>
      </c>
      <c r="AG578" s="24" t="n">
        <f aca="false">IF(Z578="",0,IFERROR(INDEX(Resep!$C$5:$C$7,MATCH(LEFT(Z578,3),Resep!$B$5:$B$7,0)),0))</f>
        <v>0</v>
      </c>
      <c r="AH578" s="24" t="n">
        <f aca="false">IF(AA578="",0,IFERROR(INDEX(Resep!$C$9:$C$13,MATCH(LEFT(AA578,3),Resep!$B$9:$B$13,0)),0))</f>
        <v>0</v>
      </c>
      <c r="AI578" s="24" t="n">
        <f aca="false">IF(AB578="",0,IFERROR(INDEX(Resep!$C$9:$C$13,MATCH(LEFT(AB578,3),Resep!$B$9:$B$13,0)),0))</f>
        <v>0</v>
      </c>
      <c r="AJ578" s="24" t="n">
        <f aca="false">IF(AC578="",0,IFERROR(INDEX(Resep!$C$9:$C$13,MATCH(LEFT(AC578,3),Resep!$B$9:$B$13,0)),0))</f>
        <v>0</v>
      </c>
      <c r="AK578" s="24" t="n">
        <f aca="false">IF(AD578="",0,IFERROR(INDEX(Resep!$C$15:$C$18,MATCH(LEFT(AD578,3),Resep!$B$15:$B$18,0)),0))</f>
        <v>0</v>
      </c>
      <c r="AL578" s="24" t="str">
        <f aca="false">IF(X578="","",AG578+AH578+AI578+AJ578+AK578)</f>
        <v/>
      </c>
      <c r="AM578" s="22" t="str">
        <f aca="false">IF(X578="","",AL578*(Pengaturan!$B$6+Pengaturan!$B$7)+Pengaturan!$B$8+AE578*Pengaturan!$B$9+AF578*Pengaturan!$B$10)</f>
        <v/>
      </c>
      <c r="AN578" s="22" t="str">
        <f aca="false">IF(X578="","",N(G578)-AM578)</f>
        <v/>
      </c>
      <c r="AO578" s="25" t="str">
        <f aca="false">IF(OR(X578="",N(G578)=0),"",AN578/G578)</f>
        <v/>
      </c>
    </row>
    <row r="579" customFormat="false" ht="15" hidden="false" customHeight="false" outlineLevel="0" collapsed="false">
      <c r="A579" s="19"/>
      <c r="B579" s="20"/>
      <c r="C579" s="19"/>
      <c r="D579" s="19"/>
      <c r="E579" s="19"/>
      <c r="F579" s="19"/>
      <c r="G579" s="21"/>
      <c r="H579" s="19"/>
      <c r="I579" s="21"/>
      <c r="J579" s="19"/>
      <c r="K579" s="20"/>
      <c r="L579" s="20"/>
      <c r="M579" s="19"/>
      <c r="N579" s="19"/>
      <c r="O579" s="20"/>
      <c r="P579" s="20"/>
      <c r="Q579" s="19"/>
      <c r="R579" s="22" t="str">
        <f aca="false">IF(A579="","",N(G579)+N(I579))</f>
        <v/>
      </c>
      <c r="S579" s="23" t="str">
        <f aca="false">IF(OR(K579="",O579=""),"",O579-K579)</f>
        <v/>
      </c>
      <c r="T579" s="23" t="str">
        <f aca="true">IF(AND(C579="Cetak",L579&lt;&gt;"",L579&lt;TODAY()),"YA","")</f>
        <v/>
      </c>
      <c r="U579" s="23" t="str">
        <f aca="false">IF(B579="","",TEXT(B579,"yyyy-mm"))</f>
        <v/>
      </c>
      <c r="V579" s="23" t="str">
        <f aca="false">IF(K579="","",TEXT(K579,"yyyy-mm"))</f>
        <v/>
      </c>
      <c r="W579" s="23" t="n">
        <f aca="false">IF(OR(C579="Cetak",C579="Dikirim",C579="Selesai"),1,0)</f>
        <v>0</v>
      </c>
      <c r="X579" s="23" t="str">
        <f aca="false">IF(F579="","",SUBSTITUTE(SUBSTITUTE(MID(UPPER(TRIM(F579)),4,99),"-LED",""),"-TK",""))</f>
        <v/>
      </c>
      <c r="Y579" s="23" t="str">
        <f aca="false">IF(X579="","",(LEN(X579)+1)/7)</f>
        <v/>
      </c>
      <c r="Z579" s="23" t="str">
        <f aca="false">IF(X579="","",LEFT(X579,6))</f>
        <v/>
      </c>
      <c r="AA579" s="23" t="str">
        <f aca="false">IF(X579="","",IF(Y579&gt;=3,MID(X579,8,6),""))</f>
        <v/>
      </c>
      <c r="AB579" s="23" t="str">
        <f aca="false">IF(X579="","",IF(Y579&gt;=4,MID(X579,15,6),""))</f>
        <v/>
      </c>
      <c r="AC579" s="23" t="str">
        <f aca="false">IF(X579="","",IF(Y579&gt;=5,MID(X579,22,6),""))</f>
        <v/>
      </c>
      <c r="AD579" s="23" t="str">
        <f aca="false">IF(X579="","",RIGHT(X579,6))</f>
        <v/>
      </c>
      <c r="AE579" s="23" t="str">
        <f aca="false">IF(F579="","",IF(ISNUMBER(SEARCH("-TK",UPPER(F579))),0,1))</f>
        <v/>
      </c>
      <c r="AF579" s="23" t="str">
        <f aca="false">IF(F579="","",IF(ISNUMBER(SEARCH("-LED",UPPER(F579))),1,0))</f>
        <v/>
      </c>
      <c r="AG579" s="24" t="n">
        <f aca="false">IF(Z579="",0,IFERROR(INDEX(Resep!$C$5:$C$7,MATCH(LEFT(Z579,3),Resep!$B$5:$B$7,0)),0))</f>
        <v>0</v>
      </c>
      <c r="AH579" s="24" t="n">
        <f aca="false">IF(AA579="",0,IFERROR(INDEX(Resep!$C$9:$C$13,MATCH(LEFT(AA579,3),Resep!$B$9:$B$13,0)),0))</f>
        <v>0</v>
      </c>
      <c r="AI579" s="24" t="n">
        <f aca="false">IF(AB579="",0,IFERROR(INDEX(Resep!$C$9:$C$13,MATCH(LEFT(AB579,3),Resep!$B$9:$B$13,0)),0))</f>
        <v>0</v>
      </c>
      <c r="AJ579" s="24" t="n">
        <f aca="false">IF(AC579="",0,IFERROR(INDEX(Resep!$C$9:$C$13,MATCH(LEFT(AC579,3),Resep!$B$9:$B$13,0)),0))</f>
        <v>0</v>
      </c>
      <c r="AK579" s="24" t="n">
        <f aca="false">IF(AD579="",0,IFERROR(INDEX(Resep!$C$15:$C$18,MATCH(LEFT(AD579,3),Resep!$B$15:$B$18,0)),0))</f>
        <v>0</v>
      </c>
      <c r="AL579" s="24" t="str">
        <f aca="false">IF(X579="","",AG579+AH579+AI579+AJ579+AK579)</f>
        <v/>
      </c>
      <c r="AM579" s="22" t="str">
        <f aca="false">IF(X579="","",AL579*(Pengaturan!$B$6+Pengaturan!$B$7)+Pengaturan!$B$8+AE579*Pengaturan!$B$9+AF579*Pengaturan!$B$10)</f>
        <v/>
      </c>
      <c r="AN579" s="22" t="str">
        <f aca="false">IF(X579="","",N(G579)-AM579)</f>
        <v/>
      </c>
      <c r="AO579" s="25" t="str">
        <f aca="false">IF(OR(X579="",N(G579)=0),"",AN579/G579)</f>
        <v/>
      </c>
    </row>
    <row r="580" customFormat="false" ht="15" hidden="false" customHeight="false" outlineLevel="0" collapsed="false">
      <c r="A580" s="19"/>
      <c r="B580" s="20"/>
      <c r="C580" s="19"/>
      <c r="D580" s="19"/>
      <c r="E580" s="19"/>
      <c r="F580" s="19"/>
      <c r="G580" s="21"/>
      <c r="H580" s="19"/>
      <c r="I580" s="21"/>
      <c r="J580" s="19"/>
      <c r="K580" s="20"/>
      <c r="L580" s="20"/>
      <c r="M580" s="19"/>
      <c r="N580" s="19"/>
      <c r="O580" s="20"/>
      <c r="P580" s="20"/>
      <c r="Q580" s="19"/>
      <c r="R580" s="22" t="str">
        <f aca="false">IF(A580="","",N(G580)+N(I580))</f>
        <v/>
      </c>
      <c r="S580" s="23" t="str">
        <f aca="false">IF(OR(K580="",O580=""),"",O580-K580)</f>
        <v/>
      </c>
      <c r="T580" s="23" t="str">
        <f aca="true">IF(AND(C580="Cetak",L580&lt;&gt;"",L580&lt;TODAY()),"YA","")</f>
        <v/>
      </c>
      <c r="U580" s="23" t="str">
        <f aca="false">IF(B580="","",TEXT(B580,"yyyy-mm"))</f>
        <v/>
      </c>
      <c r="V580" s="23" t="str">
        <f aca="false">IF(K580="","",TEXT(K580,"yyyy-mm"))</f>
        <v/>
      </c>
      <c r="W580" s="23" t="n">
        <f aca="false">IF(OR(C580="Cetak",C580="Dikirim",C580="Selesai"),1,0)</f>
        <v>0</v>
      </c>
      <c r="X580" s="23" t="str">
        <f aca="false">IF(F580="","",SUBSTITUTE(SUBSTITUTE(MID(UPPER(TRIM(F580)),4,99),"-LED",""),"-TK",""))</f>
        <v/>
      </c>
      <c r="Y580" s="23" t="str">
        <f aca="false">IF(X580="","",(LEN(X580)+1)/7)</f>
        <v/>
      </c>
      <c r="Z580" s="23" t="str">
        <f aca="false">IF(X580="","",LEFT(X580,6))</f>
        <v/>
      </c>
      <c r="AA580" s="23" t="str">
        <f aca="false">IF(X580="","",IF(Y580&gt;=3,MID(X580,8,6),""))</f>
        <v/>
      </c>
      <c r="AB580" s="23" t="str">
        <f aca="false">IF(X580="","",IF(Y580&gt;=4,MID(X580,15,6),""))</f>
        <v/>
      </c>
      <c r="AC580" s="23" t="str">
        <f aca="false">IF(X580="","",IF(Y580&gt;=5,MID(X580,22,6),""))</f>
        <v/>
      </c>
      <c r="AD580" s="23" t="str">
        <f aca="false">IF(X580="","",RIGHT(X580,6))</f>
        <v/>
      </c>
      <c r="AE580" s="23" t="str">
        <f aca="false">IF(F580="","",IF(ISNUMBER(SEARCH("-TK",UPPER(F580))),0,1))</f>
        <v/>
      </c>
      <c r="AF580" s="23" t="str">
        <f aca="false">IF(F580="","",IF(ISNUMBER(SEARCH("-LED",UPPER(F580))),1,0))</f>
        <v/>
      </c>
      <c r="AG580" s="24" t="n">
        <f aca="false">IF(Z580="",0,IFERROR(INDEX(Resep!$C$5:$C$7,MATCH(LEFT(Z580,3),Resep!$B$5:$B$7,0)),0))</f>
        <v>0</v>
      </c>
      <c r="AH580" s="24" t="n">
        <f aca="false">IF(AA580="",0,IFERROR(INDEX(Resep!$C$9:$C$13,MATCH(LEFT(AA580,3),Resep!$B$9:$B$13,0)),0))</f>
        <v>0</v>
      </c>
      <c r="AI580" s="24" t="n">
        <f aca="false">IF(AB580="",0,IFERROR(INDEX(Resep!$C$9:$C$13,MATCH(LEFT(AB580,3),Resep!$B$9:$B$13,0)),0))</f>
        <v>0</v>
      </c>
      <c r="AJ580" s="24" t="n">
        <f aca="false">IF(AC580="",0,IFERROR(INDEX(Resep!$C$9:$C$13,MATCH(LEFT(AC580,3),Resep!$B$9:$B$13,0)),0))</f>
        <v>0</v>
      </c>
      <c r="AK580" s="24" t="n">
        <f aca="false">IF(AD580="",0,IFERROR(INDEX(Resep!$C$15:$C$18,MATCH(LEFT(AD580,3),Resep!$B$15:$B$18,0)),0))</f>
        <v>0</v>
      </c>
      <c r="AL580" s="24" t="str">
        <f aca="false">IF(X580="","",AG580+AH580+AI580+AJ580+AK580)</f>
        <v/>
      </c>
      <c r="AM580" s="22" t="str">
        <f aca="false">IF(X580="","",AL580*(Pengaturan!$B$6+Pengaturan!$B$7)+Pengaturan!$B$8+AE580*Pengaturan!$B$9+AF580*Pengaturan!$B$10)</f>
        <v/>
      </c>
      <c r="AN580" s="22" t="str">
        <f aca="false">IF(X580="","",N(G580)-AM580)</f>
        <v/>
      </c>
      <c r="AO580" s="25" t="str">
        <f aca="false">IF(OR(X580="",N(G580)=0),"",AN580/G580)</f>
        <v/>
      </c>
    </row>
    <row r="581" customFormat="false" ht="15" hidden="false" customHeight="false" outlineLevel="0" collapsed="false">
      <c r="A581" s="19"/>
      <c r="B581" s="20"/>
      <c r="C581" s="19"/>
      <c r="D581" s="19"/>
      <c r="E581" s="19"/>
      <c r="F581" s="19"/>
      <c r="G581" s="21"/>
      <c r="H581" s="19"/>
      <c r="I581" s="21"/>
      <c r="J581" s="19"/>
      <c r="K581" s="20"/>
      <c r="L581" s="20"/>
      <c r="M581" s="19"/>
      <c r="N581" s="19"/>
      <c r="O581" s="20"/>
      <c r="P581" s="20"/>
      <c r="Q581" s="19"/>
      <c r="R581" s="22" t="str">
        <f aca="false">IF(A581="","",N(G581)+N(I581))</f>
        <v/>
      </c>
      <c r="S581" s="23" t="str">
        <f aca="false">IF(OR(K581="",O581=""),"",O581-K581)</f>
        <v/>
      </c>
      <c r="T581" s="23" t="str">
        <f aca="true">IF(AND(C581="Cetak",L581&lt;&gt;"",L581&lt;TODAY()),"YA","")</f>
        <v/>
      </c>
      <c r="U581" s="23" t="str">
        <f aca="false">IF(B581="","",TEXT(B581,"yyyy-mm"))</f>
        <v/>
      </c>
      <c r="V581" s="23" t="str">
        <f aca="false">IF(K581="","",TEXT(K581,"yyyy-mm"))</f>
        <v/>
      </c>
      <c r="W581" s="23" t="n">
        <f aca="false">IF(OR(C581="Cetak",C581="Dikirim",C581="Selesai"),1,0)</f>
        <v>0</v>
      </c>
      <c r="X581" s="23" t="str">
        <f aca="false">IF(F581="","",SUBSTITUTE(SUBSTITUTE(MID(UPPER(TRIM(F581)),4,99),"-LED",""),"-TK",""))</f>
        <v/>
      </c>
      <c r="Y581" s="23" t="str">
        <f aca="false">IF(X581="","",(LEN(X581)+1)/7)</f>
        <v/>
      </c>
      <c r="Z581" s="23" t="str">
        <f aca="false">IF(X581="","",LEFT(X581,6))</f>
        <v/>
      </c>
      <c r="AA581" s="23" t="str">
        <f aca="false">IF(X581="","",IF(Y581&gt;=3,MID(X581,8,6),""))</f>
        <v/>
      </c>
      <c r="AB581" s="23" t="str">
        <f aca="false">IF(X581="","",IF(Y581&gt;=4,MID(X581,15,6),""))</f>
        <v/>
      </c>
      <c r="AC581" s="23" t="str">
        <f aca="false">IF(X581="","",IF(Y581&gt;=5,MID(X581,22,6),""))</f>
        <v/>
      </c>
      <c r="AD581" s="23" t="str">
        <f aca="false">IF(X581="","",RIGHT(X581,6))</f>
        <v/>
      </c>
      <c r="AE581" s="23" t="str">
        <f aca="false">IF(F581="","",IF(ISNUMBER(SEARCH("-TK",UPPER(F581))),0,1))</f>
        <v/>
      </c>
      <c r="AF581" s="23" t="str">
        <f aca="false">IF(F581="","",IF(ISNUMBER(SEARCH("-LED",UPPER(F581))),1,0))</f>
        <v/>
      </c>
      <c r="AG581" s="24" t="n">
        <f aca="false">IF(Z581="",0,IFERROR(INDEX(Resep!$C$5:$C$7,MATCH(LEFT(Z581,3),Resep!$B$5:$B$7,0)),0))</f>
        <v>0</v>
      </c>
      <c r="AH581" s="24" t="n">
        <f aca="false">IF(AA581="",0,IFERROR(INDEX(Resep!$C$9:$C$13,MATCH(LEFT(AA581,3),Resep!$B$9:$B$13,0)),0))</f>
        <v>0</v>
      </c>
      <c r="AI581" s="24" t="n">
        <f aca="false">IF(AB581="",0,IFERROR(INDEX(Resep!$C$9:$C$13,MATCH(LEFT(AB581,3),Resep!$B$9:$B$13,0)),0))</f>
        <v>0</v>
      </c>
      <c r="AJ581" s="24" t="n">
        <f aca="false">IF(AC581="",0,IFERROR(INDEX(Resep!$C$9:$C$13,MATCH(LEFT(AC581,3),Resep!$B$9:$B$13,0)),0))</f>
        <v>0</v>
      </c>
      <c r="AK581" s="24" t="n">
        <f aca="false">IF(AD581="",0,IFERROR(INDEX(Resep!$C$15:$C$18,MATCH(LEFT(AD581,3),Resep!$B$15:$B$18,0)),0))</f>
        <v>0</v>
      </c>
      <c r="AL581" s="24" t="str">
        <f aca="false">IF(X581="","",AG581+AH581+AI581+AJ581+AK581)</f>
        <v/>
      </c>
      <c r="AM581" s="22" t="str">
        <f aca="false">IF(X581="","",AL581*(Pengaturan!$B$6+Pengaturan!$B$7)+Pengaturan!$B$8+AE581*Pengaturan!$B$9+AF581*Pengaturan!$B$10)</f>
        <v/>
      </c>
      <c r="AN581" s="22" t="str">
        <f aca="false">IF(X581="","",N(G581)-AM581)</f>
        <v/>
      </c>
      <c r="AO581" s="25" t="str">
        <f aca="false">IF(OR(X581="",N(G581)=0),"",AN581/G581)</f>
        <v/>
      </c>
    </row>
    <row r="582" customFormat="false" ht="15" hidden="false" customHeight="false" outlineLevel="0" collapsed="false">
      <c r="A582" s="19"/>
      <c r="B582" s="20"/>
      <c r="C582" s="19"/>
      <c r="D582" s="19"/>
      <c r="E582" s="19"/>
      <c r="F582" s="19"/>
      <c r="G582" s="21"/>
      <c r="H582" s="19"/>
      <c r="I582" s="21"/>
      <c r="J582" s="19"/>
      <c r="K582" s="20"/>
      <c r="L582" s="20"/>
      <c r="M582" s="19"/>
      <c r="N582" s="19"/>
      <c r="O582" s="20"/>
      <c r="P582" s="20"/>
      <c r="Q582" s="19"/>
      <c r="R582" s="22" t="str">
        <f aca="false">IF(A582="","",N(G582)+N(I582))</f>
        <v/>
      </c>
      <c r="S582" s="23" t="str">
        <f aca="false">IF(OR(K582="",O582=""),"",O582-K582)</f>
        <v/>
      </c>
      <c r="T582" s="23" t="str">
        <f aca="true">IF(AND(C582="Cetak",L582&lt;&gt;"",L582&lt;TODAY()),"YA","")</f>
        <v/>
      </c>
      <c r="U582" s="23" t="str">
        <f aca="false">IF(B582="","",TEXT(B582,"yyyy-mm"))</f>
        <v/>
      </c>
      <c r="V582" s="23" t="str">
        <f aca="false">IF(K582="","",TEXT(K582,"yyyy-mm"))</f>
        <v/>
      </c>
      <c r="W582" s="23" t="n">
        <f aca="false">IF(OR(C582="Cetak",C582="Dikirim",C582="Selesai"),1,0)</f>
        <v>0</v>
      </c>
      <c r="X582" s="23" t="str">
        <f aca="false">IF(F582="","",SUBSTITUTE(SUBSTITUTE(MID(UPPER(TRIM(F582)),4,99),"-LED",""),"-TK",""))</f>
        <v/>
      </c>
      <c r="Y582" s="23" t="str">
        <f aca="false">IF(X582="","",(LEN(X582)+1)/7)</f>
        <v/>
      </c>
      <c r="Z582" s="23" t="str">
        <f aca="false">IF(X582="","",LEFT(X582,6))</f>
        <v/>
      </c>
      <c r="AA582" s="23" t="str">
        <f aca="false">IF(X582="","",IF(Y582&gt;=3,MID(X582,8,6),""))</f>
        <v/>
      </c>
      <c r="AB582" s="23" t="str">
        <f aca="false">IF(X582="","",IF(Y582&gt;=4,MID(X582,15,6),""))</f>
        <v/>
      </c>
      <c r="AC582" s="23" t="str">
        <f aca="false">IF(X582="","",IF(Y582&gt;=5,MID(X582,22,6),""))</f>
        <v/>
      </c>
      <c r="AD582" s="23" t="str">
        <f aca="false">IF(X582="","",RIGHT(X582,6))</f>
        <v/>
      </c>
      <c r="AE582" s="23" t="str">
        <f aca="false">IF(F582="","",IF(ISNUMBER(SEARCH("-TK",UPPER(F582))),0,1))</f>
        <v/>
      </c>
      <c r="AF582" s="23" t="str">
        <f aca="false">IF(F582="","",IF(ISNUMBER(SEARCH("-LED",UPPER(F582))),1,0))</f>
        <v/>
      </c>
      <c r="AG582" s="24" t="n">
        <f aca="false">IF(Z582="",0,IFERROR(INDEX(Resep!$C$5:$C$7,MATCH(LEFT(Z582,3),Resep!$B$5:$B$7,0)),0))</f>
        <v>0</v>
      </c>
      <c r="AH582" s="24" t="n">
        <f aca="false">IF(AA582="",0,IFERROR(INDEX(Resep!$C$9:$C$13,MATCH(LEFT(AA582,3),Resep!$B$9:$B$13,0)),0))</f>
        <v>0</v>
      </c>
      <c r="AI582" s="24" t="n">
        <f aca="false">IF(AB582="",0,IFERROR(INDEX(Resep!$C$9:$C$13,MATCH(LEFT(AB582,3),Resep!$B$9:$B$13,0)),0))</f>
        <v>0</v>
      </c>
      <c r="AJ582" s="24" t="n">
        <f aca="false">IF(AC582="",0,IFERROR(INDEX(Resep!$C$9:$C$13,MATCH(LEFT(AC582,3),Resep!$B$9:$B$13,0)),0))</f>
        <v>0</v>
      </c>
      <c r="AK582" s="24" t="n">
        <f aca="false">IF(AD582="",0,IFERROR(INDEX(Resep!$C$15:$C$18,MATCH(LEFT(AD582,3),Resep!$B$15:$B$18,0)),0))</f>
        <v>0</v>
      </c>
      <c r="AL582" s="24" t="str">
        <f aca="false">IF(X582="","",AG582+AH582+AI582+AJ582+AK582)</f>
        <v/>
      </c>
      <c r="AM582" s="22" t="str">
        <f aca="false">IF(X582="","",AL582*(Pengaturan!$B$6+Pengaturan!$B$7)+Pengaturan!$B$8+AE582*Pengaturan!$B$9+AF582*Pengaturan!$B$10)</f>
        <v/>
      </c>
      <c r="AN582" s="22" t="str">
        <f aca="false">IF(X582="","",N(G582)-AM582)</f>
        <v/>
      </c>
      <c r="AO582" s="25" t="str">
        <f aca="false">IF(OR(X582="",N(G582)=0),"",AN582/G582)</f>
        <v/>
      </c>
    </row>
    <row r="583" customFormat="false" ht="15" hidden="false" customHeight="false" outlineLevel="0" collapsed="false">
      <c r="A583" s="19"/>
      <c r="B583" s="20"/>
      <c r="C583" s="19"/>
      <c r="D583" s="19"/>
      <c r="E583" s="19"/>
      <c r="F583" s="19"/>
      <c r="G583" s="21"/>
      <c r="H583" s="19"/>
      <c r="I583" s="21"/>
      <c r="J583" s="19"/>
      <c r="K583" s="20"/>
      <c r="L583" s="20"/>
      <c r="M583" s="19"/>
      <c r="N583" s="19"/>
      <c r="O583" s="20"/>
      <c r="P583" s="20"/>
      <c r="Q583" s="19"/>
      <c r="R583" s="22" t="str">
        <f aca="false">IF(A583="","",N(G583)+N(I583))</f>
        <v/>
      </c>
      <c r="S583" s="23" t="str">
        <f aca="false">IF(OR(K583="",O583=""),"",O583-K583)</f>
        <v/>
      </c>
      <c r="T583" s="23" t="str">
        <f aca="true">IF(AND(C583="Cetak",L583&lt;&gt;"",L583&lt;TODAY()),"YA","")</f>
        <v/>
      </c>
      <c r="U583" s="23" t="str">
        <f aca="false">IF(B583="","",TEXT(B583,"yyyy-mm"))</f>
        <v/>
      </c>
      <c r="V583" s="23" t="str">
        <f aca="false">IF(K583="","",TEXT(K583,"yyyy-mm"))</f>
        <v/>
      </c>
      <c r="W583" s="23" t="n">
        <f aca="false">IF(OR(C583="Cetak",C583="Dikirim",C583="Selesai"),1,0)</f>
        <v>0</v>
      </c>
      <c r="X583" s="23" t="str">
        <f aca="false">IF(F583="","",SUBSTITUTE(SUBSTITUTE(MID(UPPER(TRIM(F583)),4,99),"-LED",""),"-TK",""))</f>
        <v/>
      </c>
      <c r="Y583" s="23" t="str">
        <f aca="false">IF(X583="","",(LEN(X583)+1)/7)</f>
        <v/>
      </c>
      <c r="Z583" s="23" t="str">
        <f aca="false">IF(X583="","",LEFT(X583,6))</f>
        <v/>
      </c>
      <c r="AA583" s="23" t="str">
        <f aca="false">IF(X583="","",IF(Y583&gt;=3,MID(X583,8,6),""))</f>
        <v/>
      </c>
      <c r="AB583" s="23" t="str">
        <f aca="false">IF(X583="","",IF(Y583&gt;=4,MID(X583,15,6),""))</f>
        <v/>
      </c>
      <c r="AC583" s="23" t="str">
        <f aca="false">IF(X583="","",IF(Y583&gt;=5,MID(X583,22,6),""))</f>
        <v/>
      </c>
      <c r="AD583" s="23" t="str">
        <f aca="false">IF(X583="","",RIGHT(X583,6))</f>
        <v/>
      </c>
      <c r="AE583" s="23" t="str">
        <f aca="false">IF(F583="","",IF(ISNUMBER(SEARCH("-TK",UPPER(F583))),0,1))</f>
        <v/>
      </c>
      <c r="AF583" s="23" t="str">
        <f aca="false">IF(F583="","",IF(ISNUMBER(SEARCH("-LED",UPPER(F583))),1,0))</f>
        <v/>
      </c>
      <c r="AG583" s="24" t="n">
        <f aca="false">IF(Z583="",0,IFERROR(INDEX(Resep!$C$5:$C$7,MATCH(LEFT(Z583,3),Resep!$B$5:$B$7,0)),0))</f>
        <v>0</v>
      </c>
      <c r="AH583" s="24" t="n">
        <f aca="false">IF(AA583="",0,IFERROR(INDEX(Resep!$C$9:$C$13,MATCH(LEFT(AA583,3),Resep!$B$9:$B$13,0)),0))</f>
        <v>0</v>
      </c>
      <c r="AI583" s="24" t="n">
        <f aca="false">IF(AB583="",0,IFERROR(INDEX(Resep!$C$9:$C$13,MATCH(LEFT(AB583,3),Resep!$B$9:$B$13,0)),0))</f>
        <v>0</v>
      </c>
      <c r="AJ583" s="24" t="n">
        <f aca="false">IF(AC583="",0,IFERROR(INDEX(Resep!$C$9:$C$13,MATCH(LEFT(AC583,3),Resep!$B$9:$B$13,0)),0))</f>
        <v>0</v>
      </c>
      <c r="AK583" s="24" t="n">
        <f aca="false">IF(AD583="",0,IFERROR(INDEX(Resep!$C$15:$C$18,MATCH(LEFT(AD583,3),Resep!$B$15:$B$18,0)),0))</f>
        <v>0</v>
      </c>
      <c r="AL583" s="24" t="str">
        <f aca="false">IF(X583="","",AG583+AH583+AI583+AJ583+AK583)</f>
        <v/>
      </c>
      <c r="AM583" s="22" t="str">
        <f aca="false">IF(X583="","",AL583*(Pengaturan!$B$6+Pengaturan!$B$7)+Pengaturan!$B$8+AE583*Pengaturan!$B$9+AF583*Pengaturan!$B$10)</f>
        <v/>
      </c>
      <c r="AN583" s="22" t="str">
        <f aca="false">IF(X583="","",N(G583)-AM583)</f>
        <v/>
      </c>
      <c r="AO583" s="25" t="str">
        <f aca="false">IF(OR(X583="",N(G583)=0),"",AN583/G583)</f>
        <v/>
      </c>
    </row>
    <row r="584" customFormat="false" ht="15" hidden="false" customHeight="false" outlineLevel="0" collapsed="false">
      <c r="A584" s="19"/>
      <c r="B584" s="20"/>
      <c r="C584" s="19"/>
      <c r="D584" s="19"/>
      <c r="E584" s="19"/>
      <c r="F584" s="19"/>
      <c r="G584" s="21"/>
      <c r="H584" s="19"/>
      <c r="I584" s="21"/>
      <c r="J584" s="19"/>
      <c r="K584" s="20"/>
      <c r="L584" s="20"/>
      <c r="M584" s="19"/>
      <c r="N584" s="19"/>
      <c r="O584" s="20"/>
      <c r="P584" s="20"/>
      <c r="Q584" s="19"/>
      <c r="R584" s="22" t="str">
        <f aca="false">IF(A584="","",N(G584)+N(I584))</f>
        <v/>
      </c>
      <c r="S584" s="23" t="str">
        <f aca="false">IF(OR(K584="",O584=""),"",O584-K584)</f>
        <v/>
      </c>
      <c r="T584" s="23" t="str">
        <f aca="true">IF(AND(C584="Cetak",L584&lt;&gt;"",L584&lt;TODAY()),"YA","")</f>
        <v/>
      </c>
      <c r="U584" s="23" t="str">
        <f aca="false">IF(B584="","",TEXT(B584,"yyyy-mm"))</f>
        <v/>
      </c>
      <c r="V584" s="23" t="str">
        <f aca="false">IF(K584="","",TEXT(K584,"yyyy-mm"))</f>
        <v/>
      </c>
      <c r="W584" s="23" t="n">
        <f aca="false">IF(OR(C584="Cetak",C584="Dikirim",C584="Selesai"),1,0)</f>
        <v>0</v>
      </c>
      <c r="X584" s="23" t="str">
        <f aca="false">IF(F584="","",SUBSTITUTE(SUBSTITUTE(MID(UPPER(TRIM(F584)),4,99),"-LED",""),"-TK",""))</f>
        <v/>
      </c>
      <c r="Y584" s="23" t="str">
        <f aca="false">IF(X584="","",(LEN(X584)+1)/7)</f>
        <v/>
      </c>
      <c r="Z584" s="23" t="str">
        <f aca="false">IF(X584="","",LEFT(X584,6))</f>
        <v/>
      </c>
      <c r="AA584" s="23" t="str">
        <f aca="false">IF(X584="","",IF(Y584&gt;=3,MID(X584,8,6),""))</f>
        <v/>
      </c>
      <c r="AB584" s="23" t="str">
        <f aca="false">IF(X584="","",IF(Y584&gt;=4,MID(X584,15,6),""))</f>
        <v/>
      </c>
      <c r="AC584" s="23" t="str">
        <f aca="false">IF(X584="","",IF(Y584&gt;=5,MID(X584,22,6),""))</f>
        <v/>
      </c>
      <c r="AD584" s="23" t="str">
        <f aca="false">IF(X584="","",RIGHT(X584,6))</f>
        <v/>
      </c>
      <c r="AE584" s="23" t="str">
        <f aca="false">IF(F584="","",IF(ISNUMBER(SEARCH("-TK",UPPER(F584))),0,1))</f>
        <v/>
      </c>
      <c r="AF584" s="23" t="str">
        <f aca="false">IF(F584="","",IF(ISNUMBER(SEARCH("-LED",UPPER(F584))),1,0))</f>
        <v/>
      </c>
      <c r="AG584" s="24" t="n">
        <f aca="false">IF(Z584="",0,IFERROR(INDEX(Resep!$C$5:$C$7,MATCH(LEFT(Z584,3),Resep!$B$5:$B$7,0)),0))</f>
        <v>0</v>
      </c>
      <c r="AH584" s="24" t="n">
        <f aca="false">IF(AA584="",0,IFERROR(INDEX(Resep!$C$9:$C$13,MATCH(LEFT(AA584,3),Resep!$B$9:$B$13,0)),0))</f>
        <v>0</v>
      </c>
      <c r="AI584" s="24" t="n">
        <f aca="false">IF(AB584="",0,IFERROR(INDEX(Resep!$C$9:$C$13,MATCH(LEFT(AB584,3),Resep!$B$9:$B$13,0)),0))</f>
        <v>0</v>
      </c>
      <c r="AJ584" s="24" t="n">
        <f aca="false">IF(AC584="",0,IFERROR(INDEX(Resep!$C$9:$C$13,MATCH(LEFT(AC584,3),Resep!$B$9:$B$13,0)),0))</f>
        <v>0</v>
      </c>
      <c r="AK584" s="24" t="n">
        <f aca="false">IF(AD584="",0,IFERROR(INDEX(Resep!$C$15:$C$18,MATCH(LEFT(AD584,3),Resep!$B$15:$B$18,0)),0))</f>
        <v>0</v>
      </c>
      <c r="AL584" s="24" t="str">
        <f aca="false">IF(X584="","",AG584+AH584+AI584+AJ584+AK584)</f>
        <v/>
      </c>
      <c r="AM584" s="22" t="str">
        <f aca="false">IF(X584="","",AL584*(Pengaturan!$B$6+Pengaturan!$B$7)+Pengaturan!$B$8+AE584*Pengaturan!$B$9+AF584*Pengaturan!$B$10)</f>
        <v/>
      </c>
      <c r="AN584" s="22" t="str">
        <f aca="false">IF(X584="","",N(G584)-AM584)</f>
        <v/>
      </c>
      <c r="AO584" s="25" t="str">
        <f aca="false">IF(OR(X584="",N(G584)=0),"",AN584/G584)</f>
        <v/>
      </c>
    </row>
    <row r="585" customFormat="false" ht="15" hidden="false" customHeight="false" outlineLevel="0" collapsed="false">
      <c r="A585" s="19"/>
      <c r="B585" s="20"/>
      <c r="C585" s="19"/>
      <c r="D585" s="19"/>
      <c r="E585" s="19"/>
      <c r="F585" s="19"/>
      <c r="G585" s="21"/>
      <c r="H585" s="19"/>
      <c r="I585" s="21"/>
      <c r="J585" s="19"/>
      <c r="K585" s="20"/>
      <c r="L585" s="20"/>
      <c r="M585" s="19"/>
      <c r="N585" s="19"/>
      <c r="O585" s="20"/>
      <c r="P585" s="20"/>
      <c r="Q585" s="19"/>
      <c r="R585" s="22" t="str">
        <f aca="false">IF(A585="","",N(G585)+N(I585))</f>
        <v/>
      </c>
      <c r="S585" s="23" t="str">
        <f aca="false">IF(OR(K585="",O585=""),"",O585-K585)</f>
        <v/>
      </c>
      <c r="T585" s="23" t="str">
        <f aca="true">IF(AND(C585="Cetak",L585&lt;&gt;"",L585&lt;TODAY()),"YA","")</f>
        <v/>
      </c>
      <c r="U585" s="23" t="str">
        <f aca="false">IF(B585="","",TEXT(B585,"yyyy-mm"))</f>
        <v/>
      </c>
      <c r="V585" s="23" t="str">
        <f aca="false">IF(K585="","",TEXT(K585,"yyyy-mm"))</f>
        <v/>
      </c>
      <c r="W585" s="23" t="n">
        <f aca="false">IF(OR(C585="Cetak",C585="Dikirim",C585="Selesai"),1,0)</f>
        <v>0</v>
      </c>
      <c r="X585" s="23" t="str">
        <f aca="false">IF(F585="","",SUBSTITUTE(SUBSTITUTE(MID(UPPER(TRIM(F585)),4,99),"-LED",""),"-TK",""))</f>
        <v/>
      </c>
      <c r="Y585" s="23" t="str">
        <f aca="false">IF(X585="","",(LEN(X585)+1)/7)</f>
        <v/>
      </c>
      <c r="Z585" s="23" t="str">
        <f aca="false">IF(X585="","",LEFT(X585,6))</f>
        <v/>
      </c>
      <c r="AA585" s="23" t="str">
        <f aca="false">IF(X585="","",IF(Y585&gt;=3,MID(X585,8,6),""))</f>
        <v/>
      </c>
      <c r="AB585" s="23" t="str">
        <f aca="false">IF(X585="","",IF(Y585&gt;=4,MID(X585,15,6),""))</f>
        <v/>
      </c>
      <c r="AC585" s="23" t="str">
        <f aca="false">IF(X585="","",IF(Y585&gt;=5,MID(X585,22,6),""))</f>
        <v/>
      </c>
      <c r="AD585" s="23" t="str">
        <f aca="false">IF(X585="","",RIGHT(X585,6))</f>
        <v/>
      </c>
      <c r="AE585" s="23" t="str">
        <f aca="false">IF(F585="","",IF(ISNUMBER(SEARCH("-TK",UPPER(F585))),0,1))</f>
        <v/>
      </c>
      <c r="AF585" s="23" t="str">
        <f aca="false">IF(F585="","",IF(ISNUMBER(SEARCH("-LED",UPPER(F585))),1,0))</f>
        <v/>
      </c>
      <c r="AG585" s="24" t="n">
        <f aca="false">IF(Z585="",0,IFERROR(INDEX(Resep!$C$5:$C$7,MATCH(LEFT(Z585,3),Resep!$B$5:$B$7,0)),0))</f>
        <v>0</v>
      </c>
      <c r="AH585" s="24" t="n">
        <f aca="false">IF(AA585="",0,IFERROR(INDEX(Resep!$C$9:$C$13,MATCH(LEFT(AA585,3),Resep!$B$9:$B$13,0)),0))</f>
        <v>0</v>
      </c>
      <c r="AI585" s="24" t="n">
        <f aca="false">IF(AB585="",0,IFERROR(INDEX(Resep!$C$9:$C$13,MATCH(LEFT(AB585,3),Resep!$B$9:$B$13,0)),0))</f>
        <v>0</v>
      </c>
      <c r="AJ585" s="24" t="n">
        <f aca="false">IF(AC585="",0,IFERROR(INDEX(Resep!$C$9:$C$13,MATCH(LEFT(AC585,3),Resep!$B$9:$B$13,0)),0))</f>
        <v>0</v>
      </c>
      <c r="AK585" s="24" t="n">
        <f aca="false">IF(AD585="",0,IFERROR(INDEX(Resep!$C$15:$C$18,MATCH(LEFT(AD585,3),Resep!$B$15:$B$18,0)),0))</f>
        <v>0</v>
      </c>
      <c r="AL585" s="24" t="str">
        <f aca="false">IF(X585="","",AG585+AH585+AI585+AJ585+AK585)</f>
        <v/>
      </c>
      <c r="AM585" s="22" t="str">
        <f aca="false">IF(X585="","",AL585*(Pengaturan!$B$6+Pengaturan!$B$7)+Pengaturan!$B$8+AE585*Pengaturan!$B$9+AF585*Pengaturan!$B$10)</f>
        <v/>
      </c>
      <c r="AN585" s="22" t="str">
        <f aca="false">IF(X585="","",N(G585)-AM585)</f>
        <v/>
      </c>
      <c r="AO585" s="25" t="str">
        <f aca="false">IF(OR(X585="",N(G585)=0),"",AN585/G585)</f>
        <v/>
      </c>
    </row>
    <row r="586" customFormat="false" ht="15" hidden="false" customHeight="false" outlineLevel="0" collapsed="false">
      <c r="A586" s="19"/>
      <c r="B586" s="20"/>
      <c r="C586" s="19"/>
      <c r="D586" s="19"/>
      <c r="E586" s="19"/>
      <c r="F586" s="19"/>
      <c r="G586" s="21"/>
      <c r="H586" s="19"/>
      <c r="I586" s="21"/>
      <c r="J586" s="19"/>
      <c r="K586" s="20"/>
      <c r="L586" s="20"/>
      <c r="M586" s="19"/>
      <c r="N586" s="19"/>
      <c r="O586" s="20"/>
      <c r="P586" s="20"/>
      <c r="Q586" s="19"/>
      <c r="R586" s="22" t="str">
        <f aca="false">IF(A586="","",N(G586)+N(I586))</f>
        <v/>
      </c>
      <c r="S586" s="23" t="str">
        <f aca="false">IF(OR(K586="",O586=""),"",O586-K586)</f>
        <v/>
      </c>
      <c r="T586" s="23" t="str">
        <f aca="true">IF(AND(C586="Cetak",L586&lt;&gt;"",L586&lt;TODAY()),"YA","")</f>
        <v/>
      </c>
      <c r="U586" s="23" t="str">
        <f aca="false">IF(B586="","",TEXT(B586,"yyyy-mm"))</f>
        <v/>
      </c>
      <c r="V586" s="23" t="str">
        <f aca="false">IF(K586="","",TEXT(K586,"yyyy-mm"))</f>
        <v/>
      </c>
      <c r="W586" s="23" t="n">
        <f aca="false">IF(OR(C586="Cetak",C586="Dikirim",C586="Selesai"),1,0)</f>
        <v>0</v>
      </c>
      <c r="X586" s="23" t="str">
        <f aca="false">IF(F586="","",SUBSTITUTE(SUBSTITUTE(MID(UPPER(TRIM(F586)),4,99),"-LED",""),"-TK",""))</f>
        <v/>
      </c>
      <c r="Y586" s="23" t="str">
        <f aca="false">IF(X586="","",(LEN(X586)+1)/7)</f>
        <v/>
      </c>
      <c r="Z586" s="23" t="str">
        <f aca="false">IF(X586="","",LEFT(X586,6))</f>
        <v/>
      </c>
      <c r="AA586" s="23" t="str">
        <f aca="false">IF(X586="","",IF(Y586&gt;=3,MID(X586,8,6),""))</f>
        <v/>
      </c>
      <c r="AB586" s="23" t="str">
        <f aca="false">IF(X586="","",IF(Y586&gt;=4,MID(X586,15,6),""))</f>
        <v/>
      </c>
      <c r="AC586" s="23" t="str">
        <f aca="false">IF(X586="","",IF(Y586&gt;=5,MID(X586,22,6),""))</f>
        <v/>
      </c>
      <c r="AD586" s="23" t="str">
        <f aca="false">IF(X586="","",RIGHT(X586,6))</f>
        <v/>
      </c>
      <c r="AE586" s="23" t="str">
        <f aca="false">IF(F586="","",IF(ISNUMBER(SEARCH("-TK",UPPER(F586))),0,1))</f>
        <v/>
      </c>
      <c r="AF586" s="23" t="str">
        <f aca="false">IF(F586="","",IF(ISNUMBER(SEARCH("-LED",UPPER(F586))),1,0))</f>
        <v/>
      </c>
      <c r="AG586" s="24" t="n">
        <f aca="false">IF(Z586="",0,IFERROR(INDEX(Resep!$C$5:$C$7,MATCH(LEFT(Z586,3),Resep!$B$5:$B$7,0)),0))</f>
        <v>0</v>
      </c>
      <c r="AH586" s="24" t="n">
        <f aca="false">IF(AA586="",0,IFERROR(INDEX(Resep!$C$9:$C$13,MATCH(LEFT(AA586,3),Resep!$B$9:$B$13,0)),0))</f>
        <v>0</v>
      </c>
      <c r="AI586" s="24" t="n">
        <f aca="false">IF(AB586="",0,IFERROR(INDEX(Resep!$C$9:$C$13,MATCH(LEFT(AB586,3),Resep!$B$9:$B$13,0)),0))</f>
        <v>0</v>
      </c>
      <c r="AJ586" s="24" t="n">
        <f aca="false">IF(AC586="",0,IFERROR(INDEX(Resep!$C$9:$C$13,MATCH(LEFT(AC586,3),Resep!$B$9:$B$13,0)),0))</f>
        <v>0</v>
      </c>
      <c r="AK586" s="24" t="n">
        <f aca="false">IF(AD586="",0,IFERROR(INDEX(Resep!$C$15:$C$18,MATCH(LEFT(AD586,3),Resep!$B$15:$B$18,0)),0))</f>
        <v>0</v>
      </c>
      <c r="AL586" s="24" t="str">
        <f aca="false">IF(X586="","",AG586+AH586+AI586+AJ586+AK586)</f>
        <v/>
      </c>
      <c r="AM586" s="22" t="str">
        <f aca="false">IF(X586="","",AL586*(Pengaturan!$B$6+Pengaturan!$B$7)+Pengaturan!$B$8+AE586*Pengaturan!$B$9+AF586*Pengaturan!$B$10)</f>
        <v/>
      </c>
      <c r="AN586" s="22" t="str">
        <f aca="false">IF(X586="","",N(G586)-AM586)</f>
        <v/>
      </c>
      <c r="AO586" s="25" t="str">
        <f aca="false">IF(OR(X586="",N(G586)=0),"",AN586/G586)</f>
        <v/>
      </c>
    </row>
    <row r="587" customFormat="false" ht="15" hidden="false" customHeight="false" outlineLevel="0" collapsed="false">
      <c r="A587" s="19"/>
      <c r="B587" s="20"/>
      <c r="C587" s="19"/>
      <c r="D587" s="19"/>
      <c r="E587" s="19"/>
      <c r="F587" s="19"/>
      <c r="G587" s="21"/>
      <c r="H587" s="19"/>
      <c r="I587" s="21"/>
      <c r="J587" s="19"/>
      <c r="K587" s="20"/>
      <c r="L587" s="20"/>
      <c r="M587" s="19"/>
      <c r="N587" s="19"/>
      <c r="O587" s="20"/>
      <c r="P587" s="20"/>
      <c r="Q587" s="19"/>
      <c r="R587" s="22" t="str">
        <f aca="false">IF(A587="","",N(G587)+N(I587))</f>
        <v/>
      </c>
      <c r="S587" s="23" t="str">
        <f aca="false">IF(OR(K587="",O587=""),"",O587-K587)</f>
        <v/>
      </c>
      <c r="T587" s="23" t="str">
        <f aca="true">IF(AND(C587="Cetak",L587&lt;&gt;"",L587&lt;TODAY()),"YA","")</f>
        <v/>
      </c>
      <c r="U587" s="23" t="str">
        <f aca="false">IF(B587="","",TEXT(B587,"yyyy-mm"))</f>
        <v/>
      </c>
      <c r="V587" s="23" t="str">
        <f aca="false">IF(K587="","",TEXT(K587,"yyyy-mm"))</f>
        <v/>
      </c>
      <c r="W587" s="23" t="n">
        <f aca="false">IF(OR(C587="Cetak",C587="Dikirim",C587="Selesai"),1,0)</f>
        <v>0</v>
      </c>
      <c r="X587" s="23" t="str">
        <f aca="false">IF(F587="","",SUBSTITUTE(SUBSTITUTE(MID(UPPER(TRIM(F587)),4,99),"-LED",""),"-TK",""))</f>
        <v/>
      </c>
      <c r="Y587" s="23" t="str">
        <f aca="false">IF(X587="","",(LEN(X587)+1)/7)</f>
        <v/>
      </c>
      <c r="Z587" s="23" t="str">
        <f aca="false">IF(X587="","",LEFT(X587,6))</f>
        <v/>
      </c>
      <c r="AA587" s="23" t="str">
        <f aca="false">IF(X587="","",IF(Y587&gt;=3,MID(X587,8,6),""))</f>
        <v/>
      </c>
      <c r="AB587" s="23" t="str">
        <f aca="false">IF(X587="","",IF(Y587&gt;=4,MID(X587,15,6),""))</f>
        <v/>
      </c>
      <c r="AC587" s="23" t="str">
        <f aca="false">IF(X587="","",IF(Y587&gt;=5,MID(X587,22,6),""))</f>
        <v/>
      </c>
      <c r="AD587" s="23" t="str">
        <f aca="false">IF(X587="","",RIGHT(X587,6))</f>
        <v/>
      </c>
      <c r="AE587" s="23" t="str">
        <f aca="false">IF(F587="","",IF(ISNUMBER(SEARCH("-TK",UPPER(F587))),0,1))</f>
        <v/>
      </c>
      <c r="AF587" s="23" t="str">
        <f aca="false">IF(F587="","",IF(ISNUMBER(SEARCH("-LED",UPPER(F587))),1,0))</f>
        <v/>
      </c>
      <c r="AG587" s="24" t="n">
        <f aca="false">IF(Z587="",0,IFERROR(INDEX(Resep!$C$5:$C$7,MATCH(LEFT(Z587,3),Resep!$B$5:$B$7,0)),0))</f>
        <v>0</v>
      </c>
      <c r="AH587" s="24" t="n">
        <f aca="false">IF(AA587="",0,IFERROR(INDEX(Resep!$C$9:$C$13,MATCH(LEFT(AA587,3),Resep!$B$9:$B$13,0)),0))</f>
        <v>0</v>
      </c>
      <c r="AI587" s="24" t="n">
        <f aca="false">IF(AB587="",0,IFERROR(INDEX(Resep!$C$9:$C$13,MATCH(LEFT(AB587,3),Resep!$B$9:$B$13,0)),0))</f>
        <v>0</v>
      </c>
      <c r="AJ587" s="24" t="n">
        <f aca="false">IF(AC587="",0,IFERROR(INDEX(Resep!$C$9:$C$13,MATCH(LEFT(AC587,3),Resep!$B$9:$B$13,0)),0))</f>
        <v>0</v>
      </c>
      <c r="AK587" s="24" t="n">
        <f aca="false">IF(AD587="",0,IFERROR(INDEX(Resep!$C$15:$C$18,MATCH(LEFT(AD587,3),Resep!$B$15:$B$18,0)),0))</f>
        <v>0</v>
      </c>
      <c r="AL587" s="24" t="str">
        <f aca="false">IF(X587="","",AG587+AH587+AI587+AJ587+AK587)</f>
        <v/>
      </c>
      <c r="AM587" s="22" t="str">
        <f aca="false">IF(X587="","",AL587*(Pengaturan!$B$6+Pengaturan!$B$7)+Pengaturan!$B$8+AE587*Pengaturan!$B$9+AF587*Pengaturan!$B$10)</f>
        <v/>
      </c>
      <c r="AN587" s="22" t="str">
        <f aca="false">IF(X587="","",N(G587)-AM587)</f>
        <v/>
      </c>
      <c r="AO587" s="25" t="str">
        <f aca="false">IF(OR(X587="",N(G587)=0),"",AN587/G587)</f>
        <v/>
      </c>
    </row>
    <row r="588" customFormat="false" ht="15" hidden="false" customHeight="false" outlineLevel="0" collapsed="false">
      <c r="A588" s="19"/>
      <c r="B588" s="20"/>
      <c r="C588" s="19"/>
      <c r="D588" s="19"/>
      <c r="E588" s="19"/>
      <c r="F588" s="19"/>
      <c r="G588" s="21"/>
      <c r="H588" s="19"/>
      <c r="I588" s="21"/>
      <c r="J588" s="19"/>
      <c r="K588" s="20"/>
      <c r="L588" s="20"/>
      <c r="M588" s="19"/>
      <c r="N588" s="19"/>
      <c r="O588" s="20"/>
      <c r="P588" s="20"/>
      <c r="Q588" s="19"/>
      <c r="R588" s="22" t="str">
        <f aca="false">IF(A588="","",N(G588)+N(I588))</f>
        <v/>
      </c>
      <c r="S588" s="23" t="str">
        <f aca="false">IF(OR(K588="",O588=""),"",O588-K588)</f>
        <v/>
      </c>
      <c r="T588" s="23" t="str">
        <f aca="true">IF(AND(C588="Cetak",L588&lt;&gt;"",L588&lt;TODAY()),"YA","")</f>
        <v/>
      </c>
      <c r="U588" s="23" t="str">
        <f aca="false">IF(B588="","",TEXT(B588,"yyyy-mm"))</f>
        <v/>
      </c>
      <c r="V588" s="23" t="str">
        <f aca="false">IF(K588="","",TEXT(K588,"yyyy-mm"))</f>
        <v/>
      </c>
      <c r="W588" s="23" t="n">
        <f aca="false">IF(OR(C588="Cetak",C588="Dikirim",C588="Selesai"),1,0)</f>
        <v>0</v>
      </c>
      <c r="X588" s="23" t="str">
        <f aca="false">IF(F588="","",SUBSTITUTE(SUBSTITUTE(MID(UPPER(TRIM(F588)),4,99),"-LED",""),"-TK",""))</f>
        <v/>
      </c>
      <c r="Y588" s="23" t="str">
        <f aca="false">IF(X588="","",(LEN(X588)+1)/7)</f>
        <v/>
      </c>
      <c r="Z588" s="23" t="str">
        <f aca="false">IF(X588="","",LEFT(X588,6))</f>
        <v/>
      </c>
      <c r="AA588" s="23" t="str">
        <f aca="false">IF(X588="","",IF(Y588&gt;=3,MID(X588,8,6),""))</f>
        <v/>
      </c>
      <c r="AB588" s="23" t="str">
        <f aca="false">IF(X588="","",IF(Y588&gt;=4,MID(X588,15,6),""))</f>
        <v/>
      </c>
      <c r="AC588" s="23" t="str">
        <f aca="false">IF(X588="","",IF(Y588&gt;=5,MID(X588,22,6),""))</f>
        <v/>
      </c>
      <c r="AD588" s="23" t="str">
        <f aca="false">IF(X588="","",RIGHT(X588,6))</f>
        <v/>
      </c>
      <c r="AE588" s="23" t="str">
        <f aca="false">IF(F588="","",IF(ISNUMBER(SEARCH("-TK",UPPER(F588))),0,1))</f>
        <v/>
      </c>
      <c r="AF588" s="23" t="str">
        <f aca="false">IF(F588="","",IF(ISNUMBER(SEARCH("-LED",UPPER(F588))),1,0))</f>
        <v/>
      </c>
      <c r="AG588" s="24" t="n">
        <f aca="false">IF(Z588="",0,IFERROR(INDEX(Resep!$C$5:$C$7,MATCH(LEFT(Z588,3),Resep!$B$5:$B$7,0)),0))</f>
        <v>0</v>
      </c>
      <c r="AH588" s="24" t="n">
        <f aca="false">IF(AA588="",0,IFERROR(INDEX(Resep!$C$9:$C$13,MATCH(LEFT(AA588,3),Resep!$B$9:$B$13,0)),0))</f>
        <v>0</v>
      </c>
      <c r="AI588" s="24" t="n">
        <f aca="false">IF(AB588="",0,IFERROR(INDEX(Resep!$C$9:$C$13,MATCH(LEFT(AB588,3),Resep!$B$9:$B$13,0)),0))</f>
        <v>0</v>
      </c>
      <c r="AJ588" s="24" t="n">
        <f aca="false">IF(AC588="",0,IFERROR(INDEX(Resep!$C$9:$C$13,MATCH(LEFT(AC588,3),Resep!$B$9:$B$13,0)),0))</f>
        <v>0</v>
      </c>
      <c r="AK588" s="24" t="n">
        <f aca="false">IF(AD588="",0,IFERROR(INDEX(Resep!$C$15:$C$18,MATCH(LEFT(AD588,3),Resep!$B$15:$B$18,0)),0))</f>
        <v>0</v>
      </c>
      <c r="AL588" s="24" t="str">
        <f aca="false">IF(X588="","",AG588+AH588+AI588+AJ588+AK588)</f>
        <v/>
      </c>
      <c r="AM588" s="22" t="str">
        <f aca="false">IF(X588="","",AL588*(Pengaturan!$B$6+Pengaturan!$B$7)+Pengaturan!$B$8+AE588*Pengaturan!$B$9+AF588*Pengaturan!$B$10)</f>
        <v/>
      </c>
      <c r="AN588" s="22" t="str">
        <f aca="false">IF(X588="","",N(G588)-AM588)</f>
        <v/>
      </c>
      <c r="AO588" s="25" t="str">
        <f aca="false">IF(OR(X588="",N(G588)=0),"",AN588/G588)</f>
        <v/>
      </c>
    </row>
    <row r="589" customFormat="false" ht="15" hidden="false" customHeight="false" outlineLevel="0" collapsed="false">
      <c r="A589" s="19"/>
      <c r="B589" s="20"/>
      <c r="C589" s="19"/>
      <c r="D589" s="19"/>
      <c r="E589" s="19"/>
      <c r="F589" s="19"/>
      <c r="G589" s="21"/>
      <c r="H589" s="19"/>
      <c r="I589" s="21"/>
      <c r="J589" s="19"/>
      <c r="K589" s="20"/>
      <c r="L589" s="20"/>
      <c r="M589" s="19"/>
      <c r="N589" s="19"/>
      <c r="O589" s="20"/>
      <c r="P589" s="20"/>
      <c r="Q589" s="19"/>
      <c r="R589" s="22" t="str">
        <f aca="false">IF(A589="","",N(G589)+N(I589))</f>
        <v/>
      </c>
      <c r="S589" s="23" t="str">
        <f aca="false">IF(OR(K589="",O589=""),"",O589-K589)</f>
        <v/>
      </c>
      <c r="T589" s="23" t="str">
        <f aca="true">IF(AND(C589="Cetak",L589&lt;&gt;"",L589&lt;TODAY()),"YA","")</f>
        <v/>
      </c>
      <c r="U589" s="23" t="str">
        <f aca="false">IF(B589="","",TEXT(B589,"yyyy-mm"))</f>
        <v/>
      </c>
      <c r="V589" s="23" t="str">
        <f aca="false">IF(K589="","",TEXT(K589,"yyyy-mm"))</f>
        <v/>
      </c>
      <c r="W589" s="23" t="n">
        <f aca="false">IF(OR(C589="Cetak",C589="Dikirim",C589="Selesai"),1,0)</f>
        <v>0</v>
      </c>
      <c r="X589" s="23" t="str">
        <f aca="false">IF(F589="","",SUBSTITUTE(SUBSTITUTE(MID(UPPER(TRIM(F589)),4,99),"-LED",""),"-TK",""))</f>
        <v/>
      </c>
      <c r="Y589" s="23" t="str">
        <f aca="false">IF(X589="","",(LEN(X589)+1)/7)</f>
        <v/>
      </c>
      <c r="Z589" s="23" t="str">
        <f aca="false">IF(X589="","",LEFT(X589,6))</f>
        <v/>
      </c>
      <c r="AA589" s="23" t="str">
        <f aca="false">IF(X589="","",IF(Y589&gt;=3,MID(X589,8,6),""))</f>
        <v/>
      </c>
      <c r="AB589" s="23" t="str">
        <f aca="false">IF(X589="","",IF(Y589&gt;=4,MID(X589,15,6),""))</f>
        <v/>
      </c>
      <c r="AC589" s="23" t="str">
        <f aca="false">IF(X589="","",IF(Y589&gt;=5,MID(X589,22,6),""))</f>
        <v/>
      </c>
      <c r="AD589" s="23" t="str">
        <f aca="false">IF(X589="","",RIGHT(X589,6))</f>
        <v/>
      </c>
      <c r="AE589" s="23" t="str">
        <f aca="false">IF(F589="","",IF(ISNUMBER(SEARCH("-TK",UPPER(F589))),0,1))</f>
        <v/>
      </c>
      <c r="AF589" s="23" t="str">
        <f aca="false">IF(F589="","",IF(ISNUMBER(SEARCH("-LED",UPPER(F589))),1,0))</f>
        <v/>
      </c>
      <c r="AG589" s="24" t="n">
        <f aca="false">IF(Z589="",0,IFERROR(INDEX(Resep!$C$5:$C$7,MATCH(LEFT(Z589,3),Resep!$B$5:$B$7,0)),0))</f>
        <v>0</v>
      </c>
      <c r="AH589" s="24" t="n">
        <f aca="false">IF(AA589="",0,IFERROR(INDEX(Resep!$C$9:$C$13,MATCH(LEFT(AA589,3),Resep!$B$9:$B$13,0)),0))</f>
        <v>0</v>
      </c>
      <c r="AI589" s="24" t="n">
        <f aca="false">IF(AB589="",0,IFERROR(INDEX(Resep!$C$9:$C$13,MATCH(LEFT(AB589,3),Resep!$B$9:$B$13,0)),0))</f>
        <v>0</v>
      </c>
      <c r="AJ589" s="24" t="n">
        <f aca="false">IF(AC589="",0,IFERROR(INDEX(Resep!$C$9:$C$13,MATCH(LEFT(AC589,3),Resep!$B$9:$B$13,0)),0))</f>
        <v>0</v>
      </c>
      <c r="AK589" s="24" t="n">
        <f aca="false">IF(AD589="",0,IFERROR(INDEX(Resep!$C$15:$C$18,MATCH(LEFT(AD589,3),Resep!$B$15:$B$18,0)),0))</f>
        <v>0</v>
      </c>
      <c r="AL589" s="24" t="str">
        <f aca="false">IF(X589="","",AG589+AH589+AI589+AJ589+AK589)</f>
        <v/>
      </c>
      <c r="AM589" s="22" t="str">
        <f aca="false">IF(X589="","",AL589*(Pengaturan!$B$6+Pengaturan!$B$7)+Pengaturan!$B$8+AE589*Pengaturan!$B$9+AF589*Pengaturan!$B$10)</f>
        <v/>
      </c>
      <c r="AN589" s="22" t="str">
        <f aca="false">IF(X589="","",N(G589)-AM589)</f>
        <v/>
      </c>
      <c r="AO589" s="25" t="str">
        <f aca="false">IF(OR(X589="",N(G589)=0),"",AN589/G589)</f>
        <v/>
      </c>
    </row>
    <row r="590" customFormat="false" ht="15" hidden="false" customHeight="false" outlineLevel="0" collapsed="false">
      <c r="A590" s="19"/>
      <c r="B590" s="20"/>
      <c r="C590" s="19"/>
      <c r="D590" s="19"/>
      <c r="E590" s="19"/>
      <c r="F590" s="19"/>
      <c r="G590" s="21"/>
      <c r="H590" s="19"/>
      <c r="I590" s="21"/>
      <c r="J590" s="19"/>
      <c r="K590" s="20"/>
      <c r="L590" s="20"/>
      <c r="M590" s="19"/>
      <c r="N590" s="19"/>
      <c r="O590" s="20"/>
      <c r="P590" s="20"/>
      <c r="Q590" s="19"/>
      <c r="R590" s="22" t="str">
        <f aca="false">IF(A590="","",N(G590)+N(I590))</f>
        <v/>
      </c>
      <c r="S590" s="23" t="str">
        <f aca="false">IF(OR(K590="",O590=""),"",O590-K590)</f>
        <v/>
      </c>
      <c r="T590" s="23" t="str">
        <f aca="true">IF(AND(C590="Cetak",L590&lt;&gt;"",L590&lt;TODAY()),"YA","")</f>
        <v/>
      </c>
      <c r="U590" s="23" t="str">
        <f aca="false">IF(B590="","",TEXT(B590,"yyyy-mm"))</f>
        <v/>
      </c>
      <c r="V590" s="23" t="str">
        <f aca="false">IF(K590="","",TEXT(K590,"yyyy-mm"))</f>
        <v/>
      </c>
      <c r="W590" s="23" t="n">
        <f aca="false">IF(OR(C590="Cetak",C590="Dikirim",C590="Selesai"),1,0)</f>
        <v>0</v>
      </c>
      <c r="X590" s="23" t="str">
        <f aca="false">IF(F590="","",SUBSTITUTE(SUBSTITUTE(MID(UPPER(TRIM(F590)),4,99),"-LED",""),"-TK",""))</f>
        <v/>
      </c>
      <c r="Y590" s="23" t="str">
        <f aca="false">IF(X590="","",(LEN(X590)+1)/7)</f>
        <v/>
      </c>
      <c r="Z590" s="23" t="str">
        <f aca="false">IF(X590="","",LEFT(X590,6))</f>
        <v/>
      </c>
      <c r="AA590" s="23" t="str">
        <f aca="false">IF(X590="","",IF(Y590&gt;=3,MID(X590,8,6),""))</f>
        <v/>
      </c>
      <c r="AB590" s="23" t="str">
        <f aca="false">IF(X590="","",IF(Y590&gt;=4,MID(X590,15,6),""))</f>
        <v/>
      </c>
      <c r="AC590" s="23" t="str">
        <f aca="false">IF(X590="","",IF(Y590&gt;=5,MID(X590,22,6),""))</f>
        <v/>
      </c>
      <c r="AD590" s="23" t="str">
        <f aca="false">IF(X590="","",RIGHT(X590,6))</f>
        <v/>
      </c>
      <c r="AE590" s="23" t="str">
        <f aca="false">IF(F590="","",IF(ISNUMBER(SEARCH("-TK",UPPER(F590))),0,1))</f>
        <v/>
      </c>
      <c r="AF590" s="23" t="str">
        <f aca="false">IF(F590="","",IF(ISNUMBER(SEARCH("-LED",UPPER(F590))),1,0))</f>
        <v/>
      </c>
      <c r="AG590" s="24" t="n">
        <f aca="false">IF(Z590="",0,IFERROR(INDEX(Resep!$C$5:$C$7,MATCH(LEFT(Z590,3),Resep!$B$5:$B$7,0)),0))</f>
        <v>0</v>
      </c>
      <c r="AH590" s="24" t="n">
        <f aca="false">IF(AA590="",0,IFERROR(INDEX(Resep!$C$9:$C$13,MATCH(LEFT(AA590,3),Resep!$B$9:$B$13,0)),0))</f>
        <v>0</v>
      </c>
      <c r="AI590" s="24" t="n">
        <f aca="false">IF(AB590="",0,IFERROR(INDEX(Resep!$C$9:$C$13,MATCH(LEFT(AB590,3),Resep!$B$9:$B$13,0)),0))</f>
        <v>0</v>
      </c>
      <c r="AJ590" s="24" t="n">
        <f aca="false">IF(AC590="",0,IFERROR(INDEX(Resep!$C$9:$C$13,MATCH(LEFT(AC590,3),Resep!$B$9:$B$13,0)),0))</f>
        <v>0</v>
      </c>
      <c r="AK590" s="24" t="n">
        <f aca="false">IF(AD590="",0,IFERROR(INDEX(Resep!$C$15:$C$18,MATCH(LEFT(AD590,3),Resep!$B$15:$B$18,0)),0))</f>
        <v>0</v>
      </c>
      <c r="AL590" s="24" t="str">
        <f aca="false">IF(X590="","",AG590+AH590+AI590+AJ590+AK590)</f>
        <v/>
      </c>
      <c r="AM590" s="22" t="str">
        <f aca="false">IF(X590="","",AL590*(Pengaturan!$B$6+Pengaturan!$B$7)+Pengaturan!$B$8+AE590*Pengaturan!$B$9+AF590*Pengaturan!$B$10)</f>
        <v/>
      </c>
      <c r="AN590" s="22" t="str">
        <f aca="false">IF(X590="","",N(G590)-AM590)</f>
        <v/>
      </c>
      <c r="AO590" s="25" t="str">
        <f aca="false">IF(OR(X590="",N(G590)=0),"",AN590/G590)</f>
        <v/>
      </c>
    </row>
    <row r="591" customFormat="false" ht="15" hidden="false" customHeight="false" outlineLevel="0" collapsed="false">
      <c r="A591" s="19"/>
      <c r="B591" s="20"/>
      <c r="C591" s="19"/>
      <c r="D591" s="19"/>
      <c r="E591" s="19"/>
      <c r="F591" s="19"/>
      <c r="G591" s="21"/>
      <c r="H591" s="19"/>
      <c r="I591" s="21"/>
      <c r="J591" s="19"/>
      <c r="K591" s="20"/>
      <c r="L591" s="20"/>
      <c r="M591" s="19"/>
      <c r="N591" s="19"/>
      <c r="O591" s="20"/>
      <c r="P591" s="20"/>
      <c r="Q591" s="19"/>
      <c r="R591" s="22" t="str">
        <f aca="false">IF(A591="","",N(G591)+N(I591))</f>
        <v/>
      </c>
      <c r="S591" s="23" t="str">
        <f aca="false">IF(OR(K591="",O591=""),"",O591-K591)</f>
        <v/>
      </c>
      <c r="T591" s="23" t="str">
        <f aca="true">IF(AND(C591="Cetak",L591&lt;&gt;"",L591&lt;TODAY()),"YA","")</f>
        <v/>
      </c>
      <c r="U591" s="23" t="str">
        <f aca="false">IF(B591="","",TEXT(B591,"yyyy-mm"))</f>
        <v/>
      </c>
      <c r="V591" s="23" t="str">
        <f aca="false">IF(K591="","",TEXT(K591,"yyyy-mm"))</f>
        <v/>
      </c>
      <c r="W591" s="23" t="n">
        <f aca="false">IF(OR(C591="Cetak",C591="Dikirim",C591="Selesai"),1,0)</f>
        <v>0</v>
      </c>
      <c r="X591" s="23" t="str">
        <f aca="false">IF(F591="","",SUBSTITUTE(SUBSTITUTE(MID(UPPER(TRIM(F591)),4,99),"-LED",""),"-TK",""))</f>
        <v/>
      </c>
      <c r="Y591" s="23" t="str">
        <f aca="false">IF(X591="","",(LEN(X591)+1)/7)</f>
        <v/>
      </c>
      <c r="Z591" s="23" t="str">
        <f aca="false">IF(X591="","",LEFT(X591,6))</f>
        <v/>
      </c>
      <c r="AA591" s="23" t="str">
        <f aca="false">IF(X591="","",IF(Y591&gt;=3,MID(X591,8,6),""))</f>
        <v/>
      </c>
      <c r="AB591" s="23" t="str">
        <f aca="false">IF(X591="","",IF(Y591&gt;=4,MID(X591,15,6),""))</f>
        <v/>
      </c>
      <c r="AC591" s="23" t="str">
        <f aca="false">IF(X591="","",IF(Y591&gt;=5,MID(X591,22,6),""))</f>
        <v/>
      </c>
      <c r="AD591" s="23" t="str">
        <f aca="false">IF(X591="","",RIGHT(X591,6))</f>
        <v/>
      </c>
      <c r="AE591" s="23" t="str">
        <f aca="false">IF(F591="","",IF(ISNUMBER(SEARCH("-TK",UPPER(F591))),0,1))</f>
        <v/>
      </c>
      <c r="AF591" s="23" t="str">
        <f aca="false">IF(F591="","",IF(ISNUMBER(SEARCH("-LED",UPPER(F591))),1,0))</f>
        <v/>
      </c>
      <c r="AG591" s="24" t="n">
        <f aca="false">IF(Z591="",0,IFERROR(INDEX(Resep!$C$5:$C$7,MATCH(LEFT(Z591,3),Resep!$B$5:$B$7,0)),0))</f>
        <v>0</v>
      </c>
      <c r="AH591" s="24" t="n">
        <f aca="false">IF(AA591="",0,IFERROR(INDEX(Resep!$C$9:$C$13,MATCH(LEFT(AA591,3),Resep!$B$9:$B$13,0)),0))</f>
        <v>0</v>
      </c>
      <c r="AI591" s="24" t="n">
        <f aca="false">IF(AB591="",0,IFERROR(INDEX(Resep!$C$9:$C$13,MATCH(LEFT(AB591,3),Resep!$B$9:$B$13,0)),0))</f>
        <v>0</v>
      </c>
      <c r="AJ591" s="24" t="n">
        <f aca="false">IF(AC591="",0,IFERROR(INDEX(Resep!$C$9:$C$13,MATCH(LEFT(AC591,3),Resep!$B$9:$B$13,0)),0))</f>
        <v>0</v>
      </c>
      <c r="AK591" s="24" t="n">
        <f aca="false">IF(AD591="",0,IFERROR(INDEX(Resep!$C$15:$C$18,MATCH(LEFT(AD591,3),Resep!$B$15:$B$18,0)),0))</f>
        <v>0</v>
      </c>
      <c r="AL591" s="24" t="str">
        <f aca="false">IF(X591="","",AG591+AH591+AI591+AJ591+AK591)</f>
        <v/>
      </c>
      <c r="AM591" s="22" t="str">
        <f aca="false">IF(X591="","",AL591*(Pengaturan!$B$6+Pengaturan!$B$7)+Pengaturan!$B$8+AE591*Pengaturan!$B$9+AF591*Pengaturan!$B$10)</f>
        <v/>
      </c>
      <c r="AN591" s="22" t="str">
        <f aca="false">IF(X591="","",N(G591)-AM591)</f>
        <v/>
      </c>
      <c r="AO591" s="25" t="str">
        <f aca="false">IF(OR(X591="",N(G591)=0),"",AN591/G591)</f>
        <v/>
      </c>
    </row>
    <row r="592" customFormat="false" ht="15" hidden="false" customHeight="false" outlineLevel="0" collapsed="false">
      <c r="A592" s="19"/>
      <c r="B592" s="20"/>
      <c r="C592" s="19"/>
      <c r="D592" s="19"/>
      <c r="E592" s="19"/>
      <c r="F592" s="19"/>
      <c r="G592" s="21"/>
      <c r="H592" s="19"/>
      <c r="I592" s="21"/>
      <c r="J592" s="19"/>
      <c r="K592" s="20"/>
      <c r="L592" s="20"/>
      <c r="M592" s="19"/>
      <c r="N592" s="19"/>
      <c r="O592" s="20"/>
      <c r="P592" s="20"/>
      <c r="Q592" s="19"/>
      <c r="R592" s="22" t="str">
        <f aca="false">IF(A592="","",N(G592)+N(I592))</f>
        <v/>
      </c>
      <c r="S592" s="23" t="str">
        <f aca="false">IF(OR(K592="",O592=""),"",O592-K592)</f>
        <v/>
      </c>
      <c r="T592" s="23" t="str">
        <f aca="true">IF(AND(C592="Cetak",L592&lt;&gt;"",L592&lt;TODAY()),"YA","")</f>
        <v/>
      </c>
      <c r="U592" s="23" t="str">
        <f aca="false">IF(B592="","",TEXT(B592,"yyyy-mm"))</f>
        <v/>
      </c>
      <c r="V592" s="23" t="str">
        <f aca="false">IF(K592="","",TEXT(K592,"yyyy-mm"))</f>
        <v/>
      </c>
      <c r="W592" s="23" t="n">
        <f aca="false">IF(OR(C592="Cetak",C592="Dikirim",C592="Selesai"),1,0)</f>
        <v>0</v>
      </c>
      <c r="X592" s="23" t="str">
        <f aca="false">IF(F592="","",SUBSTITUTE(SUBSTITUTE(MID(UPPER(TRIM(F592)),4,99),"-LED",""),"-TK",""))</f>
        <v/>
      </c>
      <c r="Y592" s="23" t="str">
        <f aca="false">IF(X592="","",(LEN(X592)+1)/7)</f>
        <v/>
      </c>
      <c r="Z592" s="23" t="str">
        <f aca="false">IF(X592="","",LEFT(X592,6))</f>
        <v/>
      </c>
      <c r="AA592" s="23" t="str">
        <f aca="false">IF(X592="","",IF(Y592&gt;=3,MID(X592,8,6),""))</f>
        <v/>
      </c>
      <c r="AB592" s="23" t="str">
        <f aca="false">IF(X592="","",IF(Y592&gt;=4,MID(X592,15,6),""))</f>
        <v/>
      </c>
      <c r="AC592" s="23" t="str">
        <f aca="false">IF(X592="","",IF(Y592&gt;=5,MID(X592,22,6),""))</f>
        <v/>
      </c>
      <c r="AD592" s="23" t="str">
        <f aca="false">IF(X592="","",RIGHT(X592,6))</f>
        <v/>
      </c>
      <c r="AE592" s="23" t="str">
        <f aca="false">IF(F592="","",IF(ISNUMBER(SEARCH("-TK",UPPER(F592))),0,1))</f>
        <v/>
      </c>
      <c r="AF592" s="23" t="str">
        <f aca="false">IF(F592="","",IF(ISNUMBER(SEARCH("-LED",UPPER(F592))),1,0))</f>
        <v/>
      </c>
      <c r="AG592" s="24" t="n">
        <f aca="false">IF(Z592="",0,IFERROR(INDEX(Resep!$C$5:$C$7,MATCH(LEFT(Z592,3),Resep!$B$5:$B$7,0)),0))</f>
        <v>0</v>
      </c>
      <c r="AH592" s="24" t="n">
        <f aca="false">IF(AA592="",0,IFERROR(INDEX(Resep!$C$9:$C$13,MATCH(LEFT(AA592,3),Resep!$B$9:$B$13,0)),0))</f>
        <v>0</v>
      </c>
      <c r="AI592" s="24" t="n">
        <f aca="false">IF(AB592="",0,IFERROR(INDEX(Resep!$C$9:$C$13,MATCH(LEFT(AB592,3),Resep!$B$9:$B$13,0)),0))</f>
        <v>0</v>
      </c>
      <c r="AJ592" s="24" t="n">
        <f aca="false">IF(AC592="",0,IFERROR(INDEX(Resep!$C$9:$C$13,MATCH(LEFT(AC592,3),Resep!$B$9:$B$13,0)),0))</f>
        <v>0</v>
      </c>
      <c r="AK592" s="24" t="n">
        <f aca="false">IF(AD592="",0,IFERROR(INDEX(Resep!$C$15:$C$18,MATCH(LEFT(AD592,3),Resep!$B$15:$B$18,0)),0))</f>
        <v>0</v>
      </c>
      <c r="AL592" s="24" t="str">
        <f aca="false">IF(X592="","",AG592+AH592+AI592+AJ592+AK592)</f>
        <v/>
      </c>
      <c r="AM592" s="22" t="str">
        <f aca="false">IF(X592="","",AL592*(Pengaturan!$B$6+Pengaturan!$B$7)+Pengaturan!$B$8+AE592*Pengaturan!$B$9+AF592*Pengaturan!$B$10)</f>
        <v/>
      </c>
      <c r="AN592" s="22" t="str">
        <f aca="false">IF(X592="","",N(G592)-AM592)</f>
        <v/>
      </c>
      <c r="AO592" s="25" t="str">
        <f aca="false">IF(OR(X592="",N(G592)=0),"",AN592/G592)</f>
        <v/>
      </c>
    </row>
    <row r="593" customFormat="false" ht="15" hidden="false" customHeight="false" outlineLevel="0" collapsed="false">
      <c r="A593" s="19"/>
      <c r="B593" s="20"/>
      <c r="C593" s="19"/>
      <c r="D593" s="19"/>
      <c r="E593" s="19"/>
      <c r="F593" s="19"/>
      <c r="G593" s="21"/>
      <c r="H593" s="19"/>
      <c r="I593" s="21"/>
      <c r="J593" s="19"/>
      <c r="K593" s="20"/>
      <c r="L593" s="20"/>
      <c r="M593" s="19"/>
      <c r="N593" s="19"/>
      <c r="O593" s="20"/>
      <c r="P593" s="20"/>
      <c r="Q593" s="19"/>
      <c r="R593" s="22" t="str">
        <f aca="false">IF(A593="","",N(G593)+N(I593))</f>
        <v/>
      </c>
      <c r="S593" s="23" t="str">
        <f aca="false">IF(OR(K593="",O593=""),"",O593-K593)</f>
        <v/>
      </c>
      <c r="T593" s="23" t="str">
        <f aca="true">IF(AND(C593="Cetak",L593&lt;&gt;"",L593&lt;TODAY()),"YA","")</f>
        <v/>
      </c>
      <c r="U593" s="23" t="str">
        <f aca="false">IF(B593="","",TEXT(B593,"yyyy-mm"))</f>
        <v/>
      </c>
      <c r="V593" s="23" t="str">
        <f aca="false">IF(K593="","",TEXT(K593,"yyyy-mm"))</f>
        <v/>
      </c>
      <c r="W593" s="23" t="n">
        <f aca="false">IF(OR(C593="Cetak",C593="Dikirim",C593="Selesai"),1,0)</f>
        <v>0</v>
      </c>
      <c r="X593" s="23" t="str">
        <f aca="false">IF(F593="","",SUBSTITUTE(SUBSTITUTE(MID(UPPER(TRIM(F593)),4,99),"-LED",""),"-TK",""))</f>
        <v/>
      </c>
      <c r="Y593" s="23" t="str">
        <f aca="false">IF(X593="","",(LEN(X593)+1)/7)</f>
        <v/>
      </c>
      <c r="Z593" s="23" t="str">
        <f aca="false">IF(X593="","",LEFT(X593,6))</f>
        <v/>
      </c>
      <c r="AA593" s="23" t="str">
        <f aca="false">IF(X593="","",IF(Y593&gt;=3,MID(X593,8,6),""))</f>
        <v/>
      </c>
      <c r="AB593" s="23" t="str">
        <f aca="false">IF(X593="","",IF(Y593&gt;=4,MID(X593,15,6),""))</f>
        <v/>
      </c>
      <c r="AC593" s="23" t="str">
        <f aca="false">IF(X593="","",IF(Y593&gt;=5,MID(X593,22,6),""))</f>
        <v/>
      </c>
      <c r="AD593" s="23" t="str">
        <f aca="false">IF(X593="","",RIGHT(X593,6))</f>
        <v/>
      </c>
      <c r="AE593" s="23" t="str">
        <f aca="false">IF(F593="","",IF(ISNUMBER(SEARCH("-TK",UPPER(F593))),0,1))</f>
        <v/>
      </c>
      <c r="AF593" s="23" t="str">
        <f aca="false">IF(F593="","",IF(ISNUMBER(SEARCH("-LED",UPPER(F593))),1,0))</f>
        <v/>
      </c>
      <c r="AG593" s="24" t="n">
        <f aca="false">IF(Z593="",0,IFERROR(INDEX(Resep!$C$5:$C$7,MATCH(LEFT(Z593,3),Resep!$B$5:$B$7,0)),0))</f>
        <v>0</v>
      </c>
      <c r="AH593" s="24" t="n">
        <f aca="false">IF(AA593="",0,IFERROR(INDEX(Resep!$C$9:$C$13,MATCH(LEFT(AA593,3),Resep!$B$9:$B$13,0)),0))</f>
        <v>0</v>
      </c>
      <c r="AI593" s="24" t="n">
        <f aca="false">IF(AB593="",0,IFERROR(INDEX(Resep!$C$9:$C$13,MATCH(LEFT(AB593,3),Resep!$B$9:$B$13,0)),0))</f>
        <v>0</v>
      </c>
      <c r="AJ593" s="24" t="n">
        <f aca="false">IF(AC593="",0,IFERROR(INDEX(Resep!$C$9:$C$13,MATCH(LEFT(AC593,3),Resep!$B$9:$B$13,0)),0))</f>
        <v>0</v>
      </c>
      <c r="AK593" s="24" t="n">
        <f aca="false">IF(AD593="",0,IFERROR(INDEX(Resep!$C$15:$C$18,MATCH(LEFT(AD593,3),Resep!$B$15:$B$18,0)),0))</f>
        <v>0</v>
      </c>
      <c r="AL593" s="24" t="str">
        <f aca="false">IF(X593="","",AG593+AH593+AI593+AJ593+AK593)</f>
        <v/>
      </c>
      <c r="AM593" s="22" t="str">
        <f aca="false">IF(X593="","",AL593*(Pengaturan!$B$6+Pengaturan!$B$7)+Pengaturan!$B$8+AE593*Pengaturan!$B$9+AF593*Pengaturan!$B$10)</f>
        <v/>
      </c>
      <c r="AN593" s="22" t="str">
        <f aca="false">IF(X593="","",N(G593)-AM593)</f>
        <v/>
      </c>
      <c r="AO593" s="25" t="str">
        <f aca="false">IF(OR(X593="",N(G593)=0),"",AN593/G593)</f>
        <v/>
      </c>
    </row>
    <row r="594" customFormat="false" ht="15" hidden="false" customHeight="false" outlineLevel="0" collapsed="false">
      <c r="A594" s="19"/>
      <c r="B594" s="20"/>
      <c r="C594" s="19"/>
      <c r="D594" s="19"/>
      <c r="E594" s="19"/>
      <c r="F594" s="19"/>
      <c r="G594" s="21"/>
      <c r="H594" s="19"/>
      <c r="I594" s="21"/>
      <c r="J594" s="19"/>
      <c r="K594" s="20"/>
      <c r="L594" s="20"/>
      <c r="M594" s="19"/>
      <c r="N594" s="19"/>
      <c r="O594" s="20"/>
      <c r="P594" s="20"/>
      <c r="Q594" s="19"/>
      <c r="R594" s="22" t="str">
        <f aca="false">IF(A594="","",N(G594)+N(I594))</f>
        <v/>
      </c>
      <c r="S594" s="23" t="str">
        <f aca="false">IF(OR(K594="",O594=""),"",O594-K594)</f>
        <v/>
      </c>
      <c r="T594" s="23" t="str">
        <f aca="true">IF(AND(C594="Cetak",L594&lt;&gt;"",L594&lt;TODAY()),"YA","")</f>
        <v/>
      </c>
      <c r="U594" s="23" t="str">
        <f aca="false">IF(B594="","",TEXT(B594,"yyyy-mm"))</f>
        <v/>
      </c>
      <c r="V594" s="23" t="str">
        <f aca="false">IF(K594="","",TEXT(K594,"yyyy-mm"))</f>
        <v/>
      </c>
      <c r="W594" s="23" t="n">
        <f aca="false">IF(OR(C594="Cetak",C594="Dikirim",C594="Selesai"),1,0)</f>
        <v>0</v>
      </c>
      <c r="X594" s="23" t="str">
        <f aca="false">IF(F594="","",SUBSTITUTE(SUBSTITUTE(MID(UPPER(TRIM(F594)),4,99),"-LED",""),"-TK",""))</f>
        <v/>
      </c>
      <c r="Y594" s="23" t="str">
        <f aca="false">IF(X594="","",(LEN(X594)+1)/7)</f>
        <v/>
      </c>
      <c r="Z594" s="23" t="str">
        <f aca="false">IF(X594="","",LEFT(X594,6))</f>
        <v/>
      </c>
      <c r="AA594" s="23" t="str">
        <f aca="false">IF(X594="","",IF(Y594&gt;=3,MID(X594,8,6),""))</f>
        <v/>
      </c>
      <c r="AB594" s="23" t="str">
        <f aca="false">IF(X594="","",IF(Y594&gt;=4,MID(X594,15,6),""))</f>
        <v/>
      </c>
      <c r="AC594" s="23" t="str">
        <f aca="false">IF(X594="","",IF(Y594&gt;=5,MID(X594,22,6),""))</f>
        <v/>
      </c>
      <c r="AD594" s="23" t="str">
        <f aca="false">IF(X594="","",RIGHT(X594,6))</f>
        <v/>
      </c>
      <c r="AE594" s="23" t="str">
        <f aca="false">IF(F594="","",IF(ISNUMBER(SEARCH("-TK",UPPER(F594))),0,1))</f>
        <v/>
      </c>
      <c r="AF594" s="23" t="str">
        <f aca="false">IF(F594="","",IF(ISNUMBER(SEARCH("-LED",UPPER(F594))),1,0))</f>
        <v/>
      </c>
      <c r="AG594" s="24" t="n">
        <f aca="false">IF(Z594="",0,IFERROR(INDEX(Resep!$C$5:$C$7,MATCH(LEFT(Z594,3),Resep!$B$5:$B$7,0)),0))</f>
        <v>0</v>
      </c>
      <c r="AH594" s="24" t="n">
        <f aca="false">IF(AA594="",0,IFERROR(INDEX(Resep!$C$9:$C$13,MATCH(LEFT(AA594,3),Resep!$B$9:$B$13,0)),0))</f>
        <v>0</v>
      </c>
      <c r="AI594" s="24" t="n">
        <f aca="false">IF(AB594="",0,IFERROR(INDEX(Resep!$C$9:$C$13,MATCH(LEFT(AB594,3),Resep!$B$9:$B$13,0)),0))</f>
        <v>0</v>
      </c>
      <c r="AJ594" s="24" t="n">
        <f aca="false">IF(AC594="",0,IFERROR(INDEX(Resep!$C$9:$C$13,MATCH(LEFT(AC594,3),Resep!$B$9:$B$13,0)),0))</f>
        <v>0</v>
      </c>
      <c r="AK594" s="24" t="n">
        <f aca="false">IF(AD594="",0,IFERROR(INDEX(Resep!$C$15:$C$18,MATCH(LEFT(AD594,3),Resep!$B$15:$B$18,0)),0))</f>
        <v>0</v>
      </c>
      <c r="AL594" s="24" t="str">
        <f aca="false">IF(X594="","",AG594+AH594+AI594+AJ594+AK594)</f>
        <v/>
      </c>
      <c r="AM594" s="22" t="str">
        <f aca="false">IF(X594="","",AL594*(Pengaturan!$B$6+Pengaturan!$B$7)+Pengaturan!$B$8+AE594*Pengaturan!$B$9+AF594*Pengaturan!$B$10)</f>
        <v/>
      </c>
      <c r="AN594" s="22" t="str">
        <f aca="false">IF(X594="","",N(G594)-AM594)</f>
        <v/>
      </c>
      <c r="AO594" s="25" t="str">
        <f aca="false">IF(OR(X594="",N(G594)=0),"",AN594/G594)</f>
        <v/>
      </c>
    </row>
    <row r="595" customFormat="false" ht="15" hidden="false" customHeight="false" outlineLevel="0" collapsed="false">
      <c r="A595" s="19"/>
      <c r="B595" s="20"/>
      <c r="C595" s="19"/>
      <c r="D595" s="19"/>
      <c r="E595" s="19"/>
      <c r="F595" s="19"/>
      <c r="G595" s="21"/>
      <c r="H595" s="19"/>
      <c r="I595" s="21"/>
      <c r="J595" s="19"/>
      <c r="K595" s="20"/>
      <c r="L595" s="20"/>
      <c r="M595" s="19"/>
      <c r="N595" s="19"/>
      <c r="O595" s="20"/>
      <c r="P595" s="20"/>
      <c r="Q595" s="19"/>
      <c r="R595" s="22" t="str">
        <f aca="false">IF(A595="","",N(G595)+N(I595))</f>
        <v/>
      </c>
      <c r="S595" s="23" t="str">
        <f aca="false">IF(OR(K595="",O595=""),"",O595-K595)</f>
        <v/>
      </c>
      <c r="T595" s="23" t="str">
        <f aca="true">IF(AND(C595="Cetak",L595&lt;&gt;"",L595&lt;TODAY()),"YA","")</f>
        <v/>
      </c>
      <c r="U595" s="23" t="str">
        <f aca="false">IF(B595="","",TEXT(B595,"yyyy-mm"))</f>
        <v/>
      </c>
      <c r="V595" s="23" t="str">
        <f aca="false">IF(K595="","",TEXT(K595,"yyyy-mm"))</f>
        <v/>
      </c>
      <c r="W595" s="23" t="n">
        <f aca="false">IF(OR(C595="Cetak",C595="Dikirim",C595="Selesai"),1,0)</f>
        <v>0</v>
      </c>
      <c r="X595" s="23" t="str">
        <f aca="false">IF(F595="","",SUBSTITUTE(SUBSTITUTE(MID(UPPER(TRIM(F595)),4,99),"-LED",""),"-TK",""))</f>
        <v/>
      </c>
      <c r="Y595" s="23" t="str">
        <f aca="false">IF(X595="","",(LEN(X595)+1)/7)</f>
        <v/>
      </c>
      <c r="Z595" s="23" t="str">
        <f aca="false">IF(X595="","",LEFT(X595,6))</f>
        <v/>
      </c>
      <c r="AA595" s="23" t="str">
        <f aca="false">IF(X595="","",IF(Y595&gt;=3,MID(X595,8,6),""))</f>
        <v/>
      </c>
      <c r="AB595" s="23" t="str">
        <f aca="false">IF(X595="","",IF(Y595&gt;=4,MID(X595,15,6),""))</f>
        <v/>
      </c>
      <c r="AC595" s="23" t="str">
        <f aca="false">IF(X595="","",IF(Y595&gt;=5,MID(X595,22,6),""))</f>
        <v/>
      </c>
      <c r="AD595" s="23" t="str">
        <f aca="false">IF(X595="","",RIGHT(X595,6))</f>
        <v/>
      </c>
      <c r="AE595" s="23" t="str">
        <f aca="false">IF(F595="","",IF(ISNUMBER(SEARCH("-TK",UPPER(F595))),0,1))</f>
        <v/>
      </c>
      <c r="AF595" s="23" t="str">
        <f aca="false">IF(F595="","",IF(ISNUMBER(SEARCH("-LED",UPPER(F595))),1,0))</f>
        <v/>
      </c>
      <c r="AG595" s="24" t="n">
        <f aca="false">IF(Z595="",0,IFERROR(INDEX(Resep!$C$5:$C$7,MATCH(LEFT(Z595,3),Resep!$B$5:$B$7,0)),0))</f>
        <v>0</v>
      </c>
      <c r="AH595" s="24" t="n">
        <f aca="false">IF(AA595="",0,IFERROR(INDEX(Resep!$C$9:$C$13,MATCH(LEFT(AA595,3),Resep!$B$9:$B$13,0)),0))</f>
        <v>0</v>
      </c>
      <c r="AI595" s="24" t="n">
        <f aca="false">IF(AB595="",0,IFERROR(INDEX(Resep!$C$9:$C$13,MATCH(LEFT(AB595,3),Resep!$B$9:$B$13,0)),0))</f>
        <v>0</v>
      </c>
      <c r="AJ595" s="24" t="n">
        <f aca="false">IF(AC595="",0,IFERROR(INDEX(Resep!$C$9:$C$13,MATCH(LEFT(AC595,3),Resep!$B$9:$B$13,0)),0))</f>
        <v>0</v>
      </c>
      <c r="AK595" s="24" t="n">
        <f aca="false">IF(AD595="",0,IFERROR(INDEX(Resep!$C$15:$C$18,MATCH(LEFT(AD595,3),Resep!$B$15:$B$18,0)),0))</f>
        <v>0</v>
      </c>
      <c r="AL595" s="24" t="str">
        <f aca="false">IF(X595="","",AG595+AH595+AI595+AJ595+AK595)</f>
        <v/>
      </c>
      <c r="AM595" s="22" t="str">
        <f aca="false">IF(X595="","",AL595*(Pengaturan!$B$6+Pengaturan!$B$7)+Pengaturan!$B$8+AE595*Pengaturan!$B$9+AF595*Pengaturan!$B$10)</f>
        <v/>
      </c>
      <c r="AN595" s="22" t="str">
        <f aca="false">IF(X595="","",N(G595)-AM595)</f>
        <v/>
      </c>
      <c r="AO595" s="25" t="str">
        <f aca="false">IF(OR(X595="",N(G595)=0),"",AN595/G595)</f>
        <v/>
      </c>
    </row>
    <row r="596" customFormat="false" ht="15" hidden="false" customHeight="false" outlineLevel="0" collapsed="false">
      <c r="A596" s="19"/>
      <c r="B596" s="20"/>
      <c r="C596" s="19"/>
      <c r="D596" s="19"/>
      <c r="E596" s="19"/>
      <c r="F596" s="19"/>
      <c r="G596" s="21"/>
      <c r="H596" s="19"/>
      <c r="I596" s="21"/>
      <c r="J596" s="19"/>
      <c r="K596" s="20"/>
      <c r="L596" s="20"/>
      <c r="M596" s="19"/>
      <c r="N596" s="19"/>
      <c r="O596" s="20"/>
      <c r="P596" s="20"/>
      <c r="Q596" s="19"/>
      <c r="R596" s="22" t="str">
        <f aca="false">IF(A596="","",N(G596)+N(I596))</f>
        <v/>
      </c>
      <c r="S596" s="23" t="str">
        <f aca="false">IF(OR(K596="",O596=""),"",O596-K596)</f>
        <v/>
      </c>
      <c r="T596" s="23" t="str">
        <f aca="true">IF(AND(C596="Cetak",L596&lt;&gt;"",L596&lt;TODAY()),"YA","")</f>
        <v/>
      </c>
      <c r="U596" s="23" t="str">
        <f aca="false">IF(B596="","",TEXT(B596,"yyyy-mm"))</f>
        <v/>
      </c>
      <c r="V596" s="23" t="str">
        <f aca="false">IF(K596="","",TEXT(K596,"yyyy-mm"))</f>
        <v/>
      </c>
      <c r="W596" s="23" t="n">
        <f aca="false">IF(OR(C596="Cetak",C596="Dikirim",C596="Selesai"),1,0)</f>
        <v>0</v>
      </c>
      <c r="X596" s="23" t="str">
        <f aca="false">IF(F596="","",SUBSTITUTE(SUBSTITUTE(MID(UPPER(TRIM(F596)),4,99),"-LED",""),"-TK",""))</f>
        <v/>
      </c>
      <c r="Y596" s="23" t="str">
        <f aca="false">IF(X596="","",(LEN(X596)+1)/7)</f>
        <v/>
      </c>
      <c r="Z596" s="23" t="str">
        <f aca="false">IF(X596="","",LEFT(X596,6))</f>
        <v/>
      </c>
      <c r="AA596" s="23" t="str">
        <f aca="false">IF(X596="","",IF(Y596&gt;=3,MID(X596,8,6),""))</f>
        <v/>
      </c>
      <c r="AB596" s="23" t="str">
        <f aca="false">IF(X596="","",IF(Y596&gt;=4,MID(X596,15,6),""))</f>
        <v/>
      </c>
      <c r="AC596" s="23" t="str">
        <f aca="false">IF(X596="","",IF(Y596&gt;=5,MID(X596,22,6),""))</f>
        <v/>
      </c>
      <c r="AD596" s="23" t="str">
        <f aca="false">IF(X596="","",RIGHT(X596,6))</f>
        <v/>
      </c>
      <c r="AE596" s="23" t="str">
        <f aca="false">IF(F596="","",IF(ISNUMBER(SEARCH("-TK",UPPER(F596))),0,1))</f>
        <v/>
      </c>
      <c r="AF596" s="23" t="str">
        <f aca="false">IF(F596="","",IF(ISNUMBER(SEARCH("-LED",UPPER(F596))),1,0))</f>
        <v/>
      </c>
      <c r="AG596" s="24" t="n">
        <f aca="false">IF(Z596="",0,IFERROR(INDEX(Resep!$C$5:$C$7,MATCH(LEFT(Z596,3),Resep!$B$5:$B$7,0)),0))</f>
        <v>0</v>
      </c>
      <c r="AH596" s="24" t="n">
        <f aca="false">IF(AA596="",0,IFERROR(INDEX(Resep!$C$9:$C$13,MATCH(LEFT(AA596,3),Resep!$B$9:$B$13,0)),0))</f>
        <v>0</v>
      </c>
      <c r="AI596" s="24" t="n">
        <f aca="false">IF(AB596="",0,IFERROR(INDEX(Resep!$C$9:$C$13,MATCH(LEFT(AB596,3),Resep!$B$9:$B$13,0)),0))</f>
        <v>0</v>
      </c>
      <c r="AJ596" s="24" t="n">
        <f aca="false">IF(AC596="",0,IFERROR(INDEX(Resep!$C$9:$C$13,MATCH(LEFT(AC596,3),Resep!$B$9:$B$13,0)),0))</f>
        <v>0</v>
      </c>
      <c r="AK596" s="24" t="n">
        <f aca="false">IF(AD596="",0,IFERROR(INDEX(Resep!$C$15:$C$18,MATCH(LEFT(AD596,3),Resep!$B$15:$B$18,0)),0))</f>
        <v>0</v>
      </c>
      <c r="AL596" s="24" t="str">
        <f aca="false">IF(X596="","",AG596+AH596+AI596+AJ596+AK596)</f>
        <v/>
      </c>
      <c r="AM596" s="22" t="str">
        <f aca="false">IF(X596="","",AL596*(Pengaturan!$B$6+Pengaturan!$B$7)+Pengaturan!$B$8+AE596*Pengaturan!$B$9+AF596*Pengaturan!$B$10)</f>
        <v/>
      </c>
      <c r="AN596" s="22" t="str">
        <f aca="false">IF(X596="","",N(G596)-AM596)</f>
        <v/>
      </c>
      <c r="AO596" s="25" t="str">
        <f aca="false">IF(OR(X596="",N(G596)=0),"",AN596/G596)</f>
        <v/>
      </c>
    </row>
    <row r="597" customFormat="false" ht="15" hidden="false" customHeight="false" outlineLevel="0" collapsed="false">
      <c r="A597" s="19"/>
      <c r="B597" s="20"/>
      <c r="C597" s="19"/>
      <c r="D597" s="19"/>
      <c r="E597" s="19"/>
      <c r="F597" s="19"/>
      <c r="G597" s="21"/>
      <c r="H597" s="19"/>
      <c r="I597" s="21"/>
      <c r="J597" s="19"/>
      <c r="K597" s="20"/>
      <c r="L597" s="20"/>
      <c r="M597" s="19"/>
      <c r="N597" s="19"/>
      <c r="O597" s="20"/>
      <c r="P597" s="20"/>
      <c r="Q597" s="19"/>
      <c r="R597" s="22" t="str">
        <f aca="false">IF(A597="","",N(G597)+N(I597))</f>
        <v/>
      </c>
      <c r="S597" s="23" t="str">
        <f aca="false">IF(OR(K597="",O597=""),"",O597-K597)</f>
        <v/>
      </c>
      <c r="T597" s="23" t="str">
        <f aca="true">IF(AND(C597="Cetak",L597&lt;&gt;"",L597&lt;TODAY()),"YA","")</f>
        <v/>
      </c>
      <c r="U597" s="23" t="str">
        <f aca="false">IF(B597="","",TEXT(B597,"yyyy-mm"))</f>
        <v/>
      </c>
      <c r="V597" s="23" t="str">
        <f aca="false">IF(K597="","",TEXT(K597,"yyyy-mm"))</f>
        <v/>
      </c>
      <c r="W597" s="23" t="n">
        <f aca="false">IF(OR(C597="Cetak",C597="Dikirim",C597="Selesai"),1,0)</f>
        <v>0</v>
      </c>
      <c r="X597" s="23" t="str">
        <f aca="false">IF(F597="","",SUBSTITUTE(SUBSTITUTE(MID(UPPER(TRIM(F597)),4,99),"-LED",""),"-TK",""))</f>
        <v/>
      </c>
      <c r="Y597" s="23" t="str">
        <f aca="false">IF(X597="","",(LEN(X597)+1)/7)</f>
        <v/>
      </c>
      <c r="Z597" s="23" t="str">
        <f aca="false">IF(X597="","",LEFT(X597,6))</f>
        <v/>
      </c>
      <c r="AA597" s="23" t="str">
        <f aca="false">IF(X597="","",IF(Y597&gt;=3,MID(X597,8,6),""))</f>
        <v/>
      </c>
      <c r="AB597" s="23" t="str">
        <f aca="false">IF(X597="","",IF(Y597&gt;=4,MID(X597,15,6),""))</f>
        <v/>
      </c>
      <c r="AC597" s="23" t="str">
        <f aca="false">IF(X597="","",IF(Y597&gt;=5,MID(X597,22,6),""))</f>
        <v/>
      </c>
      <c r="AD597" s="23" t="str">
        <f aca="false">IF(X597="","",RIGHT(X597,6))</f>
        <v/>
      </c>
      <c r="AE597" s="23" t="str">
        <f aca="false">IF(F597="","",IF(ISNUMBER(SEARCH("-TK",UPPER(F597))),0,1))</f>
        <v/>
      </c>
      <c r="AF597" s="23" t="str">
        <f aca="false">IF(F597="","",IF(ISNUMBER(SEARCH("-LED",UPPER(F597))),1,0))</f>
        <v/>
      </c>
      <c r="AG597" s="24" t="n">
        <f aca="false">IF(Z597="",0,IFERROR(INDEX(Resep!$C$5:$C$7,MATCH(LEFT(Z597,3),Resep!$B$5:$B$7,0)),0))</f>
        <v>0</v>
      </c>
      <c r="AH597" s="24" t="n">
        <f aca="false">IF(AA597="",0,IFERROR(INDEX(Resep!$C$9:$C$13,MATCH(LEFT(AA597,3),Resep!$B$9:$B$13,0)),0))</f>
        <v>0</v>
      </c>
      <c r="AI597" s="24" t="n">
        <f aca="false">IF(AB597="",0,IFERROR(INDEX(Resep!$C$9:$C$13,MATCH(LEFT(AB597,3),Resep!$B$9:$B$13,0)),0))</f>
        <v>0</v>
      </c>
      <c r="AJ597" s="24" t="n">
        <f aca="false">IF(AC597="",0,IFERROR(INDEX(Resep!$C$9:$C$13,MATCH(LEFT(AC597,3),Resep!$B$9:$B$13,0)),0))</f>
        <v>0</v>
      </c>
      <c r="AK597" s="24" t="n">
        <f aca="false">IF(AD597="",0,IFERROR(INDEX(Resep!$C$15:$C$18,MATCH(LEFT(AD597,3),Resep!$B$15:$B$18,0)),0))</f>
        <v>0</v>
      </c>
      <c r="AL597" s="24" t="str">
        <f aca="false">IF(X597="","",AG597+AH597+AI597+AJ597+AK597)</f>
        <v/>
      </c>
      <c r="AM597" s="22" t="str">
        <f aca="false">IF(X597="","",AL597*(Pengaturan!$B$6+Pengaturan!$B$7)+Pengaturan!$B$8+AE597*Pengaturan!$B$9+AF597*Pengaturan!$B$10)</f>
        <v/>
      </c>
      <c r="AN597" s="22" t="str">
        <f aca="false">IF(X597="","",N(G597)-AM597)</f>
        <v/>
      </c>
      <c r="AO597" s="25" t="str">
        <f aca="false">IF(OR(X597="",N(G597)=0),"",AN597/G597)</f>
        <v/>
      </c>
    </row>
    <row r="598" customFormat="false" ht="15" hidden="false" customHeight="false" outlineLevel="0" collapsed="false">
      <c r="A598" s="19"/>
      <c r="B598" s="20"/>
      <c r="C598" s="19"/>
      <c r="D598" s="19"/>
      <c r="E598" s="19"/>
      <c r="F598" s="19"/>
      <c r="G598" s="21"/>
      <c r="H598" s="19"/>
      <c r="I598" s="21"/>
      <c r="J598" s="19"/>
      <c r="K598" s="20"/>
      <c r="L598" s="20"/>
      <c r="M598" s="19"/>
      <c r="N598" s="19"/>
      <c r="O598" s="20"/>
      <c r="P598" s="20"/>
      <c r="Q598" s="19"/>
      <c r="R598" s="22" t="str">
        <f aca="false">IF(A598="","",N(G598)+N(I598))</f>
        <v/>
      </c>
      <c r="S598" s="23" t="str">
        <f aca="false">IF(OR(K598="",O598=""),"",O598-K598)</f>
        <v/>
      </c>
      <c r="T598" s="23" t="str">
        <f aca="true">IF(AND(C598="Cetak",L598&lt;&gt;"",L598&lt;TODAY()),"YA","")</f>
        <v/>
      </c>
      <c r="U598" s="23" t="str">
        <f aca="false">IF(B598="","",TEXT(B598,"yyyy-mm"))</f>
        <v/>
      </c>
      <c r="V598" s="23" t="str">
        <f aca="false">IF(K598="","",TEXT(K598,"yyyy-mm"))</f>
        <v/>
      </c>
      <c r="W598" s="23" t="n">
        <f aca="false">IF(OR(C598="Cetak",C598="Dikirim",C598="Selesai"),1,0)</f>
        <v>0</v>
      </c>
      <c r="X598" s="23" t="str">
        <f aca="false">IF(F598="","",SUBSTITUTE(SUBSTITUTE(MID(UPPER(TRIM(F598)),4,99),"-LED",""),"-TK",""))</f>
        <v/>
      </c>
      <c r="Y598" s="23" t="str">
        <f aca="false">IF(X598="","",(LEN(X598)+1)/7)</f>
        <v/>
      </c>
      <c r="Z598" s="23" t="str">
        <f aca="false">IF(X598="","",LEFT(X598,6))</f>
        <v/>
      </c>
      <c r="AA598" s="23" t="str">
        <f aca="false">IF(X598="","",IF(Y598&gt;=3,MID(X598,8,6),""))</f>
        <v/>
      </c>
      <c r="AB598" s="23" t="str">
        <f aca="false">IF(X598="","",IF(Y598&gt;=4,MID(X598,15,6),""))</f>
        <v/>
      </c>
      <c r="AC598" s="23" t="str">
        <f aca="false">IF(X598="","",IF(Y598&gt;=5,MID(X598,22,6),""))</f>
        <v/>
      </c>
      <c r="AD598" s="23" t="str">
        <f aca="false">IF(X598="","",RIGHT(X598,6))</f>
        <v/>
      </c>
      <c r="AE598" s="23" t="str">
        <f aca="false">IF(F598="","",IF(ISNUMBER(SEARCH("-TK",UPPER(F598))),0,1))</f>
        <v/>
      </c>
      <c r="AF598" s="23" t="str">
        <f aca="false">IF(F598="","",IF(ISNUMBER(SEARCH("-LED",UPPER(F598))),1,0))</f>
        <v/>
      </c>
      <c r="AG598" s="24" t="n">
        <f aca="false">IF(Z598="",0,IFERROR(INDEX(Resep!$C$5:$C$7,MATCH(LEFT(Z598,3),Resep!$B$5:$B$7,0)),0))</f>
        <v>0</v>
      </c>
      <c r="AH598" s="24" t="n">
        <f aca="false">IF(AA598="",0,IFERROR(INDEX(Resep!$C$9:$C$13,MATCH(LEFT(AA598,3),Resep!$B$9:$B$13,0)),0))</f>
        <v>0</v>
      </c>
      <c r="AI598" s="24" t="n">
        <f aca="false">IF(AB598="",0,IFERROR(INDEX(Resep!$C$9:$C$13,MATCH(LEFT(AB598,3),Resep!$B$9:$B$13,0)),0))</f>
        <v>0</v>
      </c>
      <c r="AJ598" s="24" t="n">
        <f aca="false">IF(AC598="",0,IFERROR(INDEX(Resep!$C$9:$C$13,MATCH(LEFT(AC598,3),Resep!$B$9:$B$13,0)),0))</f>
        <v>0</v>
      </c>
      <c r="AK598" s="24" t="n">
        <f aca="false">IF(AD598="",0,IFERROR(INDEX(Resep!$C$15:$C$18,MATCH(LEFT(AD598,3),Resep!$B$15:$B$18,0)),0))</f>
        <v>0</v>
      </c>
      <c r="AL598" s="24" t="str">
        <f aca="false">IF(X598="","",AG598+AH598+AI598+AJ598+AK598)</f>
        <v/>
      </c>
      <c r="AM598" s="22" t="str">
        <f aca="false">IF(X598="","",AL598*(Pengaturan!$B$6+Pengaturan!$B$7)+Pengaturan!$B$8+AE598*Pengaturan!$B$9+AF598*Pengaturan!$B$10)</f>
        <v/>
      </c>
      <c r="AN598" s="22" t="str">
        <f aca="false">IF(X598="","",N(G598)-AM598)</f>
        <v/>
      </c>
      <c r="AO598" s="25" t="str">
        <f aca="false">IF(OR(X598="",N(G598)=0),"",AN598/G598)</f>
        <v/>
      </c>
    </row>
    <row r="599" customFormat="false" ht="15" hidden="false" customHeight="false" outlineLevel="0" collapsed="false">
      <c r="A599" s="19"/>
      <c r="B599" s="20"/>
      <c r="C599" s="19"/>
      <c r="D599" s="19"/>
      <c r="E599" s="19"/>
      <c r="F599" s="19"/>
      <c r="G599" s="21"/>
      <c r="H599" s="19"/>
      <c r="I599" s="21"/>
      <c r="J599" s="19"/>
      <c r="K599" s="20"/>
      <c r="L599" s="20"/>
      <c r="M599" s="19"/>
      <c r="N599" s="19"/>
      <c r="O599" s="20"/>
      <c r="P599" s="20"/>
      <c r="Q599" s="19"/>
      <c r="R599" s="22" t="str">
        <f aca="false">IF(A599="","",N(G599)+N(I599))</f>
        <v/>
      </c>
      <c r="S599" s="23" t="str">
        <f aca="false">IF(OR(K599="",O599=""),"",O599-K599)</f>
        <v/>
      </c>
      <c r="T599" s="23" t="str">
        <f aca="true">IF(AND(C599="Cetak",L599&lt;&gt;"",L599&lt;TODAY()),"YA","")</f>
        <v/>
      </c>
      <c r="U599" s="23" t="str">
        <f aca="false">IF(B599="","",TEXT(B599,"yyyy-mm"))</f>
        <v/>
      </c>
      <c r="V599" s="23" t="str">
        <f aca="false">IF(K599="","",TEXT(K599,"yyyy-mm"))</f>
        <v/>
      </c>
      <c r="W599" s="23" t="n">
        <f aca="false">IF(OR(C599="Cetak",C599="Dikirim",C599="Selesai"),1,0)</f>
        <v>0</v>
      </c>
      <c r="X599" s="23" t="str">
        <f aca="false">IF(F599="","",SUBSTITUTE(SUBSTITUTE(MID(UPPER(TRIM(F599)),4,99),"-LED",""),"-TK",""))</f>
        <v/>
      </c>
      <c r="Y599" s="23" t="str">
        <f aca="false">IF(X599="","",(LEN(X599)+1)/7)</f>
        <v/>
      </c>
      <c r="Z599" s="23" t="str">
        <f aca="false">IF(X599="","",LEFT(X599,6))</f>
        <v/>
      </c>
      <c r="AA599" s="23" t="str">
        <f aca="false">IF(X599="","",IF(Y599&gt;=3,MID(X599,8,6),""))</f>
        <v/>
      </c>
      <c r="AB599" s="23" t="str">
        <f aca="false">IF(X599="","",IF(Y599&gt;=4,MID(X599,15,6),""))</f>
        <v/>
      </c>
      <c r="AC599" s="23" t="str">
        <f aca="false">IF(X599="","",IF(Y599&gt;=5,MID(X599,22,6),""))</f>
        <v/>
      </c>
      <c r="AD599" s="23" t="str">
        <f aca="false">IF(X599="","",RIGHT(X599,6))</f>
        <v/>
      </c>
      <c r="AE599" s="23" t="str">
        <f aca="false">IF(F599="","",IF(ISNUMBER(SEARCH("-TK",UPPER(F599))),0,1))</f>
        <v/>
      </c>
      <c r="AF599" s="23" t="str">
        <f aca="false">IF(F599="","",IF(ISNUMBER(SEARCH("-LED",UPPER(F599))),1,0))</f>
        <v/>
      </c>
      <c r="AG599" s="24" t="n">
        <f aca="false">IF(Z599="",0,IFERROR(INDEX(Resep!$C$5:$C$7,MATCH(LEFT(Z599,3),Resep!$B$5:$B$7,0)),0))</f>
        <v>0</v>
      </c>
      <c r="AH599" s="24" t="n">
        <f aca="false">IF(AA599="",0,IFERROR(INDEX(Resep!$C$9:$C$13,MATCH(LEFT(AA599,3),Resep!$B$9:$B$13,0)),0))</f>
        <v>0</v>
      </c>
      <c r="AI599" s="24" t="n">
        <f aca="false">IF(AB599="",0,IFERROR(INDEX(Resep!$C$9:$C$13,MATCH(LEFT(AB599,3),Resep!$B$9:$B$13,0)),0))</f>
        <v>0</v>
      </c>
      <c r="AJ599" s="24" t="n">
        <f aca="false">IF(AC599="",0,IFERROR(INDEX(Resep!$C$9:$C$13,MATCH(LEFT(AC599,3),Resep!$B$9:$B$13,0)),0))</f>
        <v>0</v>
      </c>
      <c r="AK599" s="24" t="n">
        <f aca="false">IF(AD599="",0,IFERROR(INDEX(Resep!$C$15:$C$18,MATCH(LEFT(AD599,3),Resep!$B$15:$B$18,0)),0))</f>
        <v>0</v>
      </c>
      <c r="AL599" s="24" t="str">
        <f aca="false">IF(X599="","",AG599+AH599+AI599+AJ599+AK599)</f>
        <v/>
      </c>
      <c r="AM599" s="22" t="str">
        <f aca="false">IF(X599="","",AL599*(Pengaturan!$B$6+Pengaturan!$B$7)+Pengaturan!$B$8+AE599*Pengaturan!$B$9+AF599*Pengaturan!$B$10)</f>
        <v/>
      </c>
      <c r="AN599" s="22" t="str">
        <f aca="false">IF(X599="","",N(G599)-AM599)</f>
        <v/>
      </c>
      <c r="AO599" s="25" t="str">
        <f aca="false">IF(OR(X599="",N(G599)=0),"",AN599/G599)</f>
        <v/>
      </c>
    </row>
    <row r="600" customFormat="false" ht="15" hidden="false" customHeight="false" outlineLevel="0" collapsed="false">
      <c r="A600" s="19"/>
      <c r="B600" s="20"/>
      <c r="C600" s="19"/>
      <c r="D600" s="19"/>
      <c r="E600" s="19"/>
      <c r="F600" s="19"/>
      <c r="G600" s="21"/>
      <c r="H600" s="19"/>
      <c r="I600" s="21"/>
      <c r="J600" s="19"/>
      <c r="K600" s="20"/>
      <c r="L600" s="20"/>
      <c r="M600" s="19"/>
      <c r="N600" s="19"/>
      <c r="O600" s="20"/>
      <c r="P600" s="20"/>
      <c r="Q600" s="19"/>
      <c r="R600" s="22" t="str">
        <f aca="false">IF(A600="","",N(G600)+N(I600))</f>
        <v/>
      </c>
      <c r="S600" s="23" t="str">
        <f aca="false">IF(OR(K600="",O600=""),"",O600-K600)</f>
        <v/>
      </c>
      <c r="T600" s="23" t="str">
        <f aca="true">IF(AND(C600="Cetak",L600&lt;&gt;"",L600&lt;TODAY()),"YA","")</f>
        <v/>
      </c>
      <c r="U600" s="23" t="str">
        <f aca="false">IF(B600="","",TEXT(B600,"yyyy-mm"))</f>
        <v/>
      </c>
      <c r="V600" s="23" t="str">
        <f aca="false">IF(K600="","",TEXT(K600,"yyyy-mm"))</f>
        <v/>
      </c>
      <c r="W600" s="23" t="n">
        <f aca="false">IF(OR(C600="Cetak",C600="Dikirim",C600="Selesai"),1,0)</f>
        <v>0</v>
      </c>
      <c r="X600" s="23" t="str">
        <f aca="false">IF(F600="","",SUBSTITUTE(SUBSTITUTE(MID(UPPER(TRIM(F600)),4,99),"-LED",""),"-TK",""))</f>
        <v/>
      </c>
      <c r="Y600" s="23" t="str">
        <f aca="false">IF(X600="","",(LEN(X600)+1)/7)</f>
        <v/>
      </c>
      <c r="Z600" s="23" t="str">
        <f aca="false">IF(X600="","",LEFT(X600,6))</f>
        <v/>
      </c>
      <c r="AA600" s="23" t="str">
        <f aca="false">IF(X600="","",IF(Y600&gt;=3,MID(X600,8,6),""))</f>
        <v/>
      </c>
      <c r="AB600" s="23" t="str">
        <f aca="false">IF(X600="","",IF(Y600&gt;=4,MID(X600,15,6),""))</f>
        <v/>
      </c>
      <c r="AC600" s="23" t="str">
        <f aca="false">IF(X600="","",IF(Y600&gt;=5,MID(X600,22,6),""))</f>
        <v/>
      </c>
      <c r="AD600" s="23" t="str">
        <f aca="false">IF(X600="","",RIGHT(X600,6))</f>
        <v/>
      </c>
      <c r="AE600" s="23" t="str">
        <f aca="false">IF(F600="","",IF(ISNUMBER(SEARCH("-TK",UPPER(F600))),0,1))</f>
        <v/>
      </c>
      <c r="AF600" s="23" t="str">
        <f aca="false">IF(F600="","",IF(ISNUMBER(SEARCH("-LED",UPPER(F600))),1,0))</f>
        <v/>
      </c>
      <c r="AG600" s="24" t="n">
        <f aca="false">IF(Z600="",0,IFERROR(INDEX(Resep!$C$5:$C$7,MATCH(LEFT(Z600,3),Resep!$B$5:$B$7,0)),0))</f>
        <v>0</v>
      </c>
      <c r="AH600" s="24" t="n">
        <f aca="false">IF(AA600="",0,IFERROR(INDEX(Resep!$C$9:$C$13,MATCH(LEFT(AA600,3),Resep!$B$9:$B$13,0)),0))</f>
        <v>0</v>
      </c>
      <c r="AI600" s="24" t="n">
        <f aca="false">IF(AB600="",0,IFERROR(INDEX(Resep!$C$9:$C$13,MATCH(LEFT(AB600,3),Resep!$B$9:$B$13,0)),0))</f>
        <v>0</v>
      </c>
      <c r="AJ600" s="24" t="n">
        <f aca="false">IF(AC600="",0,IFERROR(INDEX(Resep!$C$9:$C$13,MATCH(LEFT(AC600,3),Resep!$B$9:$B$13,0)),0))</f>
        <v>0</v>
      </c>
      <c r="AK600" s="24" t="n">
        <f aca="false">IF(AD600="",0,IFERROR(INDEX(Resep!$C$15:$C$18,MATCH(LEFT(AD600,3),Resep!$B$15:$B$18,0)),0))</f>
        <v>0</v>
      </c>
      <c r="AL600" s="24" t="str">
        <f aca="false">IF(X600="","",AG600+AH600+AI600+AJ600+AK600)</f>
        <v/>
      </c>
      <c r="AM600" s="22" t="str">
        <f aca="false">IF(X600="","",AL600*(Pengaturan!$B$6+Pengaturan!$B$7)+Pengaturan!$B$8+AE600*Pengaturan!$B$9+AF600*Pengaturan!$B$10)</f>
        <v/>
      </c>
      <c r="AN600" s="22" t="str">
        <f aca="false">IF(X600="","",N(G600)-AM600)</f>
        <v/>
      </c>
      <c r="AO600" s="25" t="str">
        <f aca="false">IF(OR(X600="",N(G600)=0),"",AN600/G600)</f>
        <v/>
      </c>
    </row>
    <row r="601" customFormat="false" ht="15" hidden="false" customHeight="false" outlineLevel="0" collapsed="false">
      <c r="A601" s="19"/>
      <c r="B601" s="20"/>
      <c r="C601" s="19"/>
      <c r="D601" s="19"/>
      <c r="E601" s="19"/>
      <c r="F601" s="19"/>
      <c r="G601" s="21"/>
      <c r="H601" s="19"/>
      <c r="I601" s="21"/>
      <c r="J601" s="19"/>
      <c r="K601" s="20"/>
      <c r="L601" s="20"/>
      <c r="M601" s="19"/>
      <c r="N601" s="19"/>
      <c r="O601" s="20"/>
      <c r="P601" s="20"/>
      <c r="Q601" s="19"/>
      <c r="R601" s="22" t="str">
        <f aca="false">IF(A601="","",N(G601)+N(I601))</f>
        <v/>
      </c>
      <c r="S601" s="23" t="str">
        <f aca="false">IF(OR(K601="",O601=""),"",O601-K601)</f>
        <v/>
      </c>
      <c r="T601" s="23" t="str">
        <f aca="true">IF(AND(C601="Cetak",L601&lt;&gt;"",L601&lt;TODAY()),"YA","")</f>
        <v/>
      </c>
      <c r="U601" s="23" t="str">
        <f aca="false">IF(B601="","",TEXT(B601,"yyyy-mm"))</f>
        <v/>
      </c>
      <c r="V601" s="23" t="str">
        <f aca="false">IF(K601="","",TEXT(K601,"yyyy-mm"))</f>
        <v/>
      </c>
      <c r="W601" s="23" t="n">
        <f aca="false">IF(OR(C601="Cetak",C601="Dikirim",C601="Selesai"),1,0)</f>
        <v>0</v>
      </c>
      <c r="X601" s="23" t="str">
        <f aca="false">IF(F601="","",SUBSTITUTE(SUBSTITUTE(MID(UPPER(TRIM(F601)),4,99),"-LED",""),"-TK",""))</f>
        <v/>
      </c>
      <c r="Y601" s="23" t="str">
        <f aca="false">IF(X601="","",(LEN(X601)+1)/7)</f>
        <v/>
      </c>
      <c r="Z601" s="23" t="str">
        <f aca="false">IF(X601="","",LEFT(X601,6))</f>
        <v/>
      </c>
      <c r="AA601" s="23" t="str">
        <f aca="false">IF(X601="","",IF(Y601&gt;=3,MID(X601,8,6),""))</f>
        <v/>
      </c>
      <c r="AB601" s="23" t="str">
        <f aca="false">IF(X601="","",IF(Y601&gt;=4,MID(X601,15,6),""))</f>
        <v/>
      </c>
      <c r="AC601" s="23" t="str">
        <f aca="false">IF(X601="","",IF(Y601&gt;=5,MID(X601,22,6),""))</f>
        <v/>
      </c>
      <c r="AD601" s="23" t="str">
        <f aca="false">IF(X601="","",RIGHT(X601,6))</f>
        <v/>
      </c>
      <c r="AE601" s="23" t="str">
        <f aca="false">IF(F601="","",IF(ISNUMBER(SEARCH("-TK",UPPER(F601))),0,1))</f>
        <v/>
      </c>
      <c r="AF601" s="23" t="str">
        <f aca="false">IF(F601="","",IF(ISNUMBER(SEARCH("-LED",UPPER(F601))),1,0))</f>
        <v/>
      </c>
      <c r="AG601" s="24" t="n">
        <f aca="false">IF(Z601="",0,IFERROR(INDEX(Resep!$C$5:$C$7,MATCH(LEFT(Z601,3),Resep!$B$5:$B$7,0)),0))</f>
        <v>0</v>
      </c>
      <c r="AH601" s="24" t="n">
        <f aca="false">IF(AA601="",0,IFERROR(INDEX(Resep!$C$9:$C$13,MATCH(LEFT(AA601,3),Resep!$B$9:$B$13,0)),0))</f>
        <v>0</v>
      </c>
      <c r="AI601" s="24" t="n">
        <f aca="false">IF(AB601="",0,IFERROR(INDEX(Resep!$C$9:$C$13,MATCH(LEFT(AB601,3),Resep!$B$9:$B$13,0)),0))</f>
        <v>0</v>
      </c>
      <c r="AJ601" s="24" t="n">
        <f aca="false">IF(AC601="",0,IFERROR(INDEX(Resep!$C$9:$C$13,MATCH(LEFT(AC601,3),Resep!$B$9:$B$13,0)),0))</f>
        <v>0</v>
      </c>
      <c r="AK601" s="24" t="n">
        <f aca="false">IF(AD601="",0,IFERROR(INDEX(Resep!$C$15:$C$18,MATCH(LEFT(AD601,3),Resep!$B$15:$B$18,0)),0))</f>
        <v>0</v>
      </c>
      <c r="AL601" s="24" t="str">
        <f aca="false">IF(X601="","",AG601+AH601+AI601+AJ601+AK601)</f>
        <v/>
      </c>
      <c r="AM601" s="22" t="str">
        <f aca="false">IF(X601="","",AL601*(Pengaturan!$B$6+Pengaturan!$B$7)+Pengaturan!$B$8+AE601*Pengaturan!$B$9+AF601*Pengaturan!$B$10)</f>
        <v/>
      </c>
      <c r="AN601" s="22" t="str">
        <f aca="false">IF(X601="","",N(G601)-AM601)</f>
        <v/>
      </c>
      <c r="AO601" s="25" t="str">
        <f aca="false">IF(OR(X601="",N(G601)=0),"",AN601/G601)</f>
        <v/>
      </c>
    </row>
    <row r="602" customFormat="false" ht="15" hidden="false" customHeight="false" outlineLevel="0" collapsed="false">
      <c r="A602" s="19"/>
      <c r="B602" s="20"/>
      <c r="C602" s="19"/>
      <c r="D602" s="19"/>
      <c r="E602" s="19"/>
      <c r="F602" s="19"/>
      <c r="G602" s="21"/>
      <c r="H602" s="19"/>
      <c r="I602" s="21"/>
      <c r="J602" s="19"/>
      <c r="K602" s="20"/>
      <c r="L602" s="20"/>
      <c r="M602" s="19"/>
      <c r="N602" s="19"/>
      <c r="O602" s="20"/>
      <c r="P602" s="20"/>
      <c r="Q602" s="19"/>
      <c r="R602" s="22" t="str">
        <f aca="false">IF(A602="","",N(G602)+N(I602))</f>
        <v/>
      </c>
      <c r="S602" s="23" t="str">
        <f aca="false">IF(OR(K602="",O602=""),"",O602-K602)</f>
        <v/>
      </c>
      <c r="T602" s="23" t="str">
        <f aca="true">IF(AND(C602="Cetak",L602&lt;&gt;"",L602&lt;TODAY()),"YA","")</f>
        <v/>
      </c>
      <c r="U602" s="23" t="str">
        <f aca="false">IF(B602="","",TEXT(B602,"yyyy-mm"))</f>
        <v/>
      </c>
      <c r="V602" s="23" t="str">
        <f aca="false">IF(K602="","",TEXT(K602,"yyyy-mm"))</f>
        <v/>
      </c>
      <c r="W602" s="23" t="n">
        <f aca="false">IF(OR(C602="Cetak",C602="Dikirim",C602="Selesai"),1,0)</f>
        <v>0</v>
      </c>
      <c r="X602" s="23" t="str">
        <f aca="false">IF(F602="","",SUBSTITUTE(SUBSTITUTE(MID(UPPER(TRIM(F602)),4,99),"-LED",""),"-TK",""))</f>
        <v/>
      </c>
      <c r="Y602" s="23" t="str">
        <f aca="false">IF(X602="","",(LEN(X602)+1)/7)</f>
        <v/>
      </c>
      <c r="Z602" s="23" t="str">
        <f aca="false">IF(X602="","",LEFT(X602,6))</f>
        <v/>
      </c>
      <c r="AA602" s="23" t="str">
        <f aca="false">IF(X602="","",IF(Y602&gt;=3,MID(X602,8,6),""))</f>
        <v/>
      </c>
      <c r="AB602" s="23" t="str">
        <f aca="false">IF(X602="","",IF(Y602&gt;=4,MID(X602,15,6),""))</f>
        <v/>
      </c>
      <c r="AC602" s="23" t="str">
        <f aca="false">IF(X602="","",IF(Y602&gt;=5,MID(X602,22,6),""))</f>
        <v/>
      </c>
      <c r="AD602" s="23" t="str">
        <f aca="false">IF(X602="","",RIGHT(X602,6))</f>
        <v/>
      </c>
      <c r="AE602" s="23" t="str">
        <f aca="false">IF(F602="","",IF(ISNUMBER(SEARCH("-TK",UPPER(F602))),0,1))</f>
        <v/>
      </c>
      <c r="AF602" s="23" t="str">
        <f aca="false">IF(F602="","",IF(ISNUMBER(SEARCH("-LED",UPPER(F602))),1,0))</f>
        <v/>
      </c>
      <c r="AG602" s="24" t="n">
        <f aca="false">IF(Z602="",0,IFERROR(INDEX(Resep!$C$5:$C$7,MATCH(LEFT(Z602,3),Resep!$B$5:$B$7,0)),0))</f>
        <v>0</v>
      </c>
      <c r="AH602" s="24" t="n">
        <f aca="false">IF(AA602="",0,IFERROR(INDEX(Resep!$C$9:$C$13,MATCH(LEFT(AA602,3),Resep!$B$9:$B$13,0)),0))</f>
        <v>0</v>
      </c>
      <c r="AI602" s="24" t="n">
        <f aca="false">IF(AB602="",0,IFERROR(INDEX(Resep!$C$9:$C$13,MATCH(LEFT(AB602,3),Resep!$B$9:$B$13,0)),0))</f>
        <v>0</v>
      </c>
      <c r="AJ602" s="24" t="n">
        <f aca="false">IF(AC602="",0,IFERROR(INDEX(Resep!$C$9:$C$13,MATCH(LEFT(AC602,3),Resep!$B$9:$B$13,0)),0))</f>
        <v>0</v>
      </c>
      <c r="AK602" s="24" t="n">
        <f aca="false">IF(AD602="",0,IFERROR(INDEX(Resep!$C$15:$C$18,MATCH(LEFT(AD602,3),Resep!$B$15:$B$18,0)),0))</f>
        <v>0</v>
      </c>
      <c r="AL602" s="24" t="str">
        <f aca="false">IF(X602="","",AG602+AH602+AI602+AJ602+AK602)</f>
        <v/>
      </c>
      <c r="AM602" s="22" t="str">
        <f aca="false">IF(X602="","",AL602*(Pengaturan!$B$6+Pengaturan!$B$7)+Pengaturan!$B$8+AE602*Pengaturan!$B$9+AF602*Pengaturan!$B$10)</f>
        <v/>
      </c>
      <c r="AN602" s="22" t="str">
        <f aca="false">IF(X602="","",N(G602)-AM602)</f>
        <v/>
      </c>
      <c r="AO602" s="25" t="str">
        <f aca="false">IF(OR(X602="",N(G602)=0),"",AN602/G602)</f>
        <v/>
      </c>
    </row>
    <row r="603" customFormat="false" ht="15" hidden="false" customHeight="false" outlineLevel="0" collapsed="false">
      <c r="A603" s="19"/>
      <c r="B603" s="20"/>
      <c r="C603" s="19"/>
      <c r="D603" s="19"/>
      <c r="E603" s="19"/>
      <c r="F603" s="19"/>
      <c r="G603" s="21"/>
      <c r="H603" s="19"/>
      <c r="I603" s="21"/>
      <c r="J603" s="19"/>
      <c r="K603" s="20"/>
      <c r="L603" s="20"/>
      <c r="M603" s="19"/>
      <c r="N603" s="19"/>
      <c r="O603" s="20"/>
      <c r="P603" s="20"/>
      <c r="Q603" s="19"/>
      <c r="R603" s="22" t="str">
        <f aca="false">IF(A603="","",N(G603)+N(I603))</f>
        <v/>
      </c>
      <c r="S603" s="23" t="str">
        <f aca="false">IF(OR(K603="",O603=""),"",O603-K603)</f>
        <v/>
      </c>
      <c r="T603" s="23" t="str">
        <f aca="true">IF(AND(C603="Cetak",L603&lt;&gt;"",L603&lt;TODAY()),"YA","")</f>
        <v/>
      </c>
      <c r="U603" s="23" t="str">
        <f aca="false">IF(B603="","",TEXT(B603,"yyyy-mm"))</f>
        <v/>
      </c>
      <c r="V603" s="23" t="str">
        <f aca="false">IF(K603="","",TEXT(K603,"yyyy-mm"))</f>
        <v/>
      </c>
      <c r="W603" s="23" t="n">
        <f aca="false">IF(OR(C603="Cetak",C603="Dikirim",C603="Selesai"),1,0)</f>
        <v>0</v>
      </c>
      <c r="X603" s="23" t="str">
        <f aca="false">IF(F603="","",SUBSTITUTE(SUBSTITUTE(MID(UPPER(TRIM(F603)),4,99),"-LED",""),"-TK",""))</f>
        <v/>
      </c>
      <c r="Y603" s="23" t="str">
        <f aca="false">IF(X603="","",(LEN(X603)+1)/7)</f>
        <v/>
      </c>
      <c r="Z603" s="23" t="str">
        <f aca="false">IF(X603="","",LEFT(X603,6))</f>
        <v/>
      </c>
      <c r="AA603" s="23" t="str">
        <f aca="false">IF(X603="","",IF(Y603&gt;=3,MID(X603,8,6),""))</f>
        <v/>
      </c>
      <c r="AB603" s="23" t="str">
        <f aca="false">IF(X603="","",IF(Y603&gt;=4,MID(X603,15,6),""))</f>
        <v/>
      </c>
      <c r="AC603" s="23" t="str">
        <f aca="false">IF(X603="","",IF(Y603&gt;=5,MID(X603,22,6),""))</f>
        <v/>
      </c>
      <c r="AD603" s="23" t="str">
        <f aca="false">IF(X603="","",RIGHT(X603,6))</f>
        <v/>
      </c>
      <c r="AE603" s="23" t="str">
        <f aca="false">IF(F603="","",IF(ISNUMBER(SEARCH("-TK",UPPER(F603))),0,1))</f>
        <v/>
      </c>
      <c r="AF603" s="23" t="str">
        <f aca="false">IF(F603="","",IF(ISNUMBER(SEARCH("-LED",UPPER(F603))),1,0))</f>
        <v/>
      </c>
      <c r="AG603" s="24" t="n">
        <f aca="false">IF(Z603="",0,IFERROR(INDEX(Resep!$C$5:$C$7,MATCH(LEFT(Z603,3),Resep!$B$5:$B$7,0)),0))</f>
        <v>0</v>
      </c>
      <c r="AH603" s="24" t="n">
        <f aca="false">IF(AA603="",0,IFERROR(INDEX(Resep!$C$9:$C$13,MATCH(LEFT(AA603,3),Resep!$B$9:$B$13,0)),0))</f>
        <v>0</v>
      </c>
      <c r="AI603" s="24" t="n">
        <f aca="false">IF(AB603="",0,IFERROR(INDEX(Resep!$C$9:$C$13,MATCH(LEFT(AB603,3),Resep!$B$9:$B$13,0)),0))</f>
        <v>0</v>
      </c>
      <c r="AJ603" s="24" t="n">
        <f aca="false">IF(AC603="",0,IFERROR(INDEX(Resep!$C$9:$C$13,MATCH(LEFT(AC603,3),Resep!$B$9:$B$13,0)),0))</f>
        <v>0</v>
      </c>
      <c r="AK603" s="24" t="n">
        <f aca="false">IF(AD603="",0,IFERROR(INDEX(Resep!$C$15:$C$18,MATCH(LEFT(AD603,3),Resep!$B$15:$B$18,0)),0))</f>
        <v>0</v>
      </c>
      <c r="AL603" s="24" t="str">
        <f aca="false">IF(X603="","",AG603+AH603+AI603+AJ603+AK603)</f>
        <v/>
      </c>
      <c r="AM603" s="22" t="str">
        <f aca="false">IF(X603="","",AL603*(Pengaturan!$B$6+Pengaturan!$B$7)+Pengaturan!$B$8+AE603*Pengaturan!$B$9+AF603*Pengaturan!$B$10)</f>
        <v/>
      </c>
      <c r="AN603" s="22" t="str">
        <f aca="false">IF(X603="","",N(G603)-AM603)</f>
        <v/>
      </c>
      <c r="AO603" s="25" t="str">
        <f aca="false">IF(OR(X603="",N(G603)=0),"",AN603/G603)</f>
        <v/>
      </c>
    </row>
    <row r="604" customFormat="false" ht="15" hidden="false" customHeight="false" outlineLevel="0" collapsed="false">
      <c r="A604" s="19"/>
      <c r="B604" s="20"/>
      <c r="C604" s="19"/>
      <c r="D604" s="19"/>
      <c r="E604" s="19"/>
      <c r="F604" s="19"/>
      <c r="G604" s="21"/>
      <c r="H604" s="19"/>
      <c r="I604" s="21"/>
      <c r="J604" s="19"/>
      <c r="K604" s="20"/>
      <c r="L604" s="20"/>
      <c r="M604" s="19"/>
      <c r="N604" s="19"/>
      <c r="O604" s="20"/>
      <c r="P604" s="20"/>
      <c r="Q604" s="19"/>
      <c r="R604" s="22" t="str">
        <f aca="false">IF(A604="","",N(G604)+N(I604))</f>
        <v/>
      </c>
      <c r="S604" s="23" t="str">
        <f aca="false">IF(OR(K604="",O604=""),"",O604-K604)</f>
        <v/>
      </c>
      <c r="T604" s="23" t="str">
        <f aca="true">IF(AND(C604="Cetak",L604&lt;&gt;"",L604&lt;TODAY()),"YA","")</f>
        <v/>
      </c>
      <c r="U604" s="23" t="str">
        <f aca="false">IF(B604="","",TEXT(B604,"yyyy-mm"))</f>
        <v/>
      </c>
      <c r="V604" s="23" t="str">
        <f aca="false">IF(K604="","",TEXT(K604,"yyyy-mm"))</f>
        <v/>
      </c>
      <c r="W604" s="23" t="n">
        <f aca="false">IF(OR(C604="Cetak",C604="Dikirim",C604="Selesai"),1,0)</f>
        <v>0</v>
      </c>
      <c r="X604" s="23" t="str">
        <f aca="false">IF(F604="","",SUBSTITUTE(SUBSTITUTE(MID(UPPER(TRIM(F604)),4,99),"-LED",""),"-TK",""))</f>
        <v/>
      </c>
      <c r="Y604" s="23" t="str">
        <f aca="false">IF(X604="","",(LEN(X604)+1)/7)</f>
        <v/>
      </c>
      <c r="Z604" s="23" t="str">
        <f aca="false">IF(X604="","",LEFT(X604,6))</f>
        <v/>
      </c>
      <c r="AA604" s="23" t="str">
        <f aca="false">IF(X604="","",IF(Y604&gt;=3,MID(X604,8,6),""))</f>
        <v/>
      </c>
      <c r="AB604" s="23" t="str">
        <f aca="false">IF(X604="","",IF(Y604&gt;=4,MID(X604,15,6),""))</f>
        <v/>
      </c>
      <c r="AC604" s="23" t="str">
        <f aca="false">IF(X604="","",IF(Y604&gt;=5,MID(X604,22,6),""))</f>
        <v/>
      </c>
      <c r="AD604" s="23" t="str">
        <f aca="false">IF(X604="","",RIGHT(X604,6))</f>
        <v/>
      </c>
      <c r="AE604" s="23" t="str">
        <f aca="false">IF(F604="","",IF(ISNUMBER(SEARCH("-TK",UPPER(F604))),0,1))</f>
        <v/>
      </c>
      <c r="AF604" s="23" t="str">
        <f aca="false">IF(F604="","",IF(ISNUMBER(SEARCH("-LED",UPPER(F604))),1,0))</f>
        <v/>
      </c>
      <c r="AG604" s="24" t="n">
        <f aca="false">IF(Z604="",0,IFERROR(INDEX(Resep!$C$5:$C$7,MATCH(LEFT(Z604,3),Resep!$B$5:$B$7,0)),0))</f>
        <v>0</v>
      </c>
      <c r="AH604" s="24" t="n">
        <f aca="false">IF(AA604="",0,IFERROR(INDEX(Resep!$C$9:$C$13,MATCH(LEFT(AA604,3),Resep!$B$9:$B$13,0)),0))</f>
        <v>0</v>
      </c>
      <c r="AI604" s="24" t="n">
        <f aca="false">IF(AB604="",0,IFERROR(INDEX(Resep!$C$9:$C$13,MATCH(LEFT(AB604,3),Resep!$B$9:$B$13,0)),0))</f>
        <v>0</v>
      </c>
      <c r="AJ604" s="24" t="n">
        <f aca="false">IF(AC604="",0,IFERROR(INDEX(Resep!$C$9:$C$13,MATCH(LEFT(AC604,3),Resep!$B$9:$B$13,0)),0))</f>
        <v>0</v>
      </c>
      <c r="AK604" s="24" t="n">
        <f aca="false">IF(AD604="",0,IFERROR(INDEX(Resep!$C$15:$C$18,MATCH(LEFT(AD604,3),Resep!$B$15:$B$18,0)),0))</f>
        <v>0</v>
      </c>
      <c r="AL604" s="24" t="str">
        <f aca="false">IF(X604="","",AG604+AH604+AI604+AJ604+AK604)</f>
        <v/>
      </c>
      <c r="AM604" s="22" t="str">
        <f aca="false">IF(X604="","",AL604*(Pengaturan!$B$6+Pengaturan!$B$7)+Pengaturan!$B$8+AE604*Pengaturan!$B$9+AF604*Pengaturan!$B$10)</f>
        <v/>
      </c>
      <c r="AN604" s="22" t="str">
        <f aca="false">IF(X604="","",N(G604)-AM604)</f>
        <v/>
      </c>
      <c r="AO604" s="25" t="str">
        <f aca="false">IF(OR(X604="",N(G604)=0),"",AN604/G604)</f>
        <v/>
      </c>
    </row>
    <row r="605" customFormat="false" ht="15" hidden="false" customHeight="false" outlineLevel="0" collapsed="false">
      <c r="A605" s="19"/>
      <c r="B605" s="20"/>
      <c r="C605" s="19"/>
      <c r="D605" s="19"/>
      <c r="E605" s="19"/>
      <c r="F605" s="19"/>
      <c r="G605" s="21"/>
      <c r="H605" s="19"/>
      <c r="I605" s="21"/>
      <c r="J605" s="19"/>
      <c r="K605" s="20"/>
      <c r="L605" s="20"/>
      <c r="M605" s="19"/>
      <c r="N605" s="19"/>
      <c r="O605" s="20"/>
      <c r="P605" s="20"/>
      <c r="Q605" s="19"/>
      <c r="R605" s="22" t="str">
        <f aca="false">IF(A605="","",N(G605)+N(I605))</f>
        <v/>
      </c>
      <c r="S605" s="23" t="str">
        <f aca="false">IF(OR(K605="",O605=""),"",O605-K605)</f>
        <v/>
      </c>
      <c r="T605" s="23" t="str">
        <f aca="true">IF(AND(C605="Cetak",L605&lt;&gt;"",L605&lt;TODAY()),"YA","")</f>
        <v/>
      </c>
      <c r="U605" s="23" t="str">
        <f aca="false">IF(B605="","",TEXT(B605,"yyyy-mm"))</f>
        <v/>
      </c>
      <c r="V605" s="23" t="str">
        <f aca="false">IF(K605="","",TEXT(K605,"yyyy-mm"))</f>
        <v/>
      </c>
      <c r="W605" s="23" t="n">
        <f aca="false">IF(OR(C605="Cetak",C605="Dikirim",C605="Selesai"),1,0)</f>
        <v>0</v>
      </c>
      <c r="X605" s="23" t="str">
        <f aca="false">IF(F605="","",SUBSTITUTE(SUBSTITUTE(MID(UPPER(TRIM(F605)),4,99),"-LED",""),"-TK",""))</f>
        <v/>
      </c>
      <c r="Y605" s="23" t="str">
        <f aca="false">IF(X605="","",(LEN(X605)+1)/7)</f>
        <v/>
      </c>
      <c r="Z605" s="23" t="str">
        <f aca="false">IF(X605="","",LEFT(X605,6))</f>
        <v/>
      </c>
      <c r="AA605" s="23" t="str">
        <f aca="false">IF(X605="","",IF(Y605&gt;=3,MID(X605,8,6),""))</f>
        <v/>
      </c>
      <c r="AB605" s="23" t="str">
        <f aca="false">IF(X605="","",IF(Y605&gt;=4,MID(X605,15,6),""))</f>
        <v/>
      </c>
      <c r="AC605" s="23" t="str">
        <f aca="false">IF(X605="","",IF(Y605&gt;=5,MID(X605,22,6),""))</f>
        <v/>
      </c>
      <c r="AD605" s="23" t="str">
        <f aca="false">IF(X605="","",RIGHT(X605,6))</f>
        <v/>
      </c>
      <c r="AE605" s="23" t="str">
        <f aca="false">IF(F605="","",IF(ISNUMBER(SEARCH("-TK",UPPER(F605))),0,1))</f>
        <v/>
      </c>
      <c r="AF605" s="23" t="str">
        <f aca="false">IF(F605="","",IF(ISNUMBER(SEARCH("-LED",UPPER(F605))),1,0))</f>
        <v/>
      </c>
      <c r="AG605" s="24" t="n">
        <f aca="false">IF(Z605="",0,IFERROR(INDEX(Resep!$C$5:$C$7,MATCH(LEFT(Z605,3),Resep!$B$5:$B$7,0)),0))</f>
        <v>0</v>
      </c>
      <c r="AH605" s="24" t="n">
        <f aca="false">IF(AA605="",0,IFERROR(INDEX(Resep!$C$9:$C$13,MATCH(LEFT(AA605,3),Resep!$B$9:$B$13,0)),0))</f>
        <v>0</v>
      </c>
      <c r="AI605" s="24" t="n">
        <f aca="false">IF(AB605="",0,IFERROR(INDEX(Resep!$C$9:$C$13,MATCH(LEFT(AB605,3),Resep!$B$9:$B$13,0)),0))</f>
        <v>0</v>
      </c>
      <c r="AJ605" s="24" t="n">
        <f aca="false">IF(AC605="",0,IFERROR(INDEX(Resep!$C$9:$C$13,MATCH(LEFT(AC605,3),Resep!$B$9:$B$13,0)),0))</f>
        <v>0</v>
      </c>
      <c r="AK605" s="24" t="n">
        <f aca="false">IF(AD605="",0,IFERROR(INDEX(Resep!$C$15:$C$18,MATCH(LEFT(AD605,3),Resep!$B$15:$B$18,0)),0))</f>
        <v>0</v>
      </c>
      <c r="AL605" s="24" t="str">
        <f aca="false">IF(X605="","",AG605+AH605+AI605+AJ605+AK605)</f>
        <v/>
      </c>
      <c r="AM605" s="22" t="str">
        <f aca="false">IF(X605="","",AL605*(Pengaturan!$B$6+Pengaturan!$B$7)+Pengaturan!$B$8+AE605*Pengaturan!$B$9+AF605*Pengaturan!$B$10)</f>
        <v/>
      </c>
      <c r="AN605" s="22" t="str">
        <f aca="false">IF(X605="","",N(G605)-AM605)</f>
        <v/>
      </c>
      <c r="AO605" s="25" t="str">
        <f aca="false">IF(OR(X605="",N(G605)=0),"",AN605/G605)</f>
        <v/>
      </c>
    </row>
    <row r="606" customFormat="false" ht="15" hidden="false" customHeight="false" outlineLevel="0" collapsed="false">
      <c r="A606" s="19"/>
      <c r="B606" s="20"/>
      <c r="C606" s="19"/>
      <c r="D606" s="19"/>
      <c r="E606" s="19"/>
      <c r="F606" s="19"/>
      <c r="G606" s="21"/>
      <c r="H606" s="19"/>
      <c r="I606" s="21"/>
      <c r="J606" s="19"/>
      <c r="K606" s="20"/>
      <c r="L606" s="20"/>
      <c r="M606" s="19"/>
      <c r="N606" s="19"/>
      <c r="O606" s="20"/>
      <c r="P606" s="20"/>
      <c r="Q606" s="19"/>
      <c r="R606" s="22" t="str">
        <f aca="false">IF(A606="","",N(G606)+N(I606))</f>
        <v/>
      </c>
      <c r="S606" s="23" t="str">
        <f aca="false">IF(OR(K606="",O606=""),"",O606-K606)</f>
        <v/>
      </c>
      <c r="T606" s="23" t="str">
        <f aca="true">IF(AND(C606="Cetak",L606&lt;&gt;"",L606&lt;TODAY()),"YA","")</f>
        <v/>
      </c>
      <c r="U606" s="23" t="str">
        <f aca="false">IF(B606="","",TEXT(B606,"yyyy-mm"))</f>
        <v/>
      </c>
      <c r="V606" s="23" t="str">
        <f aca="false">IF(K606="","",TEXT(K606,"yyyy-mm"))</f>
        <v/>
      </c>
      <c r="W606" s="23" t="n">
        <f aca="false">IF(OR(C606="Cetak",C606="Dikirim",C606="Selesai"),1,0)</f>
        <v>0</v>
      </c>
      <c r="X606" s="23" t="str">
        <f aca="false">IF(F606="","",SUBSTITUTE(SUBSTITUTE(MID(UPPER(TRIM(F606)),4,99),"-LED",""),"-TK",""))</f>
        <v/>
      </c>
      <c r="Y606" s="23" t="str">
        <f aca="false">IF(X606="","",(LEN(X606)+1)/7)</f>
        <v/>
      </c>
      <c r="Z606" s="23" t="str">
        <f aca="false">IF(X606="","",LEFT(X606,6))</f>
        <v/>
      </c>
      <c r="AA606" s="23" t="str">
        <f aca="false">IF(X606="","",IF(Y606&gt;=3,MID(X606,8,6),""))</f>
        <v/>
      </c>
      <c r="AB606" s="23" t="str">
        <f aca="false">IF(X606="","",IF(Y606&gt;=4,MID(X606,15,6),""))</f>
        <v/>
      </c>
      <c r="AC606" s="23" t="str">
        <f aca="false">IF(X606="","",IF(Y606&gt;=5,MID(X606,22,6),""))</f>
        <v/>
      </c>
      <c r="AD606" s="23" t="str">
        <f aca="false">IF(X606="","",RIGHT(X606,6))</f>
        <v/>
      </c>
      <c r="AE606" s="23" t="str">
        <f aca="false">IF(F606="","",IF(ISNUMBER(SEARCH("-TK",UPPER(F606))),0,1))</f>
        <v/>
      </c>
      <c r="AF606" s="23" t="str">
        <f aca="false">IF(F606="","",IF(ISNUMBER(SEARCH("-LED",UPPER(F606))),1,0))</f>
        <v/>
      </c>
      <c r="AG606" s="24" t="n">
        <f aca="false">IF(Z606="",0,IFERROR(INDEX(Resep!$C$5:$C$7,MATCH(LEFT(Z606,3),Resep!$B$5:$B$7,0)),0))</f>
        <v>0</v>
      </c>
      <c r="AH606" s="24" t="n">
        <f aca="false">IF(AA606="",0,IFERROR(INDEX(Resep!$C$9:$C$13,MATCH(LEFT(AA606,3),Resep!$B$9:$B$13,0)),0))</f>
        <v>0</v>
      </c>
      <c r="AI606" s="24" t="n">
        <f aca="false">IF(AB606="",0,IFERROR(INDEX(Resep!$C$9:$C$13,MATCH(LEFT(AB606,3),Resep!$B$9:$B$13,0)),0))</f>
        <v>0</v>
      </c>
      <c r="AJ606" s="24" t="n">
        <f aca="false">IF(AC606="",0,IFERROR(INDEX(Resep!$C$9:$C$13,MATCH(LEFT(AC606,3),Resep!$B$9:$B$13,0)),0))</f>
        <v>0</v>
      </c>
      <c r="AK606" s="24" t="n">
        <f aca="false">IF(AD606="",0,IFERROR(INDEX(Resep!$C$15:$C$18,MATCH(LEFT(AD606,3),Resep!$B$15:$B$18,0)),0))</f>
        <v>0</v>
      </c>
      <c r="AL606" s="24" t="str">
        <f aca="false">IF(X606="","",AG606+AH606+AI606+AJ606+AK606)</f>
        <v/>
      </c>
      <c r="AM606" s="22" t="str">
        <f aca="false">IF(X606="","",AL606*(Pengaturan!$B$6+Pengaturan!$B$7)+Pengaturan!$B$8+AE606*Pengaturan!$B$9+AF606*Pengaturan!$B$10)</f>
        <v/>
      </c>
      <c r="AN606" s="22" t="str">
        <f aca="false">IF(X606="","",N(G606)-AM606)</f>
        <v/>
      </c>
      <c r="AO606" s="25" t="str">
        <f aca="false">IF(OR(X606="",N(G606)=0),"",AN606/G606)</f>
        <v/>
      </c>
    </row>
    <row r="607" customFormat="false" ht="15" hidden="false" customHeight="false" outlineLevel="0" collapsed="false">
      <c r="A607" s="19"/>
      <c r="B607" s="20"/>
      <c r="C607" s="19"/>
      <c r="D607" s="19"/>
      <c r="E607" s="19"/>
      <c r="F607" s="19"/>
      <c r="G607" s="21"/>
      <c r="H607" s="19"/>
      <c r="I607" s="21"/>
      <c r="J607" s="19"/>
      <c r="K607" s="20"/>
      <c r="L607" s="20"/>
      <c r="M607" s="19"/>
      <c r="N607" s="19"/>
      <c r="O607" s="20"/>
      <c r="P607" s="20"/>
      <c r="Q607" s="19"/>
      <c r="R607" s="22" t="str">
        <f aca="false">IF(A607="","",N(G607)+N(I607))</f>
        <v/>
      </c>
      <c r="S607" s="23" t="str">
        <f aca="false">IF(OR(K607="",O607=""),"",O607-K607)</f>
        <v/>
      </c>
      <c r="T607" s="23" t="str">
        <f aca="true">IF(AND(C607="Cetak",L607&lt;&gt;"",L607&lt;TODAY()),"YA","")</f>
        <v/>
      </c>
      <c r="U607" s="23" t="str">
        <f aca="false">IF(B607="","",TEXT(B607,"yyyy-mm"))</f>
        <v/>
      </c>
      <c r="V607" s="23" t="str">
        <f aca="false">IF(K607="","",TEXT(K607,"yyyy-mm"))</f>
        <v/>
      </c>
      <c r="W607" s="23" t="n">
        <f aca="false">IF(OR(C607="Cetak",C607="Dikirim",C607="Selesai"),1,0)</f>
        <v>0</v>
      </c>
      <c r="X607" s="23" t="str">
        <f aca="false">IF(F607="","",SUBSTITUTE(SUBSTITUTE(MID(UPPER(TRIM(F607)),4,99),"-LED",""),"-TK",""))</f>
        <v/>
      </c>
      <c r="Y607" s="23" t="str">
        <f aca="false">IF(X607="","",(LEN(X607)+1)/7)</f>
        <v/>
      </c>
      <c r="Z607" s="23" t="str">
        <f aca="false">IF(X607="","",LEFT(X607,6))</f>
        <v/>
      </c>
      <c r="AA607" s="23" t="str">
        <f aca="false">IF(X607="","",IF(Y607&gt;=3,MID(X607,8,6),""))</f>
        <v/>
      </c>
      <c r="AB607" s="23" t="str">
        <f aca="false">IF(X607="","",IF(Y607&gt;=4,MID(X607,15,6),""))</f>
        <v/>
      </c>
      <c r="AC607" s="23" t="str">
        <f aca="false">IF(X607="","",IF(Y607&gt;=5,MID(X607,22,6),""))</f>
        <v/>
      </c>
      <c r="AD607" s="23" t="str">
        <f aca="false">IF(X607="","",RIGHT(X607,6))</f>
        <v/>
      </c>
      <c r="AE607" s="23" t="str">
        <f aca="false">IF(F607="","",IF(ISNUMBER(SEARCH("-TK",UPPER(F607))),0,1))</f>
        <v/>
      </c>
      <c r="AF607" s="23" t="str">
        <f aca="false">IF(F607="","",IF(ISNUMBER(SEARCH("-LED",UPPER(F607))),1,0))</f>
        <v/>
      </c>
      <c r="AG607" s="24" t="n">
        <f aca="false">IF(Z607="",0,IFERROR(INDEX(Resep!$C$5:$C$7,MATCH(LEFT(Z607,3),Resep!$B$5:$B$7,0)),0))</f>
        <v>0</v>
      </c>
      <c r="AH607" s="24" t="n">
        <f aca="false">IF(AA607="",0,IFERROR(INDEX(Resep!$C$9:$C$13,MATCH(LEFT(AA607,3),Resep!$B$9:$B$13,0)),0))</f>
        <v>0</v>
      </c>
      <c r="AI607" s="24" t="n">
        <f aca="false">IF(AB607="",0,IFERROR(INDEX(Resep!$C$9:$C$13,MATCH(LEFT(AB607,3),Resep!$B$9:$B$13,0)),0))</f>
        <v>0</v>
      </c>
      <c r="AJ607" s="24" t="n">
        <f aca="false">IF(AC607="",0,IFERROR(INDEX(Resep!$C$9:$C$13,MATCH(LEFT(AC607,3),Resep!$B$9:$B$13,0)),0))</f>
        <v>0</v>
      </c>
      <c r="AK607" s="24" t="n">
        <f aca="false">IF(AD607="",0,IFERROR(INDEX(Resep!$C$15:$C$18,MATCH(LEFT(AD607,3),Resep!$B$15:$B$18,0)),0))</f>
        <v>0</v>
      </c>
      <c r="AL607" s="24" t="str">
        <f aca="false">IF(X607="","",AG607+AH607+AI607+AJ607+AK607)</f>
        <v/>
      </c>
      <c r="AM607" s="22" t="str">
        <f aca="false">IF(X607="","",AL607*(Pengaturan!$B$6+Pengaturan!$B$7)+Pengaturan!$B$8+AE607*Pengaturan!$B$9+AF607*Pengaturan!$B$10)</f>
        <v/>
      </c>
      <c r="AN607" s="22" t="str">
        <f aca="false">IF(X607="","",N(G607)-AM607)</f>
        <v/>
      </c>
      <c r="AO607" s="25" t="str">
        <f aca="false">IF(OR(X607="",N(G607)=0),"",AN607/G607)</f>
        <v/>
      </c>
    </row>
    <row r="608" customFormat="false" ht="15" hidden="false" customHeight="false" outlineLevel="0" collapsed="false">
      <c r="A608" s="19"/>
      <c r="B608" s="20"/>
      <c r="C608" s="19"/>
      <c r="D608" s="19"/>
      <c r="E608" s="19"/>
      <c r="F608" s="19"/>
      <c r="G608" s="21"/>
      <c r="H608" s="19"/>
      <c r="I608" s="21"/>
      <c r="J608" s="19"/>
      <c r="K608" s="20"/>
      <c r="L608" s="20"/>
      <c r="M608" s="19"/>
      <c r="N608" s="19"/>
      <c r="O608" s="20"/>
      <c r="P608" s="20"/>
      <c r="Q608" s="19"/>
      <c r="R608" s="22" t="str">
        <f aca="false">IF(A608="","",N(G608)+N(I608))</f>
        <v/>
      </c>
      <c r="S608" s="23" t="str">
        <f aca="false">IF(OR(K608="",O608=""),"",O608-K608)</f>
        <v/>
      </c>
      <c r="T608" s="23" t="str">
        <f aca="true">IF(AND(C608="Cetak",L608&lt;&gt;"",L608&lt;TODAY()),"YA","")</f>
        <v/>
      </c>
      <c r="U608" s="23" t="str">
        <f aca="false">IF(B608="","",TEXT(B608,"yyyy-mm"))</f>
        <v/>
      </c>
      <c r="V608" s="23" t="str">
        <f aca="false">IF(K608="","",TEXT(K608,"yyyy-mm"))</f>
        <v/>
      </c>
      <c r="W608" s="23" t="n">
        <f aca="false">IF(OR(C608="Cetak",C608="Dikirim",C608="Selesai"),1,0)</f>
        <v>0</v>
      </c>
      <c r="X608" s="23" t="str">
        <f aca="false">IF(F608="","",SUBSTITUTE(SUBSTITUTE(MID(UPPER(TRIM(F608)),4,99),"-LED",""),"-TK",""))</f>
        <v/>
      </c>
      <c r="Y608" s="23" t="str">
        <f aca="false">IF(X608="","",(LEN(X608)+1)/7)</f>
        <v/>
      </c>
      <c r="Z608" s="23" t="str">
        <f aca="false">IF(X608="","",LEFT(X608,6))</f>
        <v/>
      </c>
      <c r="AA608" s="23" t="str">
        <f aca="false">IF(X608="","",IF(Y608&gt;=3,MID(X608,8,6),""))</f>
        <v/>
      </c>
      <c r="AB608" s="23" t="str">
        <f aca="false">IF(X608="","",IF(Y608&gt;=4,MID(X608,15,6),""))</f>
        <v/>
      </c>
      <c r="AC608" s="23" t="str">
        <f aca="false">IF(X608="","",IF(Y608&gt;=5,MID(X608,22,6),""))</f>
        <v/>
      </c>
      <c r="AD608" s="23" t="str">
        <f aca="false">IF(X608="","",RIGHT(X608,6))</f>
        <v/>
      </c>
      <c r="AE608" s="23" t="str">
        <f aca="false">IF(F608="","",IF(ISNUMBER(SEARCH("-TK",UPPER(F608))),0,1))</f>
        <v/>
      </c>
      <c r="AF608" s="23" t="str">
        <f aca="false">IF(F608="","",IF(ISNUMBER(SEARCH("-LED",UPPER(F608))),1,0))</f>
        <v/>
      </c>
      <c r="AG608" s="24" t="n">
        <f aca="false">IF(Z608="",0,IFERROR(INDEX(Resep!$C$5:$C$7,MATCH(LEFT(Z608,3),Resep!$B$5:$B$7,0)),0))</f>
        <v>0</v>
      </c>
      <c r="AH608" s="24" t="n">
        <f aca="false">IF(AA608="",0,IFERROR(INDEX(Resep!$C$9:$C$13,MATCH(LEFT(AA608,3),Resep!$B$9:$B$13,0)),0))</f>
        <v>0</v>
      </c>
      <c r="AI608" s="24" t="n">
        <f aca="false">IF(AB608="",0,IFERROR(INDEX(Resep!$C$9:$C$13,MATCH(LEFT(AB608,3),Resep!$B$9:$B$13,0)),0))</f>
        <v>0</v>
      </c>
      <c r="AJ608" s="24" t="n">
        <f aca="false">IF(AC608="",0,IFERROR(INDEX(Resep!$C$9:$C$13,MATCH(LEFT(AC608,3),Resep!$B$9:$B$13,0)),0))</f>
        <v>0</v>
      </c>
      <c r="AK608" s="24" t="n">
        <f aca="false">IF(AD608="",0,IFERROR(INDEX(Resep!$C$15:$C$18,MATCH(LEFT(AD608,3),Resep!$B$15:$B$18,0)),0))</f>
        <v>0</v>
      </c>
      <c r="AL608" s="24" t="str">
        <f aca="false">IF(X608="","",AG608+AH608+AI608+AJ608+AK608)</f>
        <v/>
      </c>
      <c r="AM608" s="22" t="str">
        <f aca="false">IF(X608="","",AL608*(Pengaturan!$B$6+Pengaturan!$B$7)+Pengaturan!$B$8+AE608*Pengaturan!$B$9+AF608*Pengaturan!$B$10)</f>
        <v/>
      </c>
      <c r="AN608" s="22" t="str">
        <f aca="false">IF(X608="","",N(G608)-AM608)</f>
        <v/>
      </c>
      <c r="AO608" s="25" t="str">
        <f aca="false">IF(OR(X608="",N(G608)=0),"",AN608/G608)</f>
        <v/>
      </c>
    </row>
    <row r="609" customFormat="false" ht="15" hidden="false" customHeight="false" outlineLevel="0" collapsed="false">
      <c r="A609" s="19"/>
      <c r="B609" s="20"/>
      <c r="C609" s="19"/>
      <c r="D609" s="19"/>
      <c r="E609" s="19"/>
      <c r="F609" s="19"/>
      <c r="G609" s="21"/>
      <c r="H609" s="19"/>
      <c r="I609" s="21"/>
      <c r="J609" s="19"/>
      <c r="K609" s="20"/>
      <c r="L609" s="20"/>
      <c r="M609" s="19"/>
      <c r="N609" s="19"/>
      <c r="O609" s="20"/>
      <c r="P609" s="20"/>
      <c r="Q609" s="19"/>
      <c r="R609" s="22" t="str">
        <f aca="false">IF(A609="","",N(G609)+N(I609))</f>
        <v/>
      </c>
      <c r="S609" s="23" t="str">
        <f aca="false">IF(OR(K609="",O609=""),"",O609-K609)</f>
        <v/>
      </c>
      <c r="T609" s="23" t="str">
        <f aca="true">IF(AND(C609="Cetak",L609&lt;&gt;"",L609&lt;TODAY()),"YA","")</f>
        <v/>
      </c>
      <c r="U609" s="23" t="str">
        <f aca="false">IF(B609="","",TEXT(B609,"yyyy-mm"))</f>
        <v/>
      </c>
      <c r="V609" s="23" t="str">
        <f aca="false">IF(K609="","",TEXT(K609,"yyyy-mm"))</f>
        <v/>
      </c>
      <c r="W609" s="23" t="n">
        <f aca="false">IF(OR(C609="Cetak",C609="Dikirim",C609="Selesai"),1,0)</f>
        <v>0</v>
      </c>
      <c r="X609" s="23" t="str">
        <f aca="false">IF(F609="","",SUBSTITUTE(SUBSTITUTE(MID(UPPER(TRIM(F609)),4,99),"-LED",""),"-TK",""))</f>
        <v/>
      </c>
      <c r="Y609" s="23" t="str">
        <f aca="false">IF(X609="","",(LEN(X609)+1)/7)</f>
        <v/>
      </c>
      <c r="Z609" s="23" t="str">
        <f aca="false">IF(X609="","",LEFT(X609,6))</f>
        <v/>
      </c>
      <c r="AA609" s="23" t="str">
        <f aca="false">IF(X609="","",IF(Y609&gt;=3,MID(X609,8,6),""))</f>
        <v/>
      </c>
      <c r="AB609" s="23" t="str">
        <f aca="false">IF(X609="","",IF(Y609&gt;=4,MID(X609,15,6),""))</f>
        <v/>
      </c>
      <c r="AC609" s="23" t="str">
        <f aca="false">IF(X609="","",IF(Y609&gt;=5,MID(X609,22,6),""))</f>
        <v/>
      </c>
      <c r="AD609" s="23" t="str">
        <f aca="false">IF(X609="","",RIGHT(X609,6))</f>
        <v/>
      </c>
      <c r="AE609" s="23" t="str">
        <f aca="false">IF(F609="","",IF(ISNUMBER(SEARCH("-TK",UPPER(F609))),0,1))</f>
        <v/>
      </c>
      <c r="AF609" s="23" t="str">
        <f aca="false">IF(F609="","",IF(ISNUMBER(SEARCH("-LED",UPPER(F609))),1,0))</f>
        <v/>
      </c>
      <c r="AG609" s="24" t="n">
        <f aca="false">IF(Z609="",0,IFERROR(INDEX(Resep!$C$5:$C$7,MATCH(LEFT(Z609,3),Resep!$B$5:$B$7,0)),0))</f>
        <v>0</v>
      </c>
      <c r="AH609" s="24" t="n">
        <f aca="false">IF(AA609="",0,IFERROR(INDEX(Resep!$C$9:$C$13,MATCH(LEFT(AA609,3),Resep!$B$9:$B$13,0)),0))</f>
        <v>0</v>
      </c>
      <c r="AI609" s="24" t="n">
        <f aca="false">IF(AB609="",0,IFERROR(INDEX(Resep!$C$9:$C$13,MATCH(LEFT(AB609,3),Resep!$B$9:$B$13,0)),0))</f>
        <v>0</v>
      </c>
      <c r="AJ609" s="24" t="n">
        <f aca="false">IF(AC609="",0,IFERROR(INDEX(Resep!$C$9:$C$13,MATCH(LEFT(AC609,3),Resep!$B$9:$B$13,0)),0))</f>
        <v>0</v>
      </c>
      <c r="AK609" s="24" t="n">
        <f aca="false">IF(AD609="",0,IFERROR(INDEX(Resep!$C$15:$C$18,MATCH(LEFT(AD609,3),Resep!$B$15:$B$18,0)),0))</f>
        <v>0</v>
      </c>
      <c r="AL609" s="24" t="str">
        <f aca="false">IF(X609="","",AG609+AH609+AI609+AJ609+AK609)</f>
        <v/>
      </c>
      <c r="AM609" s="22" t="str">
        <f aca="false">IF(X609="","",AL609*(Pengaturan!$B$6+Pengaturan!$B$7)+Pengaturan!$B$8+AE609*Pengaturan!$B$9+AF609*Pengaturan!$B$10)</f>
        <v/>
      </c>
      <c r="AN609" s="22" t="str">
        <f aca="false">IF(X609="","",N(G609)-AM609)</f>
        <v/>
      </c>
      <c r="AO609" s="25" t="str">
        <f aca="false">IF(OR(X609="",N(G609)=0),"",AN609/G609)</f>
        <v/>
      </c>
    </row>
    <row r="610" customFormat="false" ht="15" hidden="false" customHeight="false" outlineLevel="0" collapsed="false">
      <c r="A610" s="19"/>
      <c r="B610" s="20"/>
      <c r="C610" s="19"/>
      <c r="D610" s="19"/>
      <c r="E610" s="19"/>
      <c r="F610" s="19"/>
      <c r="G610" s="21"/>
      <c r="H610" s="19"/>
      <c r="I610" s="21"/>
      <c r="J610" s="19"/>
      <c r="K610" s="20"/>
      <c r="L610" s="20"/>
      <c r="M610" s="19"/>
      <c r="N610" s="19"/>
      <c r="O610" s="20"/>
      <c r="P610" s="20"/>
      <c r="Q610" s="19"/>
      <c r="R610" s="22" t="str">
        <f aca="false">IF(A610="","",N(G610)+N(I610))</f>
        <v/>
      </c>
      <c r="S610" s="23" t="str">
        <f aca="false">IF(OR(K610="",O610=""),"",O610-K610)</f>
        <v/>
      </c>
      <c r="T610" s="23" t="str">
        <f aca="true">IF(AND(C610="Cetak",L610&lt;&gt;"",L610&lt;TODAY()),"YA","")</f>
        <v/>
      </c>
      <c r="U610" s="23" t="str">
        <f aca="false">IF(B610="","",TEXT(B610,"yyyy-mm"))</f>
        <v/>
      </c>
      <c r="V610" s="23" t="str">
        <f aca="false">IF(K610="","",TEXT(K610,"yyyy-mm"))</f>
        <v/>
      </c>
      <c r="W610" s="23" t="n">
        <f aca="false">IF(OR(C610="Cetak",C610="Dikirim",C610="Selesai"),1,0)</f>
        <v>0</v>
      </c>
      <c r="X610" s="23" t="str">
        <f aca="false">IF(F610="","",SUBSTITUTE(SUBSTITUTE(MID(UPPER(TRIM(F610)),4,99),"-LED",""),"-TK",""))</f>
        <v/>
      </c>
      <c r="Y610" s="23" t="str">
        <f aca="false">IF(X610="","",(LEN(X610)+1)/7)</f>
        <v/>
      </c>
      <c r="Z610" s="23" t="str">
        <f aca="false">IF(X610="","",LEFT(X610,6))</f>
        <v/>
      </c>
      <c r="AA610" s="23" t="str">
        <f aca="false">IF(X610="","",IF(Y610&gt;=3,MID(X610,8,6),""))</f>
        <v/>
      </c>
      <c r="AB610" s="23" t="str">
        <f aca="false">IF(X610="","",IF(Y610&gt;=4,MID(X610,15,6),""))</f>
        <v/>
      </c>
      <c r="AC610" s="23" t="str">
        <f aca="false">IF(X610="","",IF(Y610&gt;=5,MID(X610,22,6),""))</f>
        <v/>
      </c>
      <c r="AD610" s="23" t="str">
        <f aca="false">IF(X610="","",RIGHT(X610,6))</f>
        <v/>
      </c>
      <c r="AE610" s="23" t="str">
        <f aca="false">IF(F610="","",IF(ISNUMBER(SEARCH("-TK",UPPER(F610))),0,1))</f>
        <v/>
      </c>
      <c r="AF610" s="23" t="str">
        <f aca="false">IF(F610="","",IF(ISNUMBER(SEARCH("-LED",UPPER(F610))),1,0))</f>
        <v/>
      </c>
      <c r="AG610" s="24" t="n">
        <f aca="false">IF(Z610="",0,IFERROR(INDEX(Resep!$C$5:$C$7,MATCH(LEFT(Z610,3),Resep!$B$5:$B$7,0)),0))</f>
        <v>0</v>
      </c>
      <c r="AH610" s="24" t="n">
        <f aca="false">IF(AA610="",0,IFERROR(INDEX(Resep!$C$9:$C$13,MATCH(LEFT(AA610,3),Resep!$B$9:$B$13,0)),0))</f>
        <v>0</v>
      </c>
      <c r="AI610" s="24" t="n">
        <f aca="false">IF(AB610="",0,IFERROR(INDEX(Resep!$C$9:$C$13,MATCH(LEFT(AB610,3),Resep!$B$9:$B$13,0)),0))</f>
        <v>0</v>
      </c>
      <c r="AJ610" s="24" t="n">
        <f aca="false">IF(AC610="",0,IFERROR(INDEX(Resep!$C$9:$C$13,MATCH(LEFT(AC610,3),Resep!$B$9:$B$13,0)),0))</f>
        <v>0</v>
      </c>
      <c r="AK610" s="24" t="n">
        <f aca="false">IF(AD610="",0,IFERROR(INDEX(Resep!$C$15:$C$18,MATCH(LEFT(AD610,3),Resep!$B$15:$B$18,0)),0))</f>
        <v>0</v>
      </c>
      <c r="AL610" s="24" t="str">
        <f aca="false">IF(X610="","",AG610+AH610+AI610+AJ610+AK610)</f>
        <v/>
      </c>
      <c r="AM610" s="22" t="str">
        <f aca="false">IF(X610="","",AL610*(Pengaturan!$B$6+Pengaturan!$B$7)+Pengaturan!$B$8+AE610*Pengaturan!$B$9+AF610*Pengaturan!$B$10)</f>
        <v/>
      </c>
      <c r="AN610" s="22" t="str">
        <f aca="false">IF(X610="","",N(G610)-AM610)</f>
        <v/>
      </c>
      <c r="AO610" s="25" t="str">
        <f aca="false">IF(OR(X610="",N(G610)=0),"",AN610/G610)</f>
        <v/>
      </c>
    </row>
    <row r="611" customFormat="false" ht="15" hidden="false" customHeight="false" outlineLevel="0" collapsed="false">
      <c r="A611" s="19"/>
      <c r="B611" s="20"/>
      <c r="C611" s="19"/>
      <c r="D611" s="19"/>
      <c r="E611" s="19"/>
      <c r="F611" s="19"/>
      <c r="G611" s="21"/>
      <c r="H611" s="19"/>
      <c r="I611" s="21"/>
      <c r="J611" s="19"/>
      <c r="K611" s="20"/>
      <c r="L611" s="20"/>
      <c r="M611" s="19"/>
      <c r="N611" s="19"/>
      <c r="O611" s="20"/>
      <c r="P611" s="20"/>
      <c r="Q611" s="19"/>
      <c r="R611" s="22" t="str">
        <f aca="false">IF(A611="","",N(G611)+N(I611))</f>
        <v/>
      </c>
      <c r="S611" s="23" t="str">
        <f aca="false">IF(OR(K611="",O611=""),"",O611-K611)</f>
        <v/>
      </c>
      <c r="T611" s="23" t="str">
        <f aca="true">IF(AND(C611="Cetak",L611&lt;&gt;"",L611&lt;TODAY()),"YA","")</f>
        <v/>
      </c>
      <c r="U611" s="23" t="str">
        <f aca="false">IF(B611="","",TEXT(B611,"yyyy-mm"))</f>
        <v/>
      </c>
      <c r="V611" s="23" t="str">
        <f aca="false">IF(K611="","",TEXT(K611,"yyyy-mm"))</f>
        <v/>
      </c>
      <c r="W611" s="23" t="n">
        <f aca="false">IF(OR(C611="Cetak",C611="Dikirim",C611="Selesai"),1,0)</f>
        <v>0</v>
      </c>
      <c r="X611" s="23" t="str">
        <f aca="false">IF(F611="","",SUBSTITUTE(SUBSTITUTE(MID(UPPER(TRIM(F611)),4,99),"-LED",""),"-TK",""))</f>
        <v/>
      </c>
      <c r="Y611" s="23" t="str">
        <f aca="false">IF(X611="","",(LEN(X611)+1)/7)</f>
        <v/>
      </c>
      <c r="Z611" s="23" t="str">
        <f aca="false">IF(X611="","",LEFT(X611,6))</f>
        <v/>
      </c>
      <c r="AA611" s="23" t="str">
        <f aca="false">IF(X611="","",IF(Y611&gt;=3,MID(X611,8,6),""))</f>
        <v/>
      </c>
      <c r="AB611" s="23" t="str">
        <f aca="false">IF(X611="","",IF(Y611&gt;=4,MID(X611,15,6),""))</f>
        <v/>
      </c>
      <c r="AC611" s="23" t="str">
        <f aca="false">IF(X611="","",IF(Y611&gt;=5,MID(X611,22,6),""))</f>
        <v/>
      </c>
      <c r="AD611" s="23" t="str">
        <f aca="false">IF(X611="","",RIGHT(X611,6))</f>
        <v/>
      </c>
      <c r="AE611" s="23" t="str">
        <f aca="false">IF(F611="","",IF(ISNUMBER(SEARCH("-TK",UPPER(F611))),0,1))</f>
        <v/>
      </c>
      <c r="AF611" s="23" t="str">
        <f aca="false">IF(F611="","",IF(ISNUMBER(SEARCH("-LED",UPPER(F611))),1,0))</f>
        <v/>
      </c>
      <c r="AG611" s="24" t="n">
        <f aca="false">IF(Z611="",0,IFERROR(INDEX(Resep!$C$5:$C$7,MATCH(LEFT(Z611,3),Resep!$B$5:$B$7,0)),0))</f>
        <v>0</v>
      </c>
      <c r="AH611" s="24" t="n">
        <f aca="false">IF(AA611="",0,IFERROR(INDEX(Resep!$C$9:$C$13,MATCH(LEFT(AA611,3),Resep!$B$9:$B$13,0)),0))</f>
        <v>0</v>
      </c>
      <c r="AI611" s="24" t="n">
        <f aca="false">IF(AB611="",0,IFERROR(INDEX(Resep!$C$9:$C$13,MATCH(LEFT(AB611,3),Resep!$B$9:$B$13,0)),0))</f>
        <v>0</v>
      </c>
      <c r="AJ611" s="24" t="n">
        <f aca="false">IF(AC611="",0,IFERROR(INDEX(Resep!$C$9:$C$13,MATCH(LEFT(AC611,3),Resep!$B$9:$B$13,0)),0))</f>
        <v>0</v>
      </c>
      <c r="AK611" s="24" t="n">
        <f aca="false">IF(AD611="",0,IFERROR(INDEX(Resep!$C$15:$C$18,MATCH(LEFT(AD611,3),Resep!$B$15:$B$18,0)),0))</f>
        <v>0</v>
      </c>
      <c r="AL611" s="24" t="str">
        <f aca="false">IF(X611="","",AG611+AH611+AI611+AJ611+AK611)</f>
        <v/>
      </c>
      <c r="AM611" s="22" t="str">
        <f aca="false">IF(X611="","",AL611*(Pengaturan!$B$6+Pengaturan!$B$7)+Pengaturan!$B$8+AE611*Pengaturan!$B$9+AF611*Pengaturan!$B$10)</f>
        <v/>
      </c>
      <c r="AN611" s="22" t="str">
        <f aca="false">IF(X611="","",N(G611)-AM611)</f>
        <v/>
      </c>
      <c r="AO611" s="25" t="str">
        <f aca="false">IF(OR(X611="",N(G611)=0),"",AN611/G611)</f>
        <v/>
      </c>
    </row>
    <row r="612" customFormat="false" ht="15" hidden="false" customHeight="false" outlineLevel="0" collapsed="false">
      <c r="A612" s="19"/>
      <c r="B612" s="20"/>
      <c r="C612" s="19"/>
      <c r="D612" s="19"/>
      <c r="E612" s="19"/>
      <c r="F612" s="19"/>
      <c r="G612" s="21"/>
      <c r="H612" s="19"/>
      <c r="I612" s="21"/>
      <c r="J612" s="19"/>
      <c r="K612" s="20"/>
      <c r="L612" s="20"/>
      <c r="M612" s="19"/>
      <c r="N612" s="19"/>
      <c r="O612" s="20"/>
      <c r="P612" s="20"/>
      <c r="Q612" s="19"/>
      <c r="R612" s="22" t="str">
        <f aca="false">IF(A612="","",N(G612)+N(I612))</f>
        <v/>
      </c>
      <c r="S612" s="23" t="str">
        <f aca="false">IF(OR(K612="",O612=""),"",O612-K612)</f>
        <v/>
      </c>
      <c r="T612" s="23" t="str">
        <f aca="true">IF(AND(C612="Cetak",L612&lt;&gt;"",L612&lt;TODAY()),"YA","")</f>
        <v/>
      </c>
      <c r="U612" s="23" t="str">
        <f aca="false">IF(B612="","",TEXT(B612,"yyyy-mm"))</f>
        <v/>
      </c>
      <c r="V612" s="23" t="str">
        <f aca="false">IF(K612="","",TEXT(K612,"yyyy-mm"))</f>
        <v/>
      </c>
      <c r="W612" s="23" t="n">
        <f aca="false">IF(OR(C612="Cetak",C612="Dikirim",C612="Selesai"),1,0)</f>
        <v>0</v>
      </c>
      <c r="X612" s="23" t="str">
        <f aca="false">IF(F612="","",SUBSTITUTE(SUBSTITUTE(MID(UPPER(TRIM(F612)),4,99),"-LED",""),"-TK",""))</f>
        <v/>
      </c>
      <c r="Y612" s="23" t="str">
        <f aca="false">IF(X612="","",(LEN(X612)+1)/7)</f>
        <v/>
      </c>
      <c r="Z612" s="23" t="str">
        <f aca="false">IF(X612="","",LEFT(X612,6))</f>
        <v/>
      </c>
      <c r="AA612" s="23" t="str">
        <f aca="false">IF(X612="","",IF(Y612&gt;=3,MID(X612,8,6),""))</f>
        <v/>
      </c>
      <c r="AB612" s="23" t="str">
        <f aca="false">IF(X612="","",IF(Y612&gt;=4,MID(X612,15,6),""))</f>
        <v/>
      </c>
      <c r="AC612" s="23" t="str">
        <f aca="false">IF(X612="","",IF(Y612&gt;=5,MID(X612,22,6),""))</f>
        <v/>
      </c>
      <c r="AD612" s="23" t="str">
        <f aca="false">IF(X612="","",RIGHT(X612,6))</f>
        <v/>
      </c>
      <c r="AE612" s="23" t="str">
        <f aca="false">IF(F612="","",IF(ISNUMBER(SEARCH("-TK",UPPER(F612))),0,1))</f>
        <v/>
      </c>
      <c r="AF612" s="23" t="str">
        <f aca="false">IF(F612="","",IF(ISNUMBER(SEARCH("-LED",UPPER(F612))),1,0))</f>
        <v/>
      </c>
      <c r="AG612" s="24" t="n">
        <f aca="false">IF(Z612="",0,IFERROR(INDEX(Resep!$C$5:$C$7,MATCH(LEFT(Z612,3),Resep!$B$5:$B$7,0)),0))</f>
        <v>0</v>
      </c>
      <c r="AH612" s="24" t="n">
        <f aca="false">IF(AA612="",0,IFERROR(INDEX(Resep!$C$9:$C$13,MATCH(LEFT(AA612,3),Resep!$B$9:$B$13,0)),0))</f>
        <v>0</v>
      </c>
      <c r="AI612" s="24" t="n">
        <f aca="false">IF(AB612="",0,IFERROR(INDEX(Resep!$C$9:$C$13,MATCH(LEFT(AB612,3),Resep!$B$9:$B$13,0)),0))</f>
        <v>0</v>
      </c>
      <c r="AJ612" s="24" t="n">
        <f aca="false">IF(AC612="",0,IFERROR(INDEX(Resep!$C$9:$C$13,MATCH(LEFT(AC612,3),Resep!$B$9:$B$13,0)),0))</f>
        <v>0</v>
      </c>
      <c r="AK612" s="24" t="n">
        <f aca="false">IF(AD612="",0,IFERROR(INDEX(Resep!$C$15:$C$18,MATCH(LEFT(AD612,3),Resep!$B$15:$B$18,0)),0))</f>
        <v>0</v>
      </c>
      <c r="AL612" s="24" t="str">
        <f aca="false">IF(X612="","",AG612+AH612+AI612+AJ612+AK612)</f>
        <v/>
      </c>
      <c r="AM612" s="22" t="str">
        <f aca="false">IF(X612="","",AL612*(Pengaturan!$B$6+Pengaturan!$B$7)+Pengaturan!$B$8+AE612*Pengaturan!$B$9+AF612*Pengaturan!$B$10)</f>
        <v/>
      </c>
      <c r="AN612" s="22" t="str">
        <f aca="false">IF(X612="","",N(G612)-AM612)</f>
        <v/>
      </c>
      <c r="AO612" s="25" t="str">
        <f aca="false">IF(OR(X612="",N(G612)=0),"",AN612/G612)</f>
        <v/>
      </c>
    </row>
    <row r="613" customFormat="false" ht="15" hidden="false" customHeight="false" outlineLevel="0" collapsed="false">
      <c r="A613" s="19"/>
      <c r="B613" s="20"/>
      <c r="C613" s="19"/>
      <c r="D613" s="19"/>
      <c r="E613" s="19"/>
      <c r="F613" s="19"/>
      <c r="G613" s="21"/>
      <c r="H613" s="19"/>
      <c r="I613" s="21"/>
      <c r="J613" s="19"/>
      <c r="K613" s="20"/>
      <c r="L613" s="20"/>
      <c r="M613" s="19"/>
      <c r="N613" s="19"/>
      <c r="O613" s="20"/>
      <c r="P613" s="20"/>
      <c r="Q613" s="19"/>
      <c r="R613" s="22" t="str">
        <f aca="false">IF(A613="","",N(G613)+N(I613))</f>
        <v/>
      </c>
      <c r="S613" s="23" t="str">
        <f aca="false">IF(OR(K613="",O613=""),"",O613-K613)</f>
        <v/>
      </c>
      <c r="T613" s="23" t="str">
        <f aca="true">IF(AND(C613="Cetak",L613&lt;&gt;"",L613&lt;TODAY()),"YA","")</f>
        <v/>
      </c>
      <c r="U613" s="23" t="str">
        <f aca="false">IF(B613="","",TEXT(B613,"yyyy-mm"))</f>
        <v/>
      </c>
      <c r="V613" s="23" t="str">
        <f aca="false">IF(K613="","",TEXT(K613,"yyyy-mm"))</f>
        <v/>
      </c>
      <c r="W613" s="23" t="n">
        <f aca="false">IF(OR(C613="Cetak",C613="Dikirim",C613="Selesai"),1,0)</f>
        <v>0</v>
      </c>
      <c r="X613" s="23" t="str">
        <f aca="false">IF(F613="","",SUBSTITUTE(SUBSTITUTE(MID(UPPER(TRIM(F613)),4,99),"-LED",""),"-TK",""))</f>
        <v/>
      </c>
      <c r="Y613" s="23" t="str">
        <f aca="false">IF(X613="","",(LEN(X613)+1)/7)</f>
        <v/>
      </c>
      <c r="Z613" s="23" t="str">
        <f aca="false">IF(X613="","",LEFT(X613,6))</f>
        <v/>
      </c>
      <c r="AA613" s="23" t="str">
        <f aca="false">IF(X613="","",IF(Y613&gt;=3,MID(X613,8,6),""))</f>
        <v/>
      </c>
      <c r="AB613" s="23" t="str">
        <f aca="false">IF(X613="","",IF(Y613&gt;=4,MID(X613,15,6),""))</f>
        <v/>
      </c>
      <c r="AC613" s="23" t="str">
        <f aca="false">IF(X613="","",IF(Y613&gt;=5,MID(X613,22,6),""))</f>
        <v/>
      </c>
      <c r="AD613" s="23" t="str">
        <f aca="false">IF(X613="","",RIGHT(X613,6))</f>
        <v/>
      </c>
      <c r="AE613" s="23" t="str">
        <f aca="false">IF(F613="","",IF(ISNUMBER(SEARCH("-TK",UPPER(F613))),0,1))</f>
        <v/>
      </c>
      <c r="AF613" s="23" t="str">
        <f aca="false">IF(F613="","",IF(ISNUMBER(SEARCH("-LED",UPPER(F613))),1,0))</f>
        <v/>
      </c>
      <c r="AG613" s="24" t="n">
        <f aca="false">IF(Z613="",0,IFERROR(INDEX(Resep!$C$5:$C$7,MATCH(LEFT(Z613,3),Resep!$B$5:$B$7,0)),0))</f>
        <v>0</v>
      </c>
      <c r="AH613" s="24" t="n">
        <f aca="false">IF(AA613="",0,IFERROR(INDEX(Resep!$C$9:$C$13,MATCH(LEFT(AA613,3),Resep!$B$9:$B$13,0)),0))</f>
        <v>0</v>
      </c>
      <c r="AI613" s="24" t="n">
        <f aca="false">IF(AB613="",0,IFERROR(INDEX(Resep!$C$9:$C$13,MATCH(LEFT(AB613,3),Resep!$B$9:$B$13,0)),0))</f>
        <v>0</v>
      </c>
      <c r="AJ613" s="24" t="n">
        <f aca="false">IF(AC613="",0,IFERROR(INDEX(Resep!$C$9:$C$13,MATCH(LEFT(AC613,3),Resep!$B$9:$B$13,0)),0))</f>
        <v>0</v>
      </c>
      <c r="AK613" s="24" t="n">
        <f aca="false">IF(AD613="",0,IFERROR(INDEX(Resep!$C$15:$C$18,MATCH(LEFT(AD613,3),Resep!$B$15:$B$18,0)),0))</f>
        <v>0</v>
      </c>
      <c r="AL613" s="24" t="str">
        <f aca="false">IF(X613="","",AG613+AH613+AI613+AJ613+AK613)</f>
        <v/>
      </c>
      <c r="AM613" s="22" t="str">
        <f aca="false">IF(X613="","",AL613*(Pengaturan!$B$6+Pengaturan!$B$7)+Pengaturan!$B$8+AE613*Pengaturan!$B$9+AF613*Pengaturan!$B$10)</f>
        <v/>
      </c>
      <c r="AN613" s="22" t="str">
        <f aca="false">IF(X613="","",N(G613)-AM613)</f>
        <v/>
      </c>
      <c r="AO613" s="25" t="str">
        <f aca="false">IF(OR(X613="",N(G613)=0),"",AN613/G613)</f>
        <v/>
      </c>
    </row>
    <row r="614" customFormat="false" ht="15" hidden="false" customHeight="false" outlineLevel="0" collapsed="false">
      <c r="A614" s="19"/>
      <c r="B614" s="20"/>
      <c r="C614" s="19"/>
      <c r="D614" s="19"/>
      <c r="E614" s="19"/>
      <c r="F614" s="19"/>
      <c r="G614" s="21"/>
      <c r="H614" s="19"/>
      <c r="I614" s="21"/>
      <c r="J614" s="19"/>
      <c r="K614" s="20"/>
      <c r="L614" s="20"/>
      <c r="M614" s="19"/>
      <c r="N614" s="19"/>
      <c r="O614" s="20"/>
      <c r="P614" s="20"/>
      <c r="Q614" s="19"/>
      <c r="R614" s="22" t="str">
        <f aca="false">IF(A614="","",N(G614)+N(I614))</f>
        <v/>
      </c>
      <c r="S614" s="23" t="str">
        <f aca="false">IF(OR(K614="",O614=""),"",O614-K614)</f>
        <v/>
      </c>
      <c r="T614" s="23" t="str">
        <f aca="true">IF(AND(C614="Cetak",L614&lt;&gt;"",L614&lt;TODAY()),"YA","")</f>
        <v/>
      </c>
      <c r="U614" s="23" t="str">
        <f aca="false">IF(B614="","",TEXT(B614,"yyyy-mm"))</f>
        <v/>
      </c>
      <c r="V614" s="23" t="str">
        <f aca="false">IF(K614="","",TEXT(K614,"yyyy-mm"))</f>
        <v/>
      </c>
      <c r="W614" s="23" t="n">
        <f aca="false">IF(OR(C614="Cetak",C614="Dikirim",C614="Selesai"),1,0)</f>
        <v>0</v>
      </c>
      <c r="X614" s="23" t="str">
        <f aca="false">IF(F614="","",SUBSTITUTE(SUBSTITUTE(MID(UPPER(TRIM(F614)),4,99),"-LED",""),"-TK",""))</f>
        <v/>
      </c>
      <c r="Y614" s="23" t="str">
        <f aca="false">IF(X614="","",(LEN(X614)+1)/7)</f>
        <v/>
      </c>
      <c r="Z614" s="23" t="str">
        <f aca="false">IF(X614="","",LEFT(X614,6))</f>
        <v/>
      </c>
      <c r="AA614" s="23" t="str">
        <f aca="false">IF(X614="","",IF(Y614&gt;=3,MID(X614,8,6),""))</f>
        <v/>
      </c>
      <c r="AB614" s="23" t="str">
        <f aca="false">IF(X614="","",IF(Y614&gt;=4,MID(X614,15,6),""))</f>
        <v/>
      </c>
      <c r="AC614" s="23" t="str">
        <f aca="false">IF(X614="","",IF(Y614&gt;=5,MID(X614,22,6),""))</f>
        <v/>
      </c>
      <c r="AD614" s="23" t="str">
        <f aca="false">IF(X614="","",RIGHT(X614,6))</f>
        <v/>
      </c>
      <c r="AE614" s="23" t="str">
        <f aca="false">IF(F614="","",IF(ISNUMBER(SEARCH("-TK",UPPER(F614))),0,1))</f>
        <v/>
      </c>
      <c r="AF614" s="23" t="str">
        <f aca="false">IF(F614="","",IF(ISNUMBER(SEARCH("-LED",UPPER(F614))),1,0))</f>
        <v/>
      </c>
      <c r="AG614" s="24" t="n">
        <f aca="false">IF(Z614="",0,IFERROR(INDEX(Resep!$C$5:$C$7,MATCH(LEFT(Z614,3),Resep!$B$5:$B$7,0)),0))</f>
        <v>0</v>
      </c>
      <c r="AH614" s="24" t="n">
        <f aca="false">IF(AA614="",0,IFERROR(INDEX(Resep!$C$9:$C$13,MATCH(LEFT(AA614,3),Resep!$B$9:$B$13,0)),0))</f>
        <v>0</v>
      </c>
      <c r="AI614" s="24" t="n">
        <f aca="false">IF(AB614="",0,IFERROR(INDEX(Resep!$C$9:$C$13,MATCH(LEFT(AB614,3),Resep!$B$9:$B$13,0)),0))</f>
        <v>0</v>
      </c>
      <c r="AJ614" s="24" t="n">
        <f aca="false">IF(AC614="",0,IFERROR(INDEX(Resep!$C$9:$C$13,MATCH(LEFT(AC614,3),Resep!$B$9:$B$13,0)),0))</f>
        <v>0</v>
      </c>
      <c r="AK614" s="24" t="n">
        <f aca="false">IF(AD614="",0,IFERROR(INDEX(Resep!$C$15:$C$18,MATCH(LEFT(AD614,3),Resep!$B$15:$B$18,0)),0))</f>
        <v>0</v>
      </c>
      <c r="AL614" s="24" t="str">
        <f aca="false">IF(X614="","",AG614+AH614+AI614+AJ614+AK614)</f>
        <v/>
      </c>
      <c r="AM614" s="22" t="str">
        <f aca="false">IF(X614="","",AL614*(Pengaturan!$B$6+Pengaturan!$B$7)+Pengaturan!$B$8+AE614*Pengaturan!$B$9+AF614*Pengaturan!$B$10)</f>
        <v/>
      </c>
      <c r="AN614" s="22" t="str">
        <f aca="false">IF(X614="","",N(G614)-AM614)</f>
        <v/>
      </c>
      <c r="AO614" s="25" t="str">
        <f aca="false">IF(OR(X614="",N(G614)=0),"",AN614/G614)</f>
        <v/>
      </c>
    </row>
    <row r="615" customFormat="false" ht="15" hidden="false" customHeight="false" outlineLevel="0" collapsed="false">
      <c r="A615" s="19"/>
      <c r="B615" s="20"/>
      <c r="C615" s="19"/>
      <c r="D615" s="19"/>
      <c r="E615" s="19"/>
      <c r="F615" s="19"/>
      <c r="G615" s="21"/>
      <c r="H615" s="19"/>
      <c r="I615" s="21"/>
      <c r="J615" s="19"/>
      <c r="K615" s="20"/>
      <c r="L615" s="20"/>
      <c r="M615" s="19"/>
      <c r="N615" s="19"/>
      <c r="O615" s="20"/>
      <c r="P615" s="20"/>
      <c r="Q615" s="19"/>
      <c r="R615" s="22" t="str">
        <f aca="false">IF(A615="","",N(G615)+N(I615))</f>
        <v/>
      </c>
      <c r="S615" s="23" t="str">
        <f aca="false">IF(OR(K615="",O615=""),"",O615-K615)</f>
        <v/>
      </c>
      <c r="T615" s="23" t="str">
        <f aca="true">IF(AND(C615="Cetak",L615&lt;&gt;"",L615&lt;TODAY()),"YA","")</f>
        <v/>
      </c>
      <c r="U615" s="23" t="str">
        <f aca="false">IF(B615="","",TEXT(B615,"yyyy-mm"))</f>
        <v/>
      </c>
      <c r="V615" s="23" t="str">
        <f aca="false">IF(K615="","",TEXT(K615,"yyyy-mm"))</f>
        <v/>
      </c>
      <c r="W615" s="23" t="n">
        <f aca="false">IF(OR(C615="Cetak",C615="Dikirim",C615="Selesai"),1,0)</f>
        <v>0</v>
      </c>
      <c r="X615" s="23" t="str">
        <f aca="false">IF(F615="","",SUBSTITUTE(SUBSTITUTE(MID(UPPER(TRIM(F615)),4,99),"-LED",""),"-TK",""))</f>
        <v/>
      </c>
      <c r="Y615" s="23" t="str">
        <f aca="false">IF(X615="","",(LEN(X615)+1)/7)</f>
        <v/>
      </c>
      <c r="Z615" s="23" t="str">
        <f aca="false">IF(X615="","",LEFT(X615,6))</f>
        <v/>
      </c>
      <c r="AA615" s="23" t="str">
        <f aca="false">IF(X615="","",IF(Y615&gt;=3,MID(X615,8,6),""))</f>
        <v/>
      </c>
      <c r="AB615" s="23" t="str">
        <f aca="false">IF(X615="","",IF(Y615&gt;=4,MID(X615,15,6),""))</f>
        <v/>
      </c>
      <c r="AC615" s="23" t="str">
        <f aca="false">IF(X615="","",IF(Y615&gt;=5,MID(X615,22,6),""))</f>
        <v/>
      </c>
      <c r="AD615" s="23" t="str">
        <f aca="false">IF(X615="","",RIGHT(X615,6))</f>
        <v/>
      </c>
      <c r="AE615" s="23" t="str">
        <f aca="false">IF(F615="","",IF(ISNUMBER(SEARCH("-TK",UPPER(F615))),0,1))</f>
        <v/>
      </c>
      <c r="AF615" s="23" t="str">
        <f aca="false">IF(F615="","",IF(ISNUMBER(SEARCH("-LED",UPPER(F615))),1,0))</f>
        <v/>
      </c>
      <c r="AG615" s="24" t="n">
        <f aca="false">IF(Z615="",0,IFERROR(INDEX(Resep!$C$5:$C$7,MATCH(LEFT(Z615,3),Resep!$B$5:$B$7,0)),0))</f>
        <v>0</v>
      </c>
      <c r="AH615" s="24" t="n">
        <f aca="false">IF(AA615="",0,IFERROR(INDEX(Resep!$C$9:$C$13,MATCH(LEFT(AA615,3),Resep!$B$9:$B$13,0)),0))</f>
        <v>0</v>
      </c>
      <c r="AI615" s="24" t="n">
        <f aca="false">IF(AB615="",0,IFERROR(INDEX(Resep!$C$9:$C$13,MATCH(LEFT(AB615,3),Resep!$B$9:$B$13,0)),0))</f>
        <v>0</v>
      </c>
      <c r="AJ615" s="24" t="n">
        <f aca="false">IF(AC615="",0,IFERROR(INDEX(Resep!$C$9:$C$13,MATCH(LEFT(AC615,3),Resep!$B$9:$B$13,0)),0))</f>
        <v>0</v>
      </c>
      <c r="AK615" s="24" t="n">
        <f aca="false">IF(AD615="",0,IFERROR(INDEX(Resep!$C$15:$C$18,MATCH(LEFT(AD615,3),Resep!$B$15:$B$18,0)),0))</f>
        <v>0</v>
      </c>
      <c r="AL615" s="24" t="str">
        <f aca="false">IF(X615="","",AG615+AH615+AI615+AJ615+AK615)</f>
        <v/>
      </c>
      <c r="AM615" s="22" t="str">
        <f aca="false">IF(X615="","",AL615*(Pengaturan!$B$6+Pengaturan!$B$7)+Pengaturan!$B$8+AE615*Pengaturan!$B$9+AF615*Pengaturan!$B$10)</f>
        <v/>
      </c>
      <c r="AN615" s="22" t="str">
        <f aca="false">IF(X615="","",N(G615)-AM615)</f>
        <v/>
      </c>
      <c r="AO615" s="25" t="str">
        <f aca="false">IF(OR(X615="",N(G615)=0),"",AN615/G615)</f>
        <v/>
      </c>
    </row>
    <row r="616" customFormat="false" ht="15" hidden="false" customHeight="false" outlineLevel="0" collapsed="false">
      <c r="A616" s="19"/>
      <c r="B616" s="20"/>
      <c r="C616" s="19"/>
      <c r="D616" s="19"/>
      <c r="E616" s="19"/>
      <c r="F616" s="19"/>
      <c r="G616" s="21"/>
      <c r="H616" s="19"/>
      <c r="I616" s="21"/>
      <c r="J616" s="19"/>
      <c r="K616" s="20"/>
      <c r="L616" s="20"/>
      <c r="M616" s="19"/>
      <c r="N616" s="19"/>
      <c r="O616" s="20"/>
      <c r="P616" s="20"/>
      <c r="Q616" s="19"/>
      <c r="R616" s="22" t="str">
        <f aca="false">IF(A616="","",N(G616)+N(I616))</f>
        <v/>
      </c>
      <c r="S616" s="23" t="str">
        <f aca="false">IF(OR(K616="",O616=""),"",O616-K616)</f>
        <v/>
      </c>
      <c r="T616" s="23" t="str">
        <f aca="true">IF(AND(C616="Cetak",L616&lt;&gt;"",L616&lt;TODAY()),"YA","")</f>
        <v/>
      </c>
      <c r="U616" s="23" t="str">
        <f aca="false">IF(B616="","",TEXT(B616,"yyyy-mm"))</f>
        <v/>
      </c>
      <c r="V616" s="23" t="str">
        <f aca="false">IF(K616="","",TEXT(K616,"yyyy-mm"))</f>
        <v/>
      </c>
      <c r="W616" s="23" t="n">
        <f aca="false">IF(OR(C616="Cetak",C616="Dikirim",C616="Selesai"),1,0)</f>
        <v>0</v>
      </c>
      <c r="X616" s="23" t="str">
        <f aca="false">IF(F616="","",SUBSTITUTE(SUBSTITUTE(MID(UPPER(TRIM(F616)),4,99),"-LED",""),"-TK",""))</f>
        <v/>
      </c>
      <c r="Y616" s="23" t="str">
        <f aca="false">IF(X616="","",(LEN(X616)+1)/7)</f>
        <v/>
      </c>
      <c r="Z616" s="23" t="str">
        <f aca="false">IF(X616="","",LEFT(X616,6))</f>
        <v/>
      </c>
      <c r="AA616" s="23" t="str">
        <f aca="false">IF(X616="","",IF(Y616&gt;=3,MID(X616,8,6),""))</f>
        <v/>
      </c>
      <c r="AB616" s="23" t="str">
        <f aca="false">IF(X616="","",IF(Y616&gt;=4,MID(X616,15,6),""))</f>
        <v/>
      </c>
      <c r="AC616" s="23" t="str">
        <f aca="false">IF(X616="","",IF(Y616&gt;=5,MID(X616,22,6),""))</f>
        <v/>
      </c>
      <c r="AD616" s="23" t="str">
        <f aca="false">IF(X616="","",RIGHT(X616,6))</f>
        <v/>
      </c>
      <c r="AE616" s="23" t="str">
        <f aca="false">IF(F616="","",IF(ISNUMBER(SEARCH("-TK",UPPER(F616))),0,1))</f>
        <v/>
      </c>
      <c r="AF616" s="23" t="str">
        <f aca="false">IF(F616="","",IF(ISNUMBER(SEARCH("-LED",UPPER(F616))),1,0))</f>
        <v/>
      </c>
      <c r="AG616" s="24" t="n">
        <f aca="false">IF(Z616="",0,IFERROR(INDEX(Resep!$C$5:$C$7,MATCH(LEFT(Z616,3),Resep!$B$5:$B$7,0)),0))</f>
        <v>0</v>
      </c>
      <c r="AH616" s="24" t="n">
        <f aca="false">IF(AA616="",0,IFERROR(INDEX(Resep!$C$9:$C$13,MATCH(LEFT(AA616,3),Resep!$B$9:$B$13,0)),0))</f>
        <v>0</v>
      </c>
      <c r="AI616" s="24" t="n">
        <f aca="false">IF(AB616="",0,IFERROR(INDEX(Resep!$C$9:$C$13,MATCH(LEFT(AB616,3),Resep!$B$9:$B$13,0)),0))</f>
        <v>0</v>
      </c>
      <c r="AJ616" s="24" t="n">
        <f aca="false">IF(AC616="",0,IFERROR(INDEX(Resep!$C$9:$C$13,MATCH(LEFT(AC616,3),Resep!$B$9:$B$13,0)),0))</f>
        <v>0</v>
      </c>
      <c r="AK616" s="24" t="n">
        <f aca="false">IF(AD616="",0,IFERROR(INDEX(Resep!$C$15:$C$18,MATCH(LEFT(AD616,3),Resep!$B$15:$B$18,0)),0))</f>
        <v>0</v>
      </c>
      <c r="AL616" s="24" t="str">
        <f aca="false">IF(X616="","",AG616+AH616+AI616+AJ616+AK616)</f>
        <v/>
      </c>
      <c r="AM616" s="22" t="str">
        <f aca="false">IF(X616="","",AL616*(Pengaturan!$B$6+Pengaturan!$B$7)+Pengaturan!$B$8+AE616*Pengaturan!$B$9+AF616*Pengaturan!$B$10)</f>
        <v/>
      </c>
      <c r="AN616" s="22" t="str">
        <f aca="false">IF(X616="","",N(G616)-AM616)</f>
        <v/>
      </c>
      <c r="AO616" s="25" t="str">
        <f aca="false">IF(OR(X616="",N(G616)=0),"",AN616/G616)</f>
        <v/>
      </c>
    </row>
    <row r="617" customFormat="false" ht="15" hidden="false" customHeight="false" outlineLevel="0" collapsed="false">
      <c r="A617" s="19"/>
      <c r="B617" s="20"/>
      <c r="C617" s="19"/>
      <c r="D617" s="19"/>
      <c r="E617" s="19"/>
      <c r="F617" s="19"/>
      <c r="G617" s="21"/>
      <c r="H617" s="19"/>
      <c r="I617" s="21"/>
      <c r="J617" s="19"/>
      <c r="K617" s="20"/>
      <c r="L617" s="20"/>
      <c r="M617" s="19"/>
      <c r="N617" s="19"/>
      <c r="O617" s="20"/>
      <c r="P617" s="20"/>
      <c r="Q617" s="19"/>
      <c r="R617" s="22" t="str">
        <f aca="false">IF(A617="","",N(G617)+N(I617))</f>
        <v/>
      </c>
      <c r="S617" s="23" t="str">
        <f aca="false">IF(OR(K617="",O617=""),"",O617-K617)</f>
        <v/>
      </c>
      <c r="T617" s="23" t="str">
        <f aca="true">IF(AND(C617="Cetak",L617&lt;&gt;"",L617&lt;TODAY()),"YA","")</f>
        <v/>
      </c>
      <c r="U617" s="23" t="str">
        <f aca="false">IF(B617="","",TEXT(B617,"yyyy-mm"))</f>
        <v/>
      </c>
      <c r="V617" s="23" t="str">
        <f aca="false">IF(K617="","",TEXT(K617,"yyyy-mm"))</f>
        <v/>
      </c>
      <c r="W617" s="23" t="n">
        <f aca="false">IF(OR(C617="Cetak",C617="Dikirim",C617="Selesai"),1,0)</f>
        <v>0</v>
      </c>
      <c r="X617" s="23" t="str">
        <f aca="false">IF(F617="","",SUBSTITUTE(SUBSTITUTE(MID(UPPER(TRIM(F617)),4,99),"-LED",""),"-TK",""))</f>
        <v/>
      </c>
      <c r="Y617" s="23" t="str">
        <f aca="false">IF(X617="","",(LEN(X617)+1)/7)</f>
        <v/>
      </c>
      <c r="Z617" s="23" t="str">
        <f aca="false">IF(X617="","",LEFT(X617,6))</f>
        <v/>
      </c>
      <c r="AA617" s="23" t="str">
        <f aca="false">IF(X617="","",IF(Y617&gt;=3,MID(X617,8,6),""))</f>
        <v/>
      </c>
      <c r="AB617" s="23" t="str">
        <f aca="false">IF(X617="","",IF(Y617&gt;=4,MID(X617,15,6),""))</f>
        <v/>
      </c>
      <c r="AC617" s="23" t="str">
        <f aca="false">IF(X617="","",IF(Y617&gt;=5,MID(X617,22,6),""))</f>
        <v/>
      </c>
      <c r="AD617" s="23" t="str">
        <f aca="false">IF(X617="","",RIGHT(X617,6))</f>
        <v/>
      </c>
      <c r="AE617" s="23" t="str">
        <f aca="false">IF(F617="","",IF(ISNUMBER(SEARCH("-TK",UPPER(F617))),0,1))</f>
        <v/>
      </c>
      <c r="AF617" s="23" t="str">
        <f aca="false">IF(F617="","",IF(ISNUMBER(SEARCH("-LED",UPPER(F617))),1,0))</f>
        <v/>
      </c>
      <c r="AG617" s="24" t="n">
        <f aca="false">IF(Z617="",0,IFERROR(INDEX(Resep!$C$5:$C$7,MATCH(LEFT(Z617,3),Resep!$B$5:$B$7,0)),0))</f>
        <v>0</v>
      </c>
      <c r="AH617" s="24" t="n">
        <f aca="false">IF(AA617="",0,IFERROR(INDEX(Resep!$C$9:$C$13,MATCH(LEFT(AA617,3),Resep!$B$9:$B$13,0)),0))</f>
        <v>0</v>
      </c>
      <c r="AI617" s="24" t="n">
        <f aca="false">IF(AB617="",0,IFERROR(INDEX(Resep!$C$9:$C$13,MATCH(LEFT(AB617,3),Resep!$B$9:$B$13,0)),0))</f>
        <v>0</v>
      </c>
      <c r="AJ617" s="24" t="n">
        <f aca="false">IF(AC617="",0,IFERROR(INDEX(Resep!$C$9:$C$13,MATCH(LEFT(AC617,3),Resep!$B$9:$B$13,0)),0))</f>
        <v>0</v>
      </c>
      <c r="AK617" s="24" t="n">
        <f aca="false">IF(AD617="",0,IFERROR(INDEX(Resep!$C$15:$C$18,MATCH(LEFT(AD617,3),Resep!$B$15:$B$18,0)),0))</f>
        <v>0</v>
      </c>
      <c r="AL617" s="24" t="str">
        <f aca="false">IF(X617="","",AG617+AH617+AI617+AJ617+AK617)</f>
        <v/>
      </c>
      <c r="AM617" s="22" t="str">
        <f aca="false">IF(X617="","",AL617*(Pengaturan!$B$6+Pengaturan!$B$7)+Pengaturan!$B$8+AE617*Pengaturan!$B$9+AF617*Pengaturan!$B$10)</f>
        <v/>
      </c>
      <c r="AN617" s="22" t="str">
        <f aca="false">IF(X617="","",N(G617)-AM617)</f>
        <v/>
      </c>
      <c r="AO617" s="25" t="str">
        <f aca="false">IF(OR(X617="",N(G617)=0),"",AN617/G617)</f>
        <v/>
      </c>
    </row>
    <row r="618" customFormat="false" ht="15" hidden="false" customHeight="false" outlineLevel="0" collapsed="false">
      <c r="A618" s="19"/>
      <c r="B618" s="20"/>
      <c r="C618" s="19"/>
      <c r="D618" s="19"/>
      <c r="E618" s="19"/>
      <c r="F618" s="19"/>
      <c r="G618" s="21"/>
      <c r="H618" s="19"/>
      <c r="I618" s="21"/>
      <c r="J618" s="19"/>
      <c r="K618" s="20"/>
      <c r="L618" s="20"/>
      <c r="M618" s="19"/>
      <c r="N618" s="19"/>
      <c r="O618" s="20"/>
      <c r="P618" s="20"/>
      <c r="Q618" s="19"/>
      <c r="R618" s="22" t="str">
        <f aca="false">IF(A618="","",N(G618)+N(I618))</f>
        <v/>
      </c>
      <c r="S618" s="23" t="str">
        <f aca="false">IF(OR(K618="",O618=""),"",O618-K618)</f>
        <v/>
      </c>
      <c r="T618" s="23" t="str">
        <f aca="true">IF(AND(C618="Cetak",L618&lt;&gt;"",L618&lt;TODAY()),"YA","")</f>
        <v/>
      </c>
      <c r="U618" s="23" t="str">
        <f aca="false">IF(B618="","",TEXT(B618,"yyyy-mm"))</f>
        <v/>
      </c>
      <c r="V618" s="23" t="str">
        <f aca="false">IF(K618="","",TEXT(K618,"yyyy-mm"))</f>
        <v/>
      </c>
      <c r="W618" s="23" t="n">
        <f aca="false">IF(OR(C618="Cetak",C618="Dikirim",C618="Selesai"),1,0)</f>
        <v>0</v>
      </c>
      <c r="X618" s="23" t="str">
        <f aca="false">IF(F618="","",SUBSTITUTE(SUBSTITUTE(MID(UPPER(TRIM(F618)),4,99),"-LED",""),"-TK",""))</f>
        <v/>
      </c>
      <c r="Y618" s="23" t="str">
        <f aca="false">IF(X618="","",(LEN(X618)+1)/7)</f>
        <v/>
      </c>
      <c r="Z618" s="23" t="str">
        <f aca="false">IF(X618="","",LEFT(X618,6))</f>
        <v/>
      </c>
      <c r="AA618" s="23" t="str">
        <f aca="false">IF(X618="","",IF(Y618&gt;=3,MID(X618,8,6),""))</f>
        <v/>
      </c>
      <c r="AB618" s="23" t="str">
        <f aca="false">IF(X618="","",IF(Y618&gt;=4,MID(X618,15,6),""))</f>
        <v/>
      </c>
      <c r="AC618" s="23" t="str">
        <f aca="false">IF(X618="","",IF(Y618&gt;=5,MID(X618,22,6),""))</f>
        <v/>
      </c>
      <c r="AD618" s="23" t="str">
        <f aca="false">IF(X618="","",RIGHT(X618,6))</f>
        <v/>
      </c>
      <c r="AE618" s="23" t="str">
        <f aca="false">IF(F618="","",IF(ISNUMBER(SEARCH("-TK",UPPER(F618))),0,1))</f>
        <v/>
      </c>
      <c r="AF618" s="23" t="str">
        <f aca="false">IF(F618="","",IF(ISNUMBER(SEARCH("-LED",UPPER(F618))),1,0))</f>
        <v/>
      </c>
      <c r="AG618" s="24" t="n">
        <f aca="false">IF(Z618="",0,IFERROR(INDEX(Resep!$C$5:$C$7,MATCH(LEFT(Z618,3),Resep!$B$5:$B$7,0)),0))</f>
        <v>0</v>
      </c>
      <c r="AH618" s="24" t="n">
        <f aca="false">IF(AA618="",0,IFERROR(INDEX(Resep!$C$9:$C$13,MATCH(LEFT(AA618,3),Resep!$B$9:$B$13,0)),0))</f>
        <v>0</v>
      </c>
      <c r="AI618" s="24" t="n">
        <f aca="false">IF(AB618="",0,IFERROR(INDEX(Resep!$C$9:$C$13,MATCH(LEFT(AB618,3),Resep!$B$9:$B$13,0)),0))</f>
        <v>0</v>
      </c>
      <c r="AJ618" s="24" t="n">
        <f aca="false">IF(AC618="",0,IFERROR(INDEX(Resep!$C$9:$C$13,MATCH(LEFT(AC618,3),Resep!$B$9:$B$13,0)),0))</f>
        <v>0</v>
      </c>
      <c r="AK618" s="24" t="n">
        <f aca="false">IF(AD618="",0,IFERROR(INDEX(Resep!$C$15:$C$18,MATCH(LEFT(AD618,3),Resep!$B$15:$B$18,0)),0))</f>
        <v>0</v>
      </c>
      <c r="AL618" s="24" t="str">
        <f aca="false">IF(X618="","",AG618+AH618+AI618+AJ618+AK618)</f>
        <v/>
      </c>
      <c r="AM618" s="22" t="str">
        <f aca="false">IF(X618="","",AL618*(Pengaturan!$B$6+Pengaturan!$B$7)+Pengaturan!$B$8+AE618*Pengaturan!$B$9+AF618*Pengaturan!$B$10)</f>
        <v/>
      </c>
      <c r="AN618" s="22" t="str">
        <f aca="false">IF(X618="","",N(G618)-AM618)</f>
        <v/>
      </c>
      <c r="AO618" s="25" t="str">
        <f aca="false">IF(OR(X618="",N(G618)=0),"",AN618/G618)</f>
        <v/>
      </c>
    </row>
    <row r="619" customFormat="false" ht="15" hidden="false" customHeight="false" outlineLevel="0" collapsed="false">
      <c r="A619" s="19"/>
      <c r="B619" s="20"/>
      <c r="C619" s="19"/>
      <c r="D619" s="19"/>
      <c r="E619" s="19"/>
      <c r="F619" s="19"/>
      <c r="G619" s="21"/>
      <c r="H619" s="19"/>
      <c r="I619" s="21"/>
      <c r="J619" s="19"/>
      <c r="K619" s="20"/>
      <c r="L619" s="20"/>
      <c r="M619" s="19"/>
      <c r="N619" s="19"/>
      <c r="O619" s="20"/>
      <c r="P619" s="20"/>
      <c r="Q619" s="19"/>
      <c r="R619" s="22" t="str">
        <f aca="false">IF(A619="","",N(G619)+N(I619))</f>
        <v/>
      </c>
      <c r="S619" s="23" t="str">
        <f aca="false">IF(OR(K619="",O619=""),"",O619-K619)</f>
        <v/>
      </c>
      <c r="T619" s="23" t="str">
        <f aca="true">IF(AND(C619="Cetak",L619&lt;&gt;"",L619&lt;TODAY()),"YA","")</f>
        <v/>
      </c>
      <c r="U619" s="23" t="str">
        <f aca="false">IF(B619="","",TEXT(B619,"yyyy-mm"))</f>
        <v/>
      </c>
      <c r="V619" s="23" t="str">
        <f aca="false">IF(K619="","",TEXT(K619,"yyyy-mm"))</f>
        <v/>
      </c>
      <c r="W619" s="23" t="n">
        <f aca="false">IF(OR(C619="Cetak",C619="Dikirim",C619="Selesai"),1,0)</f>
        <v>0</v>
      </c>
      <c r="X619" s="23" t="str">
        <f aca="false">IF(F619="","",SUBSTITUTE(SUBSTITUTE(MID(UPPER(TRIM(F619)),4,99),"-LED",""),"-TK",""))</f>
        <v/>
      </c>
      <c r="Y619" s="23" t="str">
        <f aca="false">IF(X619="","",(LEN(X619)+1)/7)</f>
        <v/>
      </c>
      <c r="Z619" s="23" t="str">
        <f aca="false">IF(X619="","",LEFT(X619,6))</f>
        <v/>
      </c>
      <c r="AA619" s="23" t="str">
        <f aca="false">IF(X619="","",IF(Y619&gt;=3,MID(X619,8,6),""))</f>
        <v/>
      </c>
      <c r="AB619" s="23" t="str">
        <f aca="false">IF(X619="","",IF(Y619&gt;=4,MID(X619,15,6),""))</f>
        <v/>
      </c>
      <c r="AC619" s="23" t="str">
        <f aca="false">IF(X619="","",IF(Y619&gt;=5,MID(X619,22,6),""))</f>
        <v/>
      </c>
      <c r="AD619" s="23" t="str">
        <f aca="false">IF(X619="","",RIGHT(X619,6))</f>
        <v/>
      </c>
      <c r="AE619" s="23" t="str">
        <f aca="false">IF(F619="","",IF(ISNUMBER(SEARCH("-TK",UPPER(F619))),0,1))</f>
        <v/>
      </c>
      <c r="AF619" s="23" t="str">
        <f aca="false">IF(F619="","",IF(ISNUMBER(SEARCH("-LED",UPPER(F619))),1,0))</f>
        <v/>
      </c>
      <c r="AG619" s="24" t="n">
        <f aca="false">IF(Z619="",0,IFERROR(INDEX(Resep!$C$5:$C$7,MATCH(LEFT(Z619,3),Resep!$B$5:$B$7,0)),0))</f>
        <v>0</v>
      </c>
      <c r="AH619" s="24" t="n">
        <f aca="false">IF(AA619="",0,IFERROR(INDEX(Resep!$C$9:$C$13,MATCH(LEFT(AA619,3),Resep!$B$9:$B$13,0)),0))</f>
        <v>0</v>
      </c>
      <c r="AI619" s="24" t="n">
        <f aca="false">IF(AB619="",0,IFERROR(INDEX(Resep!$C$9:$C$13,MATCH(LEFT(AB619,3),Resep!$B$9:$B$13,0)),0))</f>
        <v>0</v>
      </c>
      <c r="AJ619" s="24" t="n">
        <f aca="false">IF(AC619="",0,IFERROR(INDEX(Resep!$C$9:$C$13,MATCH(LEFT(AC619,3),Resep!$B$9:$B$13,0)),0))</f>
        <v>0</v>
      </c>
      <c r="AK619" s="24" t="n">
        <f aca="false">IF(AD619="",0,IFERROR(INDEX(Resep!$C$15:$C$18,MATCH(LEFT(AD619,3),Resep!$B$15:$B$18,0)),0))</f>
        <v>0</v>
      </c>
      <c r="AL619" s="24" t="str">
        <f aca="false">IF(X619="","",AG619+AH619+AI619+AJ619+AK619)</f>
        <v/>
      </c>
      <c r="AM619" s="22" t="str">
        <f aca="false">IF(X619="","",AL619*(Pengaturan!$B$6+Pengaturan!$B$7)+Pengaturan!$B$8+AE619*Pengaturan!$B$9+AF619*Pengaturan!$B$10)</f>
        <v/>
      </c>
      <c r="AN619" s="22" t="str">
        <f aca="false">IF(X619="","",N(G619)-AM619)</f>
        <v/>
      </c>
      <c r="AO619" s="25" t="str">
        <f aca="false">IF(OR(X619="",N(G619)=0),"",AN619/G619)</f>
        <v/>
      </c>
    </row>
    <row r="620" customFormat="false" ht="15" hidden="false" customHeight="false" outlineLevel="0" collapsed="false">
      <c r="A620" s="19"/>
      <c r="B620" s="20"/>
      <c r="C620" s="19"/>
      <c r="D620" s="19"/>
      <c r="E620" s="19"/>
      <c r="F620" s="19"/>
      <c r="G620" s="21"/>
      <c r="H620" s="19"/>
      <c r="I620" s="21"/>
      <c r="J620" s="19"/>
      <c r="K620" s="20"/>
      <c r="L620" s="20"/>
      <c r="M620" s="19"/>
      <c r="N620" s="19"/>
      <c r="O620" s="20"/>
      <c r="P620" s="20"/>
      <c r="Q620" s="19"/>
      <c r="R620" s="22" t="str">
        <f aca="false">IF(A620="","",N(G620)+N(I620))</f>
        <v/>
      </c>
      <c r="S620" s="23" t="str">
        <f aca="false">IF(OR(K620="",O620=""),"",O620-K620)</f>
        <v/>
      </c>
      <c r="T620" s="23" t="str">
        <f aca="true">IF(AND(C620="Cetak",L620&lt;&gt;"",L620&lt;TODAY()),"YA","")</f>
        <v/>
      </c>
      <c r="U620" s="23" t="str">
        <f aca="false">IF(B620="","",TEXT(B620,"yyyy-mm"))</f>
        <v/>
      </c>
      <c r="V620" s="23" t="str">
        <f aca="false">IF(K620="","",TEXT(K620,"yyyy-mm"))</f>
        <v/>
      </c>
      <c r="W620" s="23" t="n">
        <f aca="false">IF(OR(C620="Cetak",C620="Dikirim",C620="Selesai"),1,0)</f>
        <v>0</v>
      </c>
      <c r="X620" s="23" t="str">
        <f aca="false">IF(F620="","",SUBSTITUTE(SUBSTITUTE(MID(UPPER(TRIM(F620)),4,99),"-LED",""),"-TK",""))</f>
        <v/>
      </c>
      <c r="Y620" s="23" t="str">
        <f aca="false">IF(X620="","",(LEN(X620)+1)/7)</f>
        <v/>
      </c>
      <c r="Z620" s="23" t="str">
        <f aca="false">IF(X620="","",LEFT(X620,6))</f>
        <v/>
      </c>
      <c r="AA620" s="23" t="str">
        <f aca="false">IF(X620="","",IF(Y620&gt;=3,MID(X620,8,6),""))</f>
        <v/>
      </c>
      <c r="AB620" s="23" t="str">
        <f aca="false">IF(X620="","",IF(Y620&gt;=4,MID(X620,15,6),""))</f>
        <v/>
      </c>
      <c r="AC620" s="23" t="str">
        <f aca="false">IF(X620="","",IF(Y620&gt;=5,MID(X620,22,6),""))</f>
        <v/>
      </c>
      <c r="AD620" s="23" t="str">
        <f aca="false">IF(X620="","",RIGHT(X620,6))</f>
        <v/>
      </c>
      <c r="AE620" s="23" t="str">
        <f aca="false">IF(F620="","",IF(ISNUMBER(SEARCH("-TK",UPPER(F620))),0,1))</f>
        <v/>
      </c>
      <c r="AF620" s="23" t="str">
        <f aca="false">IF(F620="","",IF(ISNUMBER(SEARCH("-LED",UPPER(F620))),1,0))</f>
        <v/>
      </c>
      <c r="AG620" s="24" t="n">
        <f aca="false">IF(Z620="",0,IFERROR(INDEX(Resep!$C$5:$C$7,MATCH(LEFT(Z620,3),Resep!$B$5:$B$7,0)),0))</f>
        <v>0</v>
      </c>
      <c r="AH620" s="24" t="n">
        <f aca="false">IF(AA620="",0,IFERROR(INDEX(Resep!$C$9:$C$13,MATCH(LEFT(AA620,3),Resep!$B$9:$B$13,0)),0))</f>
        <v>0</v>
      </c>
      <c r="AI620" s="24" t="n">
        <f aca="false">IF(AB620="",0,IFERROR(INDEX(Resep!$C$9:$C$13,MATCH(LEFT(AB620,3),Resep!$B$9:$B$13,0)),0))</f>
        <v>0</v>
      </c>
      <c r="AJ620" s="24" t="n">
        <f aca="false">IF(AC620="",0,IFERROR(INDEX(Resep!$C$9:$C$13,MATCH(LEFT(AC620,3),Resep!$B$9:$B$13,0)),0))</f>
        <v>0</v>
      </c>
      <c r="AK620" s="24" t="n">
        <f aca="false">IF(AD620="",0,IFERROR(INDEX(Resep!$C$15:$C$18,MATCH(LEFT(AD620,3),Resep!$B$15:$B$18,0)),0))</f>
        <v>0</v>
      </c>
      <c r="AL620" s="24" t="str">
        <f aca="false">IF(X620="","",AG620+AH620+AI620+AJ620+AK620)</f>
        <v/>
      </c>
      <c r="AM620" s="22" t="str">
        <f aca="false">IF(X620="","",AL620*(Pengaturan!$B$6+Pengaturan!$B$7)+Pengaturan!$B$8+AE620*Pengaturan!$B$9+AF620*Pengaturan!$B$10)</f>
        <v/>
      </c>
      <c r="AN620" s="22" t="str">
        <f aca="false">IF(X620="","",N(G620)-AM620)</f>
        <v/>
      </c>
      <c r="AO620" s="25" t="str">
        <f aca="false">IF(OR(X620="",N(G620)=0),"",AN620/G620)</f>
        <v/>
      </c>
    </row>
    <row r="621" customFormat="false" ht="15" hidden="false" customHeight="false" outlineLevel="0" collapsed="false">
      <c r="A621" s="19"/>
      <c r="B621" s="20"/>
      <c r="C621" s="19"/>
      <c r="D621" s="19"/>
      <c r="E621" s="19"/>
      <c r="F621" s="19"/>
      <c r="G621" s="21"/>
      <c r="H621" s="19"/>
      <c r="I621" s="21"/>
      <c r="J621" s="19"/>
      <c r="K621" s="20"/>
      <c r="L621" s="20"/>
      <c r="M621" s="19"/>
      <c r="N621" s="19"/>
      <c r="O621" s="20"/>
      <c r="P621" s="20"/>
      <c r="Q621" s="19"/>
      <c r="R621" s="22" t="str">
        <f aca="false">IF(A621="","",N(G621)+N(I621))</f>
        <v/>
      </c>
      <c r="S621" s="23" t="str">
        <f aca="false">IF(OR(K621="",O621=""),"",O621-K621)</f>
        <v/>
      </c>
      <c r="T621" s="23" t="str">
        <f aca="true">IF(AND(C621="Cetak",L621&lt;&gt;"",L621&lt;TODAY()),"YA","")</f>
        <v/>
      </c>
      <c r="U621" s="23" t="str">
        <f aca="false">IF(B621="","",TEXT(B621,"yyyy-mm"))</f>
        <v/>
      </c>
      <c r="V621" s="23" t="str">
        <f aca="false">IF(K621="","",TEXT(K621,"yyyy-mm"))</f>
        <v/>
      </c>
      <c r="W621" s="23" t="n">
        <f aca="false">IF(OR(C621="Cetak",C621="Dikirim",C621="Selesai"),1,0)</f>
        <v>0</v>
      </c>
      <c r="X621" s="23" t="str">
        <f aca="false">IF(F621="","",SUBSTITUTE(SUBSTITUTE(MID(UPPER(TRIM(F621)),4,99),"-LED",""),"-TK",""))</f>
        <v/>
      </c>
      <c r="Y621" s="23" t="str">
        <f aca="false">IF(X621="","",(LEN(X621)+1)/7)</f>
        <v/>
      </c>
      <c r="Z621" s="23" t="str">
        <f aca="false">IF(X621="","",LEFT(X621,6))</f>
        <v/>
      </c>
      <c r="AA621" s="23" t="str">
        <f aca="false">IF(X621="","",IF(Y621&gt;=3,MID(X621,8,6),""))</f>
        <v/>
      </c>
      <c r="AB621" s="23" t="str">
        <f aca="false">IF(X621="","",IF(Y621&gt;=4,MID(X621,15,6),""))</f>
        <v/>
      </c>
      <c r="AC621" s="23" t="str">
        <f aca="false">IF(X621="","",IF(Y621&gt;=5,MID(X621,22,6),""))</f>
        <v/>
      </c>
      <c r="AD621" s="23" t="str">
        <f aca="false">IF(X621="","",RIGHT(X621,6))</f>
        <v/>
      </c>
      <c r="AE621" s="23" t="str">
        <f aca="false">IF(F621="","",IF(ISNUMBER(SEARCH("-TK",UPPER(F621))),0,1))</f>
        <v/>
      </c>
      <c r="AF621" s="23" t="str">
        <f aca="false">IF(F621="","",IF(ISNUMBER(SEARCH("-LED",UPPER(F621))),1,0))</f>
        <v/>
      </c>
      <c r="AG621" s="24" t="n">
        <f aca="false">IF(Z621="",0,IFERROR(INDEX(Resep!$C$5:$C$7,MATCH(LEFT(Z621,3),Resep!$B$5:$B$7,0)),0))</f>
        <v>0</v>
      </c>
      <c r="AH621" s="24" t="n">
        <f aca="false">IF(AA621="",0,IFERROR(INDEX(Resep!$C$9:$C$13,MATCH(LEFT(AA621,3),Resep!$B$9:$B$13,0)),0))</f>
        <v>0</v>
      </c>
      <c r="AI621" s="24" t="n">
        <f aca="false">IF(AB621="",0,IFERROR(INDEX(Resep!$C$9:$C$13,MATCH(LEFT(AB621,3),Resep!$B$9:$B$13,0)),0))</f>
        <v>0</v>
      </c>
      <c r="AJ621" s="24" t="n">
        <f aca="false">IF(AC621="",0,IFERROR(INDEX(Resep!$C$9:$C$13,MATCH(LEFT(AC621,3),Resep!$B$9:$B$13,0)),0))</f>
        <v>0</v>
      </c>
      <c r="AK621" s="24" t="n">
        <f aca="false">IF(AD621="",0,IFERROR(INDEX(Resep!$C$15:$C$18,MATCH(LEFT(AD621,3),Resep!$B$15:$B$18,0)),0))</f>
        <v>0</v>
      </c>
      <c r="AL621" s="24" t="str">
        <f aca="false">IF(X621="","",AG621+AH621+AI621+AJ621+AK621)</f>
        <v/>
      </c>
      <c r="AM621" s="22" t="str">
        <f aca="false">IF(X621="","",AL621*(Pengaturan!$B$6+Pengaturan!$B$7)+Pengaturan!$B$8+AE621*Pengaturan!$B$9+AF621*Pengaturan!$B$10)</f>
        <v/>
      </c>
      <c r="AN621" s="22" t="str">
        <f aca="false">IF(X621="","",N(G621)-AM621)</f>
        <v/>
      </c>
      <c r="AO621" s="25" t="str">
        <f aca="false">IF(OR(X621="",N(G621)=0),"",AN621/G621)</f>
        <v/>
      </c>
    </row>
    <row r="622" customFormat="false" ht="15" hidden="false" customHeight="false" outlineLevel="0" collapsed="false">
      <c r="A622" s="19"/>
      <c r="B622" s="20"/>
      <c r="C622" s="19"/>
      <c r="D622" s="19"/>
      <c r="E622" s="19"/>
      <c r="F622" s="19"/>
      <c r="G622" s="21"/>
      <c r="H622" s="19"/>
      <c r="I622" s="21"/>
      <c r="J622" s="19"/>
      <c r="K622" s="20"/>
      <c r="L622" s="20"/>
      <c r="M622" s="19"/>
      <c r="N622" s="19"/>
      <c r="O622" s="20"/>
      <c r="P622" s="20"/>
      <c r="Q622" s="19"/>
      <c r="R622" s="22" t="str">
        <f aca="false">IF(A622="","",N(G622)+N(I622))</f>
        <v/>
      </c>
      <c r="S622" s="23" t="str">
        <f aca="false">IF(OR(K622="",O622=""),"",O622-K622)</f>
        <v/>
      </c>
      <c r="T622" s="23" t="str">
        <f aca="true">IF(AND(C622="Cetak",L622&lt;&gt;"",L622&lt;TODAY()),"YA","")</f>
        <v/>
      </c>
      <c r="U622" s="23" t="str">
        <f aca="false">IF(B622="","",TEXT(B622,"yyyy-mm"))</f>
        <v/>
      </c>
      <c r="V622" s="23" t="str">
        <f aca="false">IF(K622="","",TEXT(K622,"yyyy-mm"))</f>
        <v/>
      </c>
      <c r="W622" s="23" t="n">
        <f aca="false">IF(OR(C622="Cetak",C622="Dikirim",C622="Selesai"),1,0)</f>
        <v>0</v>
      </c>
      <c r="X622" s="23" t="str">
        <f aca="false">IF(F622="","",SUBSTITUTE(SUBSTITUTE(MID(UPPER(TRIM(F622)),4,99),"-LED",""),"-TK",""))</f>
        <v/>
      </c>
      <c r="Y622" s="23" t="str">
        <f aca="false">IF(X622="","",(LEN(X622)+1)/7)</f>
        <v/>
      </c>
      <c r="Z622" s="23" t="str">
        <f aca="false">IF(X622="","",LEFT(X622,6))</f>
        <v/>
      </c>
      <c r="AA622" s="23" t="str">
        <f aca="false">IF(X622="","",IF(Y622&gt;=3,MID(X622,8,6),""))</f>
        <v/>
      </c>
      <c r="AB622" s="23" t="str">
        <f aca="false">IF(X622="","",IF(Y622&gt;=4,MID(X622,15,6),""))</f>
        <v/>
      </c>
      <c r="AC622" s="23" t="str">
        <f aca="false">IF(X622="","",IF(Y622&gt;=5,MID(X622,22,6),""))</f>
        <v/>
      </c>
      <c r="AD622" s="23" t="str">
        <f aca="false">IF(X622="","",RIGHT(X622,6))</f>
        <v/>
      </c>
      <c r="AE622" s="23" t="str">
        <f aca="false">IF(F622="","",IF(ISNUMBER(SEARCH("-TK",UPPER(F622))),0,1))</f>
        <v/>
      </c>
      <c r="AF622" s="23" t="str">
        <f aca="false">IF(F622="","",IF(ISNUMBER(SEARCH("-LED",UPPER(F622))),1,0))</f>
        <v/>
      </c>
      <c r="AG622" s="24" t="n">
        <f aca="false">IF(Z622="",0,IFERROR(INDEX(Resep!$C$5:$C$7,MATCH(LEFT(Z622,3),Resep!$B$5:$B$7,0)),0))</f>
        <v>0</v>
      </c>
      <c r="AH622" s="24" t="n">
        <f aca="false">IF(AA622="",0,IFERROR(INDEX(Resep!$C$9:$C$13,MATCH(LEFT(AA622,3),Resep!$B$9:$B$13,0)),0))</f>
        <v>0</v>
      </c>
      <c r="AI622" s="24" t="n">
        <f aca="false">IF(AB622="",0,IFERROR(INDEX(Resep!$C$9:$C$13,MATCH(LEFT(AB622,3),Resep!$B$9:$B$13,0)),0))</f>
        <v>0</v>
      </c>
      <c r="AJ622" s="24" t="n">
        <f aca="false">IF(AC622="",0,IFERROR(INDEX(Resep!$C$9:$C$13,MATCH(LEFT(AC622,3),Resep!$B$9:$B$13,0)),0))</f>
        <v>0</v>
      </c>
      <c r="AK622" s="24" t="n">
        <f aca="false">IF(AD622="",0,IFERROR(INDEX(Resep!$C$15:$C$18,MATCH(LEFT(AD622,3),Resep!$B$15:$B$18,0)),0))</f>
        <v>0</v>
      </c>
      <c r="AL622" s="24" t="str">
        <f aca="false">IF(X622="","",AG622+AH622+AI622+AJ622+AK622)</f>
        <v/>
      </c>
      <c r="AM622" s="22" t="str">
        <f aca="false">IF(X622="","",AL622*(Pengaturan!$B$6+Pengaturan!$B$7)+Pengaturan!$B$8+AE622*Pengaturan!$B$9+AF622*Pengaturan!$B$10)</f>
        <v/>
      </c>
      <c r="AN622" s="22" t="str">
        <f aca="false">IF(X622="","",N(G622)-AM622)</f>
        <v/>
      </c>
      <c r="AO622" s="25" t="str">
        <f aca="false">IF(OR(X622="",N(G622)=0),"",AN622/G622)</f>
        <v/>
      </c>
    </row>
    <row r="623" customFormat="false" ht="15" hidden="false" customHeight="false" outlineLevel="0" collapsed="false">
      <c r="A623" s="19"/>
      <c r="B623" s="20"/>
      <c r="C623" s="19"/>
      <c r="D623" s="19"/>
      <c r="E623" s="19"/>
      <c r="F623" s="19"/>
      <c r="G623" s="21"/>
      <c r="H623" s="19"/>
      <c r="I623" s="21"/>
      <c r="J623" s="19"/>
      <c r="K623" s="20"/>
      <c r="L623" s="20"/>
      <c r="M623" s="19"/>
      <c r="N623" s="19"/>
      <c r="O623" s="20"/>
      <c r="P623" s="20"/>
      <c r="Q623" s="19"/>
      <c r="R623" s="22" t="str">
        <f aca="false">IF(A623="","",N(G623)+N(I623))</f>
        <v/>
      </c>
      <c r="S623" s="23" t="str">
        <f aca="false">IF(OR(K623="",O623=""),"",O623-K623)</f>
        <v/>
      </c>
      <c r="T623" s="23" t="str">
        <f aca="true">IF(AND(C623="Cetak",L623&lt;&gt;"",L623&lt;TODAY()),"YA","")</f>
        <v/>
      </c>
      <c r="U623" s="23" t="str">
        <f aca="false">IF(B623="","",TEXT(B623,"yyyy-mm"))</f>
        <v/>
      </c>
      <c r="V623" s="23" t="str">
        <f aca="false">IF(K623="","",TEXT(K623,"yyyy-mm"))</f>
        <v/>
      </c>
      <c r="W623" s="23" t="n">
        <f aca="false">IF(OR(C623="Cetak",C623="Dikirim",C623="Selesai"),1,0)</f>
        <v>0</v>
      </c>
      <c r="X623" s="23" t="str">
        <f aca="false">IF(F623="","",SUBSTITUTE(SUBSTITUTE(MID(UPPER(TRIM(F623)),4,99),"-LED",""),"-TK",""))</f>
        <v/>
      </c>
      <c r="Y623" s="23" t="str">
        <f aca="false">IF(X623="","",(LEN(X623)+1)/7)</f>
        <v/>
      </c>
      <c r="Z623" s="23" t="str">
        <f aca="false">IF(X623="","",LEFT(X623,6))</f>
        <v/>
      </c>
      <c r="AA623" s="23" t="str">
        <f aca="false">IF(X623="","",IF(Y623&gt;=3,MID(X623,8,6),""))</f>
        <v/>
      </c>
      <c r="AB623" s="23" t="str">
        <f aca="false">IF(X623="","",IF(Y623&gt;=4,MID(X623,15,6),""))</f>
        <v/>
      </c>
      <c r="AC623" s="23" t="str">
        <f aca="false">IF(X623="","",IF(Y623&gt;=5,MID(X623,22,6),""))</f>
        <v/>
      </c>
      <c r="AD623" s="23" t="str">
        <f aca="false">IF(X623="","",RIGHT(X623,6))</f>
        <v/>
      </c>
      <c r="AE623" s="23" t="str">
        <f aca="false">IF(F623="","",IF(ISNUMBER(SEARCH("-TK",UPPER(F623))),0,1))</f>
        <v/>
      </c>
      <c r="AF623" s="23" t="str">
        <f aca="false">IF(F623="","",IF(ISNUMBER(SEARCH("-LED",UPPER(F623))),1,0))</f>
        <v/>
      </c>
      <c r="AG623" s="24" t="n">
        <f aca="false">IF(Z623="",0,IFERROR(INDEX(Resep!$C$5:$C$7,MATCH(LEFT(Z623,3),Resep!$B$5:$B$7,0)),0))</f>
        <v>0</v>
      </c>
      <c r="AH623" s="24" t="n">
        <f aca="false">IF(AA623="",0,IFERROR(INDEX(Resep!$C$9:$C$13,MATCH(LEFT(AA623,3),Resep!$B$9:$B$13,0)),0))</f>
        <v>0</v>
      </c>
      <c r="AI623" s="24" t="n">
        <f aca="false">IF(AB623="",0,IFERROR(INDEX(Resep!$C$9:$C$13,MATCH(LEFT(AB623,3),Resep!$B$9:$B$13,0)),0))</f>
        <v>0</v>
      </c>
      <c r="AJ623" s="24" t="n">
        <f aca="false">IF(AC623="",0,IFERROR(INDEX(Resep!$C$9:$C$13,MATCH(LEFT(AC623,3),Resep!$B$9:$B$13,0)),0))</f>
        <v>0</v>
      </c>
      <c r="AK623" s="24" t="n">
        <f aca="false">IF(AD623="",0,IFERROR(INDEX(Resep!$C$15:$C$18,MATCH(LEFT(AD623,3),Resep!$B$15:$B$18,0)),0))</f>
        <v>0</v>
      </c>
      <c r="AL623" s="24" t="str">
        <f aca="false">IF(X623="","",AG623+AH623+AI623+AJ623+AK623)</f>
        <v/>
      </c>
      <c r="AM623" s="22" t="str">
        <f aca="false">IF(X623="","",AL623*(Pengaturan!$B$6+Pengaturan!$B$7)+Pengaturan!$B$8+AE623*Pengaturan!$B$9+AF623*Pengaturan!$B$10)</f>
        <v/>
      </c>
      <c r="AN623" s="22" t="str">
        <f aca="false">IF(X623="","",N(G623)-AM623)</f>
        <v/>
      </c>
      <c r="AO623" s="25" t="str">
        <f aca="false">IF(OR(X623="",N(G623)=0),"",AN623/G623)</f>
        <v/>
      </c>
    </row>
    <row r="624" customFormat="false" ht="15" hidden="false" customHeight="false" outlineLevel="0" collapsed="false">
      <c r="A624" s="19"/>
      <c r="B624" s="20"/>
      <c r="C624" s="19"/>
      <c r="D624" s="19"/>
      <c r="E624" s="19"/>
      <c r="F624" s="19"/>
      <c r="G624" s="21"/>
      <c r="H624" s="19"/>
      <c r="I624" s="21"/>
      <c r="J624" s="19"/>
      <c r="K624" s="20"/>
      <c r="L624" s="20"/>
      <c r="M624" s="19"/>
      <c r="N624" s="19"/>
      <c r="O624" s="20"/>
      <c r="P624" s="20"/>
      <c r="Q624" s="19"/>
      <c r="R624" s="22" t="str">
        <f aca="false">IF(A624="","",N(G624)+N(I624))</f>
        <v/>
      </c>
      <c r="S624" s="23" t="str">
        <f aca="false">IF(OR(K624="",O624=""),"",O624-K624)</f>
        <v/>
      </c>
      <c r="T624" s="23" t="str">
        <f aca="true">IF(AND(C624="Cetak",L624&lt;&gt;"",L624&lt;TODAY()),"YA","")</f>
        <v/>
      </c>
      <c r="U624" s="23" t="str">
        <f aca="false">IF(B624="","",TEXT(B624,"yyyy-mm"))</f>
        <v/>
      </c>
      <c r="V624" s="23" t="str">
        <f aca="false">IF(K624="","",TEXT(K624,"yyyy-mm"))</f>
        <v/>
      </c>
      <c r="W624" s="23" t="n">
        <f aca="false">IF(OR(C624="Cetak",C624="Dikirim",C624="Selesai"),1,0)</f>
        <v>0</v>
      </c>
      <c r="X624" s="23" t="str">
        <f aca="false">IF(F624="","",SUBSTITUTE(SUBSTITUTE(MID(UPPER(TRIM(F624)),4,99),"-LED",""),"-TK",""))</f>
        <v/>
      </c>
      <c r="Y624" s="23" t="str">
        <f aca="false">IF(X624="","",(LEN(X624)+1)/7)</f>
        <v/>
      </c>
      <c r="Z624" s="23" t="str">
        <f aca="false">IF(X624="","",LEFT(X624,6))</f>
        <v/>
      </c>
      <c r="AA624" s="23" t="str">
        <f aca="false">IF(X624="","",IF(Y624&gt;=3,MID(X624,8,6),""))</f>
        <v/>
      </c>
      <c r="AB624" s="23" t="str">
        <f aca="false">IF(X624="","",IF(Y624&gt;=4,MID(X624,15,6),""))</f>
        <v/>
      </c>
      <c r="AC624" s="23" t="str">
        <f aca="false">IF(X624="","",IF(Y624&gt;=5,MID(X624,22,6),""))</f>
        <v/>
      </c>
      <c r="AD624" s="23" t="str">
        <f aca="false">IF(X624="","",RIGHT(X624,6))</f>
        <v/>
      </c>
      <c r="AE624" s="23" t="str">
        <f aca="false">IF(F624="","",IF(ISNUMBER(SEARCH("-TK",UPPER(F624))),0,1))</f>
        <v/>
      </c>
      <c r="AF624" s="23" t="str">
        <f aca="false">IF(F624="","",IF(ISNUMBER(SEARCH("-LED",UPPER(F624))),1,0))</f>
        <v/>
      </c>
      <c r="AG624" s="24" t="n">
        <f aca="false">IF(Z624="",0,IFERROR(INDEX(Resep!$C$5:$C$7,MATCH(LEFT(Z624,3),Resep!$B$5:$B$7,0)),0))</f>
        <v>0</v>
      </c>
      <c r="AH624" s="24" t="n">
        <f aca="false">IF(AA624="",0,IFERROR(INDEX(Resep!$C$9:$C$13,MATCH(LEFT(AA624,3),Resep!$B$9:$B$13,0)),0))</f>
        <v>0</v>
      </c>
      <c r="AI624" s="24" t="n">
        <f aca="false">IF(AB624="",0,IFERROR(INDEX(Resep!$C$9:$C$13,MATCH(LEFT(AB624,3),Resep!$B$9:$B$13,0)),0))</f>
        <v>0</v>
      </c>
      <c r="AJ624" s="24" t="n">
        <f aca="false">IF(AC624="",0,IFERROR(INDEX(Resep!$C$9:$C$13,MATCH(LEFT(AC624,3),Resep!$B$9:$B$13,0)),0))</f>
        <v>0</v>
      </c>
      <c r="AK624" s="24" t="n">
        <f aca="false">IF(AD624="",0,IFERROR(INDEX(Resep!$C$15:$C$18,MATCH(LEFT(AD624,3),Resep!$B$15:$B$18,0)),0))</f>
        <v>0</v>
      </c>
      <c r="AL624" s="24" t="str">
        <f aca="false">IF(X624="","",AG624+AH624+AI624+AJ624+AK624)</f>
        <v/>
      </c>
      <c r="AM624" s="22" t="str">
        <f aca="false">IF(X624="","",AL624*(Pengaturan!$B$6+Pengaturan!$B$7)+Pengaturan!$B$8+AE624*Pengaturan!$B$9+AF624*Pengaturan!$B$10)</f>
        <v/>
      </c>
      <c r="AN624" s="22" t="str">
        <f aca="false">IF(X624="","",N(G624)-AM624)</f>
        <v/>
      </c>
      <c r="AO624" s="25" t="str">
        <f aca="false">IF(OR(X624="",N(G624)=0),"",AN624/G624)</f>
        <v/>
      </c>
    </row>
    <row r="625" customFormat="false" ht="15" hidden="false" customHeight="false" outlineLevel="0" collapsed="false">
      <c r="A625" s="19"/>
      <c r="B625" s="20"/>
      <c r="C625" s="19"/>
      <c r="D625" s="19"/>
      <c r="E625" s="19"/>
      <c r="F625" s="19"/>
      <c r="G625" s="21"/>
      <c r="H625" s="19"/>
      <c r="I625" s="21"/>
      <c r="J625" s="19"/>
      <c r="K625" s="20"/>
      <c r="L625" s="20"/>
      <c r="M625" s="19"/>
      <c r="N625" s="19"/>
      <c r="O625" s="20"/>
      <c r="P625" s="20"/>
      <c r="Q625" s="19"/>
      <c r="R625" s="22" t="str">
        <f aca="false">IF(A625="","",N(G625)+N(I625))</f>
        <v/>
      </c>
      <c r="S625" s="23" t="str">
        <f aca="false">IF(OR(K625="",O625=""),"",O625-K625)</f>
        <v/>
      </c>
      <c r="T625" s="23" t="str">
        <f aca="true">IF(AND(C625="Cetak",L625&lt;&gt;"",L625&lt;TODAY()),"YA","")</f>
        <v/>
      </c>
      <c r="U625" s="23" t="str">
        <f aca="false">IF(B625="","",TEXT(B625,"yyyy-mm"))</f>
        <v/>
      </c>
      <c r="V625" s="23" t="str">
        <f aca="false">IF(K625="","",TEXT(K625,"yyyy-mm"))</f>
        <v/>
      </c>
      <c r="W625" s="23" t="n">
        <f aca="false">IF(OR(C625="Cetak",C625="Dikirim",C625="Selesai"),1,0)</f>
        <v>0</v>
      </c>
      <c r="X625" s="23" t="str">
        <f aca="false">IF(F625="","",SUBSTITUTE(SUBSTITUTE(MID(UPPER(TRIM(F625)),4,99),"-LED",""),"-TK",""))</f>
        <v/>
      </c>
      <c r="Y625" s="23" t="str">
        <f aca="false">IF(X625="","",(LEN(X625)+1)/7)</f>
        <v/>
      </c>
      <c r="Z625" s="23" t="str">
        <f aca="false">IF(X625="","",LEFT(X625,6))</f>
        <v/>
      </c>
      <c r="AA625" s="23" t="str">
        <f aca="false">IF(X625="","",IF(Y625&gt;=3,MID(X625,8,6),""))</f>
        <v/>
      </c>
      <c r="AB625" s="23" t="str">
        <f aca="false">IF(X625="","",IF(Y625&gt;=4,MID(X625,15,6),""))</f>
        <v/>
      </c>
      <c r="AC625" s="23" t="str">
        <f aca="false">IF(X625="","",IF(Y625&gt;=5,MID(X625,22,6),""))</f>
        <v/>
      </c>
      <c r="AD625" s="23" t="str">
        <f aca="false">IF(X625="","",RIGHT(X625,6))</f>
        <v/>
      </c>
      <c r="AE625" s="23" t="str">
        <f aca="false">IF(F625="","",IF(ISNUMBER(SEARCH("-TK",UPPER(F625))),0,1))</f>
        <v/>
      </c>
      <c r="AF625" s="23" t="str">
        <f aca="false">IF(F625="","",IF(ISNUMBER(SEARCH("-LED",UPPER(F625))),1,0))</f>
        <v/>
      </c>
      <c r="AG625" s="24" t="n">
        <f aca="false">IF(Z625="",0,IFERROR(INDEX(Resep!$C$5:$C$7,MATCH(LEFT(Z625,3),Resep!$B$5:$B$7,0)),0))</f>
        <v>0</v>
      </c>
      <c r="AH625" s="24" t="n">
        <f aca="false">IF(AA625="",0,IFERROR(INDEX(Resep!$C$9:$C$13,MATCH(LEFT(AA625,3),Resep!$B$9:$B$13,0)),0))</f>
        <v>0</v>
      </c>
      <c r="AI625" s="24" t="n">
        <f aca="false">IF(AB625="",0,IFERROR(INDEX(Resep!$C$9:$C$13,MATCH(LEFT(AB625,3),Resep!$B$9:$B$13,0)),0))</f>
        <v>0</v>
      </c>
      <c r="AJ625" s="24" t="n">
        <f aca="false">IF(AC625="",0,IFERROR(INDEX(Resep!$C$9:$C$13,MATCH(LEFT(AC625,3),Resep!$B$9:$B$13,0)),0))</f>
        <v>0</v>
      </c>
      <c r="AK625" s="24" t="n">
        <f aca="false">IF(AD625="",0,IFERROR(INDEX(Resep!$C$15:$C$18,MATCH(LEFT(AD625,3),Resep!$B$15:$B$18,0)),0))</f>
        <v>0</v>
      </c>
      <c r="AL625" s="24" t="str">
        <f aca="false">IF(X625="","",AG625+AH625+AI625+AJ625+AK625)</f>
        <v/>
      </c>
      <c r="AM625" s="22" t="str">
        <f aca="false">IF(X625="","",AL625*(Pengaturan!$B$6+Pengaturan!$B$7)+Pengaturan!$B$8+AE625*Pengaturan!$B$9+AF625*Pengaturan!$B$10)</f>
        <v/>
      </c>
      <c r="AN625" s="22" t="str">
        <f aca="false">IF(X625="","",N(G625)-AM625)</f>
        <v/>
      </c>
      <c r="AO625" s="25" t="str">
        <f aca="false">IF(OR(X625="",N(G625)=0),"",AN625/G625)</f>
        <v/>
      </c>
    </row>
    <row r="626" customFormat="false" ht="15" hidden="false" customHeight="false" outlineLevel="0" collapsed="false">
      <c r="A626" s="19"/>
      <c r="B626" s="20"/>
      <c r="C626" s="19"/>
      <c r="D626" s="19"/>
      <c r="E626" s="19"/>
      <c r="F626" s="19"/>
      <c r="G626" s="21"/>
      <c r="H626" s="19"/>
      <c r="I626" s="21"/>
      <c r="J626" s="19"/>
      <c r="K626" s="20"/>
      <c r="L626" s="20"/>
      <c r="M626" s="19"/>
      <c r="N626" s="19"/>
      <c r="O626" s="20"/>
      <c r="P626" s="20"/>
      <c r="Q626" s="19"/>
      <c r="R626" s="22" t="str">
        <f aca="false">IF(A626="","",N(G626)+N(I626))</f>
        <v/>
      </c>
      <c r="S626" s="23" t="str">
        <f aca="false">IF(OR(K626="",O626=""),"",O626-K626)</f>
        <v/>
      </c>
      <c r="T626" s="23" t="str">
        <f aca="true">IF(AND(C626="Cetak",L626&lt;&gt;"",L626&lt;TODAY()),"YA","")</f>
        <v/>
      </c>
      <c r="U626" s="23" t="str">
        <f aca="false">IF(B626="","",TEXT(B626,"yyyy-mm"))</f>
        <v/>
      </c>
      <c r="V626" s="23" t="str">
        <f aca="false">IF(K626="","",TEXT(K626,"yyyy-mm"))</f>
        <v/>
      </c>
      <c r="W626" s="23" t="n">
        <f aca="false">IF(OR(C626="Cetak",C626="Dikirim",C626="Selesai"),1,0)</f>
        <v>0</v>
      </c>
      <c r="X626" s="23" t="str">
        <f aca="false">IF(F626="","",SUBSTITUTE(SUBSTITUTE(MID(UPPER(TRIM(F626)),4,99),"-LED",""),"-TK",""))</f>
        <v/>
      </c>
      <c r="Y626" s="23" t="str">
        <f aca="false">IF(X626="","",(LEN(X626)+1)/7)</f>
        <v/>
      </c>
      <c r="Z626" s="23" t="str">
        <f aca="false">IF(X626="","",LEFT(X626,6))</f>
        <v/>
      </c>
      <c r="AA626" s="23" t="str">
        <f aca="false">IF(X626="","",IF(Y626&gt;=3,MID(X626,8,6),""))</f>
        <v/>
      </c>
      <c r="AB626" s="23" t="str">
        <f aca="false">IF(X626="","",IF(Y626&gt;=4,MID(X626,15,6),""))</f>
        <v/>
      </c>
      <c r="AC626" s="23" t="str">
        <f aca="false">IF(X626="","",IF(Y626&gt;=5,MID(X626,22,6),""))</f>
        <v/>
      </c>
      <c r="AD626" s="23" t="str">
        <f aca="false">IF(X626="","",RIGHT(X626,6))</f>
        <v/>
      </c>
      <c r="AE626" s="23" t="str">
        <f aca="false">IF(F626="","",IF(ISNUMBER(SEARCH("-TK",UPPER(F626))),0,1))</f>
        <v/>
      </c>
      <c r="AF626" s="23" t="str">
        <f aca="false">IF(F626="","",IF(ISNUMBER(SEARCH("-LED",UPPER(F626))),1,0))</f>
        <v/>
      </c>
      <c r="AG626" s="24" t="n">
        <f aca="false">IF(Z626="",0,IFERROR(INDEX(Resep!$C$5:$C$7,MATCH(LEFT(Z626,3),Resep!$B$5:$B$7,0)),0))</f>
        <v>0</v>
      </c>
      <c r="AH626" s="24" t="n">
        <f aca="false">IF(AA626="",0,IFERROR(INDEX(Resep!$C$9:$C$13,MATCH(LEFT(AA626,3),Resep!$B$9:$B$13,0)),0))</f>
        <v>0</v>
      </c>
      <c r="AI626" s="24" t="n">
        <f aca="false">IF(AB626="",0,IFERROR(INDEX(Resep!$C$9:$C$13,MATCH(LEFT(AB626,3),Resep!$B$9:$B$13,0)),0))</f>
        <v>0</v>
      </c>
      <c r="AJ626" s="24" t="n">
        <f aca="false">IF(AC626="",0,IFERROR(INDEX(Resep!$C$9:$C$13,MATCH(LEFT(AC626,3),Resep!$B$9:$B$13,0)),0))</f>
        <v>0</v>
      </c>
      <c r="AK626" s="24" t="n">
        <f aca="false">IF(AD626="",0,IFERROR(INDEX(Resep!$C$15:$C$18,MATCH(LEFT(AD626,3),Resep!$B$15:$B$18,0)),0))</f>
        <v>0</v>
      </c>
      <c r="AL626" s="24" t="str">
        <f aca="false">IF(X626="","",AG626+AH626+AI626+AJ626+AK626)</f>
        <v/>
      </c>
      <c r="AM626" s="22" t="str">
        <f aca="false">IF(X626="","",AL626*(Pengaturan!$B$6+Pengaturan!$B$7)+Pengaturan!$B$8+AE626*Pengaturan!$B$9+AF626*Pengaturan!$B$10)</f>
        <v/>
      </c>
      <c r="AN626" s="22" t="str">
        <f aca="false">IF(X626="","",N(G626)-AM626)</f>
        <v/>
      </c>
      <c r="AO626" s="25" t="str">
        <f aca="false">IF(OR(X626="",N(G626)=0),"",AN626/G626)</f>
        <v/>
      </c>
    </row>
    <row r="627" customFormat="false" ht="15" hidden="false" customHeight="false" outlineLevel="0" collapsed="false">
      <c r="A627" s="19"/>
      <c r="B627" s="20"/>
      <c r="C627" s="19"/>
      <c r="D627" s="19"/>
      <c r="E627" s="19"/>
      <c r="F627" s="19"/>
      <c r="G627" s="21"/>
      <c r="H627" s="19"/>
      <c r="I627" s="21"/>
      <c r="J627" s="19"/>
      <c r="K627" s="20"/>
      <c r="L627" s="20"/>
      <c r="M627" s="19"/>
      <c r="N627" s="19"/>
      <c r="O627" s="20"/>
      <c r="P627" s="20"/>
      <c r="Q627" s="19"/>
      <c r="R627" s="22" t="str">
        <f aca="false">IF(A627="","",N(G627)+N(I627))</f>
        <v/>
      </c>
      <c r="S627" s="23" t="str">
        <f aca="false">IF(OR(K627="",O627=""),"",O627-K627)</f>
        <v/>
      </c>
      <c r="T627" s="23" t="str">
        <f aca="true">IF(AND(C627="Cetak",L627&lt;&gt;"",L627&lt;TODAY()),"YA","")</f>
        <v/>
      </c>
      <c r="U627" s="23" t="str">
        <f aca="false">IF(B627="","",TEXT(B627,"yyyy-mm"))</f>
        <v/>
      </c>
      <c r="V627" s="23" t="str">
        <f aca="false">IF(K627="","",TEXT(K627,"yyyy-mm"))</f>
        <v/>
      </c>
      <c r="W627" s="23" t="n">
        <f aca="false">IF(OR(C627="Cetak",C627="Dikirim",C627="Selesai"),1,0)</f>
        <v>0</v>
      </c>
      <c r="X627" s="23" t="str">
        <f aca="false">IF(F627="","",SUBSTITUTE(SUBSTITUTE(MID(UPPER(TRIM(F627)),4,99),"-LED",""),"-TK",""))</f>
        <v/>
      </c>
      <c r="Y627" s="23" t="str">
        <f aca="false">IF(X627="","",(LEN(X627)+1)/7)</f>
        <v/>
      </c>
      <c r="Z627" s="23" t="str">
        <f aca="false">IF(X627="","",LEFT(X627,6))</f>
        <v/>
      </c>
      <c r="AA627" s="23" t="str">
        <f aca="false">IF(X627="","",IF(Y627&gt;=3,MID(X627,8,6),""))</f>
        <v/>
      </c>
      <c r="AB627" s="23" t="str">
        <f aca="false">IF(X627="","",IF(Y627&gt;=4,MID(X627,15,6),""))</f>
        <v/>
      </c>
      <c r="AC627" s="23" t="str">
        <f aca="false">IF(X627="","",IF(Y627&gt;=5,MID(X627,22,6),""))</f>
        <v/>
      </c>
      <c r="AD627" s="23" t="str">
        <f aca="false">IF(X627="","",RIGHT(X627,6))</f>
        <v/>
      </c>
      <c r="AE627" s="23" t="str">
        <f aca="false">IF(F627="","",IF(ISNUMBER(SEARCH("-TK",UPPER(F627))),0,1))</f>
        <v/>
      </c>
      <c r="AF627" s="23" t="str">
        <f aca="false">IF(F627="","",IF(ISNUMBER(SEARCH("-LED",UPPER(F627))),1,0))</f>
        <v/>
      </c>
      <c r="AG627" s="24" t="n">
        <f aca="false">IF(Z627="",0,IFERROR(INDEX(Resep!$C$5:$C$7,MATCH(LEFT(Z627,3),Resep!$B$5:$B$7,0)),0))</f>
        <v>0</v>
      </c>
      <c r="AH627" s="24" t="n">
        <f aca="false">IF(AA627="",0,IFERROR(INDEX(Resep!$C$9:$C$13,MATCH(LEFT(AA627,3),Resep!$B$9:$B$13,0)),0))</f>
        <v>0</v>
      </c>
      <c r="AI627" s="24" t="n">
        <f aca="false">IF(AB627="",0,IFERROR(INDEX(Resep!$C$9:$C$13,MATCH(LEFT(AB627,3),Resep!$B$9:$B$13,0)),0))</f>
        <v>0</v>
      </c>
      <c r="AJ627" s="24" t="n">
        <f aca="false">IF(AC627="",0,IFERROR(INDEX(Resep!$C$9:$C$13,MATCH(LEFT(AC627,3),Resep!$B$9:$B$13,0)),0))</f>
        <v>0</v>
      </c>
      <c r="AK627" s="24" t="n">
        <f aca="false">IF(AD627="",0,IFERROR(INDEX(Resep!$C$15:$C$18,MATCH(LEFT(AD627,3),Resep!$B$15:$B$18,0)),0))</f>
        <v>0</v>
      </c>
      <c r="AL627" s="24" t="str">
        <f aca="false">IF(X627="","",AG627+AH627+AI627+AJ627+AK627)</f>
        <v/>
      </c>
      <c r="AM627" s="22" t="str">
        <f aca="false">IF(X627="","",AL627*(Pengaturan!$B$6+Pengaturan!$B$7)+Pengaturan!$B$8+AE627*Pengaturan!$B$9+AF627*Pengaturan!$B$10)</f>
        <v/>
      </c>
      <c r="AN627" s="22" t="str">
        <f aca="false">IF(X627="","",N(G627)-AM627)</f>
        <v/>
      </c>
      <c r="AO627" s="25" t="str">
        <f aca="false">IF(OR(X627="",N(G627)=0),"",AN627/G627)</f>
        <v/>
      </c>
    </row>
    <row r="628" customFormat="false" ht="15" hidden="false" customHeight="false" outlineLevel="0" collapsed="false">
      <c r="A628" s="19"/>
      <c r="B628" s="20"/>
      <c r="C628" s="19"/>
      <c r="D628" s="19"/>
      <c r="E628" s="19"/>
      <c r="F628" s="19"/>
      <c r="G628" s="21"/>
      <c r="H628" s="19"/>
      <c r="I628" s="21"/>
      <c r="J628" s="19"/>
      <c r="K628" s="20"/>
      <c r="L628" s="20"/>
      <c r="M628" s="19"/>
      <c r="N628" s="19"/>
      <c r="O628" s="20"/>
      <c r="P628" s="20"/>
      <c r="Q628" s="19"/>
      <c r="R628" s="22" t="str">
        <f aca="false">IF(A628="","",N(G628)+N(I628))</f>
        <v/>
      </c>
      <c r="S628" s="23" t="str">
        <f aca="false">IF(OR(K628="",O628=""),"",O628-K628)</f>
        <v/>
      </c>
      <c r="T628" s="23" t="str">
        <f aca="true">IF(AND(C628="Cetak",L628&lt;&gt;"",L628&lt;TODAY()),"YA","")</f>
        <v/>
      </c>
      <c r="U628" s="23" t="str">
        <f aca="false">IF(B628="","",TEXT(B628,"yyyy-mm"))</f>
        <v/>
      </c>
      <c r="V628" s="23" t="str">
        <f aca="false">IF(K628="","",TEXT(K628,"yyyy-mm"))</f>
        <v/>
      </c>
      <c r="W628" s="23" t="n">
        <f aca="false">IF(OR(C628="Cetak",C628="Dikirim",C628="Selesai"),1,0)</f>
        <v>0</v>
      </c>
      <c r="X628" s="23" t="str">
        <f aca="false">IF(F628="","",SUBSTITUTE(SUBSTITUTE(MID(UPPER(TRIM(F628)),4,99),"-LED",""),"-TK",""))</f>
        <v/>
      </c>
      <c r="Y628" s="23" t="str">
        <f aca="false">IF(X628="","",(LEN(X628)+1)/7)</f>
        <v/>
      </c>
      <c r="Z628" s="23" t="str">
        <f aca="false">IF(X628="","",LEFT(X628,6))</f>
        <v/>
      </c>
      <c r="AA628" s="23" t="str">
        <f aca="false">IF(X628="","",IF(Y628&gt;=3,MID(X628,8,6),""))</f>
        <v/>
      </c>
      <c r="AB628" s="23" t="str">
        <f aca="false">IF(X628="","",IF(Y628&gt;=4,MID(X628,15,6),""))</f>
        <v/>
      </c>
      <c r="AC628" s="23" t="str">
        <f aca="false">IF(X628="","",IF(Y628&gt;=5,MID(X628,22,6),""))</f>
        <v/>
      </c>
      <c r="AD628" s="23" t="str">
        <f aca="false">IF(X628="","",RIGHT(X628,6))</f>
        <v/>
      </c>
      <c r="AE628" s="23" t="str">
        <f aca="false">IF(F628="","",IF(ISNUMBER(SEARCH("-TK",UPPER(F628))),0,1))</f>
        <v/>
      </c>
      <c r="AF628" s="23" t="str">
        <f aca="false">IF(F628="","",IF(ISNUMBER(SEARCH("-LED",UPPER(F628))),1,0))</f>
        <v/>
      </c>
      <c r="AG628" s="24" t="n">
        <f aca="false">IF(Z628="",0,IFERROR(INDEX(Resep!$C$5:$C$7,MATCH(LEFT(Z628,3),Resep!$B$5:$B$7,0)),0))</f>
        <v>0</v>
      </c>
      <c r="AH628" s="24" t="n">
        <f aca="false">IF(AA628="",0,IFERROR(INDEX(Resep!$C$9:$C$13,MATCH(LEFT(AA628,3),Resep!$B$9:$B$13,0)),0))</f>
        <v>0</v>
      </c>
      <c r="AI628" s="24" t="n">
        <f aca="false">IF(AB628="",0,IFERROR(INDEX(Resep!$C$9:$C$13,MATCH(LEFT(AB628,3),Resep!$B$9:$B$13,0)),0))</f>
        <v>0</v>
      </c>
      <c r="AJ628" s="24" t="n">
        <f aca="false">IF(AC628="",0,IFERROR(INDEX(Resep!$C$9:$C$13,MATCH(LEFT(AC628,3),Resep!$B$9:$B$13,0)),0))</f>
        <v>0</v>
      </c>
      <c r="AK628" s="24" t="n">
        <f aca="false">IF(AD628="",0,IFERROR(INDEX(Resep!$C$15:$C$18,MATCH(LEFT(AD628,3),Resep!$B$15:$B$18,0)),0))</f>
        <v>0</v>
      </c>
      <c r="AL628" s="24" t="str">
        <f aca="false">IF(X628="","",AG628+AH628+AI628+AJ628+AK628)</f>
        <v/>
      </c>
      <c r="AM628" s="22" t="str">
        <f aca="false">IF(X628="","",AL628*(Pengaturan!$B$6+Pengaturan!$B$7)+Pengaturan!$B$8+AE628*Pengaturan!$B$9+AF628*Pengaturan!$B$10)</f>
        <v/>
      </c>
      <c r="AN628" s="22" t="str">
        <f aca="false">IF(X628="","",N(G628)-AM628)</f>
        <v/>
      </c>
      <c r="AO628" s="25" t="str">
        <f aca="false">IF(OR(X628="",N(G628)=0),"",AN628/G628)</f>
        <v/>
      </c>
    </row>
    <row r="629" customFormat="false" ht="15" hidden="false" customHeight="false" outlineLevel="0" collapsed="false">
      <c r="A629" s="19"/>
      <c r="B629" s="20"/>
      <c r="C629" s="19"/>
      <c r="D629" s="19"/>
      <c r="E629" s="19"/>
      <c r="F629" s="19"/>
      <c r="G629" s="21"/>
      <c r="H629" s="19"/>
      <c r="I629" s="21"/>
      <c r="J629" s="19"/>
      <c r="K629" s="20"/>
      <c r="L629" s="20"/>
      <c r="M629" s="19"/>
      <c r="N629" s="19"/>
      <c r="O629" s="20"/>
      <c r="P629" s="20"/>
      <c r="Q629" s="19"/>
      <c r="R629" s="22" t="str">
        <f aca="false">IF(A629="","",N(G629)+N(I629))</f>
        <v/>
      </c>
      <c r="S629" s="23" t="str">
        <f aca="false">IF(OR(K629="",O629=""),"",O629-K629)</f>
        <v/>
      </c>
      <c r="T629" s="23" t="str">
        <f aca="true">IF(AND(C629="Cetak",L629&lt;&gt;"",L629&lt;TODAY()),"YA","")</f>
        <v/>
      </c>
      <c r="U629" s="23" t="str">
        <f aca="false">IF(B629="","",TEXT(B629,"yyyy-mm"))</f>
        <v/>
      </c>
      <c r="V629" s="23" t="str">
        <f aca="false">IF(K629="","",TEXT(K629,"yyyy-mm"))</f>
        <v/>
      </c>
      <c r="W629" s="23" t="n">
        <f aca="false">IF(OR(C629="Cetak",C629="Dikirim",C629="Selesai"),1,0)</f>
        <v>0</v>
      </c>
      <c r="X629" s="23" t="str">
        <f aca="false">IF(F629="","",SUBSTITUTE(SUBSTITUTE(MID(UPPER(TRIM(F629)),4,99),"-LED",""),"-TK",""))</f>
        <v/>
      </c>
      <c r="Y629" s="23" t="str">
        <f aca="false">IF(X629="","",(LEN(X629)+1)/7)</f>
        <v/>
      </c>
      <c r="Z629" s="23" t="str">
        <f aca="false">IF(X629="","",LEFT(X629,6))</f>
        <v/>
      </c>
      <c r="AA629" s="23" t="str">
        <f aca="false">IF(X629="","",IF(Y629&gt;=3,MID(X629,8,6),""))</f>
        <v/>
      </c>
      <c r="AB629" s="23" t="str">
        <f aca="false">IF(X629="","",IF(Y629&gt;=4,MID(X629,15,6),""))</f>
        <v/>
      </c>
      <c r="AC629" s="23" t="str">
        <f aca="false">IF(X629="","",IF(Y629&gt;=5,MID(X629,22,6),""))</f>
        <v/>
      </c>
      <c r="AD629" s="23" t="str">
        <f aca="false">IF(X629="","",RIGHT(X629,6))</f>
        <v/>
      </c>
      <c r="AE629" s="23" t="str">
        <f aca="false">IF(F629="","",IF(ISNUMBER(SEARCH("-TK",UPPER(F629))),0,1))</f>
        <v/>
      </c>
      <c r="AF629" s="23" t="str">
        <f aca="false">IF(F629="","",IF(ISNUMBER(SEARCH("-LED",UPPER(F629))),1,0))</f>
        <v/>
      </c>
      <c r="AG629" s="24" t="n">
        <f aca="false">IF(Z629="",0,IFERROR(INDEX(Resep!$C$5:$C$7,MATCH(LEFT(Z629,3),Resep!$B$5:$B$7,0)),0))</f>
        <v>0</v>
      </c>
      <c r="AH629" s="24" t="n">
        <f aca="false">IF(AA629="",0,IFERROR(INDEX(Resep!$C$9:$C$13,MATCH(LEFT(AA629,3),Resep!$B$9:$B$13,0)),0))</f>
        <v>0</v>
      </c>
      <c r="AI629" s="24" t="n">
        <f aca="false">IF(AB629="",0,IFERROR(INDEX(Resep!$C$9:$C$13,MATCH(LEFT(AB629,3),Resep!$B$9:$B$13,0)),0))</f>
        <v>0</v>
      </c>
      <c r="AJ629" s="24" t="n">
        <f aca="false">IF(AC629="",0,IFERROR(INDEX(Resep!$C$9:$C$13,MATCH(LEFT(AC629,3),Resep!$B$9:$B$13,0)),0))</f>
        <v>0</v>
      </c>
      <c r="AK629" s="24" t="n">
        <f aca="false">IF(AD629="",0,IFERROR(INDEX(Resep!$C$15:$C$18,MATCH(LEFT(AD629,3),Resep!$B$15:$B$18,0)),0))</f>
        <v>0</v>
      </c>
      <c r="AL629" s="24" t="str">
        <f aca="false">IF(X629="","",AG629+AH629+AI629+AJ629+AK629)</f>
        <v/>
      </c>
      <c r="AM629" s="22" t="str">
        <f aca="false">IF(X629="","",AL629*(Pengaturan!$B$6+Pengaturan!$B$7)+Pengaturan!$B$8+AE629*Pengaturan!$B$9+AF629*Pengaturan!$B$10)</f>
        <v/>
      </c>
      <c r="AN629" s="22" t="str">
        <f aca="false">IF(X629="","",N(G629)-AM629)</f>
        <v/>
      </c>
      <c r="AO629" s="25" t="str">
        <f aca="false">IF(OR(X629="",N(G629)=0),"",AN629/G629)</f>
        <v/>
      </c>
    </row>
    <row r="630" customFormat="false" ht="15" hidden="false" customHeight="false" outlineLevel="0" collapsed="false">
      <c r="A630" s="19"/>
      <c r="B630" s="20"/>
      <c r="C630" s="19"/>
      <c r="D630" s="19"/>
      <c r="E630" s="19"/>
      <c r="F630" s="19"/>
      <c r="G630" s="21"/>
      <c r="H630" s="19"/>
      <c r="I630" s="21"/>
      <c r="J630" s="19"/>
      <c r="K630" s="20"/>
      <c r="L630" s="20"/>
      <c r="M630" s="19"/>
      <c r="N630" s="19"/>
      <c r="O630" s="20"/>
      <c r="P630" s="20"/>
      <c r="Q630" s="19"/>
      <c r="R630" s="22" t="str">
        <f aca="false">IF(A630="","",N(G630)+N(I630))</f>
        <v/>
      </c>
      <c r="S630" s="23" t="str">
        <f aca="false">IF(OR(K630="",O630=""),"",O630-K630)</f>
        <v/>
      </c>
      <c r="T630" s="23" t="str">
        <f aca="true">IF(AND(C630="Cetak",L630&lt;&gt;"",L630&lt;TODAY()),"YA","")</f>
        <v/>
      </c>
      <c r="U630" s="23" t="str">
        <f aca="false">IF(B630="","",TEXT(B630,"yyyy-mm"))</f>
        <v/>
      </c>
      <c r="V630" s="23" t="str">
        <f aca="false">IF(K630="","",TEXT(K630,"yyyy-mm"))</f>
        <v/>
      </c>
      <c r="W630" s="23" t="n">
        <f aca="false">IF(OR(C630="Cetak",C630="Dikirim",C630="Selesai"),1,0)</f>
        <v>0</v>
      </c>
      <c r="X630" s="23" t="str">
        <f aca="false">IF(F630="","",SUBSTITUTE(SUBSTITUTE(MID(UPPER(TRIM(F630)),4,99),"-LED",""),"-TK",""))</f>
        <v/>
      </c>
      <c r="Y630" s="23" t="str">
        <f aca="false">IF(X630="","",(LEN(X630)+1)/7)</f>
        <v/>
      </c>
      <c r="Z630" s="23" t="str">
        <f aca="false">IF(X630="","",LEFT(X630,6))</f>
        <v/>
      </c>
      <c r="AA630" s="23" t="str">
        <f aca="false">IF(X630="","",IF(Y630&gt;=3,MID(X630,8,6),""))</f>
        <v/>
      </c>
      <c r="AB630" s="23" t="str">
        <f aca="false">IF(X630="","",IF(Y630&gt;=4,MID(X630,15,6),""))</f>
        <v/>
      </c>
      <c r="AC630" s="23" t="str">
        <f aca="false">IF(X630="","",IF(Y630&gt;=5,MID(X630,22,6),""))</f>
        <v/>
      </c>
      <c r="AD630" s="23" t="str">
        <f aca="false">IF(X630="","",RIGHT(X630,6))</f>
        <v/>
      </c>
      <c r="AE630" s="23" t="str">
        <f aca="false">IF(F630="","",IF(ISNUMBER(SEARCH("-TK",UPPER(F630))),0,1))</f>
        <v/>
      </c>
      <c r="AF630" s="23" t="str">
        <f aca="false">IF(F630="","",IF(ISNUMBER(SEARCH("-LED",UPPER(F630))),1,0))</f>
        <v/>
      </c>
      <c r="AG630" s="24" t="n">
        <f aca="false">IF(Z630="",0,IFERROR(INDEX(Resep!$C$5:$C$7,MATCH(LEFT(Z630,3),Resep!$B$5:$B$7,0)),0))</f>
        <v>0</v>
      </c>
      <c r="AH630" s="24" t="n">
        <f aca="false">IF(AA630="",0,IFERROR(INDEX(Resep!$C$9:$C$13,MATCH(LEFT(AA630,3),Resep!$B$9:$B$13,0)),0))</f>
        <v>0</v>
      </c>
      <c r="AI630" s="24" t="n">
        <f aca="false">IF(AB630="",0,IFERROR(INDEX(Resep!$C$9:$C$13,MATCH(LEFT(AB630,3),Resep!$B$9:$B$13,0)),0))</f>
        <v>0</v>
      </c>
      <c r="AJ630" s="24" t="n">
        <f aca="false">IF(AC630="",0,IFERROR(INDEX(Resep!$C$9:$C$13,MATCH(LEFT(AC630,3),Resep!$B$9:$B$13,0)),0))</f>
        <v>0</v>
      </c>
      <c r="AK630" s="24" t="n">
        <f aca="false">IF(AD630="",0,IFERROR(INDEX(Resep!$C$15:$C$18,MATCH(LEFT(AD630,3),Resep!$B$15:$B$18,0)),0))</f>
        <v>0</v>
      </c>
      <c r="AL630" s="24" t="str">
        <f aca="false">IF(X630="","",AG630+AH630+AI630+AJ630+AK630)</f>
        <v/>
      </c>
      <c r="AM630" s="22" t="str">
        <f aca="false">IF(X630="","",AL630*(Pengaturan!$B$6+Pengaturan!$B$7)+Pengaturan!$B$8+AE630*Pengaturan!$B$9+AF630*Pengaturan!$B$10)</f>
        <v/>
      </c>
      <c r="AN630" s="22" t="str">
        <f aca="false">IF(X630="","",N(G630)-AM630)</f>
        <v/>
      </c>
      <c r="AO630" s="25" t="str">
        <f aca="false">IF(OR(X630="",N(G630)=0),"",AN630/G630)</f>
        <v/>
      </c>
    </row>
    <row r="631" customFormat="false" ht="15" hidden="false" customHeight="false" outlineLevel="0" collapsed="false">
      <c r="A631" s="19"/>
      <c r="B631" s="20"/>
      <c r="C631" s="19"/>
      <c r="D631" s="19"/>
      <c r="E631" s="19"/>
      <c r="F631" s="19"/>
      <c r="G631" s="21"/>
      <c r="H631" s="19"/>
      <c r="I631" s="21"/>
      <c r="J631" s="19"/>
      <c r="K631" s="20"/>
      <c r="L631" s="20"/>
      <c r="M631" s="19"/>
      <c r="N631" s="19"/>
      <c r="O631" s="20"/>
      <c r="P631" s="20"/>
      <c r="Q631" s="19"/>
      <c r="R631" s="22" t="str">
        <f aca="false">IF(A631="","",N(G631)+N(I631))</f>
        <v/>
      </c>
      <c r="S631" s="23" t="str">
        <f aca="false">IF(OR(K631="",O631=""),"",O631-K631)</f>
        <v/>
      </c>
      <c r="T631" s="23" t="str">
        <f aca="true">IF(AND(C631="Cetak",L631&lt;&gt;"",L631&lt;TODAY()),"YA","")</f>
        <v/>
      </c>
      <c r="U631" s="23" t="str">
        <f aca="false">IF(B631="","",TEXT(B631,"yyyy-mm"))</f>
        <v/>
      </c>
      <c r="V631" s="23" t="str">
        <f aca="false">IF(K631="","",TEXT(K631,"yyyy-mm"))</f>
        <v/>
      </c>
      <c r="W631" s="23" t="n">
        <f aca="false">IF(OR(C631="Cetak",C631="Dikirim",C631="Selesai"),1,0)</f>
        <v>0</v>
      </c>
      <c r="X631" s="23" t="str">
        <f aca="false">IF(F631="","",SUBSTITUTE(SUBSTITUTE(MID(UPPER(TRIM(F631)),4,99),"-LED",""),"-TK",""))</f>
        <v/>
      </c>
      <c r="Y631" s="23" t="str">
        <f aca="false">IF(X631="","",(LEN(X631)+1)/7)</f>
        <v/>
      </c>
      <c r="Z631" s="23" t="str">
        <f aca="false">IF(X631="","",LEFT(X631,6))</f>
        <v/>
      </c>
      <c r="AA631" s="23" t="str">
        <f aca="false">IF(X631="","",IF(Y631&gt;=3,MID(X631,8,6),""))</f>
        <v/>
      </c>
      <c r="AB631" s="23" t="str">
        <f aca="false">IF(X631="","",IF(Y631&gt;=4,MID(X631,15,6),""))</f>
        <v/>
      </c>
      <c r="AC631" s="23" t="str">
        <f aca="false">IF(X631="","",IF(Y631&gt;=5,MID(X631,22,6),""))</f>
        <v/>
      </c>
      <c r="AD631" s="23" t="str">
        <f aca="false">IF(X631="","",RIGHT(X631,6))</f>
        <v/>
      </c>
      <c r="AE631" s="23" t="str">
        <f aca="false">IF(F631="","",IF(ISNUMBER(SEARCH("-TK",UPPER(F631))),0,1))</f>
        <v/>
      </c>
      <c r="AF631" s="23" t="str">
        <f aca="false">IF(F631="","",IF(ISNUMBER(SEARCH("-LED",UPPER(F631))),1,0))</f>
        <v/>
      </c>
      <c r="AG631" s="24" t="n">
        <f aca="false">IF(Z631="",0,IFERROR(INDEX(Resep!$C$5:$C$7,MATCH(LEFT(Z631,3),Resep!$B$5:$B$7,0)),0))</f>
        <v>0</v>
      </c>
      <c r="AH631" s="24" t="n">
        <f aca="false">IF(AA631="",0,IFERROR(INDEX(Resep!$C$9:$C$13,MATCH(LEFT(AA631,3),Resep!$B$9:$B$13,0)),0))</f>
        <v>0</v>
      </c>
      <c r="AI631" s="24" t="n">
        <f aca="false">IF(AB631="",0,IFERROR(INDEX(Resep!$C$9:$C$13,MATCH(LEFT(AB631,3),Resep!$B$9:$B$13,0)),0))</f>
        <v>0</v>
      </c>
      <c r="AJ631" s="24" t="n">
        <f aca="false">IF(AC631="",0,IFERROR(INDEX(Resep!$C$9:$C$13,MATCH(LEFT(AC631,3),Resep!$B$9:$B$13,0)),0))</f>
        <v>0</v>
      </c>
      <c r="AK631" s="24" t="n">
        <f aca="false">IF(AD631="",0,IFERROR(INDEX(Resep!$C$15:$C$18,MATCH(LEFT(AD631,3),Resep!$B$15:$B$18,0)),0))</f>
        <v>0</v>
      </c>
      <c r="AL631" s="24" t="str">
        <f aca="false">IF(X631="","",AG631+AH631+AI631+AJ631+AK631)</f>
        <v/>
      </c>
      <c r="AM631" s="22" t="str">
        <f aca="false">IF(X631="","",AL631*(Pengaturan!$B$6+Pengaturan!$B$7)+Pengaturan!$B$8+AE631*Pengaturan!$B$9+AF631*Pengaturan!$B$10)</f>
        <v/>
      </c>
      <c r="AN631" s="22" t="str">
        <f aca="false">IF(X631="","",N(G631)-AM631)</f>
        <v/>
      </c>
      <c r="AO631" s="25" t="str">
        <f aca="false">IF(OR(X631="",N(G631)=0),"",AN631/G631)</f>
        <v/>
      </c>
    </row>
    <row r="632" customFormat="false" ht="15" hidden="false" customHeight="false" outlineLevel="0" collapsed="false">
      <c r="A632" s="19"/>
      <c r="B632" s="20"/>
      <c r="C632" s="19"/>
      <c r="D632" s="19"/>
      <c r="E632" s="19"/>
      <c r="F632" s="19"/>
      <c r="G632" s="21"/>
      <c r="H632" s="19"/>
      <c r="I632" s="21"/>
      <c r="J632" s="19"/>
      <c r="K632" s="20"/>
      <c r="L632" s="20"/>
      <c r="M632" s="19"/>
      <c r="N632" s="19"/>
      <c r="O632" s="20"/>
      <c r="P632" s="20"/>
      <c r="Q632" s="19"/>
      <c r="R632" s="22" t="str">
        <f aca="false">IF(A632="","",N(G632)+N(I632))</f>
        <v/>
      </c>
      <c r="S632" s="23" t="str">
        <f aca="false">IF(OR(K632="",O632=""),"",O632-K632)</f>
        <v/>
      </c>
      <c r="T632" s="23" t="str">
        <f aca="true">IF(AND(C632="Cetak",L632&lt;&gt;"",L632&lt;TODAY()),"YA","")</f>
        <v/>
      </c>
      <c r="U632" s="23" t="str">
        <f aca="false">IF(B632="","",TEXT(B632,"yyyy-mm"))</f>
        <v/>
      </c>
      <c r="V632" s="23" t="str">
        <f aca="false">IF(K632="","",TEXT(K632,"yyyy-mm"))</f>
        <v/>
      </c>
      <c r="W632" s="23" t="n">
        <f aca="false">IF(OR(C632="Cetak",C632="Dikirim",C632="Selesai"),1,0)</f>
        <v>0</v>
      </c>
      <c r="X632" s="23" t="str">
        <f aca="false">IF(F632="","",SUBSTITUTE(SUBSTITUTE(MID(UPPER(TRIM(F632)),4,99),"-LED",""),"-TK",""))</f>
        <v/>
      </c>
      <c r="Y632" s="23" t="str">
        <f aca="false">IF(X632="","",(LEN(X632)+1)/7)</f>
        <v/>
      </c>
      <c r="Z632" s="23" t="str">
        <f aca="false">IF(X632="","",LEFT(X632,6))</f>
        <v/>
      </c>
      <c r="AA632" s="23" t="str">
        <f aca="false">IF(X632="","",IF(Y632&gt;=3,MID(X632,8,6),""))</f>
        <v/>
      </c>
      <c r="AB632" s="23" t="str">
        <f aca="false">IF(X632="","",IF(Y632&gt;=4,MID(X632,15,6),""))</f>
        <v/>
      </c>
      <c r="AC632" s="23" t="str">
        <f aca="false">IF(X632="","",IF(Y632&gt;=5,MID(X632,22,6),""))</f>
        <v/>
      </c>
      <c r="AD632" s="23" t="str">
        <f aca="false">IF(X632="","",RIGHT(X632,6))</f>
        <v/>
      </c>
      <c r="AE632" s="23" t="str">
        <f aca="false">IF(F632="","",IF(ISNUMBER(SEARCH("-TK",UPPER(F632))),0,1))</f>
        <v/>
      </c>
      <c r="AF632" s="23" t="str">
        <f aca="false">IF(F632="","",IF(ISNUMBER(SEARCH("-LED",UPPER(F632))),1,0))</f>
        <v/>
      </c>
      <c r="AG632" s="24" t="n">
        <f aca="false">IF(Z632="",0,IFERROR(INDEX(Resep!$C$5:$C$7,MATCH(LEFT(Z632,3),Resep!$B$5:$B$7,0)),0))</f>
        <v>0</v>
      </c>
      <c r="AH632" s="24" t="n">
        <f aca="false">IF(AA632="",0,IFERROR(INDEX(Resep!$C$9:$C$13,MATCH(LEFT(AA632,3),Resep!$B$9:$B$13,0)),0))</f>
        <v>0</v>
      </c>
      <c r="AI632" s="24" t="n">
        <f aca="false">IF(AB632="",0,IFERROR(INDEX(Resep!$C$9:$C$13,MATCH(LEFT(AB632,3),Resep!$B$9:$B$13,0)),0))</f>
        <v>0</v>
      </c>
      <c r="AJ632" s="24" t="n">
        <f aca="false">IF(AC632="",0,IFERROR(INDEX(Resep!$C$9:$C$13,MATCH(LEFT(AC632,3),Resep!$B$9:$B$13,0)),0))</f>
        <v>0</v>
      </c>
      <c r="AK632" s="24" t="n">
        <f aca="false">IF(AD632="",0,IFERROR(INDEX(Resep!$C$15:$C$18,MATCH(LEFT(AD632,3),Resep!$B$15:$B$18,0)),0))</f>
        <v>0</v>
      </c>
      <c r="AL632" s="24" t="str">
        <f aca="false">IF(X632="","",AG632+AH632+AI632+AJ632+AK632)</f>
        <v/>
      </c>
      <c r="AM632" s="22" t="str">
        <f aca="false">IF(X632="","",AL632*(Pengaturan!$B$6+Pengaturan!$B$7)+Pengaturan!$B$8+AE632*Pengaturan!$B$9+AF632*Pengaturan!$B$10)</f>
        <v/>
      </c>
      <c r="AN632" s="22" t="str">
        <f aca="false">IF(X632="","",N(G632)-AM632)</f>
        <v/>
      </c>
      <c r="AO632" s="25" t="str">
        <f aca="false">IF(OR(X632="",N(G632)=0),"",AN632/G632)</f>
        <v/>
      </c>
    </row>
    <row r="633" customFormat="false" ht="15" hidden="false" customHeight="false" outlineLevel="0" collapsed="false">
      <c r="A633" s="19"/>
      <c r="B633" s="20"/>
      <c r="C633" s="19"/>
      <c r="D633" s="19"/>
      <c r="E633" s="19"/>
      <c r="F633" s="19"/>
      <c r="G633" s="21"/>
      <c r="H633" s="19"/>
      <c r="I633" s="21"/>
      <c r="J633" s="19"/>
      <c r="K633" s="20"/>
      <c r="L633" s="20"/>
      <c r="M633" s="19"/>
      <c r="N633" s="19"/>
      <c r="O633" s="20"/>
      <c r="P633" s="20"/>
      <c r="Q633" s="19"/>
      <c r="R633" s="22" t="str">
        <f aca="false">IF(A633="","",N(G633)+N(I633))</f>
        <v/>
      </c>
      <c r="S633" s="23" t="str">
        <f aca="false">IF(OR(K633="",O633=""),"",O633-K633)</f>
        <v/>
      </c>
      <c r="T633" s="23" t="str">
        <f aca="true">IF(AND(C633="Cetak",L633&lt;&gt;"",L633&lt;TODAY()),"YA","")</f>
        <v/>
      </c>
      <c r="U633" s="23" t="str">
        <f aca="false">IF(B633="","",TEXT(B633,"yyyy-mm"))</f>
        <v/>
      </c>
      <c r="V633" s="23" t="str">
        <f aca="false">IF(K633="","",TEXT(K633,"yyyy-mm"))</f>
        <v/>
      </c>
      <c r="W633" s="23" t="n">
        <f aca="false">IF(OR(C633="Cetak",C633="Dikirim",C633="Selesai"),1,0)</f>
        <v>0</v>
      </c>
      <c r="X633" s="23" t="str">
        <f aca="false">IF(F633="","",SUBSTITUTE(SUBSTITUTE(MID(UPPER(TRIM(F633)),4,99),"-LED",""),"-TK",""))</f>
        <v/>
      </c>
      <c r="Y633" s="23" t="str">
        <f aca="false">IF(X633="","",(LEN(X633)+1)/7)</f>
        <v/>
      </c>
      <c r="Z633" s="23" t="str">
        <f aca="false">IF(X633="","",LEFT(X633,6))</f>
        <v/>
      </c>
      <c r="AA633" s="23" t="str">
        <f aca="false">IF(X633="","",IF(Y633&gt;=3,MID(X633,8,6),""))</f>
        <v/>
      </c>
      <c r="AB633" s="23" t="str">
        <f aca="false">IF(X633="","",IF(Y633&gt;=4,MID(X633,15,6),""))</f>
        <v/>
      </c>
      <c r="AC633" s="23" t="str">
        <f aca="false">IF(X633="","",IF(Y633&gt;=5,MID(X633,22,6),""))</f>
        <v/>
      </c>
      <c r="AD633" s="23" t="str">
        <f aca="false">IF(X633="","",RIGHT(X633,6))</f>
        <v/>
      </c>
      <c r="AE633" s="23" t="str">
        <f aca="false">IF(F633="","",IF(ISNUMBER(SEARCH("-TK",UPPER(F633))),0,1))</f>
        <v/>
      </c>
      <c r="AF633" s="23" t="str">
        <f aca="false">IF(F633="","",IF(ISNUMBER(SEARCH("-LED",UPPER(F633))),1,0))</f>
        <v/>
      </c>
      <c r="AG633" s="24" t="n">
        <f aca="false">IF(Z633="",0,IFERROR(INDEX(Resep!$C$5:$C$7,MATCH(LEFT(Z633,3),Resep!$B$5:$B$7,0)),0))</f>
        <v>0</v>
      </c>
      <c r="AH633" s="24" t="n">
        <f aca="false">IF(AA633="",0,IFERROR(INDEX(Resep!$C$9:$C$13,MATCH(LEFT(AA633,3),Resep!$B$9:$B$13,0)),0))</f>
        <v>0</v>
      </c>
      <c r="AI633" s="24" t="n">
        <f aca="false">IF(AB633="",0,IFERROR(INDEX(Resep!$C$9:$C$13,MATCH(LEFT(AB633,3),Resep!$B$9:$B$13,0)),0))</f>
        <v>0</v>
      </c>
      <c r="AJ633" s="24" t="n">
        <f aca="false">IF(AC633="",0,IFERROR(INDEX(Resep!$C$9:$C$13,MATCH(LEFT(AC633,3),Resep!$B$9:$B$13,0)),0))</f>
        <v>0</v>
      </c>
      <c r="AK633" s="24" t="n">
        <f aca="false">IF(AD633="",0,IFERROR(INDEX(Resep!$C$15:$C$18,MATCH(LEFT(AD633,3),Resep!$B$15:$B$18,0)),0))</f>
        <v>0</v>
      </c>
      <c r="AL633" s="24" t="str">
        <f aca="false">IF(X633="","",AG633+AH633+AI633+AJ633+AK633)</f>
        <v/>
      </c>
      <c r="AM633" s="22" t="str">
        <f aca="false">IF(X633="","",AL633*(Pengaturan!$B$6+Pengaturan!$B$7)+Pengaturan!$B$8+AE633*Pengaturan!$B$9+AF633*Pengaturan!$B$10)</f>
        <v/>
      </c>
      <c r="AN633" s="22" t="str">
        <f aca="false">IF(X633="","",N(G633)-AM633)</f>
        <v/>
      </c>
      <c r="AO633" s="25" t="str">
        <f aca="false">IF(OR(X633="",N(G633)=0),"",AN633/G633)</f>
        <v/>
      </c>
    </row>
    <row r="634" customFormat="false" ht="15" hidden="false" customHeight="false" outlineLevel="0" collapsed="false">
      <c r="A634" s="19"/>
      <c r="B634" s="20"/>
      <c r="C634" s="19"/>
      <c r="D634" s="19"/>
      <c r="E634" s="19"/>
      <c r="F634" s="19"/>
      <c r="G634" s="21"/>
      <c r="H634" s="19"/>
      <c r="I634" s="21"/>
      <c r="J634" s="19"/>
      <c r="K634" s="20"/>
      <c r="L634" s="20"/>
      <c r="M634" s="19"/>
      <c r="N634" s="19"/>
      <c r="O634" s="20"/>
      <c r="P634" s="20"/>
      <c r="Q634" s="19"/>
      <c r="R634" s="22" t="str">
        <f aca="false">IF(A634="","",N(G634)+N(I634))</f>
        <v/>
      </c>
      <c r="S634" s="23" t="str">
        <f aca="false">IF(OR(K634="",O634=""),"",O634-K634)</f>
        <v/>
      </c>
      <c r="T634" s="23" t="str">
        <f aca="true">IF(AND(C634="Cetak",L634&lt;&gt;"",L634&lt;TODAY()),"YA","")</f>
        <v/>
      </c>
      <c r="U634" s="23" t="str">
        <f aca="false">IF(B634="","",TEXT(B634,"yyyy-mm"))</f>
        <v/>
      </c>
      <c r="V634" s="23" t="str">
        <f aca="false">IF(K634="","",TEXT(K634,"yyyy-mm"))</f>
        <v/>
      </c>
      <c r="W634" s="23" t="n">
        <f aca="false">IF(OR(C634="Cetak",C634="Dikirim",C634="Selesai"),1,0)</f>
        <v>0</v>
      </c>
      <c r="X634" s="23" t="str">
        <f aca="false">IF(F634="","",SUBSTITUTE(SUBSTITUTE(MID(UPPER(TRIM(F634)),4,99),"-LED",""),"-TK",""))</f>
        <v/>
      </c>
      <c r="Y634" s="23" t="str">
        <f aca="false">IF(X634="","",(LEN(X634)+1)/7)</f>
        <v/>
      </c>
      <c r="Z634" s="23" t="str">
        <f aca="false">IF(X634="","",LEFT(X634,6))</f>
        <v/>
      </c>
      <c r="AA634" s="23" t="str">
        <f aca="false">IF(X634="","",IF(Y634&gt;=3,MID(X634,8,6),""))</f>
        <v/>
      </c>
      <c r="AB634" s="23" t="str">
        <f aca="false">IF(X634="","",IF(Y634&gt;=4,MID(X634,15,6),""))</f>
        <v/>
      </c>
      <c r="AC634" s="23" t="str">
        <f aca="false">IF(X634="","",IF(Y634&gt;=5,MID(X634,22,6),""))</f>
        <v/>
      </c>
      <c r="AD634" s="23" t="str">
        <f aca="false">IF(X634="","",RIGHT(X634,6))</f>
        <v/>
      </c>
      <c r="AE634" s="23" t="str">
        <f aca="false">IF(F634="","",IF(ISNUMBER(SEARCH("-TK",UPPER(F634))),0,1))</f>
        <v/>
      </c>
      <c r="AF634" s="23" t="str">
        <f aca="false">IF(F634="","",IF(ISNUMBER(SEARCH("-LED",UPPER(F634))),1,0))</f>
        <v/>
      </c>
      <c r="AG634" s="24" t="n">
        <f aca="false">IF(Z634="",0,IFERROR(INDEX(Resep!$C$5:$C$7,MATCH(LEFT(Z634,3),Resep!$B$5:$B$7,0)),0))</f>
        <v>0</v>
      </c>
      <c r="AH634" s="24" t="n">
        <f aca="false">IF(AA634="",0,IFERROR(INDEX(Resep!$C$9:$C$13,MATCH(LEFT(AA634,3),Resep!$B$9:$B$13,0)),0))</f>
        <v>0</v>
      </c>
      <c r="AI634" s="24" t="n">
        <f aca="false">IF(AB634="",0,IFERROR(INDEX(Resep!$C$9:$C$13,MATCH(LEFT(AB634,3),Resep!$B$9:$B$13,0)),0))</f>
        <v>0</v>
      </c>
      <c r="AJ634" s="24" t="n">
        <f aca="false">IF(AC634="",0,IFERROR(INDEX(Resep!$C$9:$C$13,MATCH(LEFT(AC634,3),Resep!$B$9:$B$13,0)),0))</f>
        <v>0</v>
      </c>
      <c r="AK634" s="24" t="n">
        <f aca="false">IF(AD634="",0,IFERROR(INDEX(Resep!$C$15:$C$18,MATCH(LEFT(AD634,3),Resep!$B$15:$B$18,0)),0))</f>
        <v>0</v>
      </c>
      <c r="AL634" s="24" t="str">
        <f aca="false">IF(X634="","",AG634+AH634+AI634+AJ634+AK634)</f>
        <v/>
      </c>
      <c r="AM634" s="22" t="str">
        <f aca="false">IF(X634="","",AL634*(Pengaturan!$B$6+Pengaturan!$B$7)+Pengaturan!$B$8+AE634*Pengaturan!$B$9+AF634*Pengaturan!$B$10)</f>
        <v/>
      </c>
      <c r="AN634" s="22" t="str">
        <f aca="false">IF(X634="","",N(G634)-AM634)</f>
        <v/>
      </c>
      <c r="AO634" s="25" t="str">
        <f aca="false">IF(OR(X634="",N(G634)=0),"",AN634/G634)</f>
        <v/>
      </c>
    </row>
    <row r="635" customFormat="false" ht="15" hidden="false" customHeight="false" outlineLevel="0" collapsed="false">
      <c r="A635" s="19"/>
      <c r="B635" s="20"/>
      <c r="C635" s="19"/>
      <c r="D635" s="19"/>
      <c r="E635" s="19"/>
      <c r="F635" s="19"/>
      <c r="G635" s="21"/>
      <c r="H635" s="19"/>
      <c r="I635" s="21"/>
      <c r="J635" s="19"/>
      <c r="K635" s="20"/>
      <c r="L635" s="20"/>
      <c r="M635" s="19"/>
      <c r="N635" s="19"/>
      <c r="O635" s="20"/>
      <c r="P635" s="20"/>
      <c r="Q635" s="19"/>
      <c r="R635" s="22" t="str">
        <f aca="false">IF(A635="","",N(G635)+N(I635))</f>
        <v/>
      </c>
      <c r="S635" s="23" t="str">
        <f aca="false">IF(OR(K635="",O635=""),"",O635-K635)</f>
        <v/>
      </c>
      <c r="T635" s="23" t="str">
        <f aca="true">IF(AND(C635="Cetak",L635&lt;&gt;"",L635&lt;TODAY()),"YA","")</f>
        <v/>
      </c>
      <c r="U635" s="23" t="str">
        <f aca="false">IF(B635="","",TEXT(B635,"yyyy-mm"))</f>
        <v/>
      </c>
      <c r="V635" s="23" t="str">
        <f aca="false">IF(K635="","",TEXT(K635,"yyyy-mm"))</f>
        <v/>
      </c>
      <c r="W635" s="23" t="n">
        <f aca="false">IF(OR(C635="Cetak",C635="Dikirim",C635="Selesai"),1,0)</f>
        <v>0</v>
      </c>
      <c r="X635" s="23" t="str">
        <f aca="false">IF(F635="","",SUBSTITUTE(SUBSTITUTE(MID(UPPER(TRIM(F635)),4,99),"-LED",""),"-TK",""))</f>
        <v/>
      </c>
      <c r="Y635" s="23" t="str">
        <f aca="false">IF(X635="","",(LEN(X635)+1)/7)</f>
        <v/>
      </c>
      <c r="Z635" s="23" t="str">
        <f aca="false">IF(X635="","",LEFT(X635,6))</f>
        <v/>
      </c>
      <c r="AA635" s="23" t="str">
        <f aca="false">IF(X635="","",IF(Y635&gt;=3,MID(X635,8,6),""))</f>
        <v/>
      </c>
      <c r="AB635" s="23" t="str">
        <f aca="false">IF(X635="","",IF(Y635&gt;=4,MID(X635,15,6),""))</f>
        <v/>
      </c>
      <c r="AC635" s="23" t="str">
        <f aca="false">IF(X635="","",IF(Y635&gt;=5,MID(X635,22,6),""))</f>
        <v/>
      </c>
      <c r="AD635" s="23" t="str">
        <f aca="false">IF(X635="","",RIGHT(X635,6))</f>
        <v/>
      </c>
      <c r="AE635" s="23" t="str">
        <f aca="false">IF(F635="","",IF(ISNUMBER(SEARCH("-TK",UPPER(F635))),0,1))</f>
        <v/>
      </c>
      <c r="AF635" s="23" t="str">
        <f aca="false">IF(F635="","",IF(ISNUMBER(SEARCH("-LED",UPPER(F635))),1,0))</f>
        <v/>
      </c>
      <c r="AG635" s="24" t="n">
        <f aca="false">IF(Z635="",0,IFERROR(INDEX(Resep!$C$5:$C$7,MATCH(LEFT(Z635,3),Resep!$B$5:$B$7,0)),0))</f>
        <v>0</v>
      </c>
      <c r="AH635" s="24" t="n">
        <f aca="false">IF(AA635="",0,IFERROR(INDEX(Resep!$C$9:$C$13,MATCH(LEFT(AA635,3),Resep!$B$9:$B$13,0)),0))</f>
        <v>0</v>
      </c>
      <c r="AI635" s="24" t="n">
        <f aca="false">IF(AB635="",0,IFERROR(INDEX(Resep!$C$9:$C$13,MATCH(LEFT(AB635,3),Resep!$B$9:$B$13,0)),0))</f>
        <v>0</v>
      </c>
      <c r="AJ635" s="24" t="n">
        <f aca="false">IF(AC635="",0,IFERROR(INDEX(Resep!$C$9:$C$13,MATCH(LEFT(AC635,3),Resep!$B$9:$B$13,0)),0))</f>
        <v>0</v>
      </c>
      <c r="AK635" s="24" t="n">
        <f aca="false">IF(AD635="",0,IFERROR(INDEX(Resep!$C$15:$C$18,MATCH(LEFT(AD635,3),Resep!$B$15:$B$18,0)),0))</f>
        <v>0</v>
      </c>
      <c r="AL635" s="24" t="str">
        <f aca="false">IF(X635="","",AG635+AH635+AI635+AJ635+AK635)</f>
        <v/>
      </c>
      <c r="AM635" s="22" t="str">
        <f aca="false">IF(X635="","",AL635*(Pengaturan!$B$6+Pengaturan!$B$7)+Pengaturan!$B$8+AE635*Pengaturan!$B$9+AF635*Pengaturan!$B$10)</f>
        <v/>
      </c>
      <c r="AN635" s="22" t="str">
        <f aca="false">IF(X635="","",N(G635)-AM635)</f>
        <v/>
      </c>
      <c r="AO635" s="25" t="str">
        <f aca="false">IF(OR(X635="",N(G635)=0),"",AN635/G635)</f>
        <v/>
      </c>
    </row>
    <row r="636" customFormat="false" ht="15" hidden="false" customHeight="false" outlineLevel="0" collapsed="false">
      <c r="A636" s="19"/>
      <c r="B636" s="20"/>
      <c r="C636" s="19"/>
      <c r="D636" s="19"/>
      <c r="E636" s="19"/>
      <c r="F636" s="19"/>
      <c r="G636" s="21"/>
      <c r="H636" s="19"/>
      <c r="I636" s="21"/>
      <c r="J636" s="19"/>
      <c r="K636" s="20"/>
      <c r="L636" s="20"/>
      <c r="M636" s="19"/>
      <c r="N636" s="19"/>
      <c r="O636" s="20"/>
      <c r="P636" s="20"/>
      <c r="Q636" s="19"/>
      <c r="R636" s="22" t="str">
        <f aca="false">IF(A636="","",N(G636)+N(I636))</f>
        <v/>
      </c>
      <c r="S636" s="23" t="str">
        <f aca="false">IF(OR(K636="",O636=""),"",O636-K636)</f>
        <v/>
      </c>
      <c r="T636" s="23" t="str">
        <f aca="true">IF(AND(C636="Cetak",L636&lt;&gt;"",L636&lt;TODAY()),"YA","")</f>
        <v/>
      </c>
      <c r="U636" s="23" t="str">
        <f aca="false">IF(B636="","",TEXT(B636,"yyyy-mm"))</f>
        <v/>
      </c>
      <c r="V636" s="23" t="str">
        <f aca="false">IF(K636="","",TEXT(K636,"yyyy-mm"))</f>
        <v/>
      </c>
      <c r="W636" s="23" t="n">
        <f aca="false">IF(OR(C636="Cetak",C636="Dikirim",C636="Selesai"),1,0)</f>
        <v>0</v>
      </c>
      <c r="X636" s="23" t="str">
        <f aca="false">IF(F636="","",SUBSTITUTE(SUBSTITUTE(MID(UPPER(TRIM(F636)),4,99),"-LED",""),"-TK",""))</f>
        <v/>
      </c>
      <c r="Y636" s="23" t="str">
        <f aca="false">IF(X636="","",(LEN(X636)+1)/7)</f>
        <v/>
      </c>
      <c r="Z636" s="23" t="str">
        <f aca="false">IF(X636="","",LEFT(X636,6))</f>
        <v/>
      </c>
      <c r="AA636" s="23" t="str">
        <f aca="false">IF(X636="","",IF(Y636&gt;=3,MID(X636,8,6),""))</f>
        <v/>
      </c>
      <c r="AB636" s="23" t="str">
        <f aca="false">IF(X636="","",IF(Y636&gt;=4,MID(X636,15,6),""))</f>
        <v/>
      </c>
      <c r="AC636" s="23" t="str">
        <f aca="false">IF(X636="","",IF(Y636&gt;=5,MID(X636,22,6),""))</f>
        <v/>
      </c>
      <c r="AD636" s="23" t="str">
        <f aca="false">IF(X636="","",RIGHT(X636,6))</f>
        <v/>
      </c>
      <c r="AE636" s="23" t="str">
        <f aca="false">IF(F636="","",IF(ISNUMBER(SEARCH("-TK",UPPER(F636))),0,1))</f>
        <v/>
      </c>
      <c r="AF636" s="23" t="str">
        <f aca="false">IF(F636="","",IF(ISNUMBER(SEARCH("-LED",UPPER(F636))),1,0))</f>
        <v/>
      </c>
      <c r="AG636" s="24" t="n">
        <f aca="false">IF(Z636="",0,IFERROR(INDEX(Resep!$C$5:$C$7,MATCH(LEFT(Z636,3),Resep!$B$5:$B$7,0)),0))</f>
        <v>0</v>
      </c>
      <c r="AH636" s="24" t="n">
        <f aca="false">IF(AA636="",0,IFERROR(INDEX(Resep!$C$9:$C$13,MATCH(LEFT(AA636,3),Resep!$B$9:$B$13,0)),0))</f>
        <v>0</v>
      </c>
      <c r="AI636" s="24" t="n">
        <f aca="false">IF(AB636="",0,IFERROR(INDEX(Resep!$C$9:$C$13,MATCH(LEFT(AB636,3),Resep!$B$9:$B$13,0)),0))</f>
        <v>0</v>
      </c>
      <c r="AJ636" s="24" t="n">
        <f aca="false">IF(AC636="",0,IFERROR(INDEX(Resep!$C$9:$C$13,MATCH(LEFT(AC636,3),Resep!$B$9:$B$13,0)),0))</f>
        <v>0</v>
      </c>
      <c r="AK636" s="24" t="n">
        <f aca="false">IF(AD636="",0,IFERROR(INDEX(Resep!$C$15:$C$18,MATCH(LEFT(AD636,3),Resep!$B$15:$B$18,0)),0))</f>
        <v>0</v>
      </c>
      <c r="AL636" s="24" t="str">
        <f aca="false">IF(X636="","",AG636+AH636+AI636+AJ636+AK636)</f>
        <v/>
      </c>
      <c r="AM636" s="22" t="str">
        <f aca="false">IF(X636="","",AL636*(Pengaturan!$B$6+Pengaturan!$B$7)+Pengaturan!$B$8+AE636*Pengaturan!$B$9+AF636*Pengaturan!$B$10)</f>
        <v/>
      </c>
      <c r="AN636" s="22" t="str">
        <f aca="false">IF(X636="","",N(G636)-AM636)</f>
        <v/>
      </c>
      <c r="AO636" s="25" t="str">
        <f aca="false">IF(OR(X636="",N(G636)=0),"",AN636/G636)</f>
        <v/>
      </c>
    </row>
    <row r="637" customFormat="false" ht="15" hidden="false" customHeight="false" outlineLevel="0" collapsed="false">
      <c r="A637" s="19"/>
      <c r="B637" s="20"/>
      <c r="C637" s="19"/>
      <c r="D637" s="19"/>
      <c r="E637" s="19"/>
      <c r="F637" s="19"/>
      <c r="G637" s="21"/>
      <c r="H637" s="19"/>
      <c r="I637" s="21"/>
      <c r="J637" s="19"/>
      <c r="K637" s="20"/>
      <c r="L637" s="20"/>
      <c r="M637" s="19"/>
      <c r="N637" s="19"/>
      <c r="O637" s="20"/>
      <c r="P637" s="20"/>
      <c r="Q637" s="19"/>
      <c r="R637" s="22" t="str">
        <f aca="false">IF(A637="","",N(G637)+N(I637))</f>
        <v/>
      </c>
      <c r="S637" s="23" t="str">
        <f aca="false">IF(OR(K637="",O637=""),"",O637-K637)</f>
        <v/>
      </c>
      <c r="T637" s="23" t="str">
        <f aca="true">IF(AND(C637="Cetak",L637&lt;&gt;"",L637&lt;TODAY()),"YA","")</f>
        <v/>
      </c>
      <c r="U637" s="23" t="str">
        <f aca="false">IF(B637="","",TEXT(B637,"yyyy-mm"))</f>
        <v/>
      </c>
      <c r="V637" s="23" t="str">
        <f aca="false">IF(K637="","",TEXT(K637,"yyyy-mm"))</f>
        <v/>
      </c>
      <c r="W637" s="23" t="n">
        <f aca="false">IF(OR(C637="Cetak",C637="Dikirim",C637="Selesai"),1,0)</f>
        <v>0</v>
      </c>
      <c r="X637" s="23" t="str">
        <f aca="false">IF(F637="","",SUBSTITUTE(SUBSTITUTE(MID(UPPER(TRIM(F637)),4,99),"-LED",""),"-TK",""))</f>
        <v/>
      </c>
      <c r="Y637" s="23" t="str">
        <f aca="false">IF(X637="","",(LEN(X637)+1)/7)</f>
        <v/>
      </c>
      <c r="Z637" s="23" t="str">
        <f aca="false">IF(X637="","",LEFT(X637,6))</f>
        <v/>
      </c>
      <c r="AA637" s="23" t="str">
        <f aca="false">IF(X637="","",IF(Y637&gt;=3,MID(X637,8,6),""))</f>
        <v/>
      </c>
      <c r="AB637" s="23" t="str">
        <f aca="false">IF(X637="","",IF(Y637&gt;=4,MID(X637,15,6),""))</f>
        <v/>
      </c>
      <c r="AC637" s="23" t="str">
        <f aca="false">IF(X637="","",IF(Y637&gt;=5,MID(X637,22,6),""))</f>
        <v/>
      </c>
      <c r="AD637" s="23" t="str">
        <f aca="false">IF(X637="","",RIGHT(X637,6))</f>
        <v/>
      </c>
      <c r="AE637" s="23" t="str">
        <f aca="false">IF(F637="","",IF(ISNUMBER(SEARCH("-TK",UPPER(F637))),0,1))</f>
        <v/>
      </c>
      <c r="AF637" s="23" t="str">
        <f aca="false">IF(F637="","",IF(ISNUMBER(SEARCH("-LED",UPPER(F637))),1,0))</f>
        <v/>
      </c>
      <c r="AG637" s="24" t="n">
        <f aca="false">IF(Z637="",0,IFERROR(INDEX(Resep!$C$5:$C$7,MATCH(LEFT(Z637,3),Resep!$B$5:$B$7,0)),0))</f>
        <v>0</v>
      </c>
      <c r="AH637" s="24" t="n">
        <f aca="false">IF(AA637="",0,IFERROR(INDEX(Resep!$C$9:$C$13,MATCH(LEFT(AA637,3),Resep!$B$9:$B$13,0)),0))</f>
        <v>0</v>
      </c>
      <c r="AI637" s="24" t="n">
        <f aca="false">IF(AB637="",0,IFERROR(INDEX(Resep!$C$9:$C$13,MATCH(LEFT(AB637,3),Resep!$B$9:$B$13,0)),0))</f>
        <v>0</v>
      </c>
      <c r="AJ637" s="24" t="n">
        <f aca="false">IF(AC637="",0,IFERROR(INDEX(Resep!$C$9:$C$13,MATCH(LEFT(AC637,3),Resep!$B$9:$B$13,0)),0))</f>
        <v>0</v>
      </c>
      <c r="AK637" s="24" t="n">
        <f aca="false">IF(AD637="",0,IFERROR(INDEX(Resep!$C$15:$C$18,MATCH(LEFT(AD637,3),Resep!$B$15:$B$18,0)),0))</f>
        <v>0</v>
      </c>
      <c r="AL637" s="24" t="str">
        <f aca="false">IF(X637="","",AG637+AH637+AI637+AJ637+AK637)</f>
        <v/>
      </c>
      <c r="AM637" s="22" t="str">
        <f aca="false">IF(X637="","",AL637*(Pengaturan!$B$6+Pengaturan!$B$7)+Pengaturan!$B$8+AE637*Pengaturan!$B$9+AF637*Pengaturan!$B$10)</f>
        <v/>
      </c>
      <c r="AN637" s="22" t="str">
        <f aca="false">IF(X637="","",N(G637)-AM637)</f>
        <v/>
      </c>
      <c r="AO637" s="25" t="str">
        <f aca="false">IF(OR(X637="",N(G637)=0),"",AN637/G637)</f>
        <v/>
      </c>
    </row>
    <row r="638" customFormat="false" ht="15" hidden="false" customHeight="false" outlineLevel="0" collapsed="false">
      <c r="A638" s="19"/>
      <c r="B638" s="20"/>
      <c r="C638" s="19"/>
      <c r="D638" s="19"/>
      <c r="E638" s="19"/>
      <c r="F638" s="19"/>
      <c r="G638" s="21"/>
      <c r="H638" s="19"/>
      <c r="I638" s="21"/>
      <c r="J638" s="19"/>
      <c r="K638" s="20"/>
      <c r="L638" s="20"/>
      <c r="M638" s="19"/>
      <c r="N638" s="19"/>
      <c r="O638" s="20"/>
      <c r="P638" s="20"/>
      <c r="Q638" s="19"/>
      <c r="R638" s="22" t="str">
        <f aca="false">IF(A638="","",N(G638)+N(I638))</f>
        <v/>
      </c>
      <c r="S638" s="23" t="str">
        <f aca="false">IF(OR(K638="",O638=""),"",O638-K638)</f>
        <v/>
      </c>
      <c r="T638" s="23" t="str">
        <f aca="true">IF(AND(C638="Cetak",L638&lt;&gt;"",L638&lt;TODAY()),"YA","")</f>
        <v/>
      </c>
      <c r="U638" s="23" t="str">
        <f aca="false">IF(B638="","",TEXT(B638,"yyyy-mm"))</f>
        <v/>
      </c>
      <c r="V638" s="23" t="str">
        <f aca="false">IF(K638="","",TEXT(K638,"yyyy-mm"))</f>
        <v/>
      </c>
      <c r="W638" s="23" t="n">
        <f aca="false">IF(OR(C638="Cetak",C638="Dikirim",C638="Selesai"),1,0)</f>
        <v>0</v>
      </c>
      <c r="X638" s="23" t="str">
        <f aca="false">IF(F638="","",SUBSTITUTE(SUBSTITUTE(MID(UPPER(TRIM(F638)),4,99),"-LED",""),"-TK",""))</f>
        <v/>
      </c>
      <c r="Y638" s="23" t="str">
        <f aca="false">IF(X638="","",(LEN(X638)+1)/7)</f>
        <v/>
      </c>
      <c r="Z638" s="23" t="str">
        <f aca="false">IF(X638="","",LEFT(X638,6))</f>
        <v/>
      </c>
      <c r="AA638" s="23" t="str">
        <f aca="false">IF(X638="","",IF(Y638&gt;=3,MID(X638,8,6),""))</f>
        <v/>
      </c>
      <c r="AB638" s="23" t="str">
        <f aca="false">IF(X638="","",IF(Y638&gt;=4,MID(X638,15,6),""))</f>
        <v/>
      </c>
      <c r="AC638" s="23" t="str">
        <f aca="false">IF(X638="","",IF(Y638&gt;=5,MID(X638,22,6),""))</f>
        <v/>
      </c>
      <c r="AD638" s="23" t="str">
        <f aca="false">IF(X638="","",RIGHT(X638,6))</f>
        <v/>
      </c>
      <c r="AE638" s="23" t="str">
        <f aca="false">IF(F638="","",IF(ISNUMBER(SEARCH("-TK",UPPER(F638))),0,1))</f>
        <v/>
      </c>
      <c r="AF638" s="23" t="str">
        <f aca="false">IF(F638="","",IF(ISNUMBER(SEARCH("-LED",UPPER(F638))),1,0))</f>
        <v/>
      </c>
      <c r="AG638" s="24" t="n">
        <f aca="false">IF(Z638="",0,IFERROR(INDEX(Resep!$C$5:$C$7,MATCH(LEFT(Z638,3),Resep!$B$5:$B$7,0)),0))</f>
        <v>0</v>
      </c>
      <c r="AH638" s="24" t="n">
        <f aca="false">IF(AA638="",0,IFERROR(INDEX(Resep!$C$9:$C$13,MATCH(LEFT(AA638,3),Resep!$B$9:$B$13,0)),0))</f>
        <v>0</v>
      </c>
      <c r="AI638" s="24" t="n">
        <f aca="false">IF(AB638="",0,IFERROR(INDEX(Resep!$C$9:$C$13,MATCH(LEFT(AB638,3),Resep!$B$9:$B$13,0)),0))</f>
        <v>0</v>
      </c>
      <c r="AJ638" s="24" t="n">
        <f aca="false">IF(AC638="",0,IFERROR(INDEX(Resep!$C$9:$C$13,MATCH(LEFT(AC638,3),Resep!$B$9:$B$13,0)),0))</f>
        <v>0</v>
      </c>
      <c r="AK638" s="24" t="n">
        <f aca="false">IF(AD638="",0,IFERROR(INDEX(Resep!$C$15:$C$18,MATCH(LEFT(AD638,3),Resep!$B$15:$B$18,0)),0))</f>
        <v>0</v>
      </c>
      <c r="AL638" s="24" t="str">
        <f aca="false">IF(X638="","",AG638+AH638+AI638+AJ638+AK638)</f>
        <v/>
      </c>
      <c r="AM638" s="22" t="str">
        <f aca="false">IF(X638="","",AL638*(Pengaturan!$B$6+Pengaturan!$B$7)+Pengaturan!$B$8+AE638*Pengaturan!$B$9+AF638*Pengaturan!$B$10)</f>
        <v/>
      </c>
      <c r="AN638" s="22" t="str">
        <f aca="false">IF(X638="","",N(G638)-AM638)</f>
        <v/>
      </c>
      <c r="AO638" s="25" t="str">
        <f aca="false">IF(OR(X638="",N(G638)=0),"",AN638/G638)</f>
        <v/>
      </c>
    </row>
    <row r="639" customFormat="false" ht="15" hidden="false" customHeight="false" outlineLevel="0" collapsed="false">
      <c r="A639" s="19"/>
      <c r="B639" s="20"/>
      <c r="C639" s="19"/>
      <c r="D639" s="19"/>
      <c r="E639" s="19"/>
      <c r="F639" s="19"/>
      <c r="G639" s="21"/>
      <c r="H639" s="19"/>
      <c r="I639" s="21"/>
      <c r="J639" s="19"/>
      <c r="K639" s="20"/>
      <c r="L639" s="20"/>
      <c r="M639" s="19"/>
      <c r="N639" s="19"/>
      <c r="O639" s="20"/>
      <c r="P639" s="20"/>
      <c r="Q639" s="19"/>
      <c r="R639" s="22" t="str">
        <f aca="false">IF(A639="","",N(G639)+N(I639))</f>
        <v/>
      </c>
      <c r="S639" s="23" t="str">
        <f aca="false">IF(OR(K639="",O639=""),"",O639-K639)</f>
        <v/>
      </c>
      <c r="T639" s="23" t="str">
        <f aca="true">IF(AND(C639="Cetak",L639&lt;&gt;"",L639&lt;TODAY()),"YA","")</f>
        <v/>
      </c>
      <c r="U639" s="23" t="str">
        <f aca="false">IF(B639="","",TEXT(B639,"yyyy-mm"))</f>
        <v/>
      </c>
      <c r="V639" s="23" t="str">
        <f aca="false">IF(K639="","",TEXT(K639,"yyyy-mm"))</f>
        <v/>
      </c>
      <c r="W639" s="23" t="n">
        <f aca="false">IF(OR(C639="Cetak",C639="Dikirim",C639="Selesai"),1,0)</f>
        <v>0</v>
      </c>
      <c r="X639" s="23" t="str">
        <f aca="false">IF(F639="","",SUBSTITUTE(SUBSTITUTE(MID(UPPER(TRIM(F639)),4,99),"-LED",""),"-TK",""))</f>
        <v/>
      </c>
      <c r="Y639" s="23" t="str">
        <f aca="false">IF(X639="","",(LEN(X639)+1)/7)</f>
        <v/>
      </c>
      <c r="Z639" s="23" t="str">
        <f aca="false">IF(X639="","",LEFT(X639,6))</f>
        <v/>
      </c>
      <c r="AA639" s="23" t="str">
        <f aca="false">IF(X639="","",IF(Y639&gt;=3,MID(X639,8,6),""))</f>
        <v/>
      </c>
      <c r="AB639" s="23" t="str">
        <f aca="false">IF(X639="","",IF(Y639&gt;=4,MID(X639,15,6),""))</f>
        <v/>
      </c>
      <c r="AC639" s="23" t="str">
        <f aca="false">IF(X639="","",IF(Y639&gt;=5,MID(X639,22,6),""))</f>
        <v/>
      </c>
      <c r="AD639" s="23" t="str">
        <f aca="false">IF(X639="","",RIGHT(X639,6))</f>
        <v/>
      </c>
      <c r="AE639" s="23" t="str">
        <f aca="false">IF(F639="","",IF(ISNUMBER(SEARCH("-TK",UPPER(F639))),0,1))</f>
        <v/>
      </c>
      <c r="AF639" s="23" t="str">
        <f aca="false">IF(F639="","",IF(ISNUMBER(SEARCH("-LED",UPPER(F639))),1,0))</f>
        <v/>
      </c>
      <c r="AG639" s="24" t="n">
        <f aca="false">IF(Z639="",0,IFERROR(INDEX(Resep!$C$5:$C$7,MATCH(LEFT(Z639,3),Resep!$B$5:$B$7,0)),0))</f>
        <v>0</v>
      </c>
      <c r="AH639" s="24" t="n">
        <f aca="false">IF(AA639="",0,IFERROR(INDEX(Resep!$C$9:$C$13,MATCH(LEFT(AA639,3),Resep!$B$9:$B$13,0)),0))</f>
        <v>0</v>
      </c>
      <c r="AI639" s="24" t="n">
        <f aca="false">IF(AB639="",0,IFERROR(INDEX(Resep!$C$9:$C$13,MATCH(LEFT(AB639,3),Resep!$B$9:$B$13,0)),0))</f>
        <v>0</v>
      </c>
      <c r="AJ639" s="24" t="n">
        <f aca="false">IF(AC639="",0,IFERROR(INDEX(Resep!$C$9:$C$13,MATCH(LEFT(AC639,3),Resep!$B$9:$B$13,0)),0))</f>
        <v>0</v>
      </c>
      <c r="AK639" s="24" t="n">
        <f aca="false">IF(AD639="",0,IFERROR(INDEX(Resep!$C$15:$C$18,MATCH(LEFT(AD639,3),Resep!$B$15:$B$18,0)),0))</f>
        <v>0</v>
      </c>
      <c r="AL639" s="24" t="str">
        <f aca="false">IF(X639="","",AG639+AH639+AI639+AJ639+AK639)</f>
        <v/>
      </c>
      <c r="AM639" s="22" t="str">
        <f aca="false">IF(X639="","",AL639*(Pengaturan!$B$6+Pengaturan!$B$7)+Pengaturan!$B$8+AE639*Pengaturan!$B$9+AF639*Pengaturan!$B$10)</f>
        <v/>
      </c>
      <c r="AN639" s="22" t="str">
        <f aca="false">IF(X639="","",N(G639)-AM639)</f>
        <v/>
      </c>
      <c r="AO639" s="25" t="str">
        <f aca="false">IF(OR(X639="",N(G639)=0),"",AN639/G639)</f>
        <v/>
      </c>
    </row>
    <row r="640" customFormat="false" ht="15" hidden="false" customHeight="false" outlineLevel="0" collapsed="false">
      <c r="A640" s="19"/>
      <c r="B640" s="20"/>
      <c r="C640" s="19"/>
      <c r="D640" s="19"/>
      <c r="E640" s="19"/>
      <c r="F640" s="19"/>
      <c r="G640" s="21"/>
      <c r="H640" s="19"/>
      <c r="I640" s="21"/>
      <c r="J640" s="19"/>
      <c r="K640" s="20"/>
      <c r="L640" s="20"/>
      <c r="M640" s="19"/>
      <c r="N640" s="19"/>
      <c r="O640" s="20"/>
      <c r="P640" s="20"/>
      <c r="Q640" s="19"/>
      <c r="R640" s="22" t="str">
        <f aca="false">IF(A640="","",N(G640)+N(I640))</f>
        <v/>
      </c>
      <c r="S640" s="23" t="str">
        <f aca="false">IF(OR(K640="",O640=""),"",O640-K640)</f>
        <v/>
      </c>
      <c r="T640" s="23" t="str">
        <f aca="true">IF(AND(C640="Cetak",L640&lt;&gt;"",L640&lt;TODAY()),"YA","")</f>
        <v/>
      </c>
      <c r="U640" s="23" t="str">
        <f aca="false">IF(B640="","",TEXT(B640,"yyyy-mm"))</f>
        <v/>
      </c>
      <c r="V640" s="23" t="str">
        <f aca="false">IF(K640="","",TEXT(K640,"yyyy-mm"))</f>
        <v/>
      </c>
      <c r="W640" s="23" t="n">
        <f aca="false">IF(OR(C640="Cetak",C640="Dikirim",C640="Selesai"),1,0)</f>
        <v>0</v>
      </c>
      <c r="X640" s="23" t="str">
        <f aca="false">IF(F640="","",SUBSTITUTE(SUBSTITUTE(MID(UPPER(TRIM(F640)),4,99),"-LED",""),"-TK",""))</f>
        <v/>
      </c>
      <c r="Y640" s="23" t="str">
        <f aca="false">IF(X640="","",(LEN(X640)+1)/7)</f>
        <v/>
      </c>
      <c r="Z640" s="23" t="str">
        <f aca="false">IF(X640="","",LEFT(X640,6))</f>
        <v/>
      </c>
      <c r="AA640" s="23" t="str">
        <f aca="false">IF(X640="","",IF(Y640&gt;=3,MID(X640,8,6),""))</f>
        <v/>
      </c>
      <c r="AB640" s="23" t="str">
        <f aca="false">IF(X640="","",IF(Y640&gt;=4,MID(X640,15,6),""))</f>
        <v/>
      </c>
      <c r="AC640" s="23" t="str">
        <f aca="false">IF(X640="","",IF(Y640&gt;=5,MID(X640,22,6),""))</f>
        <v/>
      </c>
      <c r="AD640" s="23" t="str">
        <f aca="false">IF(X640="","",RIGHT(X640,6))</f>
        <v/>
      </c>
      <c r="AE640" s="23" t="str">
        <f aca="false">IF(F640="","",IF(ISNUMBER(SEARCH("-TK",UPPER(F640))),0,1))</f>
        <v/>
      </c>
      <c r="AF640" s="23" t="str">
        <f aca="false">IF(F640="","",IF(ISNUMBER(SEARCH("-LED",UPPER(F640))),1,0))</f>
        <v/>
      </c>
      <c r="AG640" s="24" t="n">
        <f aca="false">IF(Z640="",0,IFERROR(INDEX(Resep!$C$5:$C$7,MATCH(LEFT(Z640,3),Resep!$B$5:$B$7,0)),0))</f>
        <v>0</v>
      </c>
      <c r="AH640" s="24" t="n">
        <f aca="false">IF(AA640="",0,IFERROR(INDEX(Resep!$C$9:$C$13,MATCH(LEFT(AA640,3),Resep!$B$9:$B$13,0)),0))</f>
        <v>0</v>
      </c>
      <c r="AI640" s="24" t="n">
        <f aca="false">IF(AB640="",0,IFERROR(INDEX(Resep!$C$9:$C$13,MATCH(LEFT(AB640,3),Resep!$B$9:$B$13,0)),0))</f>
        <v>0</v>
      </c>
      <c r="AJ640" s="24" t="n">
        <f aca="false">IF(AC640="",0,IFERROR(INDEX(Resep!$C$9:$C$13,MATCH(LEFT(AC640,3),Resep!$B$9:$B$13,0)),0))</f>
        <v>0</v>
      </c>
      <c r="AK640" s="24" t="n">
        <f aca="false">IF(AD640="",0,IFERROR(INDEX(Resep!$C$15:$C$18,MATCH(LEFT(AD640,3),Resep!$B$15:$B$18,0)),0))</f>
        <v>0</v>
      </c>
      <c r="AL640" s="24" t="str">
        <f aca="false">IF(X640="","",AG640+AH640+AI640+AJ640+AK640)</f>
        <v/>
      </c>
      <c r="AM640" s="22" t="str">
        <f aca="false">IF(X640="","",AL640*(Pengaturan!$B$6+Pengaturan!$B$7)+Pengaturan!$B$8+AE640*Pengaturan!$B$9+AF640*Pengaturan!$B$10)</f>
        <v/>
      </c>
      <c r="AN640" s="22" t="str">
        <f aca="false">IF(X640="","",N(G640)-AM640)</f>
        <v/>
      </c>
      <c r="AO640" s="25" t="str">
        <f aca="false">IF(OR(X640="",N(G640)=0),"",AN640/G640)</f>
        <v/>
      </c>
    </row>
    <row r="641" customFormat="false" ht="15" hidden="false" customHeight="false" outlineLevel="0" collapsed="false">
      <c r="A641" s="19"/>
      <c r="B641" s="20"/>
      <c r="C641" s="19"/>
      <c r="D641" s="19"/>
      <c r="E641" s="19"/>
      <c r="F641" s="19"/>
      <c r="G641" s="21"/>
      <c r="H641" s="19"/>
      <c r="I641" s="21"/>
      <c r="J641" s="19"/>
      <c r="K641" s="20"/>
      <c r="L641" s="20"/>
      <c r="M641" s="19"/>
      <c r="N641" s="19"/>
      <c r="O641" s="20"/>
      <c r="P641" s="20"/>
      <c r="Q641" s="19"/>
      <c r="R641" s="22" t="str">
        <f aca="false">IF(A641="","",N(G641)+N(I641))</f>
        <v/>
      </c>
      <c r="S641" s="23" t="str">
        <f aca="false">IF(OR(K641="",O641=""),"",O641-K641)</f>
        <v/>
      </c>
      <c r="T641" s="23" t="str">
        <f aca="true">IF(AND(C641="Cetak",L641&lt;&gt;"",L641&lt;TODAY()),"YA","")</f>
        <v/>
      </c>
      <c r="U641" s="23" t="str">
        <f aca="false">IF(B641="","",TEXT(B641,"yyyy-mm"))</f>
        <v/>
      </c>
      <c r="V641" s="23" t="str">
        <f aca="false">IF(K641="","",TEXT(K641,"yyyy-mm"))</f>
        <v/>
      </c>
      <c r="W641" s="23" t="n">
        <f aca="false">IF(OR(C641="Cetak",C641="Dikirim",C641="Selesai"),1,0)</f>
        <v>0</v>
      </c>
      <c r="X641" s="23" t="str">
        <f aca="false">IF(F641="","",SUBSTITUTE(SUBSTITUTE(MID(UPPER(TRIM(F641)),4,99),"-LED",""),"-TK",""))</f>
        <v/>
      </c>
      <c r="Y641" s="23" t="str">
        <f aca="false">IF(X641="","",(LEN(X641)+1)/7)</f>
        <v/>
      </c>
      <c r="Z641" s="23" t="str">
        <f aca="false">IF(X641="","",LEFT(X641,6))</f>
        <v/>
      </c>
      <c r="AA641" s="23" t="str">
        <f aca="false">IF(X641="","",IF(Y641&gt;=3,MID(X641,8,6),""))</f>
        <v/>
      </c>
      <c r="AB641" s="23" t="str">
        <f aca="false">IF(X641="","",IF(Y641&gt;=4,MID(X641,15,6),""))</f>
        <v/>
      </c>
      <c r="AC641" s="23" t="str">
        <f aca="false">IF(X641="","",IF(Y641&gt;=5,MID(X641,22,6),""))</f>
        <v/>
      </c>
      <c r="AD641" s="23" t="str">
        <f aca="false">IF(X641="","",RIGHT(X641,6))</f>
        <v/>
      </c>
      <c r="AE641" s="23" t="str">
        <f aca="false">IF(F641="","",IF(ISNUMBER(SEARCH("-TK",UPPER(F641))),0,1))</f>
        <v/>
      </c>
      <c r="AF641" s="23" t="str">
        <f aca="false">IF(F641="","",IF(ISNUMBER(SEARCH("-LED",UPPER(F641))),1,0))</f>
        <v/>
      </c>
      <c r="AG641" s="24" t="n">
        <f aca="false">IF(Z641="",0,IFERROR(INDEX(Resep!$C$5:$C$7,MATCH(LEFT(Z641,3),Resep!$B$5:$B$7,0)),0))</f>
        <v>0</v>
      </c>
      <c r="AH641" s="24" t="n">
        <f aca="false">IF(AA641="",0,IFERROR(INDEX(Resep!$C$9:$C$13,MATCH(LEFT(AA641,3),Resep!$B$9:$B$13,0)),0))</f>
        <v>0</v>
      </c>
      <c r="AI641" s="24" t="n">
        <f aca="false">IF(AB641="",0,IFERROR(INDEX(Resep!$C$9:$C$13,MATCH(LEFT(AB641,3),Resep!$B$9:$B$13,0)),0))</f>
        <v>0</v>
      </c>
      <c r="AJ641" s="24" t="n">
        <f aca="false">IF(AC641="",0,IFERROR(INDEX(Resep!$C$9:$C$13,MATCH(LEFT(AC641,3),Resep!$B$9:$B$13,0)),0))</f>
        <v>0</v>
      </c>
      <c r="AK641" s="24" t="n">
        <f aca="false">IF(AD641="",0,IFERROR(INDEX(Resep!$C$15:$C$18,MATCH(LEFT(AD641,3),Resep!$B$15:$B$18,0)),0))</f>
        <v>0</v>
      </c>
      <c r="AL641" s="24" t="str">
        <f aca="false">IF(X641="","",AG641+AH641+AI641+AJ641+AK641)</f>
        <v/>
      </c>
      <c r="AM641" s="22" t="str">
        <f aca="false">IF(X641="","",AL641*(Pengaturan!$B$6+Pengaturan!$B$7)+Pengaturan!$B$8+AE641*Pengaturan!$B$9+AF641*Pengaturan!$B$10)</f>
        <v/>
      </c>
      <c r="AN641" s="22" t="str">
        <f aca="false">IF(X641="","",N(G641)-AM641)</f>
        <v/>
      </c>
      <c r="AO641" s="25" t="str">
        <f aca="false">IF(OR(X641="",N(G641)=0),"",AN641/G641)</f>
        <v/>
      </c>
    </row>
    <row r="642" customFormat="false" ht="15" hidden="false" customHeight="false" outlineLevel="0" collapsed="false">
      <c r="A642" s="19"/>
      <c r="B642" s="20"/>
      <c r="C642" s="19"/>
      <c r="D642" s="19"/>
      <c r="E642" s="19"/>
      <c r="F642" s="19"/>
      <c r="G642" s="21"/>
      <c r="H642" s="19"/>
      <c r="I642" s="21"/>
      <c r="J642" s="19"/>
      <c r="K642" s="20"/>
      <c r="L642" s="20"/>
      <c r="M642" s="19"/>
      <c r="N642" s="19"/>
      <c r="O642" s="20"/>
      <c r="P642" s="20"/>
      <c r="Q642" s="19"/>
      <c r="R642" s="22" t="str">
        <f aca="false">IF(A642="","",N(G642)+N(I642))</f>
        <v/>
      </c>
      <c r="S642" s="23" t="str">
        <f aca="false">IF(OR(K642="",O642=""),"",O642-K642)</f>
        <v/>
      </c>
      <c r="T642" s="23" t="str">
        <f aca="true">IF(AND(C642="Cetak",L642&lt;&gt;"",L642&lt;TODAY()),"YA","")</f>
        <v/>
      </c>
      <c r="U642" s="23" t="str">
        <f aca="false">IF(B642="","",TEXT(B642,"yyyy-mm"))</f>
        <v/>
      </c>
      <c r="V642" s="23" t="str">
        <f aca="false">IF(K642="","",TEXT(K642,"yyyy-mm"))</f>
        <v/>
      </c>
      <c r="W642" s="23" t="n">
        <f aca="false">IF(OR(C642="Cetak",C642="Dikirim",C642="Selesai"),1,0)</f>
        <v>0</v>
      </c>
      <c r="X642" s="23" t="str">
        <f aca="false">IF(F642="","",SUBSTITUTE(SUBSTITUTE(MID(UPPER(TRIM(F642)),4,99),"-LED",""),"-TK",""))</f>
        <v/>
      </c>
      <c r="Y642" s="23" t="str">
        <f aca="false">IF(X642="","",(LEN(X642)+1)/7)</f>
        <v/>
      </c>
      <c r="Z642" s="23" t="str">
        <f aca="false">IF(X642="","",LEFT(X642,6))</f>
        <v/>
      </c>
      <c r="AA642" s="23" t="str">
        <f aca="false">IF(X642="","",IF(Y642&gt;=3,MID(X642,8,6),""))</f>
        <v/>
      </c>
      <c r="AB642" s="23" t="str">
        <f aca="false">IF(X642="","",IF(Y642&gt;=4,MID(X642,15,6),""))</f>
        <v/>
      </c>
      <c r="AC642" s="23" t="str">
        <f aca="false">IF(X642="","",IF(Y642&gt;=5,MID(X642,22,6),""))</f>
        <v/>
      </c>
      <c r="AD642" s="23" t="str">
        <f aca="false">IF(X642="","",RIGHT(X642,6))</f>
        <v/>
      </c>
      <c r="AE642" s="23" t="str">
        <f aca="false">IF(F642="","",IF(ISNUMBER(SEARCH("-TK",UPPER(F642))),0,1))</f>
        <v/>
      </c>
      <c r="AF642" s="23" t="str">
        <f aca="false">IF(F642="","",IF(ISNUMBER(SEARCH("-LED",UPPER(F642))),1,0))</f>
        <v/>
      </c>
      <c r="AG642" s="24" t="n">
        <f aca="false">IF(Z642="",0,IFERROR(INDEX(Resep!$C$5:$C$7,MATCH(LEFT(Z642,3),Resep!$B$5:$B$7,0)),0))</f>
        <v>0</v>
      </c>
      <c r="AH642" s="24" t="n">
        <f aca="false">IF(AA642="",0,IFERROR(INDEX(Resep!$C$9:$C$13,MATCH(LEFT(AA642,3),Resep!$B$9:$B$13,0)),0))</f>
        <v>0</v>
      </c>
      <c r="AI642" s="24" t="n">
        <f aca="false">IF(AB642="",0,IFERROR(INDEX(Resep!$C$9:$C$13,MATCH(LEFT(AB642,3),Resep!$B$9:$B$13,0)),0))</f>
        <v>0</v>
      </c>
      <c r="AJ642" s="24" t="n">
        <f aca="false">IF(AC642="",0,IFERROR(INDEX(Resep!$C$9:$C$13,MATCH(LEFT(AC642,3),Resep!$B$9:$B$13,0)),0))</f>
        <v>0</v>
      </c>
      <c r="AK642" s="24" t="n">
        <f aca="false">IF(AD642="",0,IFERROR(INDEX(Resep!$C$15:$C$18,MATCH(LEFT(AD642,3),Resep!$B$15:$B$18,0)),0))</f>
        <v>0</v>
      </c>
      <c r="AL642" s="24" t="str">
        <f aca="false">IF(X642="","",AG642+AH642+AI642+AJ642+AK642)</f>
        <v/>
      </c>
      <c r="AM642" s="22" t="str">
        <f aca="false">IF(X642="","",AL642*(Pengaturan!$B$6+Pengaturan!$B$7)+Pengaturan!$B$8+AE642*Pengaturan!$B$9+AF642*Pengaturan!$B$10)</f>
        <v/>
      </c>
      <c r="AN642" s="22" t="str">
        <f aca="false">IF(X642="","",N(G642)-AM642)</f>
        <v/>
      </c>
      <c r="AO642" s="25" t="str">
        <f aca="false">IF(OR(X642="",N(G642)=0),"",AN642/G642)</f>
        <v/>
      </c>
    </row>
    <row r="643" customFormat="false" ht="15" hidden="false" customHeight="false" outlineLevel="0" collapsed="false">
      <c r="A643" s="19"/>
      <c r="B643" s="20"/>
      <c r="C643" s="19"/>
      <c r="D643" s="19"/>
      <c r="E643" s="19"/>
      <c r="F643" s="19"/>
      <c r="G643" s="21"/>
      <c r="H643" s="19"/>
      <c r="I643" s="21"/>
      <c r="J643" s="19"/>
      <c r="K643" s="20"/>
      <c r="L643" s="20"/>
      <c r="M643" s="19"/>
      <c r="N643" s="19"/>
      <c r="O643" s="20"/>
      <c r="P643" s="20"/>
      <c r="Q643" s="19"/>
      <c r="R643" s="22" t="str">
        <f aca="false">IF(A643="","",N(G643)+N(I643))</f>
        <v/>
      </c>
      <c r="S643" s="23" t="str">
        <f aca="false">IF(OR(K643="",O643=""),"",O643-K643)</f>
        <v/>
      </c>
      <c r="T643" s="23" t="str">
        <f aca="true">IF(AND(C643="Cetak",L643&lt;&gt;"",L643&lt;TODAY()),"YA","")</f>
        <v/>
      </c>
      <c r="U643" s="23" t="str">
        <f aca="false">IF(B643="","",TEXT(B643,"yyyy-mm"))</f>
        <v/>
      </c>
      <c r="V643" s="23" t="str">
        <f aca="false">IF(K643="","",TEXT(K643,"yyyy-mm"))</f>
        <v/>
      </c>
      <c r="W643" s="23" t="n">
        <f aca="false">IF(OR(C643="Cetak",C643="Dikirim",C643="Selesai"),1,0)</f>
        <v>0</v>
      </c>
      <c r="X643" s="23" t="str">
        <f aca="false">IF(F643="","",SUBSTITUTE(SUBSTITUTE(MID(UPPER(TRIM(F643)),4,99),"-LED",""),"-TK",""))</f>
        <v/>
      </c>
      <c r="Y643" s="23" t="str">
        <f aca="false">IF(X643="","",(LEN(X643)+1)/7)</f>
        <v/>
      </c>
      <c r="Z643" s="23" t="str">
        <f aca="false">IF(X643="","",LEFT(X643,6))</f>
        <v/>
      </c>
      <c r="AA643" s="23" t="str">
        <f aca="false">IF(X643="","",IF(Y643&gt;=3,MID(X643,8,6),""))</f>
        <v/>
      </c>
      <c r="AB643" s="23" t="str">
        <f aca="false">IF(X643="","",IF(Y643&gt;=4,MID(X643,15,6),""))</f>
        <v/>
      </c>
      <c r="AC643" s="23" t="str">
        <f aca="false">IF(X643="","",IF(Y643&gt;=5,MID(X643,22,6),""))</f>
        <v/>
      </c>
      <c r="AD643" s="23" t="str">
        <f aca="false">IF(X643="","",RIGHT(X643,6))</f>
        <v/>
      </c>
      <c r="AE643" s="23" t="str">
        <f aca="false">IF(F643="","",IF(ISNUMBER(SEARCH("-TK",UPPER(F643))),0,1))</f>
        <v/>
      </c>
      <c r="AF643" s="23" t="str">
        <f aca="false">IF(F643="","",IF(ISNUMBER(SEARCH("-LED",UPPER(F643))),1,0))</f>
        <v/>
      </c>
      <c r="AG643" s="24" t="n">
        <f aca="false">IF(Z643="",0,IFERROR(INDEX(Resep!$C$5:$C$7,MATCH(LEFT(Z643,3),Resep!$B$5:$B$7,0)),0))</f>
        <v>0</v>
      </c>
      <c r="AH643" s="24" t="n">
        <f aca="false">IF(AA643="",0,IFERROR(INDEX(Resep!$C$9:$C$13,MATCH(LEFT(AA643,3),Resep!$B$9:$B$13,0)),0))</f>
        <v>0</v>
      </c>
      <c r="AI643" s="24" t="n">
        <f aca="false">IF(AB643="",0,IFERROR(INDEX(Resep!$C$9:$C$13,MATCH(LEFT(AB643,3),Resep!$B$9:$B$13,0)),0))</f>
        <v>0</v>
      </c>
      <c r="AJ643" s="24" t="n">
        <f aca="false">IF(AC643="",0,IFERROR(INDEX(Resep!$C$9:$C$13,MATCH(LEFT(AC643,3),Resep!$B$9:$B$13,0)),0))</f>
        <v>0</v>
      </c>
      <c r="AK643" s="24" t="n">
        <f aca="false">IF(AD643="",0,IFERROR(INDEX(Resep!$C$15:$C$18,MATCH(LEFT(AD643,3),Resep!$B$15:$B$18,0)),0))</f>
        <v>0</v>
      </c>
      <c r="AL643" s="24" t="str">
        <f aca="false">IF(X643="","",AG643+AH643+AI643+AJ643+AK643)</f>
        <v/>
      </c>
      <c r="AM643" s="22" t="str">
        <f aca="false">IF(X643="","",AL643*(Pengaturan!$B$6+Pengaturan!$B$7)+Pengaturan!$B$8+AE643*Pengaturan!$B$9+AF643*Pengaturan!$B$10)</f>
        <v/>
      </c>
      <c r="AN643" s="22" t="str">
        <f aca="false">IF(X643="","",N(G643)-AM643)</f>
        <v/>
      </c>
      <c r="AO643" s="25" t="str">
        <f aca="false">IF(OR(X643="",N(G643)=0),"",AN643/G643)</f>
        <v/>
      </c>
    </row>
    <row r="644" customFormat="false" ht="15" hidden="false" customHeight="false" outlineLevel="0" collapsed="false">
      <c r="A644" s="19"/>
      <c r="B644" s="20"/>
      <c r="C644" s="19"/>
      <c r="D644" s="19"/>
      <c r="E644" s="19"/>
      <c r="F644" s="19"/>
      <c r="G644" s="21"/>
      <c r="H644" s="19"/>
      <c r="I644" s="21"/>
      <c r="J644" s="19"/>
      <c r="K644" s="20"/>
      <c r="L644" s="20"/>
      <c r="M644" s="19"/>
      <c r="N644" s="19"/>
      <c r="O644" s="20"/>
      <c r="P644" s="20"/>
      <c r="Q644" s="19"/>
      <c r="R644" s="22" t="str">
        <f aca="false">IF(A644="","",N(G644)+N(I644))</f>
        <v/>
      </c>
      <c r="S644" s="23" t="str">
        <f aca="false">IF(OR(K644="",O644=""),"",O644-K644)</f>
        <v/>
      </c>
      <c r="T644" s="23" t="str">
        <f aca="true">IF(AND(C644="Cetak",L644&lt;&gt;"",L644&lt;TODAY()),"YA","")</f>
        <v/>
      </c>
      <c r="U644" s="23" t="str">
        <f aca="false">IF(B644="","",TEXT(B644,"yyyy-mm"))</f>
        <v/>
      </c>
      <c r="V644" s="23" t="str">
        <f aca="false">IF(K644="","",TEXT(K644,"yyyy-mm"))</f>
        <v/>
      </c>
      <c r="W644" s="23" t="n">
        <f aca="false">IF(OR(C644="Cetak",C644="Dikirim",C644="Selesai"),1,0)</f>
        <v>0</v>
      </c>
      <c r="X644" s="23" t="str">
        <f aca="false">IF(F644="","",SUBSTITUTE(SUBSTITUTE(MID(UPPER(TRIM(F644)),4,99),"-LED",""),"-TK",""))</f>
        <v/>
      </c>
      <c r="Y644" s="23" t="str">
        <f aca="false">IF(X644="","",(LEN(X644)+1)/7)</f>
        <v/>
      </c>
      <c r="Z644" s="23" t="str">
        <f aca="false">IF(X644="","",LEFT(X644,6))</f>
        <v/>
      </c>
      <c r="AA644" s="23" t="str">
        <f aca="false">IF(X644="","",IF(Y644&gt;=3,MID(X644,8,6),""))</f>
        <v/>
      </c>
      <c r="AB644" s="23" t="str">
        <f aca="false">IF(X644="","",IF(Y644&gt;=4,MID(X644,15,6),""))</f>
        <v/>
      </c>
      <c r="AC644" s="23" t="str">
        <f aca="false">IF(X644="","",IF(Y644&gt;=5,MID(X644,22,6),""))</f>
        <v/>
      </c>
      <c r="AD644" s="23" t="str">
        <f aca="false">IF(X644="","",RIGHT(X644,6))</f>
        <v/>
      </c>
      <c r="AE644" s="23" t="str">
        <f aca="false">IF(F644="","",IF(ISNUMBER(SEARCH("-TK",UPPER(F644))),0,1))</f>
        <v/>
      </c>
      <c r="AF644" s="23" t="str">
        <f aca="false">IF(F644="","",IF(ISNUMBER(SEARCH("-LED",UPPER(F644))),1,0))</f>
        <v/>
      </c>
      <c r="AG644" s="24" t="n">
        <f aca="false">IF(Z644="",0,IFERROR(INDEX(Resep!$C$5:$C$7,MATCH(LEFT(Z644,3),Resep!$B$5:$B$7,0)),0))</f>
        <v>0</v>
      </c>
      <c r="AH644" s="24" t="n">
        <f aca="false">IF(AA644="",0,IFERROR(INDEX(Resep!$C$9:$C$13,MATCH(LEFT(AA644,3),Resep!$B$9:$B$13,0)),0))</f>
        <v>0</v>
      </c>
      <c r="AI644" s="24" t="n">
        <f aca="false">IF(AB644="",0,IFERROR(INDEX(Resep!$C$9:$C$13,MATCH(LEFT(AB644,3),Resep!$B$9:$B$13,0)),0))</f>
        <v>0</v>
      </c>
      <c r="AJ644" s="24" t="n">
        <f aca="false">IF(AC644="",0,IFERROR(INDEX(Resep!$C$9:$C$13,MATCH(LEFT(AC644,3),Resep!$B$9:$B$13,0)),0))</f>
        <v>0</v>
      </c>
      <c r="AK644" s="24" t="n">
        <f aca="false">IF(AD644="",0,IFERROR(INDEX(Resep!$C$15:$C$18,MATCH(LEFT(AD644,3),Resep!$B$15:$B$18,0)),0))</f>
        <v>0</v>
      </c>
      <c r="AL644" s="24" t="str">
        <f aca="false">IF(X644="","",AG644+AH644+AI644+AJ644+AK644)</f>
        <v/>
      </c>
      <c r="AM644" s="22" t="str">
        <f aca="false">IF(X644="","",AL644*(Pengaturan!$B$6+Pengaturan!$B$7)+Pengaturan!$B$8+AE644*Pengaturan!$B$9+AF644*Pengaturan!$B$10)</f>
        <v/>
      </c>
      <c r="AN644" s="22" t="str">
        <f aca="false">IF(X644="","",N(G644)-AM644)</f>
        <v/>
      </c>
      <c r="AO644" s="25" t="str">
        <f aca="false">IF(OR(X644="",N(G644)=0),"",AN644/G644)</f>
        <v/>
      </c>
    </row>
    <row r="645" customFormat="false" ht="15" hidden="false" customHeight="false" outlineLevel="0" collapsed="false">
      <c r="A645" s="19"/>
      <c r="B645" s="20"/>
      <c r="C645" s="19"/>
      <c r="D645" s="19"/>
      <c r="E645" s="19"/>
      <c r="F645" s="19"/>
      <c r="G645" s="21"/>
      <c r="H645" s="19"/>
      <c r="I645" s="21"/>
      <c r="J645" s="19"/>
      <c r="K645" s="20"/>
      <c r="L645" s="20"/>
      <c r="M645" s="19"/>
      <c r="N645" s="19"/>
      <c r="O645" s="20"/>
      <c r="P645" s="20"/>
      <c r="Q645" s="19"/>
      <c r="R645" s="22" t="str">
        <f aca="false">IF(A645="","",N(G645)+N(I645))</f>
        <v/>
      </c>
      <c r="S645" s="23" t="str">
        <f aca="false">IF(OR(K645="",O645=""),"",O645-K645)</f>
        <v/>
      </c>
      <c r="T645" s="23" t="str">
        <f aca="true">IF(AND(C645="Cetak",L645&lt;&gt;"",L645&lt;TODAY()),"YA","")</f>
        <v/>
      </c>
      <c r="U645" s="23" t="str">
        <f aca="false">IF(B645="","",TEXT(B645,"yyyy-mm"))</f>
        <v/>
      </c>
      <c r="V645" s="23" t="str">
        <f aca="false">IF(K645="","",TEXT(K645,"yyyy-mm"))</f>
        <v/>
      </c>
      <c r="W645" s="23" t="n">
        <f aca="false">IF(OR(C645="Cetak",C645="Dikirim",C645="Selesai"),1,0)</f>
        <v>0</v>
      </c>
      <c r="X645" s="23" t="str">
        <f aca="false">IF(F645="","",SUBSTITUTE(SUBSTITUTE(MID(UPPER(TRIM(F645)),4,99),"-LED",""),"-TK",""))</f>
        <v/>
      </c>
      <c r="Y645" s="23" t="str">
        <f aca="false">IF(X645="","",(LEN(X645)+1)/7)</f>
        <v/>
      </c>
      <c r="Z645" s="23" t="str">
        <f aca="false">IF(X645="","",LEFT(X645,6))</f>
        <v/>
      </c>
      <c r="AA645" s="23" t="str">
        <f aca="false">IF(X645="","",IF(Y645&gt;=3,MID(X645,8,6),""))</f>
        <v/>
      </c>
      <c r="AB645" s="23" t="str">
        <f aca="false">IF(X645="","",IF(Y645&gt;=4,MID(X645,15,6),""))</f>
        <v/>
      </c>
      <c r="AC645" s="23" t="str">
        <f aca="false">IF(X645="","",IF(Y645&gt;=5,MID(X645,22,6),""))</f>
        <v/>
      </c>
      <c r="AD645" s="23" t="str">
        <f aca="false">IF(X645="","",RIGHT(X645,6))</f>
        <v/>
      </c>
      <c r="AE645" s="23" t="str">
        <f aca="false">IF(F645="","",IF(ISNUMBER(SEARCH("-TK",UPPER(F645))),0,1))</f>
        <v/>
      </c>
      <c r="AF645" s="23" t="str">
        <f aca="false">IF(F645="","",IF(ISNUMBER(SEARCH("-LED",UPPER(F645))),1,0))</f>
        <v/>
      </c>
      <c r="AG645" s="24" t="n">
        <f aca="false">IF(Z645="",0,IFERROR(INDEX(Resep!$C$5:$C$7,MATCH(LEFT(Z645,3),Resep!$B$5:$B$7,0)),0))</f>
        <v>0</v>
      </c>
      <c r="AH645" s="24" t="n">
        <f aca="false">IF(AA645="",0,IFERROR(INDEX(Resep!$C$9:$C$13,MATCH(LEFT(AA645,3),Resep!$B$9:$B$13,0)),0))</f>
        <v>0</v>
      </c>
      <c r="AI645" s="24" t="n">
        <f aca="false">IF(AB645="",0,IFERROR(INDEX(Resep!$C$9:$C$13,MATCH(LEFT(AB645,3),Resep!$B$9:$B$13,0)),0))</f>
        <v>0</v>
      </c>
      <c r="AJ645" s="24" t="n">
        <f aca="false">IF(AC645="",0,IFERROR(INDEX(Resep!$C$9:$C$13,MATCH(LEFT(AC645,3),Resep!$B$9:$B$13,0)),0))</f>
        <v>0</v>
      </c>
      <c r="AK645" s="24" t="n">
        <f aca="false">IF(AD645="",0,IFERROR(INDEX(Resep!$C$15:$C$18,MATCH(LEFT(AD645,3),Resep!$B$15:$B$18,0)),0))</f>
        <v>0</v>
      </c>
      <c r="AL645" s="24" t="str">
        <f aca="false">IF(X645="","",AG645+AH645+AI645+AJ645+AK645)</f>
        <v/>
      </c>
      <c r="AM645" s="22" t="str">
        <f aca="false">IF(X645="","",AL645*(Pengaturan!$B$6+Pengaturan!$B$7)+Pengaturan!$B$8+AE645*Pengaturan!$B$9+AF645*Pengaturan!$B$10)</f>
        <v/>
      </c>
      <c r="AN645" s="22" t="str">
        <f aca="false">IF(X645="","",N(G645)-AM645)</f>
        <v/>
      </c>
      <c r="AO645" s="25" t="str">
        <f aca="false">IF(OR(X645="",N(G645)=0),"",AN645/G645)</f>
        <v/>
      </c>
    </row>
    <row r="646" customFormat="false" ht="15" hidden="false" customHeight="false" outlineLevel="0" collapsed="false">
      <c r="A646" s="19"/>
      <c r="B646" s="20"/>
      <c r="C646" s="19"/>
      <c r="D646" s="19"/>
      <c r="E646" s="19"/>
      <c r="F646" s="19"/>
      <c r="G646" s="21"/>
      <c r="H646" s="19"/>
      <c r="I646" s="21"/>
      <c r="J646" s="19"/>
      <c r="K646" s="20"/>
      <c r="L646" s="20"/>
      <c r="M646" s="19"/>
      <c r="N646" s="19"/>
      <c r="O646" s="20"/>
      <c r="P646" s="20"/>
      <c r="Q646" s="19"/>
      <c r="R646" s="22" t="str">
        <f aca="false">IF(A646="","",N(G646)+N(I646))</f>
        <v/>
      </c>
      <c r="S646" s="23" t="str">
        <f aca="false">IF(OR(K646="",O646=""),"",O646-K646)</f>
        <v/>
      </c>
      <c r="T646" s="23" t="str">
        <f aca="true">IF(AND(C646="Cetak",L646&lt;&gt;"",L646&lt;TODAY()),"YA","")</f>
        <v/>
      </c>
      <c r="U646" s="23" t="str">
        <f aca="false">IF(B646="","",TEXT(B646,"yyyy-mm"))</f>
        <v/>
      </c>
      <c r="V646" s="23" t="str">
        <f aca="false">IF(K646="","",TEXT(K646,"yyyy-mm"))</f>
        <v/>
      </c>
      <c r="W646" s="23" t="n">
        <f aca="false">IF(OR(C646="Cetak",C646="Dikirim",C646="Selesai"),1,0)</f>
        <v>0</v>
      </c>
      <c r="X646" s="23" t="str">
        <f aca="false">IF(F646="","",SUBSTITUTE(SUBSTITUTE(MID(UPPER(TRIM(F646)),4,99),"-LED",""),"-TK",""))</f>
        <v/>
      </c>
      <c r="Y646" s="23" t="str">
        <f aca="false">IF(X646="","",(LEN(X646)+1)/7)</f>
        <v/>
      </c>
      <c r="Z646" s="23" t="str">
        <f aca="false">IF(X646="","",LEFT(X646,6))</f>
        <v/>
      </c>
      <c r="AA646" s="23" t="str">
        <f aca="false">IF(X646="","",IF(Y646&gt;=3,MID(X646,8,6),""))</f>
        <v/>
      </c>
      <c r="AB646" s="23" t="str">
        <f aca="false">IF(X646="","",IF(Y646&gt;=4,MID(X646,15,6),""))</f>
        <v/>
      </c>
      <c r="AC646" s="23" t="str">
        <f aca="false">IF(X646="","",IF(Y646&gt;=5,MID(X646,22,6),""))</f>
        <v/>
      </c>
      <c r="AD646" s="23" t="str">
        <f aca="false">IF(X646="","",RIGHT(X646,6))</f>
        <v/>
      </c>
      <c r="AE646" s="23" t="str">
        <f aca="false">IF(F646="","",IF(ISNUMBER(SEARCH("-TK",UPPER(F646))),0,1))</f>
        <v/>
      </c>
      <c r="AF646" s="23" t="str">
        <f aca="false">IF(F646="","",IF(ISNUMBER(SEARCH("-LED",UPPER(F646))),1,0))</f>
        <v/>
      </c>
      <c r="AG646" s="24" t="n">
        <f aca="false">IF(Z646="",0,IFERROR(INDEX(Resep!$C$5:$C$7,MATCH(LEFT(Z646,3),Resep!$B$5:$B$7,0)),0))</f>
        <v>0</v>
      </c>
      <c r="AH646" s="24" t="n">
        <f aca="false">IF(AA646="",0,IFERROR(INDEX(Resep!$C$9:$C$13,MATCH(LEFT(AA646,3),Resep!$B$9:$B$13,0)),0))</f>
        <v>0</v>
      </c>
      <c r="AI646" s="24" t="n">
        <f aca="false">IF(AB646="",0,IFERROR(INDEX(Resep!$C$9:$C$13,MATCH(LEFT(AB646,3),Resep!$B$9:$B$13,0)),0))</f>
        <v>0</v>
      </c>
      <c r="AJ646" s="24" t="n">
        <f aca="false">IF(AC646="",0,IFERROR(INDEX(Resep!$C$9:$C$13,MATCH(LEFT(AC646,3),Resep!$B$9:$B$13,0)),0))</f>
        <v>0</v>
      </c>
      <c r="AK646" s="24" t="n">
        <f aca="false">IF(AD646="",0,IFERROR(INDEX(Resep!$C$15:$C$18,MATCH(LEFT(AD646,3),Resep!$B$15:$B$18,0)),0))</f>
        <v>0</v>
      </c>
      <c r="AL646" s="24" t="str">
        <f aca="false">IF(X646="","",AG646+AH646+AI646+AJ646+AK646)</f>
        <v/>
      </c>
      <c r="AM646" s="22" t="str">
        <f aca="false">IF(X646="","",AL646*(Pengaturan!$B$6+Pengaturan!$B$7)+Pengaturan!$B$8+AE646*Pengaturan!$B$9+AF646*Pengaturan!$B$10)</f>
        <v/>
      </c>
      <c r="AN646" s="22" t="str">
        <f aca="false">IF(X646="","",N(G646)-AM646)</f>
        <v/>
      </c>
      <c r="AO646" s="25" t="str">
        <f aca="false">IF(OR(X646="",N(G646)=0),"",AN646/G646)</f>
        <v/>
      </c>
    </row>
    <row r="647" customFormat="false" ht="15" hidden="false" customHeight="false" outlineLevel="0" collapsed="false">
      <c r="A647" s="19"/>
      <c r="B647" s="20"/>
      <c r="C647" s="19"/>
      <c r="D647" s="19"/>
      <c r="E647" s="19"/>
      <c r="F647" s="19"/>
      <c r="G647" s="21"/>
      <c r="H647" s="19"/>
      <c r="I647" s="21"/>
      <c r="J647" s="19"/>
      <c r="K647" s="20"/>
      <c r="L647" s="20"/>
      <c r="M647" s="19"/>
      <c r="N647" s="19"/>
      <c r="O647" s="20"/>
      <c r="P647" s="20"/>
      <c r="Q647" s="19"/>
      <c r="R647" s="22" t="str">
        <f aca="false">IF(A647="","",N(G647)+N(I647))</f>
        <v/>
      </c>
      <c r="S647" s="23" t="str">
        <f aca="false">IF(OR(K647="",O647=""),"",O647-K647)</f>
        <v/>
      </c>
      <c r="T647" s="23" t="str">
        <f aca="true">IF(AND(C647="Cetak",L647&lt;&gt;"",L647&lt;TODAY()),"YA","")</f>
        <v/>
      </c>
      <c r="U647" s="23" t="str">
        <f aca="false">IF(B647="","",TEXT(B647,"yyyy-mm"))</f>
        <v/>
      </c>
      <c r="V647" s="23" t="str">
        <f aca="false">IF(K647="","",TEXT(K647,"yyyy-mm"))</f>
        <v/>
      </c>
      <c r="W647" s="23" t="n">
        <f aca="false">IF(OR(C647="Cetak",C647="Dikirim",C647="Selesai"),1,0)</f>
        <v>0</v>
      </c>
      <c r="X647" s="23" t="str">
        <f aca="false">IF(F647="","",SUBSTITUTE(SUBSTITUTE(MID(UPPER(TRIM(F647)),4,99),"-LED",""),"-TK",""))</f>
        <v/>
      </c>
      <c r="Y647" s="23" t="str">
        <f aca="false">IF(X647="","",(LEN(X647)+1)/7)</f>
        <v/>
      </c>
      <c r="Z647" s="23" t="str">
        <f aca="false">IF(X647="","",LEFT(X647,6))</f>
        <v/>
      </c>
      <c r="AA647" s="23" t="str">
        <f aca="false">IF(X647="","",IF(Y647&gt;=3,MID(X647,8,6),""))</f>
        <v/>
      </c>
      <c r="AB647" s="23" t="str">
        <f aca="false">IF(X647="","",IF(Y647&gt;=4,MID(X647,15,6),""))</f>
        <v/>
      </c>
      <c r="AC647" s="23" t="str">
        <f aca="false">IF(X647="","",IF(Y647&gt;=5,MID(X647,22,6),""))</f>
        <v/>
      </c>
      <c r="AD647" s="23" t="str">
        <f aca="false">IF(X647="","",RIGHT(X647,6))</f>
        <v/>
      </c>
      <c r="AE647" s="23" t="str">
        <f aca="false">IF(F647="","",IF(ISNUMBER(SEARCH("-TK",UPPER(F647))),0,1))</f>
        <v/>
      </c>
      <c r="AF647" s="23" t="str">
        <f aca="false">IF(F647="","",IF(ISNUMBER(SEARCH("-LED",UPPER(F647))),1,0))</f>
        <v/>
      </c>
      <c r="AG647" s="24" t="n">
        <f aca="false">IF(Z647="",0,IFERROR(INDEX(Resep!$C$5:$C$7,MATCH(LEFT(Z647,3),Resep!$B$5:$B$7,0)),0))</f>
        <v>0</v>
      </c>
      <c r="AH647" s="24" t="n">
        <f aca="false">IF(AA647="",0,IFERROR(INDEX(Resep!$C$9:$C$13,MATCH(LEFT(AA647,3),Resep!$B$9:$B$13,0)),0))</f>
        <v>0</v>
      </c>
      <c r="AI647" s="24" t="n">
        <f aca="false">IF(AB647="",0,IFERROR(INDEX(Resep!$C$9:$C$13,MATCH(LEFT(AB647,3),Resep!$B$9:$B$13,0)),0))</f>
        <v>0</v>
      </c>
      <c r="AJ647" s="24" t="n">
        <f aca="false">IF(AC647="",0,IFERROR(INDEX(Resep!$C$9:$C$13,MATCH(LEFT(AC647,3),Resep!$B$9:$B$13,0)),0))</f>
        <v>0</v>
      </c>
      <c r="AK647" s="24" t="n">
        <f aca="false">IF(AD647="",0,IFERROR(INDEX(Resep!$C$15:$C$18,MATCH(LEFT(AD647,3),Resep!$B$15:$B$18,0)),0))</f>
        <v>0</v>
      </c>
      <c r="AL647" s="24" t="str">
        <f aca="false">IF(X647="","",AG647+AH647+AI647+AJ647+AK647)</f>
        <v/>
      </c>
      <c r="AM647" s="22" t="str">
        <f aca="false">IF(X647="","",AL647*(Pengaturan!$B$6+Pengaturan!$B$7)+Pengaturan!$B$8+AE647*Pengaturan!$B$9+AF647*Pengaturan!$B$10)</f>
        <v/>
      </c>
      <c r="AN647" s="22" t="str">
        <f aca="false">IF(X647="","",N(G647)-AM647)</f>
        <v/>
      </c>
      <c r="AO647" s="25" t="str">
        <f aca="false">IF(OR(X647="",N(G647)=0),"",AN647/G647)</f>
        <v/>
      </c>
    </row>
    <row r="648" customFormat="false" ht="15" hidden="false" customHeight="false" outlineLevel="0" collapsed="false">
      <c r="A648" s="19"/>
      <c r="B648" s="20"/>
      <c r="C648" s="19"/>
      <c r="D648" s="19"/>
      <c r="E648" s="19"/>
      <c r="F648" s="19"/>
      <c r="G648" s="21"/>
      <c r="H648" s="19"/>
      <c r="I648" s="21"/>
      <c r="J648" s="19"/>
      <c r="K648" s="20"/>
      <c r="L648" s="20"/>
      <c r="M648" s="19"/>
      <c r="N648" s="19"/>
      <c r="O648" s="20"/>
      <c r="P648" s="20"/>
      <c r="Q648" s="19"/>
      <c r="R648" s="22" t="str">
        <f aca="false">IF(A648="","",N(G648)+N(I648))</f>
        <v/>
      </c>
      <c r="S648" s="23" t="str">
        <f aca="false">IF(OR(K648="",O648=""),"",O648-K648)</f>
        <v/>
      </c>
      <c r="T648" s="23" t="str">
        <f aca="true">IF(AND(C648="Cetak",L648&lt;&gt;"",L648&lt;TODAY()),"YA","")</f>
        <v/>
      </c>
      <c r="U648" s="23" t="str">
        <f aca="false">IF(B648="","",TEXT(B648,"yyyy-mm"))</f>
        <v/>
      </c>
      <c r="V648" s="23" t="str">
        <f aca="false">IF(K648="","",TEXT(K648,"yyyy-mm"))</f>
        <v/>
      </c>
      <c r="W648" s="23" t="n">
        <f aca="false">IF(OR(C648="Cetak",C648="Dikirim",C648="Selesai"),1,0)</f>
        <v>0</v>
      </c>
      <c r="X648" s="23" t="str">
        <f aca="false">IF(F648="","",SUBSTITUTE(SUBSTITUTE(MID(UPPER(TRIM(F648)),4,99),"-LED",""),"-TK",""))</f>
        <v/>
      </c>
      <c r="Y648" s="23" t="str">
        <f aca="false">IF(X648="","",(LEN(X648)+1)/7)</f>
        <v/>
      </c>
      <c r="Z648" s="23" t="str">
        <f aca="false">IF(X648="","",LEFT(X648,6))</f>
        <v/>
      </c>
      <c r="AA648" s="23" t="str">
        <f aca="false">IF(X648="","",IF(Y648&gt;=3,MID(X648,8,6),""))</f>
        <v/>
      </c>
      <c r="AB648" s="23" t="str">
        <f aca="false">IF(X648="","",IF(Y648&gt;=4,MID(X648,15,6),""))</f>
        <v/>
      </c>
      <c r="AC648" s="23" t="str">
        <f aca="false">IF(X648="","",IF(Y648&gt;=5,MID(X648,22,6),""))</f>
        <v/>
      </c>
      <c r="AD648" s="23" t="str">
        <f aca="false">IF(X648="","",RIGHT(X648,6))</f>
        <v/>
      </c>
      <c r="AE648" s="23" t="str">
        <f aca="false">IF(F648="","",IF(ISNUMBER(SEARCH("-TK",UPPER(F648))),0,1))</f>
        <v/>
      </c>
      <c r="AF648" s="23" t="str">
        <f aca="false">IF(F648="","",IF(ISNUMBER(SEARCH("-LED",UPPER(F648))),1,0))</f>
        <v/>
      </c>
      <c r="AG648" s="24" t="n">
        <f aca="false">IF(Z648="",0,IFERROR(INDEX(Resep!$C$5:$C$7,MATCH(LEFT(Z648,3),Resep!$B$5:$B$7,0)),0))</f>
        <v>0</v>
      </c>
      <c r="AH648" s="24" t="n">
        <f aca="false">IF(AA648="",0,IFERROR(INDEX(Resep!$C$9:$C$13,MATCH(LEFT(AA648,3),Resep!$B$9:$B$13,0)),0))</f>
        <v>0</v>
      </c>
      <c r="AI648" s="24" t="n">
        <f aca="false">IF(AB648="",0,IFERROR(INDEX(Resep!$C$9:$C$13,MATCH(LEFT(AB648,3),Resep!$B$9:$B$13,0)),0))</f>
        <v>0</v>
      </c>
      <c r="AJ648" s="24" t="n">
        <f aca="false">IF(AC648="",0,IFERROR(INDEX(Resep!$C$9:$C$13,MATCH(LEFT(AC648,3),Resep!$B$9:$B$13,0)),0))</f>
        <v>0</v>
      </c>
      <c r="AK648" s="24" t="n">
        <f aca="false">IF(AD648="",0,IFERROR(INDEX(Resep!$C$15:$C$18,MATCH(LEFT(AD648,3),Resep!$B$15:$B$18,0)),0))</f>
        <v>0</v>
      </c>
      <c r="AL648" s="24" t="str">
        <f aca="false">IF(X648="","",AG648+AH648+AI648+AJ648+AK648)</f>
        <v/>
      </c>
      <c r="AM648" s="22" t="str">
        <f aca="false">IF(X648="","",AL648*(Pengaturan!$B$6+Pengaturan!$B$7)+Pengaturan!$B$8+AE648*Pengaturan!$B$9+AF648*Pengaturan!$B$10)</f>
        <v/>
      </c>
      <c r="AN648" s="22" t="str">
        <f aca="false">IF(X648="","",N(G648)-AM648)</f>
        <v/>
      </c>
      <c r="AO648" s="25" t="str">
        <f aca="false">IF(OR(X648="",N(G648)=0),"",AN648/G648)</f>
        <v/>
      </c>
    </row>
    <row r="649" customFormat="false" ht="15" hidden="false" customHeight="false" outlineLevel="0" collapsed="false">
      <c r="A649" s="19"/>
      <c r="B649" s="20"/>
      <c r="C649" s="19"/>
      <c r="D649" s="19"/>
      <c r="E649" s="19"/>
      <c r="F649" s="19"/>
      <c r="G649" s="21"/>
      <c r="H649" s="19"/>
      <c r="I649" s="21"/>
      <c r="J649" s="19"/>
      <c r="K649" s="20"/>
      <c r="L649" s="20"/>
      <c r="M649" s="19"/>
      <c r="N649" s="19"/>
      <c r="O649" s="20"/>
      <c r="P649" s="20"/>
      <c r="Q649" s="19"/>
      <c r="R649" s="22" t="str">
        <f aca="false">IF(A649="","",N(G649)+N(I649))</f>
        <v/>
      </c>
      <c r="S649" s="23" t="str">
        <f aca="false">IF(OR(K649="",O649=""),"",O649-K649)</f>
        <v/>
      </c>
      <c r="T649" s="23" t="str">
        <f aca="true">IF(AND(C649="Cetak",L649&lt;&gt;"",L649&lt;TODAY()),"YA","")</f>
        <v/>
      </c>
      <c r="U649" s="23" t="str">
        <f aca="false">IF(B649="","",TEXT(B649,"yyyy-mm"))</f>
        <v/>
      </c>
      <c r="V649" s="23" t="str">
        <f aca="false">IF(K649="","",TEXT(K649,"yyyy-mm"))</f>
        <v/>
      </c>
      <c r="W649" s="23" t="n">
        <f aca="false">IF(OR(C649="Cetak",C649="Dikirim",C649="Selesai"),1,0)</f>
        <v>0</v>
      </c>
      <c r="X649" s="23" t="str">
        <f aca="false">IF(F649="","",SUBSTITUTE(SUBSTITUTE(MID(UPPER(TRIM(F649)),4,99),"-LED",""),"-TK",""))</f>
        <v/>
      </c>
      <c r="Y649" s="23" t="str">
        <f aca="false">IF(X649="","",(LEN(X649)+1)/7)</f>
        <v/>
      </c>
      <c r="Z649" s="23" t="str">
        <f aca="false">IF(X649="","",LEFT(X649,6))</f>
        <v/>
      </c>
      <c r="AA649" s="23" t="str">
        <f aca="false">IF(X649="","",IF(Y649&gt;=3,MID(X649,8,6),""))</f>
        <v/>
      </c>
      <c r="AB649" s="23" t="str">
        <f aca="false">IF(X649="","",IF(Y649&gt;=4,MID(X649,15,6),""))</f>
        <v/>
      </c>
      <c r="AC649" s="23" t="str">
        <f aca="false">IF(X649="","",IF(Y649&gt;=5,MID(X649,22,6),""))</f>
        <v/>
      </c>
      <c r="AD649" s="23" t="str">
        <f aca="false">IF(X649="","",RIGHT(X649,6))</f>
        <v/>
      </c>
      <c r="AE649" s="23" t="str">
        <f aca="false">IF(F649="","",IF(ISNUMBER(SEARCH("-TK",UPPER(F649))),0,1))</f>
        <v/>
      </c>
      <c r="AF649" s="23" t="str">
        <f aca="false">IF(F649="","",IF(ISNUMBER(SEARCH("-LED",UPPER(F649))),1,0))</f>
        <v/>
      </c>
      <c r="AG649" s="24" t="n">
        <f aca="false">IF(Z649="",0,IFERROR(INDEX(Resep!$C$5:$C$7,MATCH(LEFT(Z649,3),Resep!$B$5:$B$7,0)),0))</f>
        <v>0</v>
      </c>
      <c r="AH649" s="24" t="n">
        <f aca="false">IF(AA649="",0,IFERROR(INDEX(Resep!$C$9:$C$13,MATCH(LEFT(AA649,3),Resep!$B$9:$B$13,0)),0))</f>
        <v>0</v>
      </c>
      <c r="AI649" s="24" t="n">
        <f aca="false">IF(AB649="",0,IFERROR(INDEX(Resep!$C$9:$C$13,MATCH(LEFT(AB649,3),Resep!$B$9:$B$13,0)),0))</f>
        <v>0</v>
      </c>
      <c r="AJ649" s="24" t="n">
        <f aca="false">IF(AC649="",0,IFERROR(INDEX(Resep!$C$9:$C$13,MATCH(LEFT(AC649,3),Resep!$B$9:$B$13,0)),0))</f>
        <v>0</v>
      </c>
      <c r="AK649" s="24" t="n">
        <f aca="false">IF(AD649="",0,IFERROR(INDEX(Resep!$C$15:$C$18,MATCH(LEFT(AD649,3),Resep!$B$15:$B$18,0)),0))</f>
        <v>0</v>
      </c>
      <c r="AL649" s="24" t="str">
        <f aca="false">IF(X649="","",AG649+AH649+AI649+AJ649+AK649)</f>
        <v/>
      </c>
      <c r="AM649" s="22" t="str">
        <f aca="false">IF(X649="","",AL649*(Pengaturan!$B$6+Pengaturan!$B$7)+Pengaturan!$B$8+AE649*Pengaturan!$B$9+AF649*Pengaturan!$B$10)</f>
        <v/>
      </c>
      <c r="AN649" s="22" t="str">
        <f aca="false">IF(X649="","",N(G649)-AM649)</f>
        <v/>
      </c>
      <c r="AO649" s="25" t="str">
        <f aca="false">IF(OR(X649="",N(G649)=0),"",AN649/G649)</f>
        <v/>
      </c>
    </row>
    <row r="650" customFormat="false" ht="15" hidden="false" customHeight="false" outlineLevel="0" collapsed="false">
      <c r="A650" s="19"/>
      <c r="B650" s="20"/>
      <c r="C650" s="19"/>
      <c r="D650" s="19"/>
      <c r="E650" s="19"/>
      <c r="F650" s="19"/>
      <c r="G650" s="21"/>
      <c r="H650" s="19"/>
      <c r="I650" s="21"/>
      <c r="J650" s="19"/>
      <c r="K650" s="20"/>
      <c r="L650" s="20"/>
      <c r="M650" s="19"/>
      <c r="N650" s="19"/>
      <c r="O650" s="20"/>
      <c r="P650" s="20"/>
      <c r="Q650" s="19"/>
      <c r="R650" s="22" t="str">
        <f aca="false">IF(A650="","",N(G650)+N(I650))</f>
        <v/>
      </c>
      <c r="S650" s="23" t="str">
        <f aca="false">IF(OR(K650="",O650=""),"",O650-K650)</f>
        <v/>
      </c>
      <c r="T650" s="23" t="str">
        <f aca="true">IF(AND(C650="Cetak",L650&lt;&gt;"",L650&lt;TODAY()),"YA","")</f>
        <v/>
      </c>
      <c r="U650" s="23" t="str">
        <f aca="false">IF(B650="","",TEXT(B650,"yyyy-mm"))</f>
        <v/>
      </c>
      <c r="V650" s="23" t="str">
        <f aca="false">IF(K650="","",TEXT(K650,"yyyy-mm"))</f>
        <v/>
      </c>
      <c r="W650" s="23" t="n">
        <f aca="false">IF(OR(C650="Cetak",C650="Dikirim",C650="Selesai"),1,0)</f>
        <v>0</v>
      </c>
      <c r="X650" s="23" t="str">
        <f aca="false">IF(F650="","",SUBSTITUTE(SUBSTITUTE(MID(UPPER(TRIM(F650)),4,99),"-LED",""),"-TK",""))</f>
        <v/>
      </c>
      <c r="Y650" s="23" t="str">
        <f aca="false">IF(X650="","",(LEN(X650)+1)/7)</f>
        <v/>
      </c>
      <c r="Z650" s="23" t="str">
        <f aca="false">IF(X650="","",LEFT(X650,6))</f>
        <v/>
      </c>
      <c r="AA650" s="23" t="str">
        <f aca="false">IF(X650="","",IF(Y650&gt;=3,MID(X650,8,6),""))</f>
        <v/>
      </c>
      <c r="AB650" s="23" t="str">
        <f aca="false">IF(X650="","",IF(Y650&gt;=4,MID(X650,15,6),""))</f>
        <v/>
      </c>
      <c r="AC650" s="23" t="str">
        <f aca="false">IF(X650="","",IF(Y650&gt;=5,MID(X650,22,6),""))</f>
        <v/>
      </c>
      <c r="AD650" s="23" t="str">
        <f aca="false">IF(X650="","",RIGHT(X650,6))</f>
        <v/>
      </c>
      <c r="AE650" s="23" t="str">
        <f aca="false">IF(F650="","",IF(ISNUMBER(SEARCH("-TK",UPPER(F650))),0,1))</f>
        <v/>
      </c>
      <c r="AF650" s="23" t="str">
        <f aca="false">IF(F650="","",IF(ISNUMBER(SEARCH("-LED",UPPER(F650))),1,0))</f>
        <v/>
      </c>
      <c r="AG650" s="24" t="n">
        <f aca="false">IF(Z650="",0,IFERROR(INDEX(Resep!$C$5:$C$7,MATCH(LEFT(Z650,3),Resep!$B$5:$B$7,0)),0))</f>
        <v>0</v>
      </c>
      <c r="AH650" s="24" t="n">
        <f aca="false">IF(AA650="",0,IFERROR(INDEX(Resep!$C$9:$C$13,MATCH(LEFT(AA650,3),Resep!$B$9:$B$13,0)),0))</f>
        <v>0</v>
      </c>
      <c r="AI650" s="24" t="n">
        <f aca="false">IF(AB650="",0,IFERROR(INDEX(Resep!$C$9:$C$13,MATCH(LEFT(AB650,3),Resep!$B$9:$B$13,0)),0))</f>
        <v>0</v>
      </c>
      <c r="AJ650" s="24" t="n">
        <f aca="false">IF(AC650="",0,IFERROR(INDEX(Resep!$C$9:$C$13,MATCH(LEFT(AC650,3),Resep!$B$9:$B$13,0)),0))</f>
        <v>0</v>
      </c>
      <c r="AK650" s="24" t="n">
        <f aca="false">IF(AD650="",0,IFERROR(INDEX(Resep!$C$15:$C$18,MATCH(LEFT(AD650,3),Resep!$B$15:$B$18,0)),0))</f>
        <v>0</v>
      </c>
      <c r="AL650" s="24" t="str">
        <f aca="false">IF(X650="","",AG650+AH650+AI650+AJ650+AK650)</f>
        <v/>
      </c>
      <c r="AM650" s="22" t="str">
        <f aca="false">IF(X650="","",AL650*(Pengaturan!$B$6+Pengaturan!$B$7)+Pengaturan!$B$8+AE650*Pengaturan!$B$9+AF650*Pengaturan!$B$10)</f>
        <v/>
      </c>
      <c r="AN650" s="22" t="str">
        <f aca="false">IF(X650="","",N(G650)-AM650)</f>
        <v/>
      </c>
      <c r="AO650" s="25" t="str">
        <f aca="false">IF(OR(X650="",N(G650)=0),"",AN650/G650)</f>
        <v/>
      </c>
    </row>
    <row r="651" customFormat="false" ht="15" hidden="false" customHeight="false" outlineLevel="0" collapsed="false">
      <c r="A651" s="19"/>
      <c r="B651" s="20"/>
      <c r="C651" s="19"/>
      <c r="D651" s="19"/>
      <c r="E651" s="19"/>
      <c r="F651" s="19"/>
      <c r="G651" s="21"/>
      <c r="H651" s="19"/>
      <c r="I651" s="21"/>
      <c r="J651" s="19"/>
      <c r="K651" s="20"/>
      <c r="L651" s="20"/>
      <c r="M651" s="19"/>
      <c r="N651" s="19"/>
      <c r="O651" s="20"/>
      <c r="P651" s="20"/>
      <c r="Q651" s="19"/>
      <c r="R651" s="22" t="str">
        <f aca="false">IF(A651="","",N(G651)+N(I651))</f>
        <v/>
      </c>
      <c r="S651" s="23" t="str">
        <f aca="false">IF(OR(K651="",O651=""),"",O651-K651)</f>
        <v/>
      </c>
      <c r="T651" s="23" t="str">
        <f aca="true">IF(AND(C651="Cetak",L651&lt;&gt;"",L651&lt;TODAY()),"YA","")</f>
        <v/>
      </c>
      <c r="U651" s="23" t="str">
        <f aca="false">IF(B651="","",TEXT(B651,"yyyy-mm"))</f>
        <v/>
      </c>
      <c r="V651" s="23" t="str">
        <f aca="false">IF(K651="","",TEXT(K651,"yyyy-mm"))</f>
        <v/>
      </c>
      <c r="W651" s="23" t="n">
        <f aca="false">IF(OR(C651="Cetak",C651="Dikirim",C651="Selesai"),1,0)</f>
        <v>0</v>
      </c>
      <c r="X651" s="23" t="str">
        <f aca="false">IF(F651="","",SUBSTITUTE(SUBSTITUTE(MID(UPPER(TRIM(F651)),4,99),"-LED",""),"-TK",""))</f>
        <v/>
      </c>
      <c r="Y651" s="23" t="str">
        <f aca="false">IF(X651="","",(LEN(X651)+1)/7)</f>
        <v/>
      </c>
      <c r="Z651" s="23" t="str">
        <f aca="false">IF(X651="","",LEFT(X651,6))</f>
        <v/>
      </c>
      <c r="AA651" s="23" t="str">
        <f aca="false">IF(X651="","",IF(Y651&gt;=3,MID(X651,8,6),""))</f>
        <v/>
      </c>
      <c r="AB651" s="23" t="str">
        <f aca="false">IF(X651="","",IF(Y651&gt;=4,MID(X651,15,6),""))</f>
        <v/>
      </c>
      <c r="AC651" s="23" t="str">
        <f aca="false">IF(X651="","",IF(Y651&gt;=5,MID(X651,22,6),""))</f>
        <v/>
      </c>
      <c r="AD651" s="23" t="str">
        <f aca="false">IF(X651="","",RIGHT(X651,6))</f>
        <v/>
      </c>
      <c r="AE651" s="23" t="str">
        <f aca="false">IF(F651="","",IF(ISNUMBER(SEARCH("-TK",UPPER(F651))),0,1))</f>
        <v/>
      </c>
      <c r="AF651" s="23" t="str">
        <f aca="false">IF(F651="","",IF(ISNUMBER(SEARCH("-LED",UPPER(F651))),1,0))</f>
        <v/>
      </c>
      <c r="AG651" s="24" t="n">
        <f aca="false">IF(Z651="",0,IFERROR(INDEX(Resep!$C$5:$C$7,MATCH(LEFT(Z651,3),Resep!$B$5:$B$7,0)),0))</f>
        <v>0</v>
      </c>
      <c r="AH651" s="24" t="n">
        <f aca="false">IF(AA651="",0,IFERROR(INDEX(Resep!$C$9:$C$13,MATCH(LEFT(AA651,3),Resep!$B$9:$B$13,0)),0))</f>
        <v>0</v>
      </c>
      <c r="AI651" s="24" t="n">
        <f aca="false">IF(AB651="",0,IFERROR(INDEX(Resep!$C$9:$C$13,MATCH(LEFT(AB651,3),Resep!$B$9:$B$13,0)),0))</f>
        <v>0</v>
      </c>
      <c r="AJ651" s="24" t="n">
        <f aca="false">IF(AC651="",0,IFERROR(INDEX(Resep!$C$9:$C$13,MATCH(LEFT(AC651,3),Resep!$B$9:$B$13,0)),0))</f>
        <v>0</v>
      </c>
      <c r="AK651" s="24" t="n">
        <f aca="false">IF(AD651="",0,IFERROR(INDEX(Resep!$C$15:$C$18,MATCH(LEFT(AD651,3),Resep!$B$15:$B$18,0)),0))</f>
        <v>0</v>
      </c>
      <c r="AL651" s="24" t="str">
        <f aca="false">IF(X651="","",AG651+AH651+AI651+AJ651+AK651)</f>
        <v/>
      </c>
      <c r="AM651" s="22" t="str">
        <f aca="false">IF(X651="","",AL651*(Pengaturan!$B$6+Pengaturan!$B$7)+Pengaturan!$B$8+AE651*Pengaturan!$B$9+AF651*Pengaturan!$B$10)</f>
        <v/>
      </c>
      <c r="AN651" s="22" t="str">
        <f aca="false">IF(X651="","",N(G651)-AM651)</f>
        <v/>
      </c>
      <c r="AO651" s="25" t="str">
        <f aca="false">IF(OR(X651="",N(G651)=0),"",AN651/G651)</f>
        <v/>
      </c>
    </row>
    <row r="652" customFormat="false" ht="15" hidden="false" customHeight="false" outlineLevel="0" collapsed="false">
      <c r="A652" s="19"/>
      <c r="B652" s="20"/>
      <c r="C652" s="19"/>
      <c r="D652" s="19"/>
      <c r="E652" s="19"/>
      <c r="F652" s="19"/>
      <c r="G652" s="21"/>
      <c r="H652" s="19"/>
      <c r="I652" s="21"/>
      <c r="J652" s="19"/>
      <c r="K652" s="20"/>
      <c r="L652" s="20"/>
      <c r="M652" s="19"/>
      <c r="N652" s="19"/>
      <c r="O652" s="20"/>
      <c r="P652" s="20"/>
      <c r="Q652" s="19"/>
      <c r="R652" s="22" t="str">
        <f aca="false">IF(A652="","",N(G652)+N(I652))</f>
        <v/>
      </c>
      <c r="S652" s="23" t="str">
        <f aca="false">IF(OR(K652="",O652=""),"",O652-K652)</f>
        <v/>
      </c>
      <c r="T652" s="23" t="str">
        <f aca="true">IF(AND(C652="Cetak",L652&lt;&gt;"",L652&lt;TODAY()),"YA","")</f>
        <v/>
      </c>
      <c r="U652" s="23" t="str">
        <f aca="false">IF(B652="","",TEXT(B652,"yyyy-mm"))</f>
        <v/>
      </c>
      <c r="V652" s="23" t="str">
        <f aca="false">IF(K652="","",TEXT(K652,"yyyy-mm"))</f>
        <v/>
      </c>
      <c r="W652" s="23" t="n">
        <f aca="false">IF(OR(C652="Cetak",C652="Dikirim",C652="Selesai"),1,0)</f>
        <v>0</v>
      </c>
      <c r="X652" s="23" t="str">
        <f aca="false">IF(F652="","",SUBSTITUTE(SUBSTITUTE(MID(UPPER(TRIM(F652)),4,99),"-LED",""),"-TK",""))</f>
        <v/>
      </c>
      <c r="Y652" s="23" t="str">
        <f aca="false">IF(X652="","",(LEN(X652)+1)/7)</f>
        <v/>
      </c>
      <c r="Z652" s="23" t="str">
        <f aca="false">IF(X652="","",LEFT(X652,6))</f>
        <v/>
      </c>
      <c r="AA652" s="23" t="str">
        <f aca="false">IF(X652="","",IF(Y652&gt;=3,MID(X652,8,6),""))</f>
        <v/>
      </c>
      <c r="AB652" s="23" t="str">
        <f aca="false">IF(X652="","",IF(Y652&gt;=4,MID(X652,15,6),""))</f>
        <v/>
      </c>
      <c r="AC652" s="23" t="str">
        <f aca="false">IF(X652="","",IF(Y652&gt;=5,MID(X652,22,6),""))</f>
        <v/>
      </c>
      <c r="AD652" s="23" t="str">
        <f aca="false">IF(X652="","",RIGHT(X652,6))</f>
        <v/>
      </c>
      <c r="AE652" s="23" t="str">
        <f aca="false">IF(F652="","",IF(ISNUMBER(SEARCH("-TK",UPPER(F652))),0,1))</f>
        <v/>
      </c>
      <c r="AF652" s="23" t="str">
        <f aca="false">IF(F652="","",IF(ISNUMBER(SEARCH("-LED",UPPER(F652))),1,0))</f>
        <v/>
      </c>
      <c r="AG652" s="24" t="n">
        <f aca="false">IF(Z652="",0,IFERROR(INDEX(Resep!$C$5:$C$7,MATCH(LEFT(Z652,3),Resep!$B$5:$B$7,0)),0))</f>
        <v>0</v>
      </c>
      <c r="AH652" s="24" t="n">
        <f aca="false">IF(AA652="",0,IFERROR(INDEX(Resep!$C$9:$C$13,MATCH(LEFT(AA652,3),Resep!$B$9:$B$13,0)),0))</f>
        <v>0</v>
      </c>
      <c r="AI652" s="24" t="n">
        <f aca="false">IF(AB652="",0,IFERROR(INDEX(Resep!$C$9:$C$13,MATCH(LEFT(AB652,3),Resep!$B$9:$B$13,0)),0))</f>
        <v>0</v>
      </c>
      <c r="AJ652" s="24" t="n">
        <f aca="false">IF(AC652="",0,IFERROR(INDEX(Resep!$C$9:$C$13,MATCH(LEFT(AC652,3),Resep!$B$9:$B$13,0)),0))</f>
        <v>0</v>
      </c>
      <c r="AK652" s="24" t="n">
        <f aca="false">IF(AD652="",0,IFERROR(INDEX(Resep!$C$15:$C$18,MATCH(LEFT(AD652,3),Resep!$B$15:$B$18,0)),0))</f>
        <v>0</v>
      </c>
      <c r="AL652" s="24" t="str">
        <f aca="false">IF(X652="","",AG652+AH652+AI652+AJ652+AK652)</f>
        <v/>
      </c>
      <c r="AM652" s="22" t="str">
        <f aca="false">IF(X652="","",AL652*(Pengaturan!$B$6+Pengaturan!$B$7)+Pengaturan!$B$8+AE652*Pengaturan!$B$9+AF652*Pengaturan!$B$10)</f>
        <v/>
      </c>
      <c r="AN652" s="22" t="str">
        <f aca="false">IF(X652="","",N(G652)-AM652)</f>
        <v/>
      </c>
      <c r="AO652" s="25" t="str">
        <f aca="false">IF(OR(X652="",N(G652)=0),"",AN652/G652)</f>
        <v/>
      </c>
    </row>
    <row r="653" customFormat="false" ht="15" hidden="false" customHeight="false" outlineLevel="0" collapsed="false">
      <c r="A653" s="19"/>
      <c r="B653" s="20"/>
      <c r="C653" s="19"/>
      <c r="D653" s="19"/>
      <c r="E653" s="19"/>
      <c r="F653" s="19"/>
      <c r="G653" s="21"/>
      <c r="H653" s="19"/>
      <c r="I653" s="21"/>
      <c r="J653" s="19"/>
      <c r="K653" s="20"/>
      <c r="L653" s="20"/>
      <c r="M653" s="19"/>
      <c r="N653" s="19"/>
      <c r="O653" s="20"/>
      <c r="P653" s="20"/>
      <c r="Q653" s="19"/>
      <c r="R653" s="22" t="str">
        <f aca="false">IF(A653="","",N(G653)+N(I653))</f>
        <v/>
      </c>
      <c r="S653" s="23" t="str">
        <f aca="false">IF(OR(K653="",O653=""),"",O653-K653)</f>
        <v/>
      </c>
      <c r="T653" s="23" t="str">
        <f aca="true">IF(AND(C653="Cetak",L653&lt;&gt;"",L653&lt;TODAY()),"YA","")</f>
        <v/>
      </c>
      <c r="U653" s="23" t="str">
        <f aca="false">IF(B653="","",TEXT(B653,"yyyy-mm"))</f>
        <v/>
      </c>
      <c r="V653" s="23" t="str">
        <f aca="false">IF(K653="","",TEXT(K653,"yyyy-mm"))</f>
        <v/>
      </c>
      <c r="W653" s="23" t="n">
        <f aca="false">IF(OR(C653="Cetak",C653="Dikirim",C653="Selesai"),1,0)</f>
        <v>0</v>
      </c>
      <c r="X653" s="23" t="str">
        <f aca="false">IF(F653="","",SUBSTITUTE(SUBSTITUTE(MID(UPPER(TRIM(F653)),4,99),"-LED",""),"-TK",""))</f>
        <v/>
      </c>
      <c r="Y653" s="23" t="str">
        <f aca="false">IF(X653="","",(LEN(X653)+1)/7)</f>
        <v/>
      </c>
      <c r="Z653" s="23" t="str">
        <f aca="false">IF(X653="","",LEFT(X653,6))</f>
        <v/>
      </c>
      <c r="AA653" s="23" t="str">
        <f aca="false">IF(X653="","",IF(Y653&gt;=3,MID(X653,8,6),""))</f>
        <v/>
      </c>
      <c r="AB653" s="23" t="str">
        <f aca="false">IF(X653="","",IF(Y653&gt;=4,MID(X653,15,6),""))</f>
        <v/>
      </c>
      <c r="AC653" s="23" t="str">
        <f aca="false">IF(X653="","",IF(Y653&gt;=5,MID(X653,22,6),""))</f>
        <v/>
      </c>
      <c r="AD653" s="23" t="str">
        <f aca="false">IF(X653="","",RIGHT(X653,6))</f>
        <v/>
      </c>
      <c r="AE653" s="23" t="str">
        <f aca="false">IF(F653="","",IF(ISNUMBER(SEARCH("-TK",UPPER(F653))),0,1))</f>
        <v/>
      </c>
      <c r="AF653" s="23" t="str">
        <f aca="false">IF(F653="","",IF(ISNUMBER(SEARCH("-LED",UPPER(F653))),1,0))</f>
        <v/>
      </c>
      <c r="AG653" s="24" t="n">
        <f aca="false">IF(Z653="",0,IFERROR(INDEX(Resep!$C$5:$C$7,MATCH(LEFT(Z653,3),Resep!$B$5:$B$7,0)),0))</f>
        <v>0</v>
      </c>
      <c r="AH653" s="24" t="n">
        <f aca="false">IF(AA653="",0,IFERROR(INDEX(Resep!$C$9:$C$13,MATCH(LEFT(AA653,3),Resep!$B$9:$B$13,0)),0))</f>
        <v>0</v>
      </c>
      <c r="AI653" s="24" t="n">
        <f aca="false">IF(AB653="",0,IFERROR(INDEX(Resep!$C$9:$C$13,MATCH(LEFT(AB653,3),Resep!$B$9:$B$13,0)),0))</f>
        <v>0</v>
      </c>
      <c r="AJ653" s="24" t="n">
        <f aca="false">IF(AC653="",0,IFERROR(INDEX(Resep!$C$9:$C$13,MATCH(LEFT(AC653,3),Resep!$B$9:$B$13,0)),0))</f>
        <v>0</v>
      </c>
      <c r="AK653" s="24" t="n">
        <f aca="false">IF(AD653="",0,IFERROR(INDEX(Resep!$C$15:$C$18,MATCH(LEFT(AD653,3),Resep!$B$15:$B$18,0)),0))</f>
        <v>0</v>
      </c>
      <c r="AL653" s="24" t="str">
        <f aca="false">IF(X653="","",AG653+AH653+AI653+AJ653+AK653)</f>
        <v/>
      </c>
      <c r="AM653" s="22" t="str">
        <f aca="false">IF(X653="","",AL653*(Pengaturan!$B$6+Pengaturan!$B$7)+Pengaturan!$B$8+AE653*Pengaturan!$B$9+AF653*Pengaturan!$B$10)</f>
        <v/>
      </c>
      <c r="AN653" s="22" t="str">
        <f aca="false">IF(X653="","",N(G653)-AM653)</f>
        <v/>
      </c>
      <c r="AO653" s="25" t="str">
        <f aca="false">IF(OR(X653="",N(G653)=0),"",AN653/G653)</f>
        <v/>
      </c>
    </row>
    <row r="654" customFormat="false" ht="15" hidden="false" customHeight="false" outlineLevel="0" collapsed="false">
      <c r="A654" s="19"/>
      <c r="B654" s="20"/>
      <c r="C654" s="19"/>
      <c r="D654" s="19"/>
      <c r="E654" s="19"/>
      <c r="F654" s="19"/>
      <c r="G654" s="21"/>
      <c r="H654" s="19"/>
      <c r="I654" s="21"/>
      <c r="J654" s="19"/>
      <c r="K654" s="20"/>
      <c r="L654" s="20"/>
      <c r="M654" s="19"/>
      <c r="N654" s="19"/>
      <c r="O654" s="20"/>
      <c r="P654" s="20"/>
      <c r="Q654" s="19"/>
      <c r="R654" s="22" t="str">
        <f aca="false">IF(A654="","",N(G654)+N(I654))</f>
        <v/>
      </c>
      <c r="S654" s="23" t="str">
        <f aca="false">IF(OR(K654="",O654=""),"",O654-K654)</f>
        <v/>
      </c>
      <c r="T654" s="23" t="str">
        <f aca="true">IF(AND(C654="Cetak",L654&lt;&gt;"",L654&lt;TODAY()),"YA","")</f>
        <v/>
      </c>
      <c r="U654" s="23" t="str">
        <f aca="false">IF(B654="","",TEXT(B654,"yyyy-mm"))</f>
        <v/>
      </c>
      <c r="V654" s="23" t="str">
        <f aca="false">IF(K654="","",TEXT(K654,"yyyy-mm"))</f>
        <v/>
      </c>
      <c r="W654" s="23" t="n">
        <f aca="false">IF(OR(C654="Cetak",C654="Dikirim",C654="Selesai"),1,0)</f>
        <v>0</v>
      </c>
      <c r="X654" s="23" t="str">
        <f aca="false">IF(F654="","",SUBSTITUTE(SUBSTITUTE(MID(UPPER(TRIM(F654)),4,99),"-LED",""),"-TK",""))</f>
        <v/>
      </c>
      <c r="Y654" s="23" t="str">
        <f aca="false">IF(X654="","",(LEN(X654)+1)/7)</f>
        <v/>
      </c>
      <c r="Z654" s="23" t="str">
        <f aca="false">IF(X654="","",LEFT(X654,6))</f>
        <v/>
      </c>
      <c r="AA654" s="23" t="str">
        <f aca="false">IF(X654="","",IF(Y654&gt;=3,MID(X654,8,6),""))</f>
        <v/>
      </c>
      <c r="AB654" s="23" t="str">
        <f aca="false">IF(X654="","",IF(Y654&gt;=4,MID(X654,15,6),""))</f>
        <v/>
      </c>
      <c r="AC654" s="23" t="str">
        <f aca="false">IF(X654="","",IF(Y654&gt;=5,MID(X654,22,6),""))</f>
        <v/>
      </c>
      <c r="AD654" s="23" t="str">
        <f aca="false">IF(X654="","",RIGHT(X654,6))</f>
        <v/>
      </c>
      <c r="AE654" s="23" t="str">
        <f aca="false">IF(F654="","",IF(ISNUMBER(SEARCH("-TK",UPPER(F654))),0,1))</f>
        <v/>
      </c>
      <c r="AF654" s="23" t="str">
        <f aca="false">IF(F654="","",IF(ISNUMBER(SEARCH("-LED",UPPER(F654))),1,0))</f>
        <v/>
      </c>
      <c r="AG654" s="24" t="n">
        <f aca="false">IF(Z654="",0,IFERROR(INDEX(Resep!$C$5:$C$7,MATCH(LEFT(Z654,3),Resep!$B$5:$B$7,0)),0))</f>
        <v>0</v>
      </c>
      <c r="AH654" s="24" t="n">
        <f aca="false">IF(AA654="",0,IFERROR(INDEX(Resep!$C$9:$C$13,MATCH(LEFT(AA654,3),Resep!$B$9:$B$13,0)),0))</f>
        <v>0</v>
      </c>
      <c r="AI654" s="24" t="n">
        <f aca="false">IF(AB654="",0,IFERROR(INDEX(Resep!$C$9:$C$13,MATCH(LEFT(AB654,3),Resep!$B$9:$B$13,0)),0))</f>
        <v>0</v>
      </c>
      <c r="AJ654" s="24" t="n">
        <f aca="false">IF(AC654="",0,IFERROR(INDEX(Resep!$C$9:$C$13,MATCH(LEFT(AC654,3),Resep!$B$9:$B$13,0)),0))</f>
        <v>0</v>
      </c>
      <c r="AK654" s="24" t="n">
        <f aca="false">IF(AD654="",0,IFERROR(INDEX(Resep!$C$15:$C$18,MATCH(LEFT(AD654,3),Resep!$B$15:$B$18,0)),0))</f>
        <v>0</v>
      </c>
      <c r="AL654" s="24" t="str">
        <f aca="false">IF(X654="","",AG654+AH654+AI654+AJ654+AK654)</f>
        <v/>
      </c>
      <c r="AM654" s="22" t="str">
        <f aca="false">IF(X654="","",AL654*(Pengaturan!$B$6+Pengaturan!$B$7)+Pengaturan!$B$8+AE654*Pengaturan!$B$9+AF654*Pengaturan!$B$10)</f>
        <v/>
      </c>
      <c r="AN654" s="22" t="str">
        <f aca="false">IF(X654="","",N(G654)-AM654)</f>
        <v/>
      </c>
      <c r="AO654" s="25" t="str">
        <f aca="false">IF(OR(X654="",N(G654)=0),"",AN654/G654)</f>
        <v/>
      </c>
    </row>
    <row r="655" customFormat="false" ht="15" hidden="false" customHeight="false" outlineLevel="0" collapsed="false">
      <c r="A655" s="19"/>
      <c r="B655" s="20"/>
      <c r="C655" s="19"/>
      <c r="D655" s="19"/>
      <c r="E655" s="19"/>
      <c r="F655" s="19"/>
      <c r="G655" s="21"/>
      <c r="H655" s="19"/>
      <c r="I655" s="21"/>
      <c r="J655" s="19"/>
      <c r="K655" s="20"/>
      <c r="L655" s="20"/>
      <c r="M655" s="19"/>
      <c r="N655" s="19"/>
      <c r="O655" s="20"/>
      <c r="P655" s="20"/>
      <c r="Q655" s="19"/>
      <c r="R655" s="22" t="str">
        <f aca="false">IF(A655="","",N(G655)+N(I655))</f>
        <v/>
      </c>
      <c r="S655" s="23" t="str">
        <f aca="false">IF(OR(K655="",O655=""),"",O655-K655)</f>
        <v/>
      </c>
      <c r="T655" s="23" t="str">
        <f aca="true">IF(AND(C655="Cetak",L655&lt;&gt;"",L655&lt;TODAY()),"YA","")</f>
        <v/>
      </c>
      <c r="U655" s="23" t="str">
        <f aca="false">IF(B655="","",TEXT(B655,"yyyy-mm"))</f>
        <v/>
      </c>
      <c r="V655" s="23" t="str">
        <f aca="false">IF(K655="","",TEXT(K655,"yyyy-mm"))</f>
        <v/>
      </c>
      <c r="W655" s="23" t="n">
        <f aca="false">IF(OR(C655="Cetak",C655="Dikirim",C655="Selesai"),1,0)</f>
        <v>0</v>
      </c>
      <c r="X655" s="23" t="str">
        <f aca="false">IF(F655="","",SUBSTITUTE(SUBSTITUTE(MID(UPPER(TRIM(F655)),4,99),"-LED",""),"-TK",""))</f>
        <v/>
      </c>
      <c r="Y655" s="23" t="str">
        <f aca="false">IF(X655="","",(LEN(X655)+1)/7)</f>
        <v/>
      </c>
      <c r="Z655" s="23" t="str">
        <f aca="false">IF(X655="","",LEFT(X655,6))</f>
        <v/>
      </c>
      <c r="AA655" s="23" t="str">
        <f aca="false">IF(X655="","",IF(Y655&gt;=3,MID(X655,8,6),""))</f>
        <v/>
      </c>
      <c r="AB655" s="23" t="str">
        <f aca="false">IF(X655="","",IF(Y655&gt;=4,MID(X655,15,6),""))</f>
        <v/>
      </c>
      <c r="AC655" s="23" t="str">
        <f aca="false">IF(X655="","",IF(Y655&gt;=5,MID(X655,22,6),""))</f>
        <v/>
      </c>
      <c r="AD655" s="23" t="str">
        <f aca="false">IF(X655="","",RIGHT(X655,6))</f>
        <v/>
      </c>
      <c r="AE655" s="23" t="str">
        <f aca="false">IF(F655="","",IF(ISNUMBER(SEARCH("-TK",UPPER(F655))),0,1))</f>
        <v/>
      </c>
      <c r="AF655" s="23" t="str">
        <f aca="false">IF(F655="","",IF(ISNUMBER(SEARCH("-LED",UPPER(F655))),1,0))</f>
        <v/>
      </c>
      <c r="AG655" s="24" t="n">
        <f aca="false">IF(Z655="",0,IFERROR(INDEX(Resep!$C$5:$C$7,MATCH(LEFT(Z655,3),Resep!$B$5:$B$7,0)),0))</f>
        <v>0</v>
      </c>
      <c r="AH655" s="24" t="n">
        <f aca="false">IF(AA655="",0,IFERROR(INDEX(Resep!$C$9:$C$13,MATCH(LEFT(AA655,3),Resep!$B$9:$B$13,0)),0))</f>
        <v>0</v>
      </c>
      <c r="AI655" s="24" t="n">
        <f aca="false">IF(AB655="",0,IFERROR(INDEX(Resep!$C$9:$C$13,MATCH(LEFT(AB655,3),Resep!$B$9:$B$13,0)),0))</f>
        <v>0</v>
      </c>
      <c r="AJ655" s="24" t="n">
        <f aca="false">IF(AC655="",0,IFERROR(INDEX(Resep!$C$9:$C$13,MATCH(LEFT(AC655,3),Resep!$B$9:$B$13,0)),0))</f>
        <v>0</v>
      </c>
      <c r="AK655" s="24" t="n">
        <f aca="false">IF(AD655="",0,IFERROR(INDEX(Resep!$C$15:$C$18,MATCH(LEFT(AD655,3),Resep!$B$15:$B$18,0)),0))</f>
        <v>0</v>
      </c>
      <c r="AL655" s="24" t="str">
        <f aca="false">IF(X655="","",AG655+AH655+AI655+AJ655+AK655)</f>
        <v/>
      </c>
      <c r="AM655" s="22" t="str">
        <f aca="false">IF(X655="","",AL655*(Pengaturan!$B$6+Pengaturan!$B$7)+Pengaturan!$B$8+AE655*Pengaturan!$B$9+AF655*Pengaturan!$B$10)</f>
        <v/>
      </c>
      <c r="AN655" s="22" t="str">
        <f aca="false">IF(X655="","",N(G655)-AM655)</f>
        <v/>
      </c>
      <c r="AO655" s="25" t="str">
        <f aca="false">IF(OR(X655="",N(G655)=0),"",AN655/G655)</f>
        <v/>
      </c>
    </row>
    <row r="656" customFormat="false" ht="15" hidden="false" customHeight="false" outlineLevel="0" collapsed="false">
      <c r="A656" s="19"/>
      <c r="B656" s="20"/>
      <c r="C656" s="19"/>
      <c r="D656" s="19"/>
      <c r="E656" s="19"/>
      <c r="F656" s="19"/>
      <c r="G656" s="21"/>
      <c r="H656" s="19"/>
      <c r="I656" s="21"/>
      <c r="J656" s="19"/>
      <c r="K656" s="20"/>
      <c r="L656" s="20"/>
      <c r="M656" s="19"/>
      <c r="N656" s="19"/>
      <c r="O656" s="20"/>
      <c r="P656" s="20"/>
      <c r="Q656" s="19"/>
      <c r="R656" s="22" t="str">
        <f aca="false">IF(A656="","",N(G656)+N(I656))</f>
        <v/>
      </c>
      <c r="S656" s="23" t="str">
        <f aca="false">IF(OR(K656="",O656=""),"",O656-K656)</f>
        <v/>
      </c>
      <c r="T656" s="23" t="str">
        <f aca="true">IF(AND(C656="Cetak",L656&lt;&gt;"",L656&lt;TODAY()),"YA","")</f>
        <v/>
      </c>
      <c r="U656" s="23" t="str">
        <f aca="false">IF(B656="","",TEXT(B656,"yyyy-mm"))</f>
        <v/>
      </c>
      <c r="V656" s="23" t="str">
        <f aca="false">IF(K656="","",TEXT(K656,"yyyy-mm"))</f>
        <v/>
      </c>
      <c r="W656" s="23" t="n">
        <f aca="false">IF(OR(C656="Cetak",C656="Dikirim",C656="Selesai"),1,0)</f>
        <v>0</v>
      </c>
      <c r="X656" s="23" t="str">
        <f aca="false">IF(F656="","",SUBSTITUTE(SUBSTITUTE(MID(UPPER(TRIM(F656)),4,99),"-LED",""),"-TK",""))</f>
        <v/>
      </c>
      <c r="Y656" s="23" t="str">
        <f aca="false">IF(X656="","",(LEN(X656)+1)/7)</f>
        <v/>
      </c>
      <c r="Z656" s="23" t="str">
        <f aca="false">IF(X656="","",LEFT(X656,6))</f>
        <v/>
      </c>
      <c r="AA656" s="23" t="str">
        <f aca="false">IF(X656="","",IF(Y656&gt;=3,MID(X656,8,6),""))</f>
        <v/>
      </c>
      <c r="AB656" s="23" t="str">
        <f aca="false">IF(X656="","",IF(Y656&gt;=4,MID(X656,15,6),""))</f>
        <v/>
      </c>
      <c r="AC656" s="23" t="str">
        <f aca="false">IF(X656="","",IF(Y656&gt;=5,MID(X656,22,6),""))</f>
        <v/>
      </c>
      <c r="AD656" s="23" t="str">
        <f aca="false">IF(X656="","",RIGHT(X656,6))</f>
        <v/>
      </c>
      <c r="AE656" s="23" t="str">
        <f aca="false">IF(F656="","",IF(ISNUMBER(SEARCH("-TK",UPPER(F656))),0,1))</f>
        <v/>
      </c>
      <c r="AF656" s="23" t="str">
        <f aca="false">IF(F656="","",IF(ISNUMBER(SEARCH("-LED",UPPER(F656))),1,0))</f>
        <v/>
      </c>
      <c r="AG656" s="24" t="n">
        <f aca="false">IF(Z656="",0,IFERROR(INDEX(Resep!$C$5:$C$7,MATCH(LEFT(Z656,3),Resep!$B$5:$B$7,0)),0))</f>
        <v>0</v>
      </c>
      <c r="AH656" s="24" t="n">
        <f aca="false">IF(AA656="",0,IFERROR(INDEX(Resep!$C$9:$C$13,MATCH(LEFT(AA656,3),Resep!$B$9:$B$13,0)),0))</f>
        <v>0</v>
      </c>
      <c r="AI656" s="24" t="n">
        <f aca="false">IF(AB656="",0,IFERROR(INDEX(Resep!$C$9:$C$13,MATCH(LEFT(AB656,3),Resep!$B$9:$B$13,0)),0))</f>
        <v>0</v>
      </c>
      <c r="AJ656" s="24" t="n">
        <f aca="false">IF(AC656="",0,IFERROR(INDEX(Resep!$C$9:$C$13,MATCH(LEFT(AC656,3),Resep!$B$9:$B$13,0)),0))</f>
        <v>0</v>
      </c>
      <c r="AK656" s="24" t="n">
        <f aca="false">IF(AD656="",0,IFERROR(INDEX(Resep!$C$15:$C$18,MATCH(LEFT(AD656,3),Resep!$B$15:$B$18,0)),0))</f>
        <v>0</v>
      </c>
      <c r="AL656" s="24" t="str">
        <f aca="false">IF(X656="","",AG656+AH656+AI656+AJ656+AK656)</f>
        <v/>
      </c>
      <c r="AM656" s="22" t="str">
        <f aca="false">IF(X656="","",AL656*(Pengaturan!$B$6+Pengaturan!$B$7)+Pengaturan!$B$8+AE656*Pengaturan!$B$9+AF656*Pengaturan!$B$10)</f>
        <v/>
      </c>
      <c r="AN656" s="22" t="str">
        <f aca="false">IF(X656="","",N(G656)-AM656)</f>
        <v/>
      </c>
      <c r="AO656" s="25" t="str">
        <f aca="false">IF(OR(X656="",N(G656)=0),"",AN656/G656)</f>
        <v/>
      </c>
    </row>
    <row r="657" customFormat="false" ht="15" hidden="false" customHeight="false" outlineLevel="0" collapsed="false">
      <c r="A657" s="19"/>
      <c r="B657" s="20"/>
      <c r="C657" s="19"/>
      <c r="D657" s="19"/>
      <c r="E657" s="19"/>
      <c r="F657" s="19"/>
      <c r="G657" s="21"/>
      <c r="H657" s="19"/>
      <c r="I657" s="21"/>
      <c r="J657" s="19"/>
      <c r="K657" s="20"/>
      <c r="L657" s="20"/>
      <c r="M657" s="19"/>
      <c r="N657" s="19"/>
      <c r="O657" s="20"/>
      <c r="P657" s="20"/>
      <c r="Q657" s="19"/>
      <c r="R657" s="22" t="str">
        <f aca="false">IF(A657="","",N(G657)+N(I657))</f>
        <v/>
      </c>
      <c r="S657" s="23" t="str">
        <f aca="false">IF(OR(K657="",O657=""),"",O657-K657)</f>
        <v/>
      </c>
      <c r="T657" s="23" t="str">
        <f aca="true">IF(AND(C657="Cetak",L657&lt;&gt;"",L657&lt;TODAY()),"YA","")</f>
        <v/>
      </c>
      <c r="U657" s="23" t="str">
        <f aca="false">IF(B657="","",TEXT(B657,"yyyy-mm"))</f>
        <v/>
      </c>
      <c r="V657" s="23" t="str">
        <f aca="false">IF(K657="","",TEXT(K657,"yyyy-mm"))</f>
        <v/>
      </c>
      <c r="W657" s="23" t="n">
        <f aca="false">IF(OR(C657="Cetak",C657="Dikirim",C657="Selesai"),1,0)</f>
        <v>0</v>
      </c>
      <c r="X657" s="23" t="str">
        <f aca="false">IF(F657="","",SUBSTITUTE(SUBSTITUTE(MID(UPPER(TRIM(F657)),4,99),"-LED",""),"-TK",""))</f>
        <v/>
      </c>
      <c r="Y657" s="23" t="str">
        <f aca="false">IF(X657="","",(LEN(X657)+1)/7)</f>
        <v/>
      </c>
      <c r="Z657" s="23" t="str">
        <f aca="false">IF(X657="","",LEFT(X657,6))</f>
        <v/>
      </c>
      <c r="AA657" s="23" t="str">
        <f aca="false">IF(X657="","",IF(Y657&gt;=3,MID(X657,8,6),""))</f>
        <v/>
      </c>
      <c r="AB657" s="23" t="str">
        <f aca="false">IF(X657="","",IF(Y657&gt;=4,MID(X657,15,6),""))</f>
        <v/>
      </c>
      <c r="AC657" s="23" t="str">
        <f aca="false">IF(X657="","",IF(Y657&gt;=5,MID(X657,22,6),""))</f>
        <v/>
      </c>
      <c r="AD657" s="23" t="str">
        <f aca="false">IF(X657="","",RIGHT(X657,6))</f>
        <v/>
      </c>
      <c r="AE657" s="23" t="str">
        <f aca="false">IF(F657="","",IF(ISNUMBER(SEARCH("-TK",UPPER(F657))),0,1))</f>
        <v/>
      </c>
      <c r="AF657" s="23" t="str">
        <f aca="false">IF(F657="","",IF(ISNUMBER(SEARCH("-LED",UPPER(F657))),1,0))</f>
        <v/>
      </c>
      <c r="AG657" s="24" t="n">
        <f aca="false">IF(Z657="",0,IFERROR(INDEX(Resep!$C$5:$C$7,MATCH(LEFT(Z657,3),Resep!$B$5:$B$7,0)),0))</f>
        <v>0</v>
      </c>
      <c r="AH657" s="24" t="n">
        <f aca="false">IF(AA657="",0,IFERROR(INDEX(Resep!$C$9:$C$13,MATCH(LEFT(AA657,3),Resep!$B$9:$B$13,0)),0))</f>
        <v>0</v>
      </c>
      <c r="AI657" s="24" t="n">
        <f aca="false">IF(AB657="",0,IFERROR(INDEX(Resep!$C$9:$C$13,MATCH(LEFT(AB657,3),Resep!$B$9:$B$13,0)),0))</f>
        <v>0</v>
      </c>
      <c r="AJ657" s="24" t="n">
        <f aca="false">IF(AC657="",0,IFERROR(INDEX(Resep!$C$9:$C$13,MATCH(LEFT(AC657,3),Resep!$B$9:$B$13,0)),0))</f>
        <v>0</v>
      </c>
      <c r="AK657" s="24" t="n">
        <f aca="false">IF(AD657="",0,IFERROR(INDEX(Resep!$C$15:$C$18,MATCH(LEFT(AD657,3),Resep!$B$15:$B$18,0)),0))</f>
        <v>0</v>
      </c>
      <c r="AL657" s="24" t="str">
        <f aca="false">IF(X657="","",AG657+AH657+AI657+AJ657+AK657)</f>
        <v/>
      </c>
      <c r="AM657" s="22" t="str">
        <f aca="false">IF(X657="","",AL657*(Pengaturan!$B$6+Pengaturan!$B$7)+Pengaturan!$B$8+AE657*Pengaturan!$B$9+AF657*Pengaturan!$B$10)</f>
        <v/>
      </c>
      <c r="AN657" s="22" t="str">
        <f aca="false">IF(X657="","",N(G657)-AM657)</f>
        <v/>
      </c>
      <c r="AO657" s="25" t="str">
        <f aca="false">IF(OR(X657="",N(G657)=0),"",AN657/G657)</f>
        <v/>
      </c>
    </row>
    <row r="658" customFormat="false" ht="15" hidden="false" customHeight="false" outlineLevel="0" collapsed="false">
      <c r="A658" s="19"/>
      <c r="B658" s="20"/>
      <c r="C658" s="19"/>
      <c r="D658" s="19"/>
      <c r="E658" s="19"/>
      <c r="F658" s="19"/>
      <c r="G658" s="21"/>
      <c r="H658" s="19"/>
      <c r="I658" s="21"/>
      <c r="J658" s="19"/>
      <c r="K658" s="20"/>
      <c r="L658" s="20"/>
      <c r="M658" s="19"/>
      <c r="N658" s="19"/>
      <c r="O658" s="20"/>
      <c r="P658" s="20"/>
      <c r="Q658" s="19"/>
      <c r="R658" s="22" t="str">
        <f aca="false">IF(A658="","",N(G658)+N(I658))</f>
        <v/>
      </c>
      <c r="S658" s="23" t="str">
        <f aca="false">IF(OR(K658="",O658=""),"",O658-K658)</f>
        <v/>
      </c>
      <c r="T658" s="23" t="str">
        <f aca="true">IF(AND(C658="Cetak",L658&lt;&gt;"",L658&lt;TODAY()),"YA","")</f>
        <v/>
      </c>
      <c r="U658" s="23" t="str">
        <f aca="false">IF(B658="","",TEXT(B658,"yyyy-mm"))</f>
        <v/>
      </c>
      <c r="V658" s="23" t="str">
        <f aca="false">IF(K658="","",TEXT(K658,"yyyy-mm"))</f>
        <v/>
      </c>
      <c r="W658" s="23" t="n">
        <f aca="false">IF(OR(C658="Cetak",C658="Dikirim",C658="Selesai"),1,0)</f>
        <v>0</v>
      </c>
      <c r="X658" s="23" t="str">
        <f aca="false">IF(F658="","",SUBSTITUTE(SUBSTITUTE(MID(UPPER(TRIM(F658)),4,99),"-LED",""),"-TK",""))</f>
        <v/>
      </c>
      <c r="Y658" s="23" t="str">
        <f aca="false">IF(X658="","",(LEN(X658)+1)/7)</f>
        <v/>
      </c>
      <c r="Z658" s="23" t="str">
        <f aca="false">IF(X658="","",LEFT(X658,6))</f>
        <v/>
      </c>
      <c r="AA658" s="23" t="str">
        <f aca="false">IF(X658="","",IF(Y658&gt;=3,MID(X658,8,6),""))</f>
        <v/>
      </c>
      <c r="AB658" s="23" t="str">
        <f aca="false">IF(X658="","",IF(Y658&gt;=4,MID(X658,15,6),""))</f>
        <v/>
      </c>
      <c r="AC658" s="23" t="str">
        <f aca="false">IF(X658="","",IF(Y658&gt;=5,MID(X658,22,6),""))</f>
        <v/>
      </c>
      <c r="AD658" s="23" t="str">
        <f aca="false">IF(X658="","",RIGHT(X658,6))</f>
        <v/>
      </c>
      <c r="AE658" s="23" t="str">
        <f aca="false">IF(F658="","",IF(ISNUMBER(SEARCH("-TK",UPPER(F658))),0,1))</f>
        <v/>
      </c>
      <c r="AF658" s="23" t="str">
        <f aca="false">IF(F658="","",IF(ISNUMBER(SEARCH("-LED",UPPER(F658))),1,0))</f>
        <v/>
      </c>
      <c r="AG658" s="24" t="n">
        <f aca="false">IF(Z658="",0,IFERROR(INDEX(Resep!$C$5:$C$7,MATCH(LEFT(Z658,3),Resep!$B$5:$B$7,0)),0))</f>
        <v>0</v>
      </c>
      <c r="AH658" s="24" t="n">
        <f aca="false">IF(AA658="",0,IFERROR(INDEX(Resep!$C$9:$C$13,MATCH(LEFT(AA658,3),Resep!$B$9:$B$13,0)),0))</f>
        <v>0</v>
      </c>
      <c r="AI658" s="24" t="n">
        <f aca="false">IF(AB658="",0,IFERROR(INDEX(Resep!$C$9:$C$13,MATCH(LEFT(AB658,3),Resep!$B$9:$B$13,0)),0))</f>
        <v>0</v>
      </c>
      <c r="AJ658" s="24" t="n">
        <f aca="false">IF(AC658="",0,IFERROR(INDEX(Resep!$C$9:$C$13,MATCH(LEFT(AC658,3),Resep!$B$9:$B$13,0)),0))</f>
        <v>0</v>
      </c>
      <c r="AK658" s="24" t="n">
        <f aca="false">IF(AD658="",0,IFERROR(INDEX(Resep!$C$15:$C$18,MATCH(LEFT(AD658,3),Resep!$B$15:$B$18,0)),0))</f>
        <v>0</v>
      </c>
      <c r="AL658" s="24" t="str">
        <f aca="false">IF(X658="","",AG658+AH658+AI658+AJ658+AK658)</f>
        <v/>
      </c>
      <c r="AM658" s="22" t="str">
        <f aca="false">IF(X658="","",AL658*(Pengaturan!$B$6+Pengaturan!$B$7)+Pengaturan!$B$8+AE658*Pengaturan!$B$9+AF658*Pengaturan!$B$10)</f>
        <v/>
      </c>
      <c r="AN658" s="22" t="str">
        <f aca="false">IF(X658="","",N(G658)-AM658)</f>
        <v/>
      </c>
      <c r="AO658" s="25" t="str">
        <f aca="false">IF(OR(X658="",N(G658)=0),"",AN658/G658)</f>
        <v/>
      </c>
    </row>
    <row r="659" customFormat="false" ht="15" hidden="false" customHeight="false" outlineLevel="0" collapsed="false">
      <c r="A659" s="19"/>
      <c r="B659" s="20"/>
      <c r="C659" s="19"/>
      <c r="D659" s="19"/>
      <c r="E659" s="19"/>
      <c r="F659" s="19"/>
      <c r="G659" s="21"/>
      <c r="H659" s="19"/>
      <c r="I659" s="21"/>
      <c r="J659" s="19"/>
      <c r="K659" s="20"/>
      <c r="L659" s="20"/>
      <c r="M659" s="19"/>
      <c r="N659" s="19"/>
      <c r="O659" s="20"/>
      <c r="P659" s="20"/>
      <c r="Q659" s="19"/>
      <c r="R659" s="22" t="str">
        <f aca="false">IF(A659="","",N(G659)+N(I659))</f>
        <v/>
      </c>
      <c r="S659" s="23" t="str">
        <f aca="false">IF(OR(K659="",O659=""),"",O659-K659)</f>
        <v/>
      </c>
      <c r="T659" s="23" t="str">
        <f aca="true">IF(AND(C659="Cetak",L659&lt;&gt;"",L659&lt;TODAY()),"YA","")</f>
        <v/>
      </c>
      <c r="U659" s="23" t="str">
        <f aca="false">IF(B659="","",TEXT(B659,"yyyy-mm"))</f>
        <v/>
      </c>
      <c r="V659" s="23" t="str">
        <f aca="false">IF(K659="","",TEXT(K659,"yyyy-mm"))</f>
        <v/>
      </c>
      <c r="W659" s="23" t="n">
        <f aca="false">IF(OR(C659="Cetak",C659="Dikirim",C659="Selesai"),1,0)</f>
        <v>0</v>
      </c>
      <c r="X659" s="23" t="str">
        <f aca="false">IF(F659="","",SUBSTITUTE(SUBSTITUTE(MID(UPPER(TRIM(F659)),4,99),"-LED",""),"-TK",""))</f>
        <v/>
      </c>
      <c r="Y659" s="23" t="str">
        <f aca="false">IF(X659="","",(LEN(X659)+1)/7)</f>
        <v/>
      </c>
      <c r="Z659" s="23" t="str">
        <f aca="false">IF(X659="","",LEFT(X659,6))</f>
        <v/>
      </c>
      <c r="AA659" s="23" t="str">
        <f aca="false">IF(X659="","",IF(Y659&gt;=3,MID(X659,8,6),""))</f>
        <v/>
      </c>
      <c r="AB659" s="23" t="str">
        <f aca="false">IF(X659="","",IF(Y659&gt;=4,MID(X659,15,6),""))</f>
        <v/>
      </c>
      <c r="AC659" s="23" t="str">
        <f aca="false">IF(X659="","",IF(Y659&gt;=5,MID(X659,22,6),""))</f>
        <v/>
      </c>
      <c r="AD659" s="23" t="str">
        <f aca="false">IF(X659="","",RIGHT(X659,6))</f>
        <v/>
      </c>
      <c r="AE659" s="23" t="str">
        <f aca="false">IF(F659="","",IF(ISNUMBER(SEARCH("-TK",UPPER(F659))),0,1))</f>
        <v/>
      </c>
      <c r="AF659" s="23" t="str">
        <f aca="false">IF(F659="","",IF(ISNUMBER(SEARCH("-LED",UPPER(F659))),1,0))</f>
        <v/>
      </c>
      <c r="AG659" s="24" t="n">
        <f aca="false">IF(Z659="",0,IFERROR(INDEX(Resep!$C$5:$C$7,MATCH(LEFT(Z659,3),Resep!$B$5:$B$7,0)),0))</f>
        <v>0</v>
      </c>
      <c r="AH659" s="24" t="n">
        <f aca="false">IF(AA659="",0,IFERROR(INDEX(Resep!$C$9:$C$13,MATCH(LEFT(AA659,3),Resep!$B$9:$B$13,0)),0))</f>
        <v>0</v>
      </c>
      <c r="AI659" s="24" t="n">
        <f aca="false">IF(AB659="",0,IFERROR(INDEX(Resep!$C$9:$C$13,MATCH(LEFT(AB659,3),Resep!$B$9:$B$13,0)),0))</f>
        <v>0</v>
      </c>
      <c r="AJ659" s="24" t="n">
        <f aca="false">IF(AC659="",0,IFERROR(INDEX(Resep!$C$9:$C$13,MATCH(LEFT(AC659,3),Resep!$B$9:$B$13,0)),0))</f>
        <v>0</v>
      </c>
      <c r="AK659" s="24" t="n">
        <f aca="false">IF(AD659="",0,IFERROR(INDEX(Resep!$C$15:$C$18,MATCH(LEFT(AD659,3),Resep!$B$15:$B$18,0)),0))</f>
        <v>0</v>
      </c>
      <c r="AL659" s="24" t="str">
        <f aca="false">IF(X659="","",AG659+AH659+AI659+AJ659+AK659)</f>
        <v/>
      </c>
      <c r="AM659" s="22" t="str">
        <f aca="false">IF(X659="","",AL659*(Pengaturan!$B$6+Pengaturan!$B$7)+Pengaturan!$B$8+AE659*Pengaturan!$B$9+AF659*Pengaturan!$B$10)</f>
        <v/>
      </c>
      <c r="AN659" s="22" t="str">
        <f aca="false">IF(X659="","",N(G659)-AM659)</f>
        <v/>
      </c>
      <c r="AO659" s="25" t="str">
        <f aca="false">IF(OR(X659="",N(G659)=0),"",AN659/G659)</f>
        <v/>
      </c>
    </row>
    <row r="660" customFormat="false" ht="15" hidden="false" customHeight="false" outlineLevel="0" collapsed="false">
      <c r="A660" s="19"/>
      <c r="B660" s="20"/>
      <c r="C660" s="19"/>
      <c r="D660" s="19"/>
      <c r="E660" s="19"/>
      <c r="F660" s="19"/>
      <c r="G660" s="21"/>
      <c r="H660" s="19"/>
      <c r="I660" s="21"/>
      <c r="J660" s="19"/>
      <c r="K660" s="20"/>
      <c r="L660" s="20"/>
      <c r="M660" s="19"/>
      <c r="N660" s="19"/>
      <c r="O660" s="20"/>
      <c r="P660" s="20"/>
      <c r="Q660" s="19"/>
      <c r="R660" s="22" t="str">
        <f aca="false">IF(A660="","",N(G660)+N(I660))</f>
        <v/>
      </c>
      <c r="S660" s="23" t="str">
        <f aca="false">IF(OR(K660="",O660=""),"",O660-K660)</f>
        <v/>
      </c>
      <c r="T660" s="23" t="str">
        <f aca="true">IF(AND(C660="Cetak",L660&lt;&gt;"",L660&lt;TODAY()),"YA","")</f>
        <v/>
      </c>
      <c r="U660" s="23" t="str">
        <f aca="false">IF(B660="","",TEXT(B660,"yyyy-mm"))</f>
        <v/>
      </c>
      <c r="V660" s="23" t="str">
        <f aca="false">IF(K660="","",TEXT(K660,"yyyy-mm"))</f>
        <v/>
      </c>
      <c r="W660" s="23" t="n">
        <f aca="false">IF(OR(C660="Cetak",C660="Dikirim",C660="Selesai"),1,0)</f>
        <v>0</v>
      </c>
      <c r="X660" s="23" t="str">
        <f aca="false">IF(F660="","",SUBSTITUTE(SUBSTITUTE(MID(UPPER(TRIM(F660)),4,99),"-LED",""),"-TK",""))</f>
        <v/>
      </c>
      <c r="Y660" s="23" t="str">
        <f aca="false">IF(X660="","",(LEN(X660)+1)/7)</f>
        <v/>
      </c>
      <c r="Z660" s="23" t="str">
        <f aca="false">IF(X660="","",LEFT(X660,6))</f>
        <v/>
      </c>
      <c r="AA660" s="23" t="str">
        <f aca="false">IF(X660="","",IF(Y660&gt;=3,MID(X660,8,6),""))</f>
        <v/>
      </c>
      <c r="AB660" s="23" t="str">
        <f aca="false">IF(X660="","",IF(Y660&gt;=4,MID(X660,15,6),""))</f>
        <v/>
      </c>
      <c r="AC660" s="23" t="str">
        <f aca="false">IF(X660="","",IF(Y660&gt;=5,MID(X660,22,6),""))</f>
        <v/>
      </c>
      <c r="AD660" s="23" t="str">
        <f aca="false">IF(X660="","",RIGHT(X660,6))</f>
        <v/>
      </c>
      <c r="AE660" s="23" t="str">
        <f aca="false">IF(F660="","",IF(ISNUMBER(SEARCH("-TK",UPPER(F660))),0,1))</f>
        <v/>
      </c>
      <c r="AF660" s="23" t="str">
        <f aca="false">IF(F660="","",IF(ISNUMBER(SEARCH("-LED",UPPER(F660))),1,0))</f>
        <v/>
      </c>
      <c r="AG660" s="24" t="n">
        <f aca="false">IF(Z660="",0,IFERROR(INDEX(Resep!$C$5:$C$7,MATCH(LEFT(Z660,3),Resep!$B$5:$B$7,0)),0))</f>
        <v>0</v>
      </c>
      <c r="AH660" s="24" t="n">
        <f aca="false">IF(AA660="",0,IFERROR(INDEX(Resep!$C$9:$C$13,MATCH(LEFT(AA660,3),Resep!$B$9:$B$13,0)),0))</f>
        <v>0</v>
      </c>
      <c r="AI660" s="24" t="n">
        <f aca="false">IF(AB660="",0,IFERROR(INDEX(Resep!$C$9:$C$13,MATCH(LEFT(AB660,3),Resep!$B$9:$B$13,0)),0))</f>
        <v>0</v>
      </c>
      <c r="AJ660" s="24" t="n">
        <f aca="false">IF(AC660="",0,IFERROR(INDEX(Resep!$C$9:$C$13,MATCH(LEFT(AC660,3),Resep!$B$9:$B$13,0)),0))</f>
        <v>0</v>
      </c>
      <c r="AK660" s="24" t="n">
        <f aca="false">IF(AD660="",0,IFERROR(INDEX(Resep!$C$15:$C$18,MATCH(LEFT(AD660,3),Resep!$B$15:$B$18,0)),0))</f>
        <v>0</v>
      </c>
      <c r="AL660" s="24" t="str">
        <f aca="false">IF(X660="","",AG660+AH660+AI660+AJ660+AK660)</f>
        <v/>
      </c>
      <c r="AM660" s="22" t="str">
        <f aca="false">IF(X660="","",AL660*(Pengaturan!$B$6+Pengaturan!$B$7)+Pengaturan!$B$8+AE660*Pengaturan!$B$9+AF660*Pengaturan!$B$10)</f>
        <v/>
      </c>
      <c r="AN660" s="22" t="str">
        <f aca="false">IF(X660="","",N(G660)-AM660)</f>
        <v/>
      </c>
      <c r="AO660" s="25" t="str">
        <f aca="false">IF(OR(X660="",N(G660)=0),"",AN660/G660)</f>
        <v/>
      </c>
    </row>
    <row r="661" customFormat="false" ht="15" hidden="false" customHeight="false" outlineLevel="0" collapsed="false">
      <c r="A661" s="19"/>
      <c r="B661" s="20"/>
      <c r="C661" s="19"/>
      <c r="D661" s="19"/>
      <c r="E661" s="19"/>
      <c r="F661" s="19"/>
      <c r="G661" s="21"/>
      <c r="H661" s="19"/>
      <c r="I661" s="21"/>
      <c r="J661" s="19"/>
      <c r="K661" s="20"/>
      <c r="L661" s="20"/>
      <c r="M661" s="19"/>
      <c r="N661" s="19"/>
      <c r="O661" s="20"/>
      <c r="P661" s="20"/>
      <c r="Q661" s="19"/>
      <c r="R661" s="22" t="str">
        <f aca="false">IF(A661="","",N(G661)+N(I661))</f>
        <v/>
      </c>
      <c r="S661" s="23" t="str">
        <f aca="false">IF(OR(K661="",O661=""),"",O661-K661)</f>
        <v/>
      </c>
      <c r="T661" s="23" t="str">
        <f aca="true">IF(AND(C661="Cetak",L661&lt;&gt;"",L661&lt;TODAY()),"YA","")</f>
        <v/>
      </c>
      <c r="U661" s="23" t="str">
        <f aca="false">IF(B661="","",TEXT(B661,"yyyy-mm"))</f>
        <v/>
      </c>
      <c r="V661" s="23" t="str">
        <f aca="false">IF(K661="","",TEXT(K661,"yyyy-mm"))</f>
        <v/>
      </c>
      <c r="W661" s="23" t="n">
        <f aca="false">IF(OR(C661="Cetak",C661="Dikirim",C661="Selesai"),1,0)</f>
        <v>0</v>
      </c>
      <c r="X661" s="23" t="str">
        <f aca="false">IF(F661="","",SUBSTITUTE(SUBSTITUTE(MID(UPPER(TRIM(F661)),4,99),"-LED",""),"-TK",""))</f>
        <v/>
      </c>
      <c r="Y661" s="23" t="str">
        <f aca="false">IF(X661="","",(LEN(X661)+1)/7)</f>
        <v/>
      </c>
      <c r="Z661" s="23" t="str">
        <f aca="false">IF(X661="","",LEFT(X661,6))</f>
        <v/>
      </c>
      <c r="AA661" s="23" t="str">
        <f aca="false">IF(X661="","",IF(Y661&gt;=3,MID(X661,8,6),""))</f>
        <v/>
      </c>
      <c r="AB661" s="23" t="str">
        <f aca="false">IF(X661="","",IF(Y661&gt;=4,MID(X661,15,6),""))</f>
        <v/>
      </c>
      <c r="AC661" s="23" t="str">
        <f aca="false">IF(X661="","",IF(Y661&gt;=5,MID(X661,22,6),""))</f>
        <v/>
      </c>
      <c r="AD661" s="23" t="str">
        <f aca="false">IF(X661="","",RIGHT(X661,6))</f>
        <v/>
      </c>
      <c r="AE661" s="23" t="str">
        <f aca="false">IF(F661="","",IF(ISNUMBER(SEARCH("-TK",UPPER(F661))),0,1))</f>
        <v/>
      </c>
      <c r="AF661" s="23" t="str">
        <f aca="false">IF(F661="","",IF(ISNUMBER(SEARCH("-LED",UPPER(F661))),1,0))</f>
        <v/>
      </c>
      <c r="AG661" s="24" t="n">
        <f aca="false">IF(Z661="",0,IFERROR(INDEX(Resep!$C$5:$C$7,MATCH(LEFT(Z661,3),Resep!$B$5:$B$7,0)),0))</f>
        <v>0</v>
      </c>
      <c r="AH661" s="24" t="n">
        <f aca="false">IF(AA661="",0,IFERROR(INDEX(Resep!$C$9:$C$13,MATCH(LEFT(AA661,3),Resep!$B$9:$B$13,0)),0))</f>
        <v>0</v>
      </c>
      <c r="AI661" s="24" t="n">
        <f aca="false">IF(AB661="",0,IFERROR(INDEX(Resep!$C$9:$C$13,MATCH(LEFT(AB661,3),Resep!$B$9:$B$13,0)),0))</f>
        <v>0</v>
      </c>
      <c r="AJ661" s="24" t="n">
        <f aca="false">IF(AC661="",0,IFERROR(INDEX(Resep!$C$9:$C$13,MATCH(LEFT(AC661,3),Resep!$B$9:$B$13,0)),0))</f>
        <v>0</v>
      </c>
      <c r="AK661" s="24" t="n">
        <f aca="false">IF(AD661="",0,IFERROR(INDEX(Resep!$C$15:$C$18,MATCH(LEFT(AD661,3),Resep!$B$15:$B$18,0)),0))</f>
        <v>0</v>
      </c>
      <c r="AL661" s="24" t="str">
        <f aca="false">IF(X661="","",AG661+AH661+AI661+AJ661+AK661)</f>
        <v/>
      </c>
      <c r="AM661" s="22" t="str">
        <f aca="false">IF(X661="","",AL661*(Pengaturan!$B$6+Pengaturan!$B$7)+Pengaturan!$B$8+AE661*Pengaturan!$B$9+AF661*Pengaturan!$B$10)</f>
        <v/>
      </c>
      <c r="AN661" s="22" t="str">
        <f aca="false">IF(X661="","",N(G661)-AM661)</f>
        <v/>
      </c>
      <c r="AO661" s="25" t="str">
        <f aca="false">IF(OR(X661="",N(G661)=0),"",AN661/G661)</f>
        <v/>
      </c>
    </row>
    <row r="662" customFormat="false" ht="15" hidden="false" customHeight="false" outlineLevel="0" collapsed="false">
      <c r="A662" s="19"/>
      <c r="B662" s="20"/>
      <c r="C662" s="19"/>
      <c r="D662" s="19"/>
      <c r="E662" s="19"/>
      <c r="F662" s="19"/>
      <c r="G662" s="21"/>
      <c r="H662" s="19"/>
      <c r="I662" s="21"/>
      <c r="J662" s="19"/>
      <c r="K662" s="20"/>
      <c r="L662" s="20"/>
      <c r="M662" s="19"/>
      <c r="N662" s="19"/>
      <c r="O662" s="20"/>
      <c r="P662" s="20"/>
      <c r="Q662" s="19"/>
      <c r="R662" s="22" t="str">
        <f aca="false">IF(A662="","",N(G662)+N(I662))</f>
        <v/>
      </c>
      <c r="S662" s="23" t="str">
        <f aca="false">IF(OR(K662="",O662=""),"",O662-K662)</f>
        <v/>
      </c>
      <c r="T662" s="23" t="str">
        <f aca="true">IF(AND(C662="Cetak",L662&lt;&gt;"",L662&lt;TODAY()),"YA","")</f>
        <v/>
      </c>
      <c r="U662" s="23" t="str">
        <f aca="false">IF(B662="","",TEXT(B662,"yyyy-mm"))</f>
        <v/>
      </c>
      <c r="V662" s="23" t="str">
        <f aca="false">IF(K662="","",TEXT(K662,"yyyy-mm"))</f>
        <v/>
      </c>
      <c r="W662" s="23" t="n">
        <f aca="false">IF(OR(C662="Cetak",C662="Dikirim",C662="Selesai"),1,0)</f>
        <v>0</v>
      </c>
      <c r="X662" s="23" t="str">
        <f aca="false">IF(F662="","",SUBSTITUTE(SUBSTITUTE(MID(UPPER(TRIM(F662)),4,99),"-LED",""),"-TK",""))</f>
        <v/>
      </c>
      <c r="Y662" s="23" t="str">
        <f aca="false">IF(X662="","",(LEN(X662)+1)/7)</f>
        <v/>
      </c>
      <c r="Z662" s="23" t="str">
        <f aca="false">IF(X662="","",LEFT(X662,6))</f>
        <v/>
      </c>
      <c r="AA662" s="23" t="str">
        <f aca="false">IF(X662="","",IF(Y662&gt;=3,MID(X662,8,6),""))</f>
        <v/>
      </c>
      <c r="AB662" s="23" t="str">
        <f aca="false">IF(X662="","",IF(Y662&gt;=4,MID(X662,15,6),""))</f>
        <v/>
      </c>
      <c r="AC662" s="23" t="str">
        <f aca="false">IF(X662="","",IF(Y662&gt;=5,MID(X662,22,6),""))</f>
        <v/>
      </c>
      <c r="AD662" s="23" t="str">
        <f aca="false">IF(X662="","",RIGHT(X662,6))</f>
        <v/>
      </c>
      <c r="AE662" s="23" t="str">
        <f aca="false">IF(F662="","",IF(ISNUMBER(SEARCH("-TK",UPPER(F662))),0,1))</f>
        <v/>
      </c>
      <c r="AF662" s="23" t="str">
        <f aca="false">IF(F662="","",IF(ISNUMBER(SEARCH("-LED",UPPER(F662))),1,0))</f>
        <v/>
      </c>
      <c r="AG662" s="24" t="n">
        <f aca="false">IF(Z662="",0,IFERROR(INDEX(Resep!$C$5:$C$7,MATCH(LEFT(Z662,3),Resep!$B$5:$B$7,0)),0))</f>
        <v>0</v>
      </c>
      <c r="AH662" s="24" t="n">
        <f aca="false">IF(AA662="",0,IFERROR(INDEX(Resep!$C$9:$C$13,MATCH(LEFT(AA662,3),Resep!$B$9:$B$13,0)),0))</f>
        <v>0</v>
      </c>
      <c r="AI662" s="24" t="n">
        <f aca="false">IF(AB662="",0,IFERROR(INDEX(Resep!$C$9:$C$13,MATCH(LEFT(AB662,3),Resep!$B$9:$B$13,0)),0))</f>
        <v>0</v>
      </c>
      <c r="AJ662" s="24" t="n">
        <f aca="false">IF(AC662="",0,IFERROR(INDEX(Resep!$C$9:$C$13,MATCH(LEFT(AC662,3),Resep!$B$9:$B$13,0)),0))</f>
        <v>0</v>
      </c>
      <c r="AK662" s="24" t="n">
        <f aca="false">IF(AD662="",0,IFERROR(INDEX(Resep!$C$15:$C$18,MATCH(LEFT(AD662,3),Resep!$B$15:$B$18,0)),0))</f>
        <v>0</v>
      </c>
      <c r="AL662" s="24" t="str">
        <f aca="false">IF(X662="","",AG662+AH662+AI662+AJ662+AK662)</f>
        <v/>
      </c>
      <c r="AM662" s="22" t="str">
        <f aca="false">IF(X662="","",AL662*(Pengaturan!$B$6+Pengaturan!$B$7)+Pengaturan!$B$8+AE662*Pengaturan!$B$9+AF662*Pengaturan!$B$10)</f>
        <v/>
      </c>
      <c r="AN662" s="22" t="str">
        <f aca="false">IF(X662="","",N(G662)-AM662)</f>
        <v/>
      </c>
      <c r="AO662" s="25" t="str">
        <f aca="false">IF(OR(X662="",N(G662)=0),"",AN662/G662)</f>
        <v/>
      </c>
    </row>
    <row r="663" customFormat="false" ht="15" hidden="false" customHeight="false" outlineLevel="0" collapsed="false">
      <c r="A663" s="19"/>
      <c r="B663" s="20"/>
      <c r="C663" s="19"/>
      <c r="D663" s="19"/>
      <c r="E663" s="19"/>
      <c r="F663" s="19"/>
      <c r="G663" s="21"/>
      <c r="H663" s="19"/>
      <c r="I663" s="21"/>
      <c r="J663" s="19"/>
      <c r="K663" s="20"/>
      <c r="L663" s="20"/>
      <c r="M663" s="19"/>
      <c r="N663" s="19"/>
      <c r="O663" s="20"/>
      <c r="P663" s="20"/>
      <c r="Q663" s="19"/>
      <c r="R663" s="22" t="str">
        <f aca="false">IF(A663="","",N(G663)+N(I663))</f>
        <v/>
      </c>
      <c r="S663" s="23" t="str">
        <f aca="false">IF(OR(K663="",O663=""),"",O663-K663)</f>
        <v/>
      </c>
      <c r="T663" s="23" t="str">
        <f aca="true">IF(AND(C663="Cetak",L663&lt;&gt;"",L663&lt;TODAY()),"YA","")</f>
        <v/>
      </c>
      <c r="U663" s="23" t="str">
        <f aca="false">IF(B663="","",TEXT(B663,"yyyy-mm"))</f>
        <v/>
      </c>
      <c r="V663" s="23" t="str">
        <f aca="false">IF(K663="","",TEXT(K663,"yyyy-mm"))</f>
        <v/>
      </c>
      <c r="W663" s="23" t="n">
        <f aca="false">IF(OR(C663="Cetak",C663="Dikirim",C663="Selesai"),1,0)</f>
        <v>0</v>
      </c>
      <c r="X663" s="23" t="str">
        <f aca="false">IF(F663="","",SUBSTITUTE(SUBSTITUTE(MID(UPPER(TRIM(F663)),4,99),"-LED",""),"-TK",""))</f>
        <v/>
      </c>
      <c r="Y663" s="23" t="str">
        <f aca="false">IF(X663="","",(LEN(X663)+1)/7)</f>
        <v/>
      </c>
      <c r="Z663" s="23" t="str">
        <f aca="false">IF(X663="","",LEFT(X663,6))</f>
        <v/>
      </c>
      <c r="AA663" s="23" t="str">
        <f aca="false">IF(X663="","",IF(Y663&gt;=3,MID(X663,8,6),""))</f>
        <v/>
      </c>
      <c r="AB663" s="23" t="str">
        <f aca="false">IF(X663="","",IF(Y663&gt;=4,MID(X663,15,6),""))</f>
        <v/>
      </c>
      <c r="AC663" s="23" t="str">
        <f aca="false">IF(X663="","",IF(Y663&gt;=5,MID(X663,22,6),""))</f>
        <v/>
      </c>
      <c r="AD663" s="23" t="str">
        <f aca="false">IF(X663="","",RIGHT(X663,6))</f>
        <v/>
      </c>
      <c r="AE663" s="23" t="str">
        <f aca="false">IF(F663="","",IF(ISNUMBER(SEARCH("-TK",UPPER(F663))),0,1))</f>
        <v/>
      </c>
      <c r="AF663" s="23" t="str">
        <f aca="false">IF(F663="","",IF(ISNUMBER(SEARCH("-LED",UPPER(F663))),1,0))</f>
        <v/>
      </c>
      <c r="AG663" s="24" t="n">
        <f aca="false">IF(Z663="",0,IFERROR(INDEX(Resep!$C$5:$C$7,MATCH(LEFT(Z663,3),Resep!$B$5:$B$7,0)),0))</f>
        <v>0</v>
      </c>
      <c r="AH663" s="24" t="n">
        <f aca="false">IF(AA663="",0,IFERROR(INDEX(Resep!$C$9:$C$13,MATCH(LEFT(AA663,3),Resep!$B$9:$B$13,0)),0))</f>
        <v>0</v>
      </c>
      <c r="AI663" s="24" t="n">
        <f aca="false">IF(AB663="",0,IFERROR(INDEX(Resep!$C$9:$C$13,MATCH(LEFT(AB663,3),Resep!$B$9:$B$13,0)),0))</f>
        <v>0</v>
      </c>
      <c r="AJ663" s="24" t="n">
        <f aca="false">IF(AC663="",0,IFERROR(INDEX(Resep!$C$9:$C$13,MATCH(LEFT(AC663,3),Resep!$B$9:$B$13,0)),0))</f>
        <v>0</v>
      </c>
      <c r="AK663" s="24" t="n">
        <f aca="false">IF(AD663="",0,IFERROR(INDEX(Resep!$C$15:$C$18,MATCH(LEFT(AD663,3),Resep!$B$15:$B$18,0)),0))</f>
        <v>0</v>
      </c>
      <c r="AL663" s="24" t="str">
        <f aca="false">IF(X663="","",AG663+AH663+AI663+AJ663+AK663)</f>
        <v/>
      </c>
      <c r="AM663" s="22" t="str">
        <f aca="false">IF(X663="","",AL663*(Pengaturan!$B$6+Pengaturan!$B$7)+Pengaturan!$B$8+AE663*Pengaturan!$B$9+AF663*Pengaturan!$B$10)</f>
        <v/>
      </c>
      <c r="AN663" s="22" t="str">
        <f aca="false">IF(X663="","",N(G663)-AM663)</f>
        <v/>
      </c>
      <c r="AO663" s="25" t="str">
        <f aca="false">IF(OR(X663="",N(G663)=0),"",AN663/G663)</f>
        <v/>
      </c>
    </row>
    <row r="664" customFormat="false" ht="15" hidden="false" customHeight="false" outlineLevel="0" collapsed="false">
      <c r="A664" s="19"/>
      <c r="B664" s="20"/>
      <c r="C664" s="19"/>
      <c r="D664" s="19"/>
      <c r="E664" s="19"/>
      <c r="F664" s="19"/>
      <c r="G664" s="21"/>
      <c r="H664" s="19"/>
      <c r="I664" s="21"/>
      <c r="J664" s="19"/>
      <c r="K664" s="20"/>
      <c r="L664" s="20"/>
      <c r="M664" s="19"/>
      <c r="N664" s="19"/>
      <c r="O664" s="20"/>
      <c r="P664" s="20"/>
      <c r="Q664" s="19"/>
      <c r="R664" s="22" t="str">
        <f aca="false">IF(A664="","",N(G664)+N(I664))</f>
        <v/>
      </c>
      <c r="S664" s="23" t="str">
        <f aca="false">IF(OR(K664="",O664=""),"",O664-K664)</f>
        <v/>
      </c>
      <c r="T664" s="23" t="str">
        <f aca="true">IF(AND(C664="Cetak",L664&lt;&gt;"",L664&lt;TODAY()),"YA","")</f>
        <v/>
      </c>
      <c r="U664" s="23" t="str">
        <f aca="false">IF(B664="","",TEXT(B664,"yyyy-mm"))</f>
        <v/>
      </c>
      <c r="V664" s="23" t="str">
        <f aca="false">IF(K664="","",TEXT(K664,"yyyy-mm"))</f>
        <v/>
      </c>
      <c r="W664" s="23" t="n">
        <f aca="false">IF(OR(C664="Cetak",C664="Dikirim",C664="Selesai"),1,0)</f>
        <v>0</v>
      </c>
      <c r="X664" s="23" t="str">
        <f aca="false">IF(F664="","",SUBSTITUTE(SUBSTITUTE(MID(UPPER(TRIM(F664)),4,99),"-LED",""),"-TK",""))</f>
        <v/>
      </c>
      <c r="Y664" s="23" t="str">
        <f aca="false">IF(X664="","",(LEN(X664)+1)/7)</f>
        <v/>
      </c>
      <c r="Z664" s="23" t="str">
        <f aca="false">IF(X664="","",LEFT(X664,6))</f>
        <v/>
      </c>
      <c r="AA664" s="23" t="str">
        <f aca="false">IF(X664="","",IF(Y664&gt;=3,MID(X664,8,6),""))</f>
        <v/>
      </c>
      <c r="AB664" s="23" t="str">
        <f aca="false">IF(X664="","",IF(Y664&gt;=4,MID(X664,15,6),""))</f>
        <v/>
      </c>
      <c r="AC664" s="23" t="str">
        <f aca="false">IF(X664="","",IF(Y664&gt;=5,MID(X664,22,6),""))</f>
        <v/>
      </c>
      <c r="AD664" s="23" t="str">
        <f aca="false">IF(X664="","",RIGHT(X664,6))</f>
        <v/>
      </c>
      <c r="AE664" s="23" t="str">
        <f aca="false">IF(F664="","",IF(ISNUMBER(SEARCH("-TK",UPPER(F664))),0,1))</f>
        <v/>
      </c>
      <c r="AF664" s="23" t="str">
        <f aca="false">IF(F664="","",IF(ISNUMBER(SEARCH("-LED",UPPER(F664))),1,0))</f>
        <v/>
      </c>
      <c r="AG664" s="24" t="n">
        <f aca="false">IF(Z664="",0,IFERROR(INDEX(Resep!$C$5:$C$7,MATCH(LEFT(Z664,3),Resep!$B$5:$B$7,0)),0))</f>
        <v>0</v>
      </c>
      <c r="AH664" s="24" t="n">
        <f aca="false">IF(AA664="",0,IFERROR(INDEX(Resep!$C$9:$C$13,MATCH(LEFT(AA664,3),Resep!$B$9:$B$13,0)),0))</f>
        <v>0</v>
      </c>
      <c r="AI664" s="24" t="n">
        <f aca="false">IF(AB664="",0,IFERROR(INDEX(Resep!$C$9:$C$13,MATCH(LEFT(AB664,3),Resep!$B$9:$B$13,0)),0))</f>
        <v>0</v>
      </c>
      <c r="AJ664" s="24" t="n">
        <f aca="false">IF(AC664="",0,IFERROR(INDEX(Resep!$C$9:$C$13,MATCH(LEFT(AC664,3),Resep!$B$9:$B$13,0)),0))</f>
        <v>0</v>
      </c>
      <c r="AK664" s="24" t="n">
        <f aca="false">IF(AD664="",0,IFERROR(INDEX(Resep!$C$15:$C$18,MATCH(LEFT(AD664,3),Resep!$B$15:$B$18,0)),0))</f>
        <v>0</v>
      </c>
      <c r="AL664" s="24" t="str">
        <f aca="false">IF(X664="","",AG664+AH664+AI664+AJ664+AK664)</f>
        <v/>
      </c>
      <c r="AM664" s="22" t="str">
        <f aca="false">IF(X664="","",AL664*(Pengaturan!$B$6+Pengaturan!$B$7)+Pengaturan!$B$8+AE664*Pengaturan!$B$9+AF664*Pengaturan!$B$10)</f>
        <v/>
      </c>
      <c r="AN664" s="22" t="str">
        <f aca="false">IF(X664="","",N(G664)-AM664)</f>
        <v/>
      </c>
      <c r="AO664" s="25" t="str">
        <f aca="false">IF(OR(X664="",N(G664)=0),"",AN664/G664)</f>
        <v/>
      </c>
    </row>
    <row r="665" customFormat="false" ht="15" hidden="false" customHeight="false" outlineLevel="0" collapsed="false">
      <c r="A665" s="19"/>
      <c r="B665" s="20"/>
      <c r="C665" s="19"/>
      <c r="D665" s="19"/>
      <c r="E665" s="19"/>
      <c r="F665" s="19"/>
      <c r="G665" s="21"/>
      <c r="H665" s="19"/>
      <c r="I665" s="21"/>
      <c r="J665" s="19"/>
      <c r="K665" s="20"/>
      <c r="L665" s="20"/>
      <c r="M665" s="19"/>
      <c r="N665" s="19"/>
      <c r="O665" s="20"/>
      <c r="P665" s="20"/>
      <c r="Q665" s="19"/>
      <c r="R665" s="22" t="str">
        <f aca="false">IF(A665="","",N(G665)+N(I665))</f>
        <v/>
      </c>
      <c r="S665" s="23" t="str">
        <f aca="false">IF(OR(K665="",O665=""),"",O665-K665)</f>
        <v/>
      </c>
      <c r="T665" s="23" t="str">
        <f aca="true">IF(AND(C665="Cetak",L665&lt;&gt;"",L665&lt;TODAY()),"YA","")</f>
        <v/>
      </c>
      <c r="U665" s="23" t="str">
        <f aca="false">IF(B665="","",TEXT(B665,"yyyy-mm"))</f>
        <v/>
      </c>
      <c r="V665" s="23" t="str">
        <f aca="false">IF(K665="","",TEXT(K665,"yyyy-mm"))</f>
        <v/>
      </c>
      <c r="W665" s="23" t="n">
        <f aca="false">IF(OR(C665="Cetak",C665="Dikirim",C665="Selesai"),1,0)</f>
        <v>0</v>
      </c>
      <c r="X665" s="23" t="str">
        <f aca="false">IF(F665="","",SUBSTITUTE(SUBSTITUTE(MID(UPPER(TRIM(F665)),4,99),"-LED",""),"-TK",""))</f>
        <v/>
      </c>
      <c r="Y665" s="23" t="str">
        <f aca="false">IF(X665="","",(LEN(X665)+1)/7)</f>
        <v/>
      </c>
      <c r="Z665" s="23" t="str">
        <f aca="false">IF(X665="","",LEFT(X665,6))</f>
        <v/>
      </c>
      <c r="AA665" s="23" t="str">
        <f aca="false">IF(X665="","",IF(Y665&gt;=3,MID(X665,8,6),""))</f>
        <v/>
      </c>
      <c r="AB665" s="23" t="str">
        <f aca="false">IF(X665="","",IF(Y665&gt;=4,MID(X665,15,6),""))</f>
        <v/>
      </c>
      <c r="AC665" s="23" t="str">
        <f aca="false">IF(X665="","",IF(Y665&gt;=5,MID(X665,22,6),""))</f>
        <v/>
      </c>
      <c r="AD665" s="23" t="str">
        <f aca="false">IF(X665="","",RIGHT(X665,6))</f>
        <v/>
      </c>
      <c r="AE665" s="23" t="str">
        <f aca="false">IF(F665="","",IF(ISNUMBER(SEARCH("-TK",UPPER(F665))),0,1))</f>
        <v/>
      </c>
      <c r="AF665" s="23" t="str">
        <f aca="false">IF(F665="","",IF(ISNUMBER(SEARCH("-LED",UPPER(F665))),1,0))</f>
        <v/>
      </c>
      <c r="AG665" s="24" t="n">
        <f aca="false">IF(Z665="",0,IFERROR(INDEX(Resep!$C$5:$C$7,MATCH(LEFT(Z665,3),Resep!$B$5:$B$7,0)),0))</f>
        <v>0</v>
      </c>
      <c r="AH665" s="24" t="n">
        <f aca="false">IF(AA665="",0,IFERROR(INDEX(Resep!$C$9:$C$13,MATCH(LEFT(AA665,3),Resep!$B$9:$B$13,0)),0))</f>
        <v>0</v>
      </c>
      <c r="AI665" s="24" t="n">
        <f aca="false">IF(AB665="",0,IFERROR(INDEX(Resep!$C$9:$C$13,MATCH(LEFT(AB665,3),Resep!$B$9:$B$13,0)),0))</f>
        <v>0</v>
      </c>
      <c r="AJ665" s="24" t="n">
        <f aca="false">IF(AC665="",0,IFERROR(INDEX(Resep!$C$9:$C$13,MATCH(LEFT(AC665,3),Resep!$B$9:$B$13,0)),0))</f>
        <v>0</v>
      </c>
      <c r="AK665" s="24" t="n">
        <f aca="false">IF(AD665="",0,IFERROR(INDEX(Resep!$C$15:$C$18,MATCH(LEFT(AD665,3),Resep!$B$15:$B$18,0)),0))</f>
        <v>0</v>
      </c>
      <c r="AL665" s="24" t="str">
        <f aca="false">IF(X665="","",AG665+AH665+AI665+AJ665+AK665)</f>
        <v/>
      </c>
      <c r="AM665" s="22" t="str">
        <f aca="false">IF(X665="","",AL665*(Pengaturan!$B$6+Pengaturan!$B$7)+Pengaturan!$B$8+AE665*Pengaturan!$B$9+AF665*Pengaturan!$B$10)</f>
        <v/>
      </c>
      <c r="AN665" s="22" t="str">
        <f aca="false">IF(X665="","",N(G665)-AM665)</f>
        <v/>
      </c>
      <c r="AO665" s="25" t="str">
        <f aca="false">IF(OR(X665="",N(G665)=0),"",AN665/G665)</f>
        <v/>
      </c>
    </row>
    <row r="666" customFormat="false" ht="15" hidden="false" customHeight="false" outlineLevel="0" collapsed="false">
      <c r="A666" s="19"/>
      <c r="B666" s="20"/>
      <c r="C666" s="19"/>
      <c r="D666" s="19"/>
      <c r="E666" s="19"/>
      <c r="F666" s="19"/>
      <c r="G666" s="21"/>
      <c r="H666" s="19"/>
      <c r="I666" s="21"/>
      <c r="J666" s="19"/>
      <c r="K666" s="20"/>
      <c r="L666" s="20"/>
      <c r="M666" s="19"/>
      <c r="N666" s="19"/>
      <c r="O666" s="20"/>
      <c r="P666" s="20"/>
      <c r="Q666" s="19"/>
      <c r="R666" s="22" t="str">
        <f aca="false">IF(A666="","",N(G666)+N(I666))</f>
        <v/>
      </c>
      <c r="S666" s="23" t="str">
        <f aca="false">IF(OR(K666="",O666=""),"",O666-K666)</f>
        <v/>
      </c>
      <c r="T666" s="23" t="str">
        <f aca="true">IF(AND(C666="Cetak",L666&lt;&gt;"",L666&lt;TODAY()),"YA","")</f>
        <v/>
      </c>
      <c r="U666" s="23" t="str">
        <f aca="false">IF(B666="","",TEXT(B666,"yyyy-mm"))</f>
        <v/>
      </c>
      <c r="V666" s="23" t="str">
        <f aca="false">IF(K666="","",TEXT(K666,"yyyy-mm"))</f>
        <v/>
      </c>
      <c r="W666" s="23" t="n">
        <f aca="false">IF(OR(C666="Cetak",C666="Dikirim",C666="Selesai"),1,0)</f>
        <v>0</v>
      </c>
      <c r="X666" s="23" t="str">
        <f aca="false">IF(F666="","",SUBSTITUTE(SUBSTITUTE(MID(UPPER(TRIM(F666)),4,99),"-LED",""),"-TK",""))</f>
        <v/>
      </c>
      <c r="Y666" s="23" t="str">
        <f aca="false">IF(X666="","",(LEN(X666)+1)/7)</f>
        <v/>
      </c>
      <c r="Z666" s="23" t="str">
        <f aca="false">IF(X666="","",LEFT(X666,6))</f>
        <v/>
      </c>
      <c r="AA666" s="23" t="str">
        <f aca="false">IF(X666="","",IF(Y666&gt;=3,MID(X666,8,6),""))</f>
        <v/>
      </c>
      <c r="AB666" s="23" t="str">
        <f aca="false">IF(X666="","",IF(Y666&gt;=4,MID(X666,15,6),""))</f>
        <v/>
      </c>
      <c r="AC666" s="23" t="str">
        <f aca="false">IF(X666="","",IF(Y666&gt;=5,MID(X666,22,6),""))</f>
        <v/>
      </c>
      <c r="AD666" s="23" t="str">
        <f aca="false">IF(X666="","",RIGHT(X666,6))</f>
        <v/>
      </c>
      <c r="AE666" s="23" t="str">
        <f aca="false">IF(F666="","",IF(ISNUMBER(SEARCH("-TK",UPPER(F666))),0,1))</f>
        <v/>
      </c>
      <c r="AF666" s="23" t="str">
        <f aca="false">IF(F666="","",IF(ISNUMBER(SEARCH("-LED",UPPER(F666))),1,0))</f>
        <v/>
      </c>
      <c r="AG666" s="24" t="n">
        <f aca="false">IF(Z666="",0,IFERROR(INDEX(Resep!$C$5:$C$7,MATCH(LEFT(Z666,3),Resep!$B$5:$B$7,0)),0))</f>
        <v>0</v>
      </c>
      <c r="AH666" s="24" t="n">
        <f aca="false">IF(AA666="",0,IFERROR(INDEX(Resep!$C$9:$C$13,MATCH(LEFT(AA666,3),Resep!$B$9:$B$13,0)),0))</f>
        <v>0</v>
      </c>
      <c r="AI666" s="24" t="n">
        <f aca="false">IF(AB666="",0,IFERROR(INDEX(Resep!$C$9:$C$13,MATCH(LEFT(AB666,3),Resep!$B$9:$B$13,0)),0))</f>
        <v>0</v>
      </c>
      <c r="AJ666" s="24" t="n">
        <f aca="false">IF(AC666="",0,IFERROR(INDEX(Resep!$C$9:$C$13,MATCH(LEFT(AC666,3),Resep!$B$9:$B$13,0)),0))</f>
        <v>0</v>
      </c>
      <c r="AK666" s="24" t="n">
        <f aca="false">IF(AD666="",0,IFERROR(INDEX(Resep!$C$15:$C$18,MATCH(LEFT(AD666,3),Resep!$B$15:$B$18,0)),0))</f>
        <v>0</v>
      </c>
      <c r="AL666" s="24" t="str">
        <f aca="false">IF(X666="","",AG666+AH666+AI666+AJ666+AK666)</f>
        <v/>
      </c>
      <c r="AM666" s="22" t="str">
        <f aca="false">IF(X666="","",AL666*(Pengaturan!$B$6+Pengaturan!$B$7)+Pengaturan!$B$8+AE666*Pengaturan!$B$9+AF666*Pengaturan!$B$10)</f>
        <v/>
      </c>
      <c r="AN666" s="22" t="str">
        <f aca="false">IF(X666="","",N(G666)-AM666)</f>
        <v/>
      </c>
      <c r="AO666" s="25" t="str">
        <f aca="false">IF(OR(X666="",N(G666)=0),"",AN666/G666)</f>
        <v/>
      </c>
    </row>
    <row r="667" customFormat="false" ht="15" hidden="false" customHeight="false" outlineLevel="0" collapsed="false">
      <c r="A667" s="19"/>
      <c r="B667" s="20"/>
      <c r="C667" s="19"/>
      <c r="D667" s="19"/>
      <c r="E667" s="19"/>
      <c r="F667" s="19"/>
      <c r="G667" s="21"/>
      <c r="H667" s="19"/>
      <c r="I667" s="21"/>
      <c r="J667" s="19"/>
      <c r="K667" s="20"/>
      <c r="L667" s="20"/>
      <c r="M667" s="19"/>
      <c r="N667" s="19"/>
      <c r="O667" s="20"/>
      <c r="P667" s="20"/>
      <c r="Q667" s="19"/>
      <c r="R667" s="22" t="str">
        <f aca="false">IF(A667="","",N(G667)+N(I667))</f>
        <v/>
      </c>
      <c r="S667" s="23" t="str">
        <f aca="false">IF(OR(K667="",O667=""),"",O667-K667)</f>
        <v/>
      </c>
      <c r="T667" s="23" t="str">
        <f aca="true">IF(AND(C667="Cetak",L667&lt;&gt;"",L667&lt;TODAY()),"YA","")</f>
        <v/>
      </c>
      <c r="U667" s="23" t="str">
        <f aca="false">IF(B667="","",TEXT(B667,"yyyy-mm"))</f>
        <v/>
      </c>
      <c r="V667" s="23" t="str">
        <f aca="false">IF(K667="","",TEXT(K667,"yyyy-mm"))</f>
        <v/>
      </c>
      <c r="W667" s="23" t="n">
        <f aca="false">IF(OR(C667="Cetak",C667="Dikirim",C667="Selesai"),1,0)</f>
        <v>0</v>
      </c>
      <c r="X667" s="23" t="str">
        <f aca="false">IF(F667="","",SUBSTITUTE(SUBSTITUTE(MID(UPPER(TRIM(F667)),4,99),"-LED",""),"-TK",""))</f>
        <v/>
      </c>
      <c r="Y667" s="23" t="str">
        <f aca="false">IF(X667="","",(LEN(X667)+1)/7)</f>
        <v/>
      </c>
      <c r="Z667" s="23" t="str">
        <f aca="false">IF(X667="","",LEFT(X667,6))</f>
        <v/>
      </c>
      <c r="AA667" s="23" t="str">
        <f aca="false">IF(X667="","",IF(Y667&gt;=3,MID(X667,8,6),""))</f>
        <v/>
      </c>
      <c r="AB667" s="23" t="str">
        <f aca="false">IF(X667="","",IF(Y667&gt;=4,MID(X667,15,6),""))</f>
        <v/>
      </c>
      <c r="AC667" s="23" t="str">
        <f aca="false">IF(X667="","",IF(Y667&gt;=5,MID(X667,22,6),""))</f>
        <v/>
      </c>
      <c r="AD667" s="23" t="str">
        <f aca="false">IF(X667="","",RIGHT(X667,6))</f>
        <v/>
      </c>
      <c r="AE667" s="23" t="str">
        <f aca="false">IF(F667="","",IF(ISNUMBER(SEARCH("-TK",UPPER(F667))),0,1))</f>
        <v/>
      </c>
      <c r="AF667" s="23" t="str">
        <f aca="false">IF(F667="","",IF(ISNUMBER(SEARCH("-LED",UPPER(F667))),1,0))</f>
        <v/>
      </c>
      <c r="AG667" s="24" t="n">
        <f aca="false">IF(Z667="",0,IFERROR(INDEX(Resep!$C$5:$C$7,MATCH(LEFT(Z667,3),Resep!$B$5:$B$7,0)),0))</f>
        <v>0</v>
      </c>
      <c r="AH667" s="24" t="n">
        <f aca="false">IF(AA667="",0,IFERROR(INDEX(Resep!$C$9:$C$13,MATCH(LEFT(AA667,3),Resep!$B$9:$B$13,0)),0))</f>
        <v>0</v>
      </c>
      <c r="AI667" s="24" t="n">
        <f aca="false">IF(AB667="",0,IFERROR(INDEX(Resep!$C$9:$C$13,MATCH(LEFT(AB667,3),Resep!$B$9:$B$13,0)),0))</f>
        <v>0</v>
      </c>
      <c r="AJ667" s="24" t="n">
        <f aca="false">IF(AC667="",0,IFERROR(INDEX(Resep!$C$9:$C$13,MATCH(LEFT(AC667,3),Resep!$B$9:$B$13,0)),0))</f>
        <v>0</v>
      </c>
      <c r="AK667" s="24" t="n">
        <f aca="false">IF(AD667="",0,IFERROR(INDEX(Resep!$C$15:$C$18,MATCH(LEFT(AD667,3),Resep!$B$15:$B$18,0)),0))</f>
        <v>0</v>
      </c>
      <c r="AL667" s="24" t="str">
        <f aca="false">IF(X667="","",AG667+AH667+AI667+AJ667+AK667)</f>
        <v/>
      </c>
      <c r="AM667" s="22" t="str">
        <f aca="false">IF(X667="","",AL667*(Pengaturan!$B$6+Pengaturan!$B$7)+Pengaturan!$B$8+AE667*Pengaturan!$B$9+AF667*Pengaturan!$B$10)</f>
        <v/>
      </c>
      <c r="AN667" s="22" t="str">
        <f aca="false">IF(X667="","",N(G667)-AM667)</f>
        <v/>
      </c>
      <c r="AO667" s="25" t="str">
        <f aca="false">IF(OR(X667="",N(G667)=0),"",AN667/G667)</f>
        <v/>
      </c>
    </row>
    <row r="668" customFormat="false" ht="15" hidden="false" customHeight="false" outlineLevel="0" collapsed="false">
      <c r="A668" s="19"/>
      <c r="B668" s="20"/>
      <c r="C668" s="19"/>
      <c r="D668" s="19"/>
      <c r="E668" s="19"/>
      <c r="F668" s="19"/>
      <c r="G668" s="21"/>
      <c r="H668" s="19"/>
      <c r="I668" s="21"/>
      <c r="J668" s="19"/>
      <c r="K668" s="20"/>
      <c r="L668" s="20"/>
      <c r="M668" s="19"/>
      <c r="N668" s="19"/>
      <c r="O668" s="20"/>
      <c r="P668" s="20"/>
      <c r="Q668" s="19"/>
      <c r="R668" s="22" t="str">
        <f aca="false">IF(A668="","",N(G668)+N(I668))</f>
        <v/>
      </c>
      <c r="S668" s="23" t="str">
        <f aca="false">IF(OR(K668="",O668=""),"",O668-K668)</f>
        <v/>
      </c>
      <c r="T668" s="23" t="str">
        <f aca="true">IF(AND(C668="Cetak",L668&lt;&gt;"",L668&lt;TODAY()),"YA","")</f>
        <v/>
      </c>
      <c r="U668" s="23" t="str">
        <f aca="false">IF(B668="","",TEXT(B668,"yyyy-mm"))</f>
        <v/>
      </c>
      <c r="V668" s="23" t="str">
        <f aca="false">IF(K668="","",TEXT(K668,"yyyy-mm"))</f>
        <v/>
      </c>
      <c r="W668" s="23" t="n">
        <f aca="false">IF(OR(C668="Cetak",C668="Dikirim",C668="Selesai"),1,0)</f>
        <v>0</v>
      </c>
      <c r="X668" s="23" t="str">
        <f aca="false">IF(F668="","",SUBSTITUTE(SUBSTITUTE(MID(UPPER(TRIM(F668)),4,99),"-LED",""),"-TK",""))</f>
        <v/>
      </c>
      <c r="Y668" s="23" t="str">
        <f aca="false">IF(X668="","",(LEN(X668)+1)/7)</f>
        <v/>
      </c>
      <c r="Z668" s="23" t="str">
        <f aca="false">IF(X668="","",LEFT(X668,6))</f>
        <v/>
      </c>
      <c r="AA668" s="23" t="str">
        <f aca="false">IF(X668="","",IF(Y668&gt;=3,MID(X668,8,6),""))</f>
        <v/>
      </c>
      <c r="AB668" s="23" t="str">
        <f aca="false">IF(X668="","",IF(Y668&gt;=4,MID(X668,15,6),""))</f>
        <v/>
      </c>
      <c r="AC668" s="23" t="str">
        <f aca="false">IF(X668="","",IF(Y668&gt;=5,MID(X668,22,6),""))</f>
        <v/>
      </c>
      <c r="AD668" s="23" t="str">
        <f aca="false">IF(X668="","",RIGHT(X668,6))</f>
        <v/>
      </c>
      <c r="AE668" s="23" t="str">
        <f aca="false">IF(F668="","",IF(ISNUMBER(SEARCH("-TK",UPPER(F668))),0,1))</f>
        <v/>
      </c>
      <c r="AF668" s="23" t="str">
        <f aca="false">IF(F668="","",IF(ISNUMBER(SEARCH("-LED",UPPER(F668))),1,0))</f>
        <v/>
      </c>
      <c r="AG668" s="24" t="n">
        <f aca="false">IF(Z668="",0,IFERROR(INDEX(Resep!$C$5:$C$7,MATCH(LEFT(Z668,3),Resep!$B$5:$B$7,0)),0))</f>
        <v>0</v>
      </c>
      <c r="AH668" s="24" t="n">
        <f aca="false">IF(AA668="",0,IFERROR(INDEX(Resep!$C$9:$C$13,MATCH(LEFT(AA668,3),Resep!$B$9:$B$13,0)),0))</f>
        <v>0</v>
      </c>
      <c r="AI668" s="24" t="n">
        <f aca="false">IF(AB668="",0,IFERROR(INDEX(Resep!$C$9:$C$13,MATCH(LEFT(AB668,3),Resep!$B$9:$B$13,0)),0))</f>
        <v>0</v>
      </c>
      <c r="AJ668" s="24" t="n">
        <f aca="false">IF(AC668="",0,IFERROR(INDEX(Resep!$C$9:$C$13,MATCH(LEFT(AC668,3),Resep!$B$9:$B$13,0)),0))</f>
        <v>0</v>
      </c>
      <c r="AK668" s="24" t="n">
        <f aca="false">IF(AD668="",0,IFERROR(INDEX(Resep!$C$15:$C$18,MATCH(LEFT(AD668,3),Resep!$B$15:$B$18,0)),0))</f>
        <v>0</v>
      </c>
      <c r="AL668" s="24" t="str">
        <f aca="false">IF(X668="","",AG668+AH668+AI668+AJ668+AK668)</f>
        <v/>
      </c>
      <c r="AM668" s="22" t="str">
        <f aca="false">IF(X668="","",AL668*(Pengaturan!$B$6+Pengaturan!$B$7)+Pengaturan!$B$8+AE668*Pengaturan!$B$9+AF668*Pengaturan!$B$10)</f>
        <v/>
      </c>
      <c r="AN668" s="22" t="str">
        <f aca="false">IF(X668="","",N(G668)-AM668)</f>
        <v/>
      </c>
      <c r="AO668" s="25" t="str">
        <f aca="false">IF(OR(X668="",N(G668)=0),"",AN668/G668)</f>
        <v/>
      </c>
    </row>
    <row r="669" customFormat="false" ht="15" hidden="false" customHeight="false" outlineLevel="0" collapsed="false">
      <c r="A669" s="19"/>
      <c r="B669" s="20"/>
      <c r="C669" s="19"/>
      <c r="D669" s="19"/>
      <c r="E669" s="19"/>
      <c r="F669" s="19"/>
      <c r="G669" s="21"/>
      <c r="H669" s="19"/>
      <c r="I669" s="21"/>
      <c r="J669" s="19"/>
      <c r="K669" s="20"/>
      <c r="L669" s="20"/>
      <c r="M669" s="19"/>
      <c r="N669" s="19"/>
      <c r="O669" s="20"/>
      <c r="P669" s="20"/>
      <c r="Q669" s="19"/>
      <c r="R669" s="22" t="str">
        <f aca="false">IF(A669="","",N(G669)+N(I669))</f>
        <v/>
      </c>
      <c r="S669" s="23" t="str">
        <f aca="false">IF(OR(K669="",O669=""),"",O669-K669)</f>
        <v/>
      </c>
      <c r="T669" s="23" t="str">
        <f aca="true">IF(AND(C669="Cetak",L669&lt;&gt;"",L669&lt;TODAY()),"YA","")</f>
        <v/>
      </c>
      <c r="U669" s="23" t="str">
        <f aca="false">IF(B669="","",TEXT(B669,"yyyy-mm"))</f>
        <v/>
      </c>
      <c r="V669" s="23" t="str">
        <f aca="false">IF(K669="","",TEXT(K669,"yyyy-mm"))</f>
        <v/>
      </c>
      <c r="W669" s="23" t="n">
        <f aca="false">IF(OR(C669="Cetak",C669="Dikirim",C669="Selesai"),1,0)</f>
        <v>0</v>
      </c>
      <c r="X669" s="23" t="str">
        <f aca="false">IF(F669="","",SUBSTITUTE(SUBSTITUTE(MID(UPPER(TRIM(F669)),4,99),"-LED",""),"-TK",""))</f>
        <v/>
      </c>
      <c r="Y669" s="23" t="str">
        <f aca="false">IF(X669="","",(LEN(X669)+1)/7)</f>
        <v/>
      </c>
      <c r="Z669" s="23" t="str">
        <f aca="false">IF(X669="","",LEFT(X669,6))</f>
        <v/>
      </c>
      <c r="AA669" s="23" t="str">
        <f aca="false">IF(X669="","",IF(Y669&gt;=3,MID(X669,8,6),""))</f>
        <v/>
      </c>
      <c r="AB669" s="23" t="str">
        <f aca="false">IF(X669="","",IF(Y669&gt;=4,MID(X669,15,6),""))</f>
        <v/>
      </c>
      <c r="AC669" s="23" t="str">
        <f aca="false">IF(X669="","",IF(Y669&gt;=5,MID(X669,22,6),""))</f>
        <v/>
      </c>
      <c r="AD669" s="23" t="str">
        <f aca="false">IF(X669="","",RIGHT(X669,6))</f>
        <v/>
      </c>
      <c r="AE669" s="23" t="str">
        <f aca="false">IF(F669="","",IF(ISNUMBER(SEARCH("-TK",UPPER(F669))),0,1))</f>
        <v/>
      </c>
      <c r="AF669" s="23" t="str">
        <f aca="false">IF(F669="","",IF(ISNUMBER(SEARCH("-LED",UPPER(F669))),1,0))</f>
        <v/>
      </c>
      <c r="AG669" s="24" t="n">
        <f aca="false">IF(Z669="",0,IFERROR(INDEX(Resep!$C$5:$C$7,MATCH(LEFT(Z669,3),Resep!$B$5:$B$7,0)),0))</f>
        <v>0</v>
      </c>
      <c r="AH669" s="24" t="n">
        <f aca="false">IF(AA669="",0,IFERROR(INDEX(Resep!$C$9:$C$13,MATCH(LEFT(AA669,3),Resep!$B$9:$B$13,0)),0))</f>
        <v>0</v>
      </c>
      <c r="AI669" s="24" t="n">
        <f aca="false">IF(AB669="",0,IFERROR(INDEX(Resep!$C$9:$C$13,MATCH(LEFT(AB669,3),Resep!$B$9:$B$13,0)),0))</f>
        <v>0</v>
      </c>
      <c r="AJ669" s="24" t="n">
        <f aca="false">IF(AC669="",0,IFERROR(INDEX(Resep!$C$9:$C$13,MATCH(LEFT(AC669,3),Resep!$B$9:$B$13,0)),0))</f>
        <v>0</v>
      </c>
      <c r="AK669" s="24" t="n">
        <f aca="false">IF(AD669="",0,IFERROR(INDEX(Resep!$C$15:$C$18,MATCH(LEFT(AD669,3),Resep!$B$15:$B$18,0)),0))</f>
        <v>0</v>
      </c>
      <c r="AL669" s="24" t="str">
        <f aca="false">IF(X669="","",AG669+AH669+AI669+AJ669+AK669)</f>
        <v/>
      </c>
      <c r="AM669" s="22" t="str">
        <f aca="false">IF(X669="","",AL669*(Pengaturan!$B$6+Pengaturan!$B$7)+Pengaturan!$B$8+AE669*Pengaturan!$B$9+AF669*Pengaturan!$B$10)</f>
        <v/>
      </c>
      <c r="AN669" s="22" t="str">
        <f aca="false">IF(X669="","",N(G669)-AM669)</f>
        <v/>
      </c>
      <c r="AO669" s="25" t="str">
        <f aca="false">IF(OR(X669="",N(G669)=0),"",AN669/G669)</f>
        <v/>
      </c>
    </row>
    <row r="670" customFormat="false" ht="15" hidden="false" customHeight="false" outlineLevel="0" collapsed="false">
      <c r="A670" s="19"/>
      <c r="B670" s="20"/>
      <c r="C670" s="19"/>
      <c r="D670" s="19"/>
      <c r="E670" s="19"/>
      <c r="F670" s="19"/>
      <c r="G670" s="21"/>
      <c r="H670" s="19"/>
      <c r="I670" s="21"/>
      <c r="J670" s="19"/>
      <c r="K670" s="20"/>
      <c r="L670" s="20"/>
      <c r="M670" s="19"/>
      <c r="N670" s="19"/>
      <c r="O670" s="20"/>
      <c r="P670" s="20"/>
      <c r="Q670" s="19"/>
      <c r="R670" s="22" t="str">
        <f aca="false">IF(A670="","",N(G670)+N(I670))</f>
        <v/>
      </c>
      <c r="S670" s="23" t="str">
        <f aca="false">IF(OR(K670="",O670=""),"",O670-K670)</f>
        <v/>
      </c>
      <c r="T670" s="23" t="str">
        <f aca="true">IF(AND(C670="Cetak",L670&lt;&gt;"",L670&lt;TODAY()),"YA","")</f>
        <v/>
      </c>
      <c r="U670" s="23" t="str">
        <f aca="false">IF(B670="","",TEXT(B670,"yyyy-mm"))</f>
        <v/>
      </c>
      <c r="V670" s="23" t="str">
        <f aca="false">IF(K670="","",TEXT(K670,"yyyy-mm"))</f>
        <v/>
      </c>
      <c r="W670" s="23" t="n">
        <f aca="false">IF(OR(C670="Cetak",C670="Dikirim",C670="Selesai"),1,0)</f>
        <v>0</v>
      </c>
      <c r="X670" s="23" t="str">
        <f aca="false">IF(F670="","",SUBSTITUTE(SUBSTITUTE(MID(UPPER(TRIM(F670)),4,99),"-LED",""),"-TK",""))</f>
        <v/>
      </c>
      <c r="Y670" s="23" t="str">
        <f aca="false">IF(X670="","",(LEN(X670)+1)/7)</f>
        <v/>
      </c>
      <c r="Z670" s="23" t="str">
        <f aca="false">IF(X670="","",LEFT(X670,6))</f>
        <v/>
      </c>
      <c r="AA670" s="23" t="str">
        <f aca="false">IF(X670="","",IF(Y670&gt;=3,MID(X670,8,6),""))</f>
        <v/>
      </c>
      <c r="AB670" s="23" t="str">
        <f aca="false">IF(X670="","",IF(Y670&gt;=4,MID(X670,15,6),""))</f>
        <v/>
      </c>
      <c r="AC670" s="23" t="str">
        <f aca="false">IF(X670="","",IF(Y670&gt;=5,MID(X670,22,6),""))</f>
        <v/>
      </c>
      <c r="AD670" s="23" t="str">
        <f aca="false">IF(X670="","",RIGHT(X670,6))</f>
        <v/>
      </c>
      <c r="AE670" s="23" t="str">
        <f aca="false">IF(F670="","",IF(ISNUMBER(SEARCH("-TK",UPPER(F670))),0,1))</f>
        <v/>
      </c>
      <c r="AF670" s="23" t="str">
        <f aca="false">IF(F670="","",IF(ISNUMBER(SEARCH("-LED",UPPER(F670))),1,0))</f>
        <v/>
      </c>
      <c r="AG670" s="24" t="n">
        <f aca="false">IF(Z670="",0,IFERROR(INDEX(Resep!$C$5:$C$7,MATCH(LEFT(Z670,3),Resep!$B$5:$B$7,0)),0))</f>
        <v>0</v>
      </c>
      <c r="AH670" s="24" t="n">
        <f aca="false">IF(AA670="",0,IFERROR(INDEX(Resep!$C$9:$C$13,MATCH(LEFT(AA670,3),Resep!$B$9:$B$13,0)),0))</f>
        <v>0</v>
      </c>
      <c r="AI670" s="24" t="n">
        <f aca="false">IF(AB670="",0,IFERROR(INDEX(Resep!$C$9:$C$13,MATCH(LEFT(AB670,3),Resep!$B$9:$B$13,0)),0))</f>
        <v>0</v>
      </c>
      <c r="AJ670" s="24" t="n">
        <f aca="false">IF(AC670="",0,IFERROR(INDEX(Resep!$C$9:$C$13,MATCH(LEFT(AC670,3),Resep!$B$9:$B$13,0)),0))</f>
        <v>0</v>
      </c>
      <c r="AK670" s="24" t="n">
        <f aca="false">IF(AD670="",0,IFERROR(INDEX(Resep!$C$15:$C$18,MATCH(LEFT(AD670,3),Resep!$B$15:$B$18,0)),0))</f>
        <v>0</v>
      </c>
      <c r="AL670" s="24" t="str">
        <f aca="false">IF(X670="","",AG670+AH670+AI670+AJ670+AK670)</f>
        <v/>
      </c>
      <c r="AM670" s="22" t="str">
        <f aca="false">IF(X670="","",AL670*(Pengaturan!$B$6+Pengaturan!$B$7)+Pengaturan!$B$8+AE670*Pengaturan!$B$9+AF670*Pengaturan!$B$10)</f>
        <v/>
      </c>
      <c r="AN670" s="22" t="str">
        <f aca="false">IF(X670="","",N(G670)-AM670)</f>
        <v/>
      </c>
      <c r="AO670" s="25" t="str">
        <f aca="false">IF(OR(X670="",N(G670)=0),"",AN670/G670)</f>
        <v/>
      </c>
    </row>
    <row r="671" customFormat="false" ht="15" hidden="false" customHeight="false" outlineLevel="0" collapsed="false">
      <c r="A671" s="19"/>
      <c r="B671" s="20"/>
      <c r="C671" s="19"/>
      <c r="D671" s="19"/>
      <c r="E671" s="19"/>
      <c r="F671" s="19"/>
      <c r="G671" s="21"/>
      <c r="H671" s="19"/>
      <c r="I671" s="21"/>
      <c r="J671" s="19"/>
      <c r="K671" s="20"/>
      <c r="L671" s="20"/>
      <c r="M671" s="19"/>
      <c r="N671" s="19"/>
      <c r="O671" s="20"/>
      <c r="P671" s="20"/>
      <c r="Q671" s="19"/>
      <c r="R671" s="22" t="str">
        <f aca="false">IF(A671="","",N(G671)+N(I671))</f>
        <v/>
      </c>
      <c r="S671" s="23" t="str">
        <f aca="false">IF(OR(K671="",O671=""),"",O671-K671)</f>
        <v/>
      </c>
      <c r="T671" s="23" t="str">
        <f aca="true">IF(AND(C671="Cetak",L671&lt;&gt;"",L671&lt;TODAY()),"YA","")</f>
        <v/>
      </c>
      <c r="U671" s="23" t="str">
        <f aca="false">IF(B671="","",TEXT(B671,"yyyy-mm"))</f>
        <v/>
      </c>
      <c r="V671" s="23" t="str">
        <f aca="false">IF(K671="","",TEXT(K671,"yyyy-mm"))</f>
        <v/>
      </c>
      <c r="W671" s="23" t="n">
        <f aca="false">IF(OR(C671="Cetak",C671="Dikirim",C671="Selesai"),1,0)</f>
        <v>0</v>
      </c>
      <c r="X671" s="23" t="str">
        <f aca="false">IF(F671="","",SUBSTITUTE(SUBSTITUTE(MID(UPPER(TRIM(F671)),4,99),"-LED",""),"-TK",""))</f>
        <v/>
      </c>
      <c r="Y671" s="23" t="str">
        <f aca="false">IF(X671="","",(LEN(X671)+1)/7)</f>
        <v/>
      </c>
      <c r="Z671" s="23" t="str">
        <f aca="false">IF(X671="","",LEFT(X671,6))</f>
        <v/>
      </c>
      <c r="AA671" s="23" t="str">
        <f aca="false">IF(X671="","",IF(Y671&gt;=3,MID(X671,8,6),""))</f>
        <v/>
      </c>
      <c r="AB671" s="23" t="str">
        <f aca="false">IF(X671="","",IF(Y671&gt;=4,MID(X671,15,6),""))</f>
        <v/>
      </c>
      <c r="AC671" s="23" t="str">
        <f aca="false">IF(X671="","",IF(Y671&gt;=5,MID(X671,22,6),""))</f>
        <v/>
      </c>
      <c r="AD671" s="23" t="str">
        <f aca="false">IF(X671="","",RIGHT(X671,6))</f>
        <v/>
      </c>
      <c r="AE671" s="23" t="str">
        <f aca="false">IF(F671="","",IF(ISNUMBER(SEARCH("-TK",UPPER(F671))),0,1))</f>
        <v/>
      </c>
      <c r="AF671" s="23" t="str">
        <f aca="false">IF(F671="","",IF(ISNUMBER(SEARCH("-LED",UPPER(F671))),1,0))</f>
        <v/>
      </c>
      <c r="AG671" s="24" t="n">
        <f aca="false">IF(Z671="",0,IFERROR(INDEX(Resep!$C$5:$C$7,MATCH(LEFT(Z671,3),Resep!$B$5:$B$7,0)),0))</f>
        <v>0</v>
      </c>
      <c r="AH671" s="24" t="n">
        <f aca="false">IF(AA671="",0,IFERROR(INDEX(Resep!$C$9:$C$13,MATCH(LEFT(AA671,3),Resep!$B$9:$B$13,0)),0))</f>
        <v>0</v>
      </c>
      <c r="AI671" s="24" t="n">
        <f aca="false">IF(AB671="",0,IFERROR(INDEX(Resep!$C$9:$C$13,MATCH(LEFT(AB671,3),Resep!$B$9:$B$13,0)),0))</f>
        <v>0</v>
      </c>
      <c r="AJ671" s="24" t="n">
        <f aca="false">IF(AC671="",0,IFERROR(INDEX(Resep!$C$9:$C$13,MATCH(LEFT(AC671,3),Resep!$B$9:$B$13,0)),0))</f>
        <v>0</v>
      </c>
      <c r="AK671" s="24" t="n">
        <f aca="false">IF(AD671="",0,IFERROR(INDEX(Resep!$C$15:$C$18,MATCH(LEFT(AD671,3),Resep!$B$15:$B$18,0)),0))</f>
        <v>0</v>
      </c>
      <c r="AL671" s="24" t="str">
        <f aca="false">IF(X671="","",AG671+AH671+AI671+AJ671+AK671)</f>
        <v/>
      </c>
      <c r="AM671" s="22" t="str">
        <f aca="false">IF(X671="","",AL671*(Pengaturan!$B$6+Pengaturan!$B$7)+Pengaturan!$B$8+AE671*Pengaturan!$B$9+AF671*Pengaturan!$B$10)</f>
        <v/>
      </c>
      <c r="AN671" s="22" t="str">
        <f aca="false">IF(X671="","",N(G671)-AM671)</f>
        <v/>
      </c>
      <c r="AO671" s="25" t="str">
        <f aca="false">IF(OR(X671="",N(G671)=0),"",AN671/G671)</f>
        <v/>
      </c>
    </row>
    <row r="672" customFormat="false" ht="15" hidden="false" customHeight="false" outlineLevel="0" collapsed="false">
      <c r="A672" s="19"/>
      <c r="B672" s="20"/>
      <c r="C672" s="19"/>
      <c r="D672" s="19"/>
      <c r="E672" s="19"/>
      <c r="F672" s="19"/>
      <c r="G672" s="21"/>
      <c r="H672" s="19"/>
      <c r="I672" s="21"/>
      <c r="J672" s="19"/>
      <c r="K672" s="20"/>
      <c r="L672" s="20"/>
      <c r="M672" s="19"/>
      <c r="N672" s="19"/>
      <c r="O672" s="20"/>
      <c r="P672" s="20"/>
      <c r="Q672" s="19"/>
      <c r="R672" s="22" t="str">
        <f aca="false">IF(A672="","",N(G672)+N(I672))</f>
        <v/>
      </c>
      <c r="S672" s="23" t="str">
        <f aca="false">IF(OR(K672="",O672=""),"",O672-K672)</f>
        <v/>
      </c>
      <c r="T672" s="23" t="str">
        <f aca="true">IF(AND(C672="Cetak",L672&lt;&gt;"",L672&lt;TODAY()),"YA","")</f>
        <v/>
      </c>
      <c r="U672" s="23" t="str">
        <f aca="false">IF(B672="","",TEXT(B672,"yyyy-mm"))</f>
        <v/>
      </c>
      <c r="V672" s="23" t="str">
        <f aca="false">IF(K672="","",TEXT(K672,"yyyy-mm"))</f>
        <v/>
      </c>
      <c r="W672" s="23" t="n">
        <f aca="false">IF(OR(C672="Cetak",C672="Dikirim",C672="Selesai"),1,0)</f>
        <v>0</v>
      </c>
      <c r="X672" s="23" t="str">
        <f aca="false">IF(F672="","",SUBSTITUTE(SUBSTITUTE(MID(UPPER(TRIM(F672)),4,99),"-LED",""),"-TK",""))</f>
        <v/>
      </c>
      <c r="Y672" s="23" t="str">
        <f aca="false">IF(X672="","",(LEN(X672)+1)/7)</f>
        <v/>
      </c>
      <c r="Z672" s="23" t="str">
        <f aca="false">IF(X672="","",LEFT(X672,6))</f>
        <v/>
      </c>
      <c r="AA672" s="23" t="str">
        <f aca="false">IF(X672="","",IF(Y672&gt;=3,MID(X672,8,6),""))</f>
        <v/>
      </c>
      <c r="AB672" s="23" t="str">
        <f aca="false">IF(X672="","",IF(Y672&gt;=4,MID(X672,15,6),""))</f>
        <v/>
      </c>
      <c r="AC672" s="23" t="str">
        <f aca="false">IF(X672="","",IF(Y672&gt;=5,MID(X672,22,6),""))</f>
        <v/>
      </c>
      <c r="AD672" s="23" t="str">
        <f aca="false">IF(X672="","",RIGHT(X672,6))</f>
        <v/>
      </c>
      <c r="AE672" s="23" t="str">
        <f aca="false">IF(F672="","",IF(ISNUMBER(SEARCH("-TK",UPPER(F672))),0,1))</f>
        <v/>
      </c>
      <c r="AF672" s="23" t="str">
        <f aca="false">IF(F672="","",IF(ISNUMBER(SEARCH("-LED",UPPER(F672))),1,0))</f>
        <v/>
      </c>
      <c r="AG672" s="24" t="n">
        <f aca="false">IF(Z672="",0,IFERROR(INDEX(Resep!$C$5:$C$7,MATCH(LEFT(Z672,3),Resep!$B$5:$B$7,0)),0))</f>
        <v>0</v>
      </c>
      <c r="AH672" s="24" t="n">
        <f aca="false">IF(AA672="",0,IFERROR(INDEX(Resep!$C$9:$C$13,MATCH(LEFT(AA672,3),Resep!$B$9:$B$13,0)),0))</f>
        <v>0</v>
      </c>
      <c r="AI672" s="24" t="n">
        <f aca="false">IF(AB672="",0,IFERROR(INDEX(Resep!$C$9:$C$13,MATCH(LEFT(AB672,3),Resep!$B$9:$B$13,0)),0))</f>
        <v>0</v>
      </c>
      <c r="AJ672" s="24" t="n">
        <f aca="false">IF(AC672="",0,IFERROR(INDEX(Resep!$C$9:$C$13,MATCH(LEFT(AC672,3),Resep!$B$9:$B$13,0)),0))</f>
        <v>0</v>
      </c>
      <c r="AK672" s="24" t="n">
        <f aca="false">IF(AD672="",0,IFERROR(INDEX(Resep!$C$15:$C$18,MATCH(LEFT(AD672,3),Resep!$B$15:$B$18,0)),0))</f>
        <v>0</v>
      </c>
      <c r="AL672" s="24" t="str">
        <f aca="false">IF(X672="","",AG672+AH672+AI672+AJ672+AK672)</f>
        <v/>
      </c>
      <c r="AM672" s="22" t="str">
        <f aca="false">IF(X672="","",AL672*(Pengaturan!$B$6+Pengaturan!$B$7)+Pengaturan!$B$8+AE672*Pengaturan!$B$9+AF672*Pengaturan!$B$10)</f>
        <v/>
      </c>
      <c r="AN672" s="22" t="str">
        <f aca="false">IF(X672="","",N(G672)-AM672)</f>
        <v/>
      </c>
      <c r="AO672" s="25" t="str">
        <f aca="false">IF(OR(X672="",N(G672)=0),"",AN672/G672)</f>
        <v/>
      </c>
    </row>
    <row r="673" customFormat="false" ht="15" hidden="false" customHeight="false" outlineLevel="0" collapsed="false">
      <c r="A673" s="19"/>
      <c r="B673" s="20"/>
      <c r="C673" s="19"/>
      <c r="D673" s="19"/>
      <c r="E673" s="19"/>
      <c r="F673" s="19"/>
      <c r="G673" s="21"/>
      <c r="H673" s="19"/>
      <c r="I673" s="21"/>
      <c r="J673" s="19"/>
      <c r="K673" s="20"/>
      <c r="L673" s="20"/>
      <c r="M673" s="19"/>
      <c r="N673" s="19"/>
      <c r="O673" s="20"/>
      <c r="P673" s="20"/>
      <c r="Q673" s="19"/>
      <c r="R673" s="22" t="str">
        <f aca="false">IF(A673="","",N(G673)+N(I673))</f>
        <v/>
      </c>
      <c r="S673" s="23" t="str">
        <f aca="false">IF(OR(K673="",O673=""),"",O673-K673)</f>
        <v/>
      </c>
      <c r="T673" s="23" t="str">
        <f aca="true">IF(AND(C673="Cetak",L673&lt;&gt;"",L673&lt;TODAY()),"YA","")</f>
        <v/>
      </c>
      <c r="U673" s="23" t="str">
        <f aca="false">IF(B673="","",TEXT(B673,"yyyy-mm"))</f>
        <v/>
      </c>
      <c r="V673" s="23" t="str">
        <f aca="false">IF(K673="","",TEXT(K673,"yyyy-mm"))</f>
        <v/>
      </c>
      <c r="W673" s="23" t="n">
        <f aca="false">IF(OR(C673="Cetak",C673="Dikirim",C673="Selesai"),1,0)</f>
        <v>0</v>
      </c>
      <c r="X673" s="23" t="str">
        <f aca="false">IF(F673="","",SUBSTITUTE(SUBSTITUTE(MID(UPPER(TRIM(F673)),4,99),"-LED",""),"-TK",""))</f>
        <v/>
      </c>
      <c r="Y673" s="23" t="str">
        <f aca="false">IF(X673="","",(LEN(X673)+1)/7)</f>
        <v/>
      </c>
      <c r="Z673" s="23" t="str">
        <f aca="false">IF(X673="","",LEFT(X673,6))</f>
        <v/>
      </c>
      <c r="AA673" s="23" t="str">
        <f aca="false">IF(X673="","",IF(Y673&gt;=3,MID(X673,8,6),""))</f>
        <v/>
      </c>
      <c r="AB673" s="23" t="str">
        <f aca="false">IF(X673="","",IF(Y673&gt;=4,MID(X673,15,6),""))</f>
        <v/>
      </c>
      <c r="AC673" s="23" t="str">
        <f aca="false">IF(X673="","",IF(Y673&gt;=5,MID(X673,22,6),""))</f>
        <v/>
      </c>
      <c r="AD673" s="23" t="str">
        <f aca="false">IF(X673="","",RIGHT(X673,6))</f>
        <v/>
      </c>
      <c r="AE673" s="23" t="str">
        <f aca="false">IF(F673="","",IF(ISNUMBER(SEARCH("-TK",UPPER(F673))),0,1))</f>
        <v/>
      </c>
      <c r="AF673" s="23" t="str">
        <f aca="false">IF(F673="","",IF(ISNUMBER(SEARCH("-LED",UPPER(F673))),1,0))</f>
        <v/>
      </c>
      <c r="AG673" s="24" t="n">
        <f aca="false">IF(Z673="",0,IFERROR(INDEX(Resep!$C$5:$C$7,MATCH(LEFT(Z673,3),Resep!$B$5:$B$7,0)),0))</f>
        <v>0</v>
      </c>
      <c r="AH673" s="24" t="n">
        <f aca="false">IF(AA673="",0,IFERROR(INDEX(Resep!$C$9:$C$13,MATCH(LEFT(AA673,3),Resep!$B$9:$B$13,0)),0))</f>
        <v>0</v>
      </c>
      <c r="AI673" s="24" t="n">
        <f aca="false">IF(AB673="",0,IFERROR(INDEX(Resep!$C$9:$C$13,MATCH(LEFT(AB673,3),Resep!$B$9:$B$13,0)),0))</f>
        <v>0</v>
      </c>
      <c r="AJ673" s="24" t="n">
        <f aca="false">IF(AC673="",0,IFERROR(INDEX(Resep!$C$9:$C$13,MATCH(LEFT(AC673,3),Resep!$B$9:$B$13,0)),0))</f>
        <v>0</v>
      </c>
      <c r="AK673" s="24" t="n">
        <f aca="false">IF(AD673="",0,IFERROR(INDEX(Resep!$C$15:$C$18,MATCH(LEFT(AD673,3),Resep!$B$15:$B$18,0)),0))</f>
        <v>0</v>
      </c>
      <c r="AL673" s="24" t="str">
        <f aca="false">IF(X673="","",AG673+AH673+AI673+AJ673+AK673)</f>
        <v/>
      </c>
      <c r="AM673" s="22" t="str">
        <f aca="false">IF(X673="","",AL673*(Pengaturan!$B$6+Pengaturan!$B$7)+Pengaturan!$B$8+AE673*Pengaturan!$B$9+AF673*Pengaturan!$B$10)</f>
        <v/>
      </c>
      <c r="AN673" s="22" t="str">
        <f aca="false">IF(X673="","",N(G673)-AM673)</f>
        <v/>
      </c>
      <c r="AO673" s="25" t="str">
        <f aca="false">IF(OR(X673="",N(G673)=0),"",AN673/G673)</f>
        <v/>
      </c>
    </row>
    <row r="674" customFormat="false" ht="15" hidden="false" customHeight="false" outlineLevel="0" collapsed="false">
      <c r="A674" s="19"/>
      <c r="B674" s="20"/>
      <c r="C674" s="19"/>
      <c r="D674" s="19"/>
      <c r="E674" s="19"/>
      <c r="F674" s="19"/>
      <c r="G674" s="21"/>
      <c r="H674" s="19"/>
      <c r="I674" s="21"/>
      <c r="J674" s="19"/>
      <c r="K674" s="20"/>
      <c r="L674" s="20"/>
      <c r="M674" s="19"/>
      <c r="N674" s="19"/>
      <c r="O674" s="20"/>
      <c r="P674" s="20"/>
      <c r="Q674" s="19"/>
      <c r="R674" s="22" t="str">
        <f aca="false">IF(A674="","",N(G674)+N(I674))</f>
        <v/>
      </c>
      <c r="S674" s="23" t="str">
        <f aca="false">IF(OR(K674="",O674=""),"",O674-K674)</f>
        <v/>
      </c>
      <c r="T674" s="23" t="str">
        <f aca="true">IF(AND(C674="Cetak",L674&lt;&gt;"",L674&lt;TODAY()),"YA","")</f>
        <v/>
      </c>
      <c r="U674" s="23" t="str">
        <f aca="false">IF(B674="","",TEXT(B674,"yyyy-mm"))</f>
        <v/>
      </c>
      <c r="V674" s="23" t="str">
        <f aca="false">IF(K674="","",TEXT(K674,"yyyy-mm"))</f>
        <v/>
      </c>
      <c r="W674" s="23" t="n">
        <f aca="false">IF(OR(C674="Cetak",C674="Dikirim",C674="Selesai"),1,0)</f>
        <v>0</v>
      </c>
      <c r="X674" s="23" t="str">
        <f aca="false">IF(F674="","",SUBSTITUTE(SUBSTITUTE(MID(UPPER(TRIM(F674)),4,99),"-LED",""),"-TK",""))</f>
        <v/>
      </c>
      <c r="Y674" s="23" t="str">
        <f aca="false">IF(X674="","",(LEN(X674)+1)/7)</f>
        <v/>
      </c>
      <c r="Z674" s="23" t="str">
        <f aca="false">IF(X674="","",LEFT(X674,6))</f>
        <v/>
      </c>
      <c r="AA674" s="23" t="str">
        <f aca="false">IF(X674="","",IF(Y674&gt;=3,MID(X674,8,6),""))</f>
        <v/>
      </c>
      <c r="AB674" s="23" t="str">
        <f aca="false">IF(X674="","",IF(Y674&gt;=4,MID(X674,15,6),""))</f>
        <v/>
      </c>
      <c r="AC674" s="23" t="str">
        <f aca="false">IF(X674="","",IF(Y674&gt;=5,MID(X674,22,6),""))</f>
        <v/>
      </c>
      <c r="AD674" s="23" t="str">
        <f aca="false">IF(X674="","",RIGHT(X674,6))</f>
        <v/>
      </c>
      <c r="AE674" s="23" t="str">
        <f aca="false">IF(F674="","",IF(ISNUMBER(SEARCH("-TK",UPPER(F674))),0,1))</f>
        <v/>
      </c>
      <c r="AF674" s="23" t="str">
        <f aca="false">IF(F674="","",IF(ISNUMBER(SEARCH("-LED",UPPER(F674))),1,0))</f>
        <v/>
      </c>
      <c r="AG674" s="24" t="n">
        <f aca="false">IF(Z674="",0,IFERROR(INDEX(Resep!$C$5:$C$7,MATCH(LEFT(Z674,3),Resep!$B$5:$B$7,0)),0))</f>
        <v>0</v>
      </c>
      <c r="AH674" s="24" t="n">
        <f aca="false">IF(AA674="",0,IFERROR(INDEX(Resep!$C$9:$C$13,MATCH(LEFT(AA674,3),Resep!$B$9:$B$13,0)),0))</f>
        <v>0</v>
      </c>
      <c r="AI674" s="24" t="n">
        <f aca="false">IF(AB674="",0,IFERROR(INDEX(Resep!$C$9:$C$13,MATCH(LEFT(AB674,3),Resep!$B$9:$B$13,0)),0))</f>
        <v>0</v>
      </c>
      <c r="AJ674" s="24" t="n">
        <f aca="false">IF(AC674="",0,IFERROR(INDEX(Resep!$C$9:$C$13,MATCH(LEFT(AC674,3),Resep!$B$9:$B$13,0)),0))</f>
        <v>0</v>
      </c>
      <c r="AK674" s="24" t="n">
        <f aca="false">IF(AD674="",0,IFERROR(INDEX(Resep!$C$15:$C$18,MATCH(LEFT(AD674,3),Resep!$B$15:$B$18,0)),0))</f>
        <v>0</v>
      </c>
      <c r="AL674" s="24" t="str">
        <f aca="false">IF(X674="","",AG674+AH674+AI674+AJ674+AK674)</f>
        <v/>
      </c>
      <c r="AM674" s="22" t="str">
        <f aca="false">IF(X674="","",AL674*(Pengaturan!$B$6+Pengaturan!$B$7)+Pengaturan!$B$8+AE674*Pengaturan!$B$9+AF674*Pengaturan!$B$10)</f>
        <v/>
      </c>
      <c r="AN674" s="22" t="str">
        <f aca="false">IF(X674="","",N(G674)-AM674)</f>
        <v/>
      </c>
      <c r="AO674" s="25" t="str">
        <f aca="false">IF(OR(X674="",N(G674)=0),"",AN674/G674)</f>
        <v/>
      </c>
    </row>
    <row r="675" customFormat="false" ht="15" hidden="false" customHeight="false" outlineLevel="0" collapsed="false">
      <c r="A675" s="19"/>
      <c r="B675" s="20"/>
      <c r="C675" s="19"/>
      <c r="D675" s="19"/>
      <c r="E675" s="19"/>
      <c r="F675" s="19"/>
      <c r="G675" s="21"/>
      <c r="H675" s="19"/>
      <c r="I675" s="21"/>
      <c r="J675" s="19"/>
      <c r="K675" s="20"/>
      <c r="L675" s="20"/>
      <c r="M675" s="19"/>
      <c r="N675" s="19"/>
      <c r="O675" s="20"/>
      <c r="P675" s="20"/>
      <c r="Q675" s="19"/>
      <c r="R675" s="22" t="str">
        <f aca="false">IF(A675="","",N(G675)+N(I675))</f>
        <v/>
      </c>
      <c r="S675" s="23" t="str">
        <f aca="false">IF(OR(K675="",O675=""),"",O675-K675)</f>
        <v/>
      </c>
      <c r="T675" s="23" t="str">
        <f aca="true">IF(AND(C675="Cetak",L675&lt;&gt;"",L675&lt;TODAY()),"YA","")</f>
        <v/>
      </c>
      <c r="U675" s="23" t="str">
        <f aca="false">IF(B675="","",TEXT(B675,"yyyy-mm"))</f>
        <v/>
      </c>
      <c r="V675" s="23" t="str">
        <f aca="false">IF(K675="","",TEXT(K675,"yyyy-mm"))</f>
        <v/>
      </c>
      <c r="W675" s="23" t="n">
        <f aca="false">IF(OR(C675="Cetak",C675="Dikirim",C675="Selesai"),1,0)</f>
        <v>0</v>
      </c>
      <c r="X675" s="23" t="str">
        <f aca="false">IF(F675="","",SUBSTITUTE(SUBSTITUTE(MID(UPPER(TRIM(F675)),4,99),"-LED",""),"-TK",""))</f>
        <v/>
      </c>
      <c r="Y675" s="23" t="str">
        <f aca="false">IF(X675="","",(LEN(X675)+1)/7)</f>
        <v/>
      </c>
      <c r="Z675" s="23" t="str">
        <f aca="false">IF(X675="","",LEFT(X675,6))</f>
        <v/>
      </c>
      <c r="AA675" s="23" t="str">
        <f aca="false">IF(X675="","",IF(Y675&gt;=3,MID(X675,8,6),""))</f>
        <v/>
      </c>
      <c r="AB675" s="23" t="str">
        <f aca="false">IF(X675="","",IF(Y675&gt;=4,MID(X675,15,6),""))</f>
        <v/>
      </c>
      <c r="AC675" s="23" t="str">
        <f aca="false">IF(X675="","",IF(Y675&gt;=5,MID(X675,22,6),""))</f>
        <v/>
      </c>
      <c r="AD675" s="23" t="str">
        <f aca="false">IF(X675="","",RIGHT(X675,6))</f>
        <v/>
      </c>
      <c r="AE675" s="23" t="str">
        <f aca="false">IF(F675="","",IF(ISNUMBER(SEARCH("-TK",UPPER(F675))),0,1))</f>
        <v/>
      </c>
      <c r="AF675" s="23" t="str">
        <f aca="false">IF(F675="","",IF(ISNUMBER(SEARCH("-LED",UPPER(F675))),1,0))</f>
        <v/>
      </c>
      <c r="AG675" s="24" t="n">
        <f aca="false">IF(Z675="",0,IFERROR(INDEX(Resep!$C$5:$C$7,MATCH(LEFT(Z675,3),Resep!$B$5:$B$7,0)),0))</f>
        <v>0</v>
      </c>
      <c r="AH675" s="24" t="n">
        <f aca="false">IF(AA675="",0,IFERROR(INDEX(Resep!$C$9:$C$13,MATCH(LEFT(AA675,3),Resep!$B$9:$B$13,0)),0))</f>
        <v>0</v>
      </c>
      <c r="AI675" s="24" t="n">
        <f aca="false">IF(AB675="",0,IFERROR(INDEX(Resep!$C$9:$C$13,MATCH(LEFT(AB675,3),Resep!$B$9:$B$13,0)),0))</f>
        <v>0</v>
      </c>
      <c r="AJ675" s="24" t="n">
        <f aca="false">IF(AC675="",0,IFERROR(INDEX(Resep!$C$9:$C$13,MATCH(LEFT(AC675,3),Resep!$B$9:$B$13,0)),0))</f>
        <v>0</v>
      </c>
      <c r="AK675" s="24" t="n">
        <f aca="false">IF(AD675="",0,IFERROR(INDEX(Resep!$C$15:$C$18,MATCH(LEFT(AD675,3),Resep!$B$15:$B$18,0)),0))</f>
        <v>0</v>
      </c>
      <c r="AL675" s="24" t="str">
        <f aca="false">IF(X675="","",AG675+AH675+AI675+AJ675+AK675)</f>
        <v/>
      </c>
      <c r="AM675" s="22" t="str">
        <f aca="false">IF(X675="","",AL675*(Pengaturan!$B$6+Pengaturan!$B$7)+Pengaturan!$B$8+AE675*Pengaturan!$B$9+AF675*Pengaturan!$B$10)</f>
        <v/>
      </c>
      <c r="AN675" s="22" t="str">
        <f aca="false">IF(X675="","",N(G675)-AM675)</f>
        <v/>
      </c>
      <c r="AO675" s="25" t="str">
        <f aca="false">IF(OR(X675="",N(G675)=0),"",AN675/G675)</f>
        <v/>
      </c>
    </row>
    <row r="676" customFormat="false" ht="15" hidden="false" customHeight="false" outlineLevel="0" collapsed="false">
      <c r="A676" s="19"/>
      <c r="B676" s="20"/>
      <c r="C676" s="19"/>
      <c r="D676" s="19"/>
      <c r="E676" s="19"/>
      <c r="F676" s="19"/>
      <c r="G676" s="21"/>
      <c r="H676" s="19"/>
      <c r="I676" s="21"/>
      <c r="J676" s="19"/>
      <c r="K676" s="20"/>
      <c r="L676" s="20"/>
      <c r="M676" s="19"/>
      <c r="N676" s="19"/>
      <c r="O676" s="20"/>
      <c r="P676" s="20"/>
      <c r="Q676" s="19"/>
      <c r="R676" s="22" t="str">
        <f aca="false">IF(A676="","",N(G676)+N(I676))</f>
        <v/>
      </c>
      <c r="S676" s="23" t="str">
        <f aca="false">IF(OR(K676="",O676=""),"",O676-K676)</f>
        <v/>
      </c>
      <c r="T676" s="23" t="str">
        <f aca="true">IF(AND(C676="Cetak",L676&lt;&gt;"",L676&lt;TODAY()),"YA","")</f>
        <v/>
      </c>
      <c r="U676" s="23" t="str">
        <f aca="false">IF(B676="","",TEXT(B676,"yyyy-mm"))</f>
        <v/>
      </c>
      <c r="V676" s="23" t="str">
        <f aca="false">IF(K676="","",TEXT(K676,"yyyy-mm"))</f>
        <v/>
      </c>
      <c r="W676" s="23" t="n">
        <f aca="false">IF(OR(C676="Cetak",C676="Dikirim",C676="Selesai"),1,0)</f>
        <v>0</v>
      </c>
      <c r="X676" s="23" t="str">
        <f aca="false">IF(F676="","",SUBSTITUTE(SUBSTITUTE(MID(UPPER(TRIM(F676)),4,99),"-LED",""),"-TK",""))</f>
        <v/>
      </c>
      <c r="Y676" s="23" t="str">
        <f aca="false">IF(X676="","",(LEN(X676)+1)/7)</f>
        <v/>
      </c>
      <c r="Z676" s="23" t="str">
        <f aca="false">IF(X676="","",LEFT(X676,6))</f>
        <v/>
      </c>
      <c r="AA676" s="23" t="str">
        <f aca="false">IF(X676="","",IF(Y676&gt;=3,MID(X676,8,6),""))</f>
        <v/>
      </c>
      <c r="AB676" s="23" t="str">
        <f aca="false">IF(X676="","",IF(Y676&gt;=4,MID(X676,15,6),""))</f>
        <v/>
      </c>
      <c r="AC676" s="23" t="str">
        <f aca="false">IF(X676="","",IF(Y676&gt;=5,MID(X676,22,6),""))</f>
        <v/>
      </c>
      <c r="AD676" s="23" t="str">
        <f aca="false">IF(X676="","",RIGHT(X676,6))</f>
        <v/>
      </c>
      <c r="AE676" s="23" t="str">
        <f aca="false">IF(F676="","",IF(ISNUMBER(SEARCH("-TK",UPPER(F676))),0,1))</f>
        <v/>
      </c>
      <c r="AF676" s="23" t="str">
        <f aca="false">IF(F676="","",IF(ISNUMBER(SEARCH("-LED",UPPER(F676))),1,0))</f>
        <v/>
      </c>
      <c r="AG676" s="24" t="n">
        <f aca="false">IF(Z676="",0,IFERROR(INDEX(Resep!$C$5:$C$7,MATCH(LEFT(Z676,3),Resep!$B$5:$B$7,0)),0))</f>
        <v>0</v>
      </c>
      <c r="AH676" s="24" t="n">
        <f aca="false">IF(AA676="",0,IFERROR(INDEX(Resep!$C$9:$C$13,MATCH(LEFT(AA676,3),Resep!$B$9:$B$13,0)),0))</f>
        <v>0</v>
      </c>
      <c r="AI676" s="24" t="n">
        <f aca="false">IF(AB676="",0,IFERROR(INDEX(Resep!$C$9:$C$13,MATCH(LEFT(AB676,3),Resep!$B$9:$B$13,0)),0))</f>
        <v>0</v>
      </c>
      <c r="AJ676" s="24" t="n">
        <f aca="false">IF(AC676="",0,IFERROR(INDEX(Resep!$C$9:$C$13,MATCH(LEFT(AC676,3),Resep!$B$9:$B$13,0)),0))</f>
        <v>0</v>
      </c>
      <c r="AK676" s="24" t="n">
        <f aca="false">IF(AD676="",0,IFERROR(INDEX(Resep!$C$15:$C$18,MATCH(LEFT(AD676,3),Resep!$B$15:$B$18,0)),0))</f>
        <v>0</v>
      </c>
      <c r="AL676" s="24" t="str">
        <f aca="false">IF(X676="","",AG676+AH676+AI676+AJ676+AK676)</f>
        <v/>
      </c>
      <c r="AM676" s="22" t="str">
        <f aca="false">IF(X676="","",AL676*(Pengaturan!$B$6+Pengaturan!$B$7)+Pengaturan!$B$8+AE676*Pengaturan!$B$9+AF676*Pengaturan!$B$10)</f>
        <v/>
      </c>
      <c r="AN676" s="22" t="str">
        <f aca="false">IF(X676="","",N(G676)-AM676)</f>
        <v/>
      </c>
      <c r="AO676" s="25" t="str">
        <f aca="false">IF(OR(X676="",N(G676)=0),"",AN676/G676)</f>
        <v/>
      </c>
    </row>
    <row r="677" customFormat="false" ht="15" hidden="false" customHeight="false" outlineLevel="0" collapsed="false">
      <c r="A677" s="19"/>
      <c r="B677" s="20"/>
      <c r="C677" s="19"/>
      <c r="D677" s="19"/>
      <c r="E677" s="19"/>
      <c r="F677" s="19"/>
      <c r="G677" s="21"/>
      <c r="H677" s="19"/>
      <c r="I677" s="21"/>
      <c r="J677" s="19"/>
      <c r="K677" s="20"/>
      <c r="L677" s="20"/>
      <c r="M677" s="19"/>
      <c r="N677" s="19"/>
      <c r="O677" s="20"/>
      <c r="P677" s="20"/>
      <c r="Q677" s="19"/>
      <c r="R677" s="22" t="str">
        <f aca="false">IF(A677="","",N(G677)+N(I677))</f>
        <v/>
      </c>
      <c r="S677" s="23" t="str">
        <f aca="false">IF(OR(K677="",O677=""),"",O677-K677)</f>
        <v/>
      </c>
      <c r="T677" s="23" t="str">
        <f aca="true">IF(AND(C677="Cetak",L677&lt;&gt;"",L677&lt;TODAY()),"YA","")</f>
        <v/>
      </c>
      <c r="U677" s="23" t="str">
        <f aca="false">IF(B677="","",TEXT(B677,"yyyy-mm"))</f>
        <v/>
      </c>
      <c r="V677" s="23" t="str">
        <f aca="false">IF(K677="","",TEXT(K677,"yyyy-mm"))</f>
        <v/>
      </c>
      <c r="W677" s="23" t="n">
        <f aca="false">IF(OR(C677="Cetak",C677="Dikirim",C677="Selesai"),1,0)</f>
        <v>0</v>
      </c>
      <c r="X677" s="23" t="str">
        <f aca="false">IF(F677="","",SUBSTITUTE(SUBSTITUTE(MID(UPPER(TRIM(F677)),4,99),"-LED",""),"-TK",""))</f>
        <v/>
      </c>
      <c r="Y677" s="23" t="str">
        <f aca="false">IF(X677="","",(LEN(X677)+1)/7)</f>
        <v/>
      </c>
      <c r="Z677" s="23" t="str">
        <f aca="false">IF(X677="","",LEFT(X677,6))</f>
        <v/>
      </c>
      <c r="AA677" s="23" t="str">
        <f aca="false">IF(X677="","",IF(Y677&gt;=3,MID(X677,8,6),""))</f>
        <v/>
      </c>
      <c r="AB677" s="23" t="str">
        <f aca="false">IF(X677="","",IF(Y677&gt;=4,MID(X677,15,6),""))</f>
        <v/>
      </c>
      <c r="AC677" s="23" t="str">
        <f aca="false">IF(X677="","",IF(Y677&gt;=5,MID(X677,22,6),""))</f>
        <v/>
      </c>
      <c r="AD677" s="23" t="str">
        <f aca="false">IF(X677="","",RIGHT(X677,6))</f>
        <v/>
      </c>
      <c r="AE677" s="23" t="str">
        <f aca="false">IF(F677="","",IF(ISNUMBER(SEARCH("-TK",UPPER(F677))),0,1))</f>
        <v/>
      </c>
      <c r="AF677" s="23" t="str">
        <f aca="false">IF(F677="","",IF(ISNUMBER(SEARCH("-LED",UPPER(F677))),1,0))</f>
        <v/>
      </c>
      <c r="AG677" s="24" t="n">
        <f aca="false">IF(Z677="",0,IFERROR(INDEX(Resep!$C$5:$C$7,MATCH(LEFT(Z677,3),Resep!$B$5:$B$7,0)),0))</f>
        <v>0</v>
      </c>
      <c r="AH677" s="24" t="n">
        <f aca="false">IF(AA677="",0,IFERROR(INDEX(Resep!$C$9:$C$13,MATCH(LEFT(AA677,3),Resep!$B$9:$B$13,0)),0))</f>
        <v>0</v>
      </c>
      <c r="AI677" s="24" t="n">
        <f aca="false">IF(AB677="",0,IFERROR(INDEX(Resep!$C$9:$C$13,MATCH(LEFT(AB677,3),Resep!$B$9:$B$13,0)),0))</f>
        <v>0</v>
      </c>
      <c r="AJ677" s="24" t="n">
        <f aca="false">IF(AC677="",0,IFERROR(INDEX(Resep!$C$9:$C$13,MATCH(LEFT(AC677,3),Resep!$B$9:$B$13,0)),0))</f>
        <v>0</v>
      </c>
      <c r="AK677" s="24" t="n">
        <f aca="false">IF(AD677="",0,IFERROR(INDEX(Resep!$C$15:$C$18,MATCH(LEFT(AD677,3),Resep!$B$15:$B$18,0)),0))</f>
        <v>0</v>
      </c>
      <c r="AL677" s="24" t="str">
        <f aca="false">IF(X677="","",AG677+AH677+AI677+AJ677+AK677)</f>
        <v/>
      </c>
      <c r="AM677" s="22" t="str">
        <f aca="false">IF(X677="","",AL677*(Pengaturan!$B$6+Pengaturan!$B$7)+Pengaturan!$B$8+AE677*Pengaturan!$B$9+AF677*Pengaturan!$B$10)</f>
        <v/>
      </c>
      <c r="AN677" s="22" t="str">
        <f aca="false">IF(X677="","",N(G677)-AM677)</f>
        <v/>
      </c>
      <c r="AO677" s="25" t="str">
        <f aca="false">IF(OR(X677="",N(G677)=0),"",AN677/G677)</f>
        <v/>
      </c>
    </row>
    <row r="678" customFormat="false" ht="15" hidden="false" customHeight="false" outlineLevel="0" collapsed="false">
      <c r="A678" s="19"/>
      <c r="B678" s="20"/>
      <c r="C678" s="19"/>
      <c r="D678" s="19"/>
      <c r="E678" s="19"/>
      <c r="F678" s="19"/>
      <c r="G678" s="21"/>
      <c r="H678" s="19"/>
      <c r="I678" s="21"/>
      <c r="J678" s="19"/>
      <c r="K678" s="20"/>
      <c r="L678" s="20"/>
      <c r="M678" s="19"/>
      <c r="N678" s="19"/>
      <c r="O678" s="20"/>
      <c r="P678" s="20"/>
      <c r="Q678" s="19"/>
      <c r="R678" s="22" t="str">
        <f aca="false">IF(A678="","",N(G678)+N(I678))</f>
        <v/>
      </c>
      <c r="S678" s="23" t="str">
        <f aca="false">IF(OR(K678="",O678=""),"",O678-K678)</f>
        <v/>
      </c>
      <c r="T678" s="23" t="str">
        <f aca="true">IF(AND(C678="Cetak",L678&lt;&gt;"",L678&lt;TODAY()),"YA","")</f>
        <v/>
      </c>
      <c r="U678" s="23" t="str">
        <f aca="false">IF(B678="","",TEXT(B678,"yyyy-mm"))</f>
        <v/>
      </c>
      <c r="V678" s="23" t="str">
        <f aca="false">IF(K678="","",TEXT(K678,"yyyy-mm"))</f>
        <v/>
      </c>
      <c r="W678" s="23" t="n">
        <f aca="false">IF(OR(C678="Cetak",C678="Dikirim",C678="Selesai"),1,0)</f>
        <v>0</v>
      </c>
      <c r="X678" s="23" t="str">
        <f aca="false">IF(F678="","",SUBSTITUTE(SUBSTITUTE(MID(UPPER(TRIM(F678)),4,99),"-LED",""),"-TK",""))</f>
        <v/>
      </c>
      <c r="Y678" s="23" t="str">
        <f aca="false">IF(X678="","",(LEN(X678)+1)/7)</f>
        <v/>
      </c>
      <c r="Z678" s="23" t="str">
        <f aca="false">IF(X678="","",LEFT(X678,6))</f>
        <v/>
      </c>
      <c r="AA678" s="23" t="str">
        <f aca="false">IF(X678="","",IF(Y678&gt;=3,MID(X678,8,6),""))</f>
        <v/>
      </c>
      <c r="AB678" s="23" t="str">
        <f aca="false">IF(X678="","",IF(Y678&gt;=4,MID(X678,15,6),""))</f>
        <v/>
      </c>
      <c r="AC678" s="23" t="str">
        <f aca="false">IF(X678="","",IF(Y678&gt;=5,MID(X678,22,6),""))</f>
        <v/>
      </c>
      <c r="AD678" s="23" t="str">
        <f aca="false">IF(X678="","",RIGHT(X678,6))</f>
        <v/>
      </c>
      <c r="AE678" s="23" t="str">
        <f aca="false">IF(F678="","",IF(ISNUMBER(SEARCH("-TK",UPPER(F678))),0,1))</f>
        <v/>
      </c>
      <c r="AF678" s="23" t="str">
        <f aca="false">IF(F678="","",IF(ISNUMBER(SEARCH("-LED",UPPER(F678))),1,0))</f>
        <v/>
      </c>
      <c r="AG678" s="24" t="n">
        <f aca="false">IF(Z678="",0,IFERROR(INDEX(Resep!$C$5:$C$7,MATCH(LEFT(Z678,3),Resep!$B$5:$B$7,0)),0))</f>
        <v>0</v>
      </c>
      <c r="AH678" s="24" t="n">
        <f aca="false">IF(AA678="",0,IFERROR(INDEX(Resep!$C$9:$C$13,MATCH(LEFT(AA678,3),Resep!$B$9:$B$13,0)),0))</f>
        <v>0</v>
      </c>
      <c r="AI678" s="24" t="n">
        <f aca="false">IF(AB678="",0,IFERROR(INDEX(Resep!$C$9:$C$13,MATCH(LEFT(AB678,3),Resep!$B$9:$B$13,0)),0))</f>
        <v>0</v>
      </c>
      <c r="AJ678" s="24" t="n">
        <f aca="false">IF(AC678="",0,IFERROR(INDEX(Resep!$C$9:$C$13,MATCH(LEFT(AC678,3),Resep!$B$9:$B$13,0)),0))</f>
        <v>0</v>
      </c>
      <c r="AK678" s="24" t="n">
        <f aca="false">IF(AD678="",0,IFERROR(INDEX(Resep!$C$15:$C$18,MATCH(LEFT(AD678,3),Resep!$B$15:$B$18,0)),0))</f>
        <v>0</v>
      </c>
      <c r="AL678" s="24" t="str">
        <f aca="false">IF(X678="","",AG678+AH678+AI678+AJ678+AK678)</f>
        <v/>
      </c>
      <c r="AM678" s="22" t="str">
        <f aca="false">IF(X678="","",AL678*(Pengaturan!$B$6+Pengaturan!$B$7)+Pengaturan!$B$8+AE678*Pengaturan!$B$9+AF678*Pengaturan!$B$10)</f>
        <v/>
      </c>
      <c r="AN678" s="22" t="str">
        <f aca="false">IF(X678="","",N(G678)-AM678)</f>
        <v/>
      </c>
      <c r="AO678" s="25" t="str">
        <f aca="false">IF(OR(X678="",N(G678)=0),"",AN678/G678)</f>
        <v/>
      </c>
    </row>
    <row r="679" customFormat="false" ht="15" hidden="false" customHeight="false" outlineLevel="0" collapsed="false">
      <c r="A679" s="19"/>
      <c r="B679" s="20"/>
      <c r="C679" s="19"/>
      <c r="D679" s="19"/>
      <c r="E679" s="19"/>
      <c r="F679" s="19"/>
      <c r="G679" s="21"/>
      <c r="H679" s="19"/>
      <c r="I679" s="21"/>
      <c r="J679" s="19"/>
      <c r="K679" s="20"/>
      <c r="L679" s="20"/>
      <c r="M679" s="19"/>
      <c r="N679" s="19"/>
      <c r="O679" s="20"/>
      <c r="P679" s="20"/>
      <c r="Q679" s="19"/>
      <c r="R679" s="22" t="str">
        <f aca="false">IF(A679="","",N(G679)+N(I679))</f>
        <v/>
      </c>
      <c r="S679" s="23" t="str">
        <f aca="false">IF(OR(K679="",O679=""),"",O679-K679)</f>
        <v/>
      </c>
      <c r="T679" s="23" t="str">
        <f aca="true">IF(AND(C679="Cetak",L679&lt;&gt;"",L679&lt;TODAY()),"YA","")</f>
        <v/>
      </c>
      <c r="U679" s="23" t="str">
        <f aca="false">IF(B679="","",TEXT(B679,"yyyy-mm"))</f>
        <v/>
      </c>
      <c r="V679" s="23" t="str">
        <f aca="false">IF(K679="","",TEXT(K679,"yyyy-mm"))</f>
        <v/>
      </c>
      <c r="W679" s="23" t="n">
        <f aca="false">IF(OR(C679="Cetak",C679="Dikirim",C679="Selesai"),1,0)</f>
        <v>0</v>
      </c>
      <c r="X679" s="23" t="str">
        <f aca="false">IF(F679="","",SUBSTITUTE(SUBSTITUTE(MID(UPPER(TRIM(F679)),4,99),"-LED",""),"-TK",""))</f>
        <v/>
      </c>
      <c r="Y679" s="23" t="str">
        <f aca="false">IF(X679="","",(LEN(X679)+1)/7)</f>
        <v/>
      </c>
      <c r="Z679" s="23" t="str">
        <f aca="false">IF(X679="","",LEFT(X679,6))</f>
        <v/>
      </c>
      <c r="AA679" s="23" t="str">
        <f aca="false">IF(X679="","",IF(Y679&gt;=3,MID(X679,8,6),""))</f>
        <v/>
      </c>
      <c r="AB679" s="23" t="str">
        <f aca="false">IF(X679="","",IF(Y679&gt;=4,MID(X679,15,6),""))</f>
        <v/>
      </c>
      <c r="AC679" s="23" t="str">
        <f aca="false">IF(X679="","",IF(Y679&gt;=5,MID(X679,22,6),""))</f>
        <v/>
      </c>
      <c r="AD679" s="23" t="str">
        <f aca="false">IF(X679="","",RIGHT(X679,6))</f>
        <v/>
      </c>
      <c r="AE679" s="23" t="str">
        <f aca="false">IF(F679="","",IF(ISNUMBER(SEARCH("-TK",UPPER(F679))),0,1))</f>
        <v/>
      </c>
      <c r="AF679" s="23" t="str">
        <f aca="false">IF(F679="","",IF(ISNUMBER(SEARCH("-LED",UPPER(F679))),1,0))</f>
        <v/>
      </c>
      <c r="AG679" s="24" t="n">
        <f aca="false">IF(Z679="",0,IFERROR(INDEX(Resep!$C$5:$C$7,MATCH(LEFT(Z679,3),Resep!$B$5:$B$7,0)),0))</f>
        <v>0</v>
      </c>
      <c r="AH679" s="24" t="n">
        <f aca="false">IF(AA679="",0,IFERROR(INDEX(Resep!$C$9:$C$13,MATCH(LEFT(AA679,3),Resep!$B$9:$B$13,0)),0))</f>
        <v>0</v>
      </c>
      <c r="AI679" s="24" t="n">
        <f aca="false">IF(AB679="",0,IFERROR(INDEX(Resep!$C$9:$C$13,MATCH(LEFT(AB679,3),Resep!$B$9:$B$13,0)),0))</f>
        <v>0</v>
      </c>
      <c r="AJ679" s="24" t="n">
        <f aca="false">IF(AC679="",0,IFERROR(INDEX(Resep!$C$9:$C$13,MATCH(LEFT(AC679,3),Resep!$B$9:$B$13,0)),0))</f>
        <v>0</v>
      </c>
      <c r="AK679" s="24" t="n">
        <f aca="false">IF(AD679="",0,IFERROR(INDEX(Resep!$C$15:$C$18,MATCH(LEFT(AD679,3),Resep!$B$15:$B$18,0)),0))</f>
        <v>0</v>
      </c>
      <c r="AL679" s="24" t="str">
        <f aca="false">IF(X679="","",AG679+AH679+AI679+AJ679+AK679)</f>
        <v/>
      </c>
      <c r="AM679" s="22" t="str">
        <f aca="false">IF(X679="","",AL679*(Pengaturan!$B$6+Pengaturan!$B$7)+Pengaturan!$B$8+AE679*Pengaturan!$B$9+AF679*Pengaturan!$B$10)</f>
        <v/>
      </c>
      <c r="AN679" s="22" t="str">
        <f aca="false">IF(X679="","",N(G679)-AM679)</f>
        <v/>
      </c>
      <c r="AO679" s="25" t="str">
        <f aca="false">IF(OR(X679="",N(G679)=0),"",AN679/G679)</f>
        <v/>
      </c>
    </row>
    <row r="680" customFormat="false" ht="15" hidden="false" customHeight="false" outlineLevel="0" collapsed="false">
      <c r="A680" s="19"/>
      <c r="B680" s="20"/>
      <c r="C680" s="19"/>
      <c r="D680" s="19"/>
      <c r="E680" s="19"/>
      <c r="F680" s="19"/>
      <c r="G680" s="21"/>
      <c r="H680" s="19"/>
      <c r="I680" s="21"/>
      <c r="J680" s="19"/>
      <c r="K680" s="20"/>
      <c r="L680" s="20"/>
      <c r="M680" s="19"/>
      <c r="N680" s="19"/>
      <c r="O680" s="20"/>
      <c r="P680" s="20"/>
      <c r="Q680" s="19"/>
      <c r="R680" s="22" t="str">
        <f aca="false">IF(A680="","",N(G680)+N(I680))</f>
        <v/>
      </c>
      <c r="S680" s="23" t="str">
        <f aca="false">IF(OR(K680="",O680=""),"",O680-K680)</f>
        <v/>
      </c>
      <c r="T680" s="23" t="str">
        <f aca="true">IF(AND(C680="Cetak",L680&lt;&gt;"",L680&lt;TODAY()),"YA","")</f>
        <v/>
      </c>
      <c r="U680" s="23" t="str">
        <f aca="false">IF(B680="","",TEXT(B680,"yyyy-mm"))</f>
        <v/>
      </c>
      <c r="V680" s="23" t="str">
        <f aca="false">IF(K680="","",TEXT(K680,"yyyy-mm"))</f>
        <v/>
      </c>
      <c r="W680" s="23" t="n">
        <f aca="false">IF(OR(C680="Cetak",C680="Dikirim",C680="Selesai"),1,0)</f>
        <v>0</v>
      </c>
      <c r="X680" s="23" t="str">
        <f aca="false">IF(F680="","",SUBSTITUTE(SUBSTITUTE(MID(UPPER(TRIM(F680)),4,99),"-LED",""),"-TK",""))</f>
        <v/>
      </c>
      <c r="Y680" s="23" t="str">
        <f aca="false">IF(X680="","",(LEN(X680)+1)/7)</f>
        <v/>
      </c>
      <c r="Z680" s="23" t="str">
        <f aca="false">IF(X680="","",LEFT(X680,6))</f>
        <v/>
      </c>
      <c r="AA680" s="23" t="str">
        <f aca="false">IF(X680="","",IF(Y680&gt;=3,MID(X680,8,6),""))</f>
        <v/>
      </c>
      <c r="AB680" s="23" t="str">
        <f aca="false">IF(X680="","",IF(Y680&gt;=4,MID(X680,15,6),""))</f>
        <v/>
      </c>
      <c r="AC680" s="23" t="str">
        <f aca="false">IF(X680="","",IF(Y680&gt;=5,MID(X680,22,6),""))</f>
        <v/>
      </c>
      <c r="AD680" s="23" t="str">
        <f aca="false">IF(X680="","",RIGHT(X680,6))</f>
        <v/>
      </c>
      <c r="AE680" s="23" t="str">
        <f aca="false">IF(F680="","",IF(ISNUMBER(SEARCH("-TK",UPPER(F680))),0,1))</f>
        <v/>
      </c>
      <c r="AF680" s="23" t="str">
        <f aca="false">IF(F680="","",IF(ISNUMBER(SEARCH("-LED",UPPER(F680))),1,0))</f>
        <v/>
      </c>
      <c r="AG680" s="24" t="n">
        <f aca="false">IF(Z680="",0,IFERROR(INDEX(Resep!$C$5:$C$7,MATCH(LEFT(Z680,3),Resep!$B$5:$B$7,0)),0))</f>
        <v>0</v>
      </c>
      <c r="AH680" s="24" t="n">
        <f aca="false">IF(AA680="",0,IFERROR(INDEX(Resep!$C$9:$C$13,MATCH(LEFT(AA680,3),Resep!$B$9:$B$13,0)),0))</f>
        <v>0</v>
      </c>
      <c r="AI680" s="24" t="n">
        <f aca="false">IF(AB680="",0,IFERROR(INDEX(Resep!$C$9:$C$13,MATCH(LEFT(AB680,3),Resep!$B$9:$B$13,0)),0))</f>
        <v>0</v>
      </c>
      <c r="AJ680" s="24" t="n">
        <f aca="false">IF(AC680="",0,IFERROR(INDEX(Resep!$C$9:$C$13,MATCH(LEFT(AC680,3),Resep!$B$9:$B$13,0)),0))</f>
        <v>0</v>
      </c>
      <c r="AK680" s="24" t="n">
        <f aca="false">IF(AD680="",0,IFERROR(INDEX(Resep!$C$15:$C$18,MATCH(LEFT(AD680,3),Resep!$B$15:$B$18,0)),0))</f>
        <v>0</v>
      </c>
      <c r="AL680" s="24" t="str">
        <f aca="false">IF(X680="","",AG680+AH680+AI680+AJ680+AK680)</f>
        <v/>
      </c>
      <c r="AM680" s="22" t="str">
        <f aca="false">IF(X680="","",AL680*(Pengaturan!$B$6+Pengaturan!$B$7)+Pengaturan!$B$8+AE680*Pengaturan!$B$9+AF680*Pengaturan!$B$10)</f>
        <v/>
      </c>
      <c r="AN680" s="22" t="str">
        <f aca="false">IF(X680="","",N(G680)-AM680)</f>
        <v/>
      </c>
      <c r="AO680" s="25" t="str">
        <f aca="false">IF(OR(X680="",N(G680)=0),"",AN680/G680)</f>
        <v/>
      </c>
    </row>
    <row r="681" customFormat="false" ht="15" hidden="false" customHeight="false" outlineLevel="0" collapsed="false">
      <c r="A681" s="19"/>
      <c r="B681" s="20"/>
      <c r="C681" s="19"/>
      <c r="D681" s="19"/>
      <c r="E681" s="19"/>
      <c r="F681" s="19"/>
      <c r="G681" s="21"/>
      <c r="H681" s="19"/>
      <c r="I681" s="21"/>
      <c r="J681" s="19"/>
      <c r="K681" s="20"/>
      <c r="L681" s="20"/>
      <c r="M681" s="19"/>
      <c r="N681" s="19"/>
      <c r="O681" s="20"/>
      <c r="P681" s="20"/>
      <c r="Q681" s="19"/>
      <c r="R681" s="22" t="str">
        <f aca="false">IF(A681="","",N(G681)+N(I681))</f>
        <v/>
      </c>
      <c r="S681" s="23" t="str">
        <f aca="false">IF(OR(K681="",O681=""),"",O681-K681)</f>
        <v/>
      </c>
      <c r="T681" s="23" t="str">
        <f aca="true">IF(AND(C681="Cetak",L681&lt;&gt;"",L681&lt;TODAY()),"YA","")</f>
        <v/>
      </c>
      <c r="U681" s="23" t="str">
        <f aca="false">IF(B681="","",TEXT(B681,"yyyy-mm"))</f>
        <v/>
      </c>
      <c r="V681" s="23" t="str">
        <f aca="false">IF(K681="","",TEXT(K681,"yyyy-mm"))</f>
        <v/>
      </c>
      <c r="W681" s="23" t="n">
        <f aca="false">IF(OR(C681="Cetak",C681="Dikirim",C681="Selesai"),1,0)</f>
        <v>0</v>
      </c>
      <c r="X681" s="23" t="str">
        <f aca="false">IF(F681="","",SUBSTITUTE(SUBSTITUTE(MID(UPPER(TRIM(F681)),4,99),"-LED",""),"-TK",""))</f>
        <v/>
      </c>
      <c r="Y681" s="23" t="str">
        <f aca="false">IF(X681="","",(LEN(X681)+1)/7)</f>
        <v/>
      </c>
      <c r="Z681" s="23" t="str">
        <f aca="false">IF(X681="","",LEFT(X681,6))</f>
        <v/>
      </c>
      <c r="AA681" s="23" t="str">
        <f aca="false">IF(X681="","",IF(Y681&gt;=3,MID(X681,8,6),""))</f>
        <v/>
      </c>
      <c r="AB681" s="23" t="str">
        <f aca="false">IF(X681="","",IF(Y681&gt;=4,MID(X681,15,6),""))</f>
        <v/>
      </c>
      <c r="AC681" s="23" t="str">
        <f aca="false">IF(X681="","",IF(Y681&gt;=5,MID(X681,22,6),""))</f>
        <v/>
      </c>
      <c r="AD681" s="23" t="str">
        <f aca="false">IF(X681="","",RIGHT(X681,6))</f>
        <v/>
      </c>
      <c r="AE681" s="23" t="str">
        <f aca="false">IF(F681="","",IF(ISNUMBER(SEARCH("-TK",UPPER(F681))),0,1))</f>
        <v/>
      </c>
      <c r="AF681" s="23" t="str">
        <f aca="false">IF(F681="","",IF(ISNUMBER(SEARCH("-LED",UPPER(F681))),1,0))</f>
        <v/>
      </c>
      <c r="AG681" s="24" t="n">
        <f aca="false">IF(Z681="",0,IFERROR(INDEX(Resep!$C$5:$C$7,MATCH(LEFT(Z681,3),Resep!$B$5:$B$7,0)),0))</f>
        <v>0</v>
      </c>
      <c r="AH681" s="24" t="n">
        <f aca="false">IF(AA681="",0,IFERROR(INDEX(Resep!$C$9:$C$13,MATCH(LEFT(AA681,3),Resep!$B$9:$B$13,0)),0))</f>
        <v>0</v>
      </c>
      <c r="AI681" s="24" t="n">
        <f aca="false">IF(AB681="",0,IFERROR(INDEX(Resep!$C$9:$C$13,MATCH(LEFT(AB681,3),Resep!$B$9:$B$13,0)),0))</f>
        <v>0</v>
      </c>
      <c r="AJ681" s="24" t="n">
        <f aca="false">IF(AC681="",0,IFERROR(INDEX(Resep!$C$9:$C$13,MATCH(LEFT(AC681,3),Resep!$B$9:$B$13,0)),0))</f>
        <v>0</v>
      </c>
      <c r="AK681" s="24" t="n">
        <f aca="false">IF(AD681="",0,IFERROR(INDEX(Resep!$C$15:$C$18,MATCH(LEFT(AD681,3),Resep!$B$15:$B$18,0)),0))</f>
        <v>0</v>
      </c>
      <c r="AL681" s="24" t="str">
        <f aca="false">IF(X681="","",AG681+AH681+AI681+AJ681+AK681)</f>
        <v/>
      </c>
      <c r="AM681" s="22" t="str">
        <f aca="false">IF(X681="","",AL681*(Pengaturan!$B$6+Pengaturan!$B$7)+Pengaturan!$B$8+AE681*Pengaturan!$B$9+AF681*Pengaturan!$B$10)</f>
        <v/>
      </c>
      <c r="AN681" s="22" t="str">
        <f aca="false">IF(X681="","",N(G681)-AM681)</f>
        <v/>
      </c>
      <c r="AO681" s="25" t="str">
        <f aca="false">IF(OR(X681="",N(G681)=0),"",AN681/G681)</f>
        <v/>
      </c>
    </row>
    <row r="682" customFormat="false" ht="15" hidden="false" customHeight="false" outlineLevel="0" collapsed="false">
      <c r="A682" s="19"/>
      <c r="B682" s="20"/>
      <c r="C682" s="19"/>
      <c r="D682" s="19"/>
      <c r="E682" s="19"/>
      <c r="F682" s="19"/>
      <c r="G682" s="21"/>
      <c r="H682" s="19"/>
      <c r="I682" s="21"/>
      <c r="J682" s="19"/>
      <c r="K682" s="20"/>
      <c r="L682" s="20"/>
      <c r="M682" s="19"/>
      <c r="N682" s="19"/>
      <c r="O682" s="20"/>
      <c r="P682" s="20"/>
      <c r="Q682" s="19"/>
      <c r="R682" s="22" t="str">
        <f aca="false">IF(A682="","",N(G682)+N(I682))</f>
        <v/>
      </c>
      <c r="S682" s="23" t="str">
        <f aca="false">IF(OR(K682="",O682=""),"",O682-K682)</f>
        <v/>
      </c>
      <c r="T682" s="23" t="str">
        <f aca="true">IF(AND(C682="Cetak",L682&lt;&gt;"",L682&lt;TODAY()),"YA","")</f>
        <v/>
      </c>
      <c r="U682" s="23" t="str">
        <f aca="false">IF(B682="","",TEXT(B682,"yyyy-mm"))</f>
        <v/>
      </c>
      <c r="V682" s="23" t="str">
        <f aca="false">IF(K682="","",TEXT(K682,"yyyy-mm"))</f>
        <v/>
      </c>
      <c r="W682" s="23" t="n">
        <f aca="false">IF(OR(C682="Cetak",C682="Dikirim",C682="Selesai"),1,0)</f>
        <v>0</v>
      </c>
      <c r="X682" s="23" t="str">
        <f aca="false">IF(F682="","",SUBSTITUTE(SUBSTITUTE(MID(UPPER(TRIM(F682)),4,99),"-LED",""),"-TK",""))</f>
        <v/>
      </c>
      <c r="Y682" s="23" t="str">
        <f aca="false">IF(X682="","",(LEN(X682)+1)/7)</f>
        <v/>
      </c>
      <c r="Z682" s="23" t="str">
        <f aca="false">IF(X682="","",LEFT(X682,6))</f>
        <v/>
      </c>
      <c r="AA682" s="23" t="str">
        <f aca="false">IF(X682="","",IF(Y682&gt;=3,MID(X682,8,6),""))</f>
        <v/>
      </c>
      <c r="AB682" s="23" t="str">
        <f aca="false">IF(X682="","",IF(Y682&gt;=4,MID(X682,15,6),""))</f>
        <v/>
      </c>
      <c r="AC682" s="23" t="str">
        <f aca="false">IF(X682="","",IF(Y682&gt;=5,MID(X682,22,6),""))</f>
        <v/>
      </c>
      <c r="AD682" s="23" t="str">
        <f aca="false">IF(X682="","",RIGHT(X682,6))</f>
        <v/>
      </c>
      <c r="AE682" s="23" t="str">
        <f aca="false">IF(F682="","",IF(ISNUMBER(SEARCH("-TK",UPPER(F682))),0,1))</f>
        <v/>
      </c>
      <c r="AF682" s="23" t="str">
        <f aca="false">IF(F682="","",IF(ISNUMBER(SEARCH("-LED",UPPER(F682))),1,0))</f>
        <v/>
      </c>
      <c r="AG682" s="24" t="n">
        <f aca="false">IF(Z682="",0,IFERROR(INDEX(Resep!$C$5:$C$7,MATCH(LEFT(Z682,3),Resep!$B$5:$B$7,0)),0))</f>
        <v>0</v>
      </c>
      <c r="AH682" s="24" t="n">
        <f aca="false">IF(AA682="",0,IFERROR(INDEX(Resep!$C$9:$C$13,MATCH(LEFT(AA682,3),Resep!$B$9:$B$13,0)),0))</f>
        <v>0</v>
      </c>
      <c r="AI682" s="24" t="n">
        <f aca="false">IF(AB682="",0,IFERROR(INDEX(Resep!$C$9:$C$13,MATCH(LEFT(AB682,3),Resep!$B$9:$B$13,0)),0))</f>
        <v>0</v>
      </c>
      <c r="AJ682" s="24" t="n">
        <f aca="false">IF(AC682="",0,IFERROR(INDEX(Resep!$C$9:$C$13,MATCH(LEFT(AC682,3),Resep!$B$9:$B$13,0)),0))</f>
        <v>0</v>
      </c>
      <c r="AK682" s="24" t="n">
        <f aca="false">IF(AD682="",0,IFERROR(INDEX(Resep!$C$15:$C$18,MATCH(LEFT(AD682,3),Resep!$B$15:$B$18,0)),0))</f>
        <v>0</v>
      </c>
      <c r="AL682" s="24" t="str">
        <f aca="false">IF(X682="","",AG682+AH682+AI682+AJ682+AK682)</f>
        <v/>
      </c>
      <c r="AM682" s="22" t="str">
        <f aca="false">IF(X682="","",AL682*(Pengaturan!$B$6+Pengaturan!$B$7)+Pengaturan!$B$8+AE682*Pengaturan!$B$9+AF682*Pengaturan!$B$10)</f>
        <v/>
      </c>
      <c r="AN682" s="22" t="str">
        <f aca="false">IF(X682="","",N(G682)-AM682)</f>
        <v/>
      </c>
      <c r="AO682" s="25" t="str">
        <f aca="false">IF(OR(X682="",N(G682)=0),"",AN682/G682)</f>
        <v/>
      </c>
    </row>
    <row r="683" customFormat="false" ht="15" hidden="false" customHeight="false" outlineLevel="0" collapsed="false">
      <c r="A683" s="19"/>
      <c r="B683" s="20"/>
      <c r="C683" s="19"/>
      <c r="D683" s="19"/>
      <c r="E683" s="19"/>
      <c r="F683" s="19"/>
      <c r="G683" s="21"/>
      <c r="H683" s="19"/>
      <c r="I683" s="21"/>
      <c r="J683" s="19"/>
      <c r="K683" s="20"/>
      <c r="L683" s="20"/>
      <c r="M683" s="19"/>
      <c r="N683" s="19"/>
      <c r="O683" s="20"/>
      <c r="P683" s="20"/>
      <c r="Q683" s="19"/>
      <c r="R683" s="22" t="str">
        <f aca="false">IF(A683="","",N(G683)+N(I683))</f>
        <v/>
      </c>
      <c r="S683" s="23" t="str">
        <f aca="false">IF(OR(K683="",O683=""),"",O683-K683)</f>
        <v/>
      </c>
      <c r="T683" s="23" t="str">
        <f aca="true">IF(AND(C683="Cetak",L683&lt;&gt;"",L683&lt;TODAY()),"YA","")</f>
        <v/>
      </c>
      <c r="U683" s="23" t="str">
        <f aca="false">IF(B683="","",TEXT(B683,"yyyy-mm"))</f>
        <v/>
      </c>
      <c r="V683" s="23" t="str">
        <f aca="false">IF(K683="","",TEXT(K683,"yyyy-mm"))</f>
        <v/>
      </c>
      <c r="W683" s="23" t="n">
        <f aca="false">IF(OR(C683="Cetak",C683="Dikirim",C683="Selesai"),1,0)</f>
        <v>0</v>
      </c>
      <c r="X683" s="23" t="str">
        <f aca="false">IF(F683="","",SUBSTITUTE(SUBSTITUTE(MID(UPPER(TRIM(F683)),4,99),"-LED",""),"-TK",""))</f>
        <v/>
      </c>
      <c r="Y683" s="23" t="str">
        <f aca="false">IF(X683="","",(LEN(X683)+1)/7)</f>
        <v/>
      </c>
      <c r="Z683" s="23" t="str">
        <f aca="false">IF(X683="","",LEFT(X683,6))</f>
        <v/>
      </c>
      <c r="AA683" s="23" t="str">
        <f aca="false">IF(X683="","",IF(Y683&gt;=3,MID(X683,8,6),""))</f>
        <v/>
      </c>
      <c r="AB683" s="23" t="str">
        <f aca="false">IF(X683="","",IF(Y683&gt;=4,MID(X683,15,6),""))</f>
        <v/>
      </c>
      <c r="AC683" s="23" t="str">
        <f aca="false">IF(X683="","",IF(Y683&gt;=5,MID(X683,22,6),""))</f>
        <v/>
      </c>
      <c r="AD683" s="23" t="str">
        <f aca="false">IF(X683="","",RIGHT(X683,6))</f>
        <v/>
      </c>
      <c r="AE683" s="23" t="str">
        <f aca="false">IF(F683="","",IF(ISNUMBER(SEARCH("-TK",UPPER(F683))),0,1))</f>
        <v/>
      </c>
      <c r="AF683" s="23" t="str">
        <f aca="false">IF(F683="","",IF(ISNUMBER(SEARCH("-LED",UPPER(F683))),1,0))</f>
        <v/>
      </c>
      <c r="AG683" s="24" t="n">
        <f aca="false">IF(Z683="",0,IFERROR(INDEX(Resep!$C$5:$C$7,MATCH(LEFT(Z683,3),Resep!$B$5:$B$7,0)),0))</f>
        <v>0</v>
      </c>
      <c r="AH683" s="24" t="n">
        <f aca="false">IF(AA683="",0,IFERROR(INDEX(Resep!$C$9:$C$13,MATCH(LEFT(AA683,3),Resep!$B$9:$B$13,0)),0))</f>
        <v>0</v>
      </c>
      <c r="AI683" s="24" t="n">
        <f aca="false">IF(AB683="",0,IFERROR(INDEX(Resep!$C$9:$C$13,MATCH(LEFT(AB683,3),Resep!$B$9:$B$13,0)),0))</f>
        <v>0</v>
      </c>
      <c r="AJ683" s="24" t="n">
        <f aca="false">IF(AC683="",0,IFERROR(INDEX(Resep!$C$9:$C$13,MATCH(LEFT(AC683,3),Resep!$B$9:$B$13,0)),0))</f>
        <v>0</v>
      </c>
      <c r="AK683" s="24" t="n">
        <f aca="false">IF(AD683="",0,IFERROR(INDEX(Resep!$C$15:$C$18,MATCH(LEFT(AD683,3),Resep!$B$15:$B$18,0)),0))</f>
        <v>0</v>
      </c>
      <c r="AL683" s="24" t="str">
        <f aca="false">IF(X683="","",AG683+AH683+AI683+AJ683+AK683)</f>
        <v/>
      </c>
      <c r="AM683" s="22" t="str">
        <f aca="false">IF(X683="","",AL683*(Pengaturan!$B$6+Pengaturan!$B$7)+Pengaturan!$B$8+AE683*Pengaturan!$B$9+AF683*Pengaturan!$B$10)</f>
        <v/>
      </c>
      <c r="AN683" s="22" t="str">
        <f aca="false">IF(X683="","",N(G683)-AM683)</f>
        <v/>
      </c>
      <c r="AO683" s="25" t="str">
        <f aca="false">IF(OR(X683="",N(G683)=0),"",AN683/G683)</f>
        <v/>
      </c>
    </row>
    <row r="684" customFormat="false" ht="15" hidden="false" customHeight="false" outlineLevel="0" collapsed="false">
      <c r="A684" s="19"/>
      <c r="B684" s="20"/>
      <c r="C684" s="19"/>
      <c r="D684" s="19"/>
      <c r="E684" s="19"/>
      <c r="F684" s="19"/>
      <c r="G684" s="21"/>
      <c r="H684" s="19"/>
      <c r="I684" s="21"/>
      <c r="J684" s="19"/>
      <c r="K684" s="20"/>
      <c r="L684" s="20"/>
      <c r="M684" s="19"/>
      <c r="N684" s="19"/>
      <c r="O684" s="20"/>
      <c r="P684" s="20"/>
      <c r="Q684" s="19"/>
      <c r="R684" s="22" t="str">
        <f aca="false">IF(A684="","",N(G684)+N(I684))</f>
        <v/>
      </c>
      <c r="S684" s="23" t="str">
        <f aca="false">IF(OR(K684="",O684=""),"",O684-K684)</f>
        <v/>
      </c>
      <c r="T684" s="23" t="str">
        <f aca="true">IF(AND(C684="Cetak",L684&lt;&gt;"",L684&lt;TODAY()),"YA","")</f>
        <v/>
      </c>
      <c r="U684" s="23" t="str">
        <f aca="false">IF(B684="","",TEXT(B684,"yyyy-mm"))</f>
        <v/>
      </c>
      <c r="V684" s="23" t="str">
        <f aca="false">IF(K684="","",TEXT(K684,"yyyy-mm"))</f>
        <v/>
      </c>
      <c r="W684" s="23" t="n">
        <f aca="false">IF(OR(C684="Cetak",C684="Dikirim",C684="Selesai"),1,0)</f>
        <v>0</v>
      </c>
      <c r="X684" s="23" t="str">
        <f aca="false">IF(F684="","",SUBSTITUTE(SUBSTITUTE(MID(UPPER(TRIM(F684)),4,99),"-LED",""),"-TK",""))</f>
        <v/>
      </c>
      <c r="Y684" s="23" t="str">
        <f aca="false">IF(X684="","",(LEN(X684)+1)/7)</f>
        <v/>
      </c>
      <c r="Z684" s="23" t="str">
        <f aca="false">IF(X684="","",LEFT(X684,6))</f>
        <v/>
      </c>
      <c r="AA684" s="23" t="str">
        <f aca="false">IF(X684="","",IF(Y684&gt;=3,MID(X684,8,6),""))</f>
        <v/>
      </c>
      <c r="AB684" s="23" t="str">
        <f aca="false">IF(X684="","",IF(Y684&gt;=4,MID(X684,15,6),""))</f>
        <v/>
      </c>
      <c r="AC684" s="23" t="str">
        <f aca="false">IF(X684="","",IF(Y684&gt;=5,MID(X684,22,6),""))</f>
        <v/>
      </c>
      <c r="AD684" s="23" t="str">
        <f aca="false">IF(X684="","",RIGHT(X684,6))</f>
        <v/>
      </c>
      <c r="AE684" s="23" t="str">
        <f aca="false">IF(F684="","",IF(ISNUMBER(SEARCH("-TK",UPPER(F684))),0,1))</f>
        <v/>
      </c>
      <c r="AF684" s="23" t="str">
        <f aca="false">IF(F684="","",IF(ISNUMBER(SEARCH("-LED",UPPER(F684))),1,0))</f>
        <v/>
      </c>
      <c r="AG684" s="24" t="n">
        <f aca="false">IF(Z684="",0,IFERROR(INDEX(Resep!$C$5:$C$7,MATCH(LEFT(Z684,3),Resep!$B$5:$B$7,0)),0))</f>
        <v>0</v>
      </c>
      <c r="AH684" s="24" t="n">
        <f aca="false">IF(AA684="",0,IFERROR(INDEX(Resep!$C$9:$C$13,MATCH(LEFT(AA684,3),Resep!$B$9:$B$13,0)),0))</f>
        <v>0</v>
      </c>
      <c r="AI684" s="24" t="n">
        <f aca="false">IF(AB684="",0,IFERROR(INDEX(Resep!$C$9:$C$13,MATCH(LEFT(AB684,3),Resep!$B$9:$B$13,0)),0))</f>
        <v>0</v>
      </c>
      <c r="AJ684" s="24" t="n">
        <f aca="false">IF(AC684="",0,IFERROR(INDEX(Resep!$C$9:$C$13,MATCH(LEFT(AC684,3),Resep!$B$9:$B$13,0)),0))</f>
        <v>0</v>
      </c>
      <c r="AK684" s="24" t="n">
        <f aca="false">IF(AD684="",0,IFERROR(INDEX(Resep!$C$15:$C$18,MATCH(LEFT(AD684,3),Resep!$B$15:$B$18,0)),0))</f>
        <v>0</v>
      </c>
      <c r="AL684" s="24" t="str">
        <f aca="false">IF(X684="","",AG684+AH684+AI684+AJ684+AK684)</f>
        <v/>
      </c>
      <c r="AM684" s="22" t="str">
        <f aca="false">IF(X684="","",AL684*(Pengaturan!$B$6+Pengaturan!$B$7)+Pengaturan!$B$8+AE684*Pengaturan!$B$9+AF684*Pengaturan!$B$10)</f>
        <v/>
      </c>
      <c r="AN684" s="22" t="str">
        <f aca="false">IF(X684="","",N(G684)-AM684)</f>
        <v/>
      </c>
      <c r="AO684" s="25" t="str">
        <f aca="false">IF(OR(X684="",N(G684)=0),"",AN684/G684)</f>
        <v/>
      </c>
    </row>
    <row r="685" customFormat="false" ht="15" hidden="false" customHeight="false" outlineLevel="0" collapsed="false">
      <c r="A685" s="19"/>
      <c r="B685" s="20"/>
      <c r="C685" s="19"/>
      <c r="D685" s="19"/>
      <c r="E685" s="19"/>
      <c r="F685" s="19"/>
      <c r="G685" s="21"/>
      <c r="H685" s="19"/>
      <c r="I685" s="21"/>
      <c r="J685" s="19"/>
      <c r="K685" s="20"/>
      <c r="L685" s="20"/>
      <c r="M685" s="19"/>
      <c r="N685" s="19"/>
      <c r="O685" s="20"/>
      <c r="P685" s="20"/>
      <c r="Q685" s="19"/>
      <c r="R685" s="22" t="str">
        <f aca="false">IF(A685="","",N(G685)+N(I685))</f>
        <v/>
      </c>
      <c r="S685" s="23" t="str">
        <f aca="false">IF(OR(K685="",O685=""),"",O685-K685)</f>
        <v/>
      </c>
      <c r="T685" s="23" t="str">
        <f aca="true">IF(AND(C685="Cetak",L685&lt;&gt;"",L685&lt;TODAY()),"YA","")</f>
        <v/>
      </c>
      <c r="U685" s="23" t="str">
        <f aca="false">IF(B685="","",TEXT(B685,"yyyy-mm"))</f>
        <v/>
      </c>
      <c r="V685" s="23" t="str">
        <f aca="false">IF(K685="","",TEXT(K685,"yyyy-mm"))</f>
        <v/>
      </c>
      <c r="W685" s="23" t="n">
        <f aca="false">IF(OR(C685="Cetak",C685="Dikirim",C685="Selesai"),1,0)</f>
        <v>0</v>
      </c>
      <c r="X685" s="23" t="str">
        <f aca="false">IF(F685="","",SUBSTITUTE(SUBSTITUTE(MID(UPPER(TRIM(F685)),4,99),"-LED",""),"-TK",""))</f>
        <v/>
      </c>
      <c r="Y685" s="23" t="str">
        <f aca="false">IF(X685="","",(LEN(X685)+1)/7)</f>
        <v/>
      </c>
      <c r="Z685" s="23" t="str">
        <f aca="false">IF(X685="","",LEFT(X685,6))</f>
        <v/>
      </c>
      <c r="AA685" s="23" t="str">
        <f aca="false">IF(X685="","",IF(Y685&gt;=3,MID(X685,8,6),""))</f>
        <v/>
      </c>
      <c r="AB685" s="23" t="str">
        <f aca="false">IF(X685="","",IF(Y685&gt;=4,MID(X685,15,6),""))</f>
        <v/>
      </c>
      <c r="AC685" s="23" t="str">
        <f aca="false">IF(X685="","",IF(Y685&gt;=5,MID(X685,22,6),""))</f>
        <v/>
      </c>
      <c r="AD685" s="23" t="str">
        <f aca="false">IF(X685="","",RIGHT(X685,6))</f>
        <v/>
      </c>
      <c r="AE685" s="23" t="str">
        <f aca="false">IF(F685="","",IF(ISNUMBER(SEARCH("-TK",UPPER(F685))),0,1))</f>
        <v/>
      </c>
      <c r="AF685" s="23" t="str">
        <f aca="false">IF(F685="","",IF(ISNUMBER(SEARCH("-LED",UPPER(F685))),1,0))</f>
        <v/>
      </c>
      <c r="AG685" s="24" t="n">
        <f aca="false">IF(Z685="",0,IFERROR(INDEX(Resep!$C$5:$C$7,MATCH(LEFT(Z685,3),Resep!$B$5:$B$7,0)),0))</f>
        <v>0</v>
      </c>
      <c r="AH685" s="24" t="n">
        <f aca="false">IF(AA685="",0,IFERROR(INDEX(Resep!$C$9:$C$13,MATCH(LEFT(AA685,3),Resep!$B$9:$B$13,0)),0))</f>
        <v>0</v>
      </c>
      <c r="AI685" s="24" t="n">
        <f aca="false">IF(AB685="",0,IFERROR(INDEX(Resep!$C$9:$C$13,MATCH(LEFT(AB685,3),Resep!$B$9:$B$13,0)),0))</f>
        <v>0</v>
      </c>
      <c r="AJ685" s="24" t="n">
        <f aca="false">IF(AC685="",0,IFERROR(INDEX(Resep!$C$9:$C$13,MATCH(LEFT(AC685,3),Resep!$B$9:$B$13,0)),0))</f>
        <v>0</v>
      </c>
      <c r="AK685" s="24" t="n">
        <f aca="false">IF(AD685="",0,IFERROR(INDEX(Resep!$C$15:$C$18,MATCH(LEFT(AD685,3),Resep!$B$15:$B$18,0)),0))</f>
        <v>0</v>
      </c>
      <c r="AL685" s="24" t="str">
        <f aca="false">IF(X685="","",AG685+AH685+AI685+AJ685+AK685)</f>
        <v/>
      </c>
      <c r="AM685" s="22" t="str">
        <f aca="false">IF(X685="","",AL685*(Pengaturan!$B$6+Pengaturan!$B$7)+Pengaturan!$B$8+AE685*Pengaturan!$B$9+AF685*Pengaturan!$B$10)</f>
        <v/>
      </c>
      <c r="AN685" s="22" t="str">
        <f aca="false">IF(X685="","",N(G685)-AM685)</f>
        <v/>
      </c>
      <c r="AO685" s="25" t="str">
        <f aca="false">IF(OR(X685="",N(G685)=0),"",AN685/G685)</f>
        <v/>
      </c>
    </row>
    <row r="686" customFormat="false" ht="15" hidden="false" customHeight="false" outlineLevel="0" collapsed="false">
      <c r="A686" s="19"/>
      <c r="B686" s="20"/>
      <c r="C686" s="19"/>
      <c r="D686" s="19"/>
      <c r="E686" s="19"/>
      <c r="F686" s="19"/>
      <c r="G686" s="21"/>
      <c r="H686" s="19"/>
      <c r="I686" s="21"/>
      <c r="J686" s="19"/>
      <c r="K686" s="20"/>
      <c r="L686" s="20"/>
      <c r="M686" s="19"/>
      <c r="N686" s="19"/>
      <c r="O686" s="20"/>
      <c r="P686" s="20"/>
      <c r="Q686" s="19"/>
      <c r="R686" s="22" t="str">
        <f aca="false">IF(A686="","",N(G686)+N(I686))</f>
        <v/>
      </c>
      <c r="S686" s="23" t="str">
        <f aca="false">IF(OR(K686="",O686=""),"",O686-K686)</f>
        <v/>
      </c>
      <c r="T686" s="23" t="str">
        <f aca="true">IF(AND(C686="Cetak",L686&lt;&gt;"",L686&lt;TODAY()),"YA","")</f>
        <v/>
      </c>
      <c r="U686" s="23" t="str">
        <f aca="false">IF(B686="","",TEXT(B686,"yyyy-mm"))</f>
        <v/>
      </c>
      <c r="V686" s="23" t="str">
        <f aca="false">IF(K686="","",TEXT(K686,"yyyy-mm"))</f>
        <v/>
      </c>
      <c r="W686" s="23" t="n">
        <f aca="false">IF(OR(C686="Cetak",C686="Dikirim",C686="Selesai"),1,0)</f>
        <v>0</v>
      </c>
      <c r="X686" s="23" t="str">
        <f aca="false">IF(F686="","",SUBSTITUTE(SUBSTITUTE(MID(UPPER(TRIM(F686)),4,99),"-LED",""),"-TK",""))</f>
        <v/>
      </c>
      <c r="Y686" s="23" t="str">
        <f aca="false">IF(X686="","",(LEN(X686)+1)/7)</f>
        <v/>
      </c>
      <c r="Z686" s="23" t="str">
        <f aca="false">IF(X686="","",LEFT(X686,6))</f>
        <v/>
      </c>
      <c r="AA686" s="23" t="str">
        <f aca="false">IF(X686="","",IF(Y686&gt;=3,MID(X686,8,6),""))</f>
        <v/>
      </c>
      <c r="AB686" s="23" t="str">
        <f aca="false">IF(X686="","",IF(Y686&gt;=4,MID(X686,15,6),""))</f>
        <v/>
      </c>
      <c r="AC686" s="23" t="str">
        <f aca="false">IF(X686="","",IF(Y686&gt;=5,MID(X686,22,6),""))</f>
        <v/>
      </c>
      <c r="AD686" s="23" t="str">
        <f aca="false">IF(X686="","",RIGHT(X686,6))</f>
        <v/>
      </c>
      <c r="AE686" s="23" t="str">
        <f aca="false">IF(F686="","",IF(ISNUMBER(SEARCH("-TK",UPPER(F686))),0,1))</f>
        <v/>
      </c>
      <c r="AF686" s="23" t="str">
        <f aca="false">IF(F686="","",IF(ISNUMBER(SEARCH("-LED",UPPER(F686))),1,0))</f>
        <v/>
      </c>
      <c r="AG686" s="24" t="n">
        <f aca="false">IF(Z686="",0,IFERROR(INDEX(Resep!$C$5:$C$7,MATCH(LEFT(Z686,3),Resep!$B$5:$B$7,0)),0))</f>
        <v>0</v>
      </c>
      <c r="AH686" s="24" t="n">
        <f aca="false">IF(AA686="",0,IFERROR(INDEX(Resep!$C$9:$C$13,MATCH(LEFT(AA686,3),Resep!$B$9:$B$13,0)),0))</f>
        <v>0</v>
      </c>
      <c r="AI686" s="24" t="n">
        <f aca="false">IF(AB686="",0,IFERROR(INDEX(Resep!$C$9:$C$13,MATCH(LEFT(AB686,3),Resep!$B$9:$B$13,0)),0))</f>
        <v>0</v>
      </c>
      <c r="AJ686" s="24" t="n">
        <f aca="false">IF(AC686="",0,IFERROR(INDEX(Resep!$C$9:$C$13,MATCH(LEFT(AC686,3),Resep!$B$9:$B$13,0)),0))</f>
        <v>0</v>
      </c>
      <c r="AK686" s="24" t="n">
        <f aca="false">IF(AD686="",0,IFERROR(INDEX(Resep!$C$15:$C$18,MATCH(LEFT(AD686,3),Resep!$B$15:$B$18,0)),0))</f>
        <v>0</v>
      </c>
      <c r="AL686" s="24" t="str">
        <f aca="false">IF(X686="","",AG686+AH686+AI686+AJ686+AK686)</f>
        <v/>
      </c>
      <c r="AM686" s="22" t="str">
        <f aca="false">IF(X686="","",AL686*(Pengaturan!$B$6+Pengaturan!$B$7)+Pengaturan!$B$8+AE686*Pengaturan!$B$9+AF686*Pengaturan!$B$10)</f>
        <v/>
      </c>
      <c r="AN686" s="22" t="str">
        <f aca="false">IF(X686="","",N(G686)-AM686)</f>
        <v/>
      </c>
      <c r="AO686" s="25" t="str">
        <f aca="false">IF(OR(X686="",N(G686)=0),"",AN686/G686)</f>
        <v/>
      </c>
    </row>
    <row r="687" customFormat="false" ht="15" hidden="false" customHeight="false" outlineLevel="0" collapsed="false">
      <c r="A687" s="19"/>
      <c r="B687" s="20"/>
      <c r="C687" s="19"/>
      <c r="D687" s="19"/>
      <c r="E687" s="19"/>
      <c r="F687" s="19"/>
      <c r="G687" s="21"/>
      <c r="H687" s="19"/>
      <c r="I687" s="21"/>
      <c r="J687" s="19"/>
      <c r="K687" s="20"/>
      <c r="L687" s="20"/>
      <c r="M687" s="19"/>
      <c r="N687" s="19"/>
      <c r="O687" s="20"/>
      <c r="P687" s="20"/>
      <c r="Q687" s="19"/>
      <c r="R687" s="22" t="str">
        <f aca="false">IF(A687="","",N(G687)+N(I687))</f>
        <v/>
      </c>
      <c r="S687" s="23" t="str">
        <f aca="false">IF(OR(K687="",O687=""),"",O687-K687)</f>
        <v/>
      </c>
      <c r="T687" s="23" t="str">
        <f aca="true">IF(AND(C687="Cetak",L687&lt;&gt;"",L687&lt;TODAY()),"YA","")</f>
        <v/>
      </c>
      <c r="U687" s="23" t="str">
        <f aca="false">IF(B687="","",TEXT(B687,"yyyy-mm"))</f>
        <v/>
      </c>
      <c r="V687" s="23" t="str">
        <f aca="false">IF(K687="","",TEXT(K687,"yyyy-mm"))</f>
        <v/>
      </c>
      <c r="W687" s="23" t="n">
        <f aca="false">IF(OR(C687="Cetak",C687="Dikirim",C687="Selesai"),1,0)</f>
        <v>0</v>
      </c>
      <c r="X687" s="23" t="str">
        <f aca="false">IF(F687="","",SUBSTITUTE(SUBSTITUTE(MID(UPPER(TRIM(F687)),4,99),"-LED",""),"-TK",""))</f>
        <v/>
      </c>
      <c r="Y687" s="23" t="str">
        <f aca="false">IF(X687="","",(LEN(X687)+1)/7)</f>
        <v/>
      </c>
      <c r="Z687" s="23" t="str">
        <f aca="false">IF(X687="","",LEFT(X687,6))</f>
        <v/>
      </c>
      <c r="AA687" s="23" t="str">
        <f aca="false">IF(X687="","",IF(Y687&gt;=3,MID(X687,8,6),""))</f>
        <v/>
      </c>
      <c r="AB687" s="23" t="str">
        <f aca="false">IF(X687="","",IF(Y687&gt;=4,MID(X687,15,6),""))</f>
        <v/>
      </c>
      <c r="AC687" s="23" t="str">
        <f aca="false">IF(X687="","",IF(Y687&gt;=5,MID(X687,22,6),""))</f>
        <v/>
      </c>
      <c r="AD687" s="23" t="str">
        <f aca="false">IF(X687="","",RIGHT(X687,6))</f>
        <v/>
      </c>
      <c r="AE687" s="23" t="str">
        <f aca="false">IF(F687="","",IF(ISNUMBER(SEARCH("-TK",UPPER(F687))),0,1))</f>
        <v/>
      </c>
      <c r="AF687" s="23" t="str">
        <f aca="false">IF(F687="","",IF(ISNUMBER(SEARCH("-LED",UPPER(F687))),1,0))</f>
        <v/>
      </c>
      <c r="AG687" s="24" t="n">
        <f aca="false">IF(Z687="",0,IFERROR(INDEX(Resep!$C$5:$C$7,MATCH(LEFT(Z687,3),Resep!$B$5:$B$7,0)),0))</f>
        <v>0</v>
      </c>
      <c r="AH687" s="24" t="n">
        <f aca="false">IF(AA687="",0,IFERROR(INDEX(Resep!$C$9:$C$13,MATCH(LEFT(AA687,3),Resep!$B$9:$B$13,0)),0))</f>
        <v>0</v>
      </c>
      <c r="AI687" s="24" t="n">
        <f aca="false">IF(AB687="",0,IFERROR(INDEX(Resep!$C$9:$C$13,MATCH(LEFT(AB687,3),Resep!$B$9:$B$13,0)),0))</f>
        <v>0</v>
      </c>
      <c r="AJ687" s="24" t="n">
        <f aca="false">IF(AC687="",0,IFERROR(INDEX(Resep!$C$9:$C$13,MATCH(LEFT(AC687,3),Resep!$B$9:$B$13,0)),0))</f>
        <v>0</v>
      </c>
      <c r="AK687" s="24" t="n">
        <f aca="false">IF(AD687="",0,IFERROR(INDEX(Resep!$C$15:$C$18,MATCH(LEFT(AD687,3),Resep!$B$15:$B$18,0)),0))</f>
        <v>0</v>
      </c>
      <c r="AL687" s="24" t="str">
        <f aca="false">IF(X687="","",AG687+AH687+AI687+AJ687+AK687)</f>
        <v/>
      </c>
      <c r="AM687" s="22" t="str">
        <f aca="false">IF(X687="","",AL687*(Pengaturan!$B$6+Pengaturan!$B$7)+Pengaturan!$B$8+AE687*Pengaturan!$B$9+AF687*Pengaturan!$B$10)</f>
        <v/>
      </c>
      <c r="AN687" s="22" t="str">
        <f aca="false">IF(X687="","",N(G687)-AM687)</f>
        <v/>
      </c>
      <c r="AO687" s="25" t="str">
        <f aca="false">IF(OR(X687="",N(G687)=0),"",AN687/G687)</f>
        <v/>
      </c>
    </row>
    <row r="688" customFormat="false" ht="15" hidden="false" customHeight="false" outlineLevel="0" collapsed="false">
      <c r="A688" s="19"/>
      <c r="B688" s="20"/>
      <c r="C688" s="19"/>
      <c r="D688" s="19"/>
      <c r="E688" s="19"/>
      <c r="F688" s="19"/>
      <c r="G688" s="21"/>
      <c r="H688" s="19"/>
      <c r="I688" s="21"/>
      <c r="J688" s="19"/>
      <c r="K688" s="20"/>
      <c r="L688" s="20"/>
      <c r="M688" s="19"/>
      <c r="N688" s="19"/>
      <c r="O688" s="20"/>
      <c r="P688" s="20"/>
      <c r="Q688" s="19"/>
      <c r="R688" s="22" t="str">
        <f aca="false">IF(A688="","",N(G688)+N(I688))</f>
        <v/>
      </c>
      <c r="S688" s="23" t="str">
        <f aca="false">IF(OR(K688="",O688=""),"",O688-K688)</f>
        <v/>
      </c>
      <c r="T688" s="23" t="str">
        <f aca="true">IF(AND(C688="Cetak",L688&lt;&gt;"",L688&lt;TODAY()),"YA","")</f>
        <v/>
      </c>
      <c r="U688" s="23" t="str">
        <f aca="false">IF(B688="","",TEXT(B688,"yyyy-mm"))</f>
        <v/>
      </c>
      <c r="V688" s="23" t="str">
        <f aca="false">IF(K688="","",TEXT(K688,"yyyy-mm"))</f>
        <v/>
      </c>
      <c r="W688" s="23" t="n">
        <f aca="false">IF(OR(C688="Cetak",C688="Dikirim",C688="Selesai"),1,0)</f>
        <v>0</v>
      </c>
      <c r="X688" s="23" t="str">
        <f aca="false">IF(F688="","",SUBSTITUTE(SUBSTITUTE(MID(UPPER(TRIM(F688)),4,99),"-LED",""),"-TK",""))</f>
        <v/>
      </c>
      <c r="Y688" s="23" t="str">
        <f aca="false">IF(X688="","",(LEN(X688)+1)/7)</f>
        <v/>
      </c>
      <c r="Z688" s="23" t="str">
        <f aca="false">IF(X688="","",LEFT(X688,6))</f>
        <v/>
      </c>
      <c r="AA688" s="23" t="str">
        <f aca="false">IF(X688="","",IF(Y688&gt;=3,MID(X688,8,6),""))</f>
        <v/>
      </c>
      <c r="AB688" s="23" t="str">
        <f aca="false">IF(X688="","",IF(Y688&gt;=4,MID(X688,15,6),""))</f>
        <v/>
      </c>
      <c r="AC688" s="23" t="str">
        <f aca="false">IF(X688="","",IF(Y688&gt;=5,MID(X688,22,6),""))</f>
        <v/>
      </c>
      <c r="AD688" s="23" t="str">
        <f aca="false">IF(X688="","",RIGHT(X688,6))</f>
        <v/>
      </c>
      <c r="AE688" s="23" t="str">
        <f aca="false">IF(F688="","",IF(ISNUMBER(SEARCH("-TK",UPPER(F688))),0,1))</f>
        <v/>
      </c>
      <c r="AF688" s="23" t="str">
        <f aca="false">IF(F688="","",IF(ISNUMBER(SEARCH("-LED",UPPER(F688))),1,0))</f>
        <v/>
      </c>
      <c r="AG688" s="24" t="n">
        <f aca="false">IF(Z688="",0,IFERROR(INDEX(Resep!$C$5:$C$7,MATCH(LEFT(Z688,3),Resep!$B$5:$B$7,0)),0))</f>
        <v>0</v>
      </c>
      <c r="AH688" s="24" t="n">
        <f aca="false">IF(AA688="",0,IFERROR(INDEX(Resep!$C$9:$C$13,MATCH(LEFT(AA688,3),Resep!$B$9:$B$13,0)),0))</f>
        <v>0</v>
      </c>
      <c r="AI688" s="24" t="n">
        <f aca="false">IF(AB688="",0,IFERROR(INDEX(Resep!$C$9:$C$13,MATCH(LEFT(AB688,3),Resep!$B$9:$B$13,0)),0))</f>
        <v>0</v>
      </c>
      <c r="AJ688" s="24" t="n">
        <f aca="false">IF(AC688="",0,IFERROR(INDEX(Resep!$C$9:$C$13,MATCH(LEFT(AC688,3),Resep!$B$9:$B$13,0)),0))</f>
        <v>0</v>
      </c>
      <c r="AK688" s="24" t="n">
        <f aca="false">IF(AD688="",0,IFERROR(INDEX(Resep!$C$15:$C$18,MATCH(LEFT(AD688,3),Resep!$B$15:$B$18,0)),0))</f>
        <v>0</v>
      </c>
      <c r="AL688" s="24" t="str">
        <f aca="false">IF(X688="","",AG688+AH688+AI688+AJ688+AK688)</f>
        <v/>
      </c>
      <c r="AM688" s="22" t="str">
        <f aca="false">IF(X688="","",AL688*(Pengaturan!$B$6+Pengaturan!$B$7)+Pengaturan!$B$8+AE688*Pengaturan!$B$9+AF688*Pengaturan!$B$10)</f>
        <v/>
      </c>
      <c r="AN688" s="22" t="str">
        <f aca="false">IF(X688="","",N(G688)-AM688)</f>
        <v/>
      </c>
      <c r="AO688" s="25" t="str">
        <f aca="false">IF(OR(X688="",N(G688)=0),"",AN688/G688)</f>
        <v/>
      </c>
    </row>
    <row r="689" customFormat="false" ht="15" hidden="false" customHeight="false" outlineLevel="0" collapsed="false">
      <c r="A689" s="19"/>
      <c r="B689" s="20"/>
      <c r="C689" s="19"/>
      <c r="D689" s="19"/>
      <c r="E689" s="19"/>
      <c r="F689" s="19"/>
      <c r="G689" s="21"/>
      <c r="H689" s="19"/>
      <c r="I689" s="21"/>
      <c r="J689" s="19"/>
      <c r="K689" s="20"/>
      <c r="L689" s="20"/>
      <c r="M689" s="19"/>
      <c r="N689" s="19"/>
      <c r="O689" s="20"/>
      <c r="P689" s="20"/>
      <c r="Q689" s="19"/>
      <c r="R689" s="22" t="str">
        <f aca="false">IF(A689="","",N(G689)+N(I689))</f>
        <v/>
      </c>
      <c r="S689" s="23" t="str">
        <f aca="false">IF(OR(K689="",O689=""),"",O689-K689)</f>
        <v/>
      </c>
      <c r="T689" s="23" t="str">
        <f aca="true">IF(AND(C689="Cetak",L689&lt;&gt;"",L689&lt;TODAY()),"YA","")</f>
        <v/>
      </c>
      <c r="U689" s="23" t="str">
        <f aca="false">IF(B689="","",TEXT(B689,"yyyy-mm"))</f>
        <v/>
      </c>
      <c r="V689" s="23" t="str">
        <f aca="false">IF(K689="","",TEXT(K689,"yyyy-mm"))</f>
        <v/>
      </c>
      <c r="W689" s="23" t="n">
        <f aca="false">IF(OR(C689="Cetak",C689="Dikirim",C689="Selesai"),1,0)</f>
        <v>0</v>
      </c>
      <c r="X689" s="23" t="str">
        <f aca="false">IF(F689="","",SUBSTITUTE(SUBSTITUTE(MID(UPPER(TRIM(F689)),4,99),"-LED",""),"-TK",""))</f>
        <v/>
      </c>
      <c r="Y689" s="23" t="str">
        <f aca="false">IF(X689="","",(LEN(X689)+1)/7)</f>
        <v/>
      </c>
      <c r="Z689" s="23" t="str">
        <f aca="false">IF(X689="","",LEFT(X689,6))</f>
        <v/>
      </c>
      <c r="AA689" s="23" t="str">
        <f aca="false">IF(X689="","",IF(Y689&gt;=3,MID(X689,8,6),""))</f>
        <v/>
      </c>
      <c r="AB689" s="23" t="str">
        <f aca="false">IF(X689="","",IF(Y689&gt;=4,MID(X689,15,6),""))</f>
        <v/>
      </c>
      <c r="AC689" s="23" t="str">
        <f aca="false">IF(X689="","",IF(Y689&gt;=5,MID(X689,22,6),""))</f>
        <v/>
      </c>
      <c r="AD689" s="23" t="str">
        <f aca="false">IF(X689="","",RIGHT(X689,6))</f>
        <v/>
      </c>
      <c r="AE689" s="23" t="str">
        <f aca="false">IF(F689="","",IF(ISNUMBER(SEARCH("-TK",UPPER(F689))),0,1))</f>
        <v/>
      </c>
      <c r="AF689" s="23" t="str">
        <f aca="false">IF(F689="","",IF(ISNUMBER(SEARCH("-LED",UPPER(F689))),1,0))</f>
        <v/>
      </c>
      <c r="AG689" s="24" t="n">
        <f aca="false">IF(Z689="",0,IFERROR(INDEX(Resep!$C$5:$C$7,MATCH(LEFT(Z689,3),Resep!$B$5:$B$7,0)),0))</f>
        <v>0</v>
      </c>
      <c r="AH689" s="24" t="n">
        <f aca="false">IF(AA689="",0,IFERROR(INDEX(Resep!$C$9:$C$13,MATCH(LEFT(AA689,3),Resep!$B$9:$B$13,0)),0))</f>
        <v>0</v>
      </c>
      <c r="AI689" s="24" t="n">
        <f aca="false">IF(AB689="",0,IFERROR(INDEX(Resep!$C$9:$C$13,MATCH(LEFT(AB689,3),Resep!$B$9:$B$13,0)),0))</f>
        <v>0</v>
      </c>
      <c r="AJ689" s="24" t="n">
        <f aca="false">IF(AC689="",0,IFERROR(INDEX(Resep!$C$9:$C$13,MATCH(LEFT(AC689,3),Resep!$B$9:$B$13,0)),0))</f>
        <v>0</v>
      </c>
      <c r="AK689" s="24" t="n">
        <f aca="false">IF(AD689="",0,IFERROR(INDEX(Resep!$C$15:$C$18,MATCH(LEFT(AD689,3),Resep!$B$15:$B$18,0)),0))</f>
        <v>0</v>
      </c>
      <c r="AL689" s="24" t="str">
        <f aca="false">IF(X689="","",AG689+AH689+AI689+AJ689+AK689)</f>
        <v/>
      </c>
      <c r="AM689" s="22" t="str">
        <f aca="false">IF(X689="","",AL689*(Pengaturan!$B$6+Pengaturan!$B$7)+Pengaturan!$B$8+AE689*Pengaturan!$B$9+AF689*Pengaturan!$B$10)</f>
        <v/>
      </c>
      <c r="AN689" s="22" t="str">
        <f aca="false">IF(X689="","",N(G689)-AM689)</f>
        <v/>
      </c>
      <c r="AO689" s="25" t="str">
        <f aca="false">IF(OR(X689="",N(G689)=0),"",AN689/G689)</f>
        <v/>
      </c>
    </row>
    <row r="690" customFormat="false" ht="15" hidden="false" customHeight="false" outlineLevel="0" collapsed="false">
      <c r="A690" s="19"/>
      <c r="B690" s="20"/>
      <c r="C690" s="19"/>
      <c r="D690" s="19"/>
      <c r="E690" s="19"/>
      <c r="F690" s="19"/>
      <c r="G690" s="21"/>
      <c r="H690" s="19"/>
      <c r="I690" s="21"/>
      <c r="J690" s="19"/>
      <c r="K690" s="20"/>
      <c r="L690" s="20"/>
      <c r="M690" s="19"/>
      <c r="N690" s="19"/>
      <c r="O690" s="20"/>
      <c r="P690" s="20"/>
      <c r="Q690" s="19"/>
      <c r="R690" s="22" t="str">
        <f aca="false">IF(A690="","",N(G690)+N(I690))</f>
        <v/>
      </c>
      <c r="S690" s="23" t="str">
        <f aca="false">IF(OR(K690="",O690=""),"",O690-K690)</f>
        <v/>
      </c>
      <c r="T690" s="23" t="str">
        <f aca="true">IF(AND(C690="Cetak",L690&lt;&gt;"",L690&lt;TODAY()),"YA","")</f>
        <v/>
      </c>
      <c r="U690" s="23" t="str">
        <f aca="false">IF(B690="","",TEXT(B690,"yyyy-mm"))</f>
        <v/>
      </c>
      <c r="V690" s="23" t="str">
        <f aca="false">IF(K690="","",TEXT(K690,"yyyy-mm"))</f>
        <v/>
      </c>
      <c r="W690" s="23" t="n">
        <f aca="false">IF(OR(C690="Cetak",C690="Dikirim",C690="Selesai"),1,0)</f>
        <v>0</v>
      </c>
      <c r="X690" s="23" t="str">
        <f aca="false">IF(F690="","",SUBSTITUTE(SUBSTITUTE(MID(UPPER(TRIM(F690)),4,99),"-LED",""),"-TK",""))</f>
        <v/>
      </c>
      <c r="Y690" s="23" t="str">
        <f aca="false">IF(X690="","",(LEN(X690)+1)/7)</f>
        <v/>
      </c>
      <c r="Z690" s="23" t="str">
        <f aca="false">IF(X690="","",LEFT(X690,6))</f>
        <v/>
      </c>
      <c r="AA690" s="23" t="str">
        <f aca="false">IF(X690="","",IF(Y690&gt;=3,MID(X690,8,6),""))</f>
        <v/>
      </c>
      <c r="AB690" s="23" t="str">
        <f aca="false">IF(X690="","",IF(Y690&gt;=4,MID(X690,15,6),""))</f>
        <v/>
      </c>
      <c r="AC690" s="23" t="str">
        <f aca="false">IF(X690="","",IF(Y690&gt;=5,MID(X690,22,6),""))</f>
        <v/>
      </c>
      <c r="AD690" s="23" t="str">
        <f aca="false">IF(X690="","",RIGHT(X690,6))</f>
        <v/>
      </c>
      <c r="AE690" s="23" t="str">
        <f aca="false">IF(F690="","",IF(ISNUMBER(SEARCH("-TK",UPPER(F690))),0,1))</f>
        <v/>
      </c>
      <c r="AF690" s="23" t="str">
        <f aca="false">IF(F690="","",IF(ISNUMBER(SEARCH("-LED",UPPER(F690))),1,0))</f>
        <v/>
      </c>
      <c r="AG690" s="24" t="n">
        <f aca="false">IF(Z690="",0,IFERROR(INDEX(Resep!$C$5:$C$7,MATCH(LEFT(Z690,3),Resep!$B$5:$B$7,0)),0))</f>
        <v>0</v>
      </c>
      <c r="AH690" s="24" t="n">
        <f aca="false">IF(AA690="",0,IFERROR(INDEX(Resep!$C$9:$C$13,MATCH(LEFT(AA690,3),Resep!$B$9:$B$13,0)),0))</f>
        <v>0</v>
      </c>
      <c r="AI690" s="24" t="n">
        <f aca="false">IF(AB690="",0,IFERROR(INDEX(Resep!$C$9:$C$13,MATCH(LEFT(AB690,3),Resep!$B$9:$B$13,0)),0))</f>
        <v>0</v>
      </c>
      <c r="AJ690" s="24" t="n">
        <f aca="false">IF(AC690="",0,IFERROR(INDEX(Resep!$C$9:$C$13,MATCH(LEFT(AC690,3),Resep!$B$9:$B$13,0)),0))</f>
        <v>0</v>
      </c>
      <c r="AK690" s="24" t="n">
        <f aca="false">IF(AD690="",0,IFERROR(INDEX(Resep!$C$15:$C$18,MATCH(LEFT(AD690,3),Resep!$B$15:$B$18,0)),0))</f>
        <v>0</v>
      </c>
      <c r="AL690" s="24" t="str">
        <f aca="false">IF(X690="","",AG690+AH690+AI690+AJ690+AK690)</f>
        <v/>
      </c>
      <c r="AM690" s="22" t="str">
        <f aca="false">IF(X690="","",AL690*(Pengaturan!$B$6+Pengaturan!$B$7)+Pengaturan!$B$8+AE690*Pengaturan!$B$9+AF690*Pengaturan!$B$10)</f>
        <v/>
      </c>
      <c r="AN690" s="22" t="str">
        <f aca="false">IF(X690="","",N(G690)-AM690)</f>
        <v/>
      </c>
      <c r="AO690" s="25" t="str">
        <f aca="false">IF(OR(X690="",N(G690)=0),"",AN690/G690)</f>
        <v/>
      </c>
    </row>
    <row r="691" customFormat="false" ht="15" hidden="false" customHeight="false" outlineLevel="0" collapsed="false">
      <c r="A691" s="19"/>
      <c r="B691" s="20"/>
      <c r="C691" s="19"/>
      <c r="D691" s="19"/>
      <c r="E691" s="19"/>
      <c r="F691" s="19"/>
      <c r="G691" s="21"/>
      <c r="H691" s="19"/>
      <c r="I691" s="21"/>
      <c r="J691" s="19"/>
      <c r="K691" s="20"/>
      <c r="L691" s="20"/>
      <c r="M691" s="19"/>
      <c r="N691" s="19"/>
      <c r="O691" s="20"/>
      <c r="P691" s="20"/>
      <c r="Q691" s="19"/>
      <c r="R691" s="22" t="str">
        <f aca="false">IF(A691="","",N(G691)+N(I691))</f>
        <v/>
      </c>
      <c r="S691" s="23" t="str">
        <f aca="false">IF(OR(K691="",O691=""),"",O691-K691)</f>
        <v/>
      </c>
      <c r="T691" s="23" t="str">
        <f aca="true">IF(AND(C691="Cetak",L691&lt;&gt;"",L691&lt;TODAY()),"YA","")</f>
        <v/>
      </c>
      <c r="U691" s="23" t="str">
        <f aca="false">IF(B691="","",TEXT(B691,"yyyy-mm"))</f>
        <v/>
      </c>
      <c r="V691" s="23" t="str">
        <f aca="false">IF(K691="","",TEXT(K691,"yyyy-mm"))</f>
        <v/>
      </c>
      <c r="W691" s="23" t="n">
        <f aca="false">IF(OR(C691="Cetak",C691="Dikirim",C691="Selesai"),1,0)</f>
        <v>0</v>
      </c>
      <c r="X691" s="23" t="str">
        <f aca="false">IF(F691="","",SUBSTITUTE(SUBSTITUTE(MID(UPPER(TRIM(F691)),4,99),"-LED",""),"-TK",""))</f>
        <v/>
      </c>
      <c r="Y691" s="23" t="str">
        <f aca="false">IF(X691="","",(LEN(X691)+1)/7)</f>
        <v/>
      </c>
      <c r="Z691" s="23" t="str">
        <f aca="false">IF(X691="","",LEFT(X691,6))</f>
        <v/>
      </c>
      <c r="AA691" s="23" t="str">
        <f aca="false">IF(X691="","",IF(Y691&gt;=3,MID(X691,8,6),""))</f>
        <v/>
      </c>
      <c r="AB691" s="23" t="str">
        <f aca="false">IF(X691="","",IF(Y691&gt;=4,MID(X691,15,6),""))</f>
        <v/>
      </c>
      <c r="AC691" s="23" t="str">
        <f aca="false">IF(X691="","",IF(Y691&gt;=5,MID(X691,22,6),""))</f>
        <v/>
      </c>
      <c r="AD691" s="23" t="str">
        <f aca="false">IF(X691="","",RIGHT(X691,6))</f>
        <v/>
      </c>
      <c r="AE691" s="23" t="str">
        <f aca="false">IF(F691="","",IF(ISNUMBER(SEARCH("-TK",UPPER(F691))),0,1))</f>
        <v/>
      </c>
      <c r="AF691" s="23" t="str">
        <f aca="false">IF(F691="","",IF(ISNUMBER(SEARCH("-LED",UPPER(F691))),1,0))</f>
        <v/>
      </c>
      <c r="AG691" s="24" t="n">
        <f aca="false">IF(Z691="",0,IFERROR(INDEX(Resep!$C$5:$C$7,MATCH(LEFT(Z691,3),Resep!$B$5:$B$7,0)),0))</f>
        <v>0</v>
      </c>
      <c r="AH691" s="24" t="n">
        <f aca="false">IF(AA691="",0,IFERROR(INDEX(Resep!$C$9:$C$13,MATCH(LEFT(AA691,3),Resep!$B$9:$B$13,0)),0))</f>
        <v>0</v>
      </c>
      <c r="AI691" s="24" t="n">
        <f aca="false">IF(AB691="",0,IFERROR(INDEX(Resep!$C$9:$C$13,MATCH(LEFT(AB691,3),Resep!$B$9:$B$13,0)),0))</f>
        <v>0</v>
      </c>
      <c r="AJ691" s="24" t="n">
        <f aca="false">IF(AC691="",0,IFERROR(INDEX(Resep!$C$9:$C$13,MATCH(LEFT(AC691,3),Resep!$B$9:$B$13,0)),0))</f>
        <v>0</v>
      </c>
      <c r="AK691" s="24" t="n">
        <f aca="false">IF(AD691="",0,IFERROR(INDEX(Resep!$C$15:$C$18,MATCH(LEFT(AD691,3),Resep!$B$15:$B$18,0)),0))</f>
        <v>0</v>
      </c>
      <c r="AL691" s="24" t="str">
        <f aca="false">IF(X691="","",AG691+AH691+AI691+AJ691+AK691)</f>
        <v/>
      </c>
      <c r="AM691" s="22" t="str">
        <f aca="false">IF(X691="","",AL691*(Pengaturan!$B$6+Pengaturan!$B$7)+Pengaturan!$B$8+AE691*Pengaturan!$B$9+AF691*Pengaturan!$B$10)</f>
        <v/>
      </c>
      <c r="AN691" s="22" t="str">
        <f aca="false">IF(X691="","",N(G691)-AM691)</f>
        <v/>
      </c>
      <c r="AO691" s="25" t="str">
        <f aca="false">IF(OR(X691="",N(G691)=0),"",AN691/G691)</f>
        <v/>
      </c>
    </row>
    <row r="692" customFormat="false" ht="15" hidden="false" customHeight="false" outlineLevel="0" collapsed="false">
      <c r="A692" s="19"/>
      <c r="B692" s="20"/>
      <c r="C692" s="19"/>
      <c r="D692" s="19"/>
      <c r="E692" s="19"/>
      <c r="F692" s="19"/>
      <c r="G692" s="21"/>
      <c r="H692" s="19"/>
      <c r="I692" s="21"/>
      <c r="J692" s="19"/>
      <c r="K692" s="20"/>
      <c r="L692" s="20"/>
      <c r="M692" s="19"/>
      <c r="N692" s="19"/>
      <c r="O692" s="20"/>
      <c r="P692" s="20"/>
      <c r="Q692" s="19"/>
      <c r="R692" s="22" t="str">
        <f aca="false">IF(A692="","",N(G692)+N(I692))</f>
        <v/>
      </c>
      <c r="S692" s="23" t="str">
        <f aca="false">IF(OR(K692="",O692=""),"",O692-K692)</f>
        <v/>
      </c>
      <c r="T692" s="23" t="str">
        <f aca="true">IF(AND(C692="Cetak",L692&lt;&gt;"",L692&lt;TODAY()),"YA","")</f>
        <v/>
      </c>
      <c r="U692" s="23" t="str">
        <f aca="false">IF(B692="","",TEXT(B692,"yyyy-mm"))</f>
        <v/>
      </c>
      <c r="V692" s="23" t="str">
        <f aca="false">IF(K692="","",TEXT(K692,"yyyy-mm"))</f>
        <v/>
      </c>
      <c r="W692" s="23" t="n">
        <f aca="false">IF(OR(C692="Cetak",C692="Dikirim",C692="Selesai"),1,0)</f>
        <v>0</v>
      </c>
      <c r="X692" s="23" t="str">
        <f aca="false">IF(F692="","",SUBSTITUTE(SUBSTITUTE(MID(UPPER(TRIM(F692)),4,99),"-LED",""),"-TK",""))</f>
        <v/>
      </c>
      <c r="Y692" s="23" t="str">
        <f aca="false">IF(X692="","",(LEN(X692)+1)/7)</f>
        <v/>
      </c>
      <c r="Z692" s="23" t="str">
        <f aca="false">IF(X692="","",LEFT(X692,6))</f>
        <v/>
      </c>
      <c r="AA692" s="23" t="str">
        <f aca="false">IF(X692="","",IF(Y692&gt;=3,MID(X692,8,6),""))</f>
        <v/>
      </c>
      <c r="AB692" s="23" t="str">
        <f aca="false">IF(X692="","",IF(Y692&gt;=4,MID(X692,15,6),""))</f>
        <v/>
      </c>
      <c r="AC692" s="23" t="str">
        <f aca="false">IF(X692="","",IF(Y692&gt;=5,MID(X692,22,6),""))</f>
        <v/>
      </c>
      <c r="AD692" s="23" t="str">
        <f aca="false">IF(X692="","",RIGHT(X692,6))</f>
        <v/>
      </c>
      <c r="AE692" s="23" t="str">
        <f aca="false">IF(F692="","",IF(ISNUMBER(SEARCH("-TK",UPPER(F692))),0,1))</f>
        <v/>
      </c>
      <c r="AF692" s="23" t="str">
        <f aca="false">IF(F692="","",IF(ISNUMBER(SEARCH("-LED",UPPER(F692))),1,0))</f>
        <v/>
      </c>
      <c r="AG692" s="24" t="n">
        <f aca="false">IF(Z692="",0,IFERROR(INDEX(Resep!$C$5:$C$7,MATCH(LEFT(Z692,3),Resep!$B$5:$B$7,0)),0))</f>
        <v>0</v>
      </c>
      <c r="AH692" s="24" t="n">
        <f aca="false">IF(AA692="",0,IFERROR(INDEX(Resep!$C$9:$C$13,MATCH(LEFT(AA692,3),Resep!$B$9:$B$13,0)),0))</f>
        <v>0</v>
      </c>
      <c r="AI692" s="24" t="n">
        <f aca="false">IF(AB692="",0,IFERROR(INDEX(Resep!$C$9:$C$13,MATCH(LEFT(AB692,3),Resep!$B$9:$B$13,0)),0))</f>
        <v>0</v>
      </c>
      <c r="AJ692" s="24" t="n">
        <f aca="false">IF(AC692="",0,IFERROR(INDEX(Resep!$C$9:$C$13,MATCH(LEFT(AC692,3),Resep!$B$9:$B$13,0)),0))</f>
        <v>0</v>
      </c>
      <c r="AK692" s="24" t="n">
        <f aca="false">IF(AD692="",0,IFERROR(INDEX(Resep!$C$15:$C$18,MATCH(LEFT(AD692,3),Resep!$B$15:$B$18,0)),0))</f>
        <v>0</v>
      </c>
      <c r="AL692" s="24" t="str">
        <f aca="false">IF(X692="","",AG692+AH692+AI692+AJ692+AK692)</f>
        <v/>
      </c>
      <c r="AM692" s="22" t="str">
        <f aca="false">IF(X692="","",AL692*(Pengaturan!$B$6+Pengaturan!$B$7)+Pengaturan!$B$8+AE692*Pengaturan!$B$9+AF692*Pengaturan!$B$10)</f>
        <v/>
      </c>
      <c r="AN692" s="22" t="str">
        <f aca="false">IF(X692="","",N(G692)-AM692)</f>
        <v/>
      </c>
      <c r="AO692" s="25" t="str">
        <f aca="false">IF(OR(X692="",N(G692)=0),"",AN692/G692)</f>
        <v/>
      </c>
    </row>
    <row r="693" customFormat="false" ht="15" hidden="false" customHeight="false" outlineLevel="0" collapsed="false">
      <c r="A693" s="19"/>
      <c r="B693" s="20"/>
      <c r="C693" s="19"/>
      <c r="D693" s="19"/>
      <c r="E693" s="19"/>
      <c r="F693" s="19"/>
      <c r="G693" s="21"/>
      <c r="H693" s="19"/>
      <c r="I693" s="21"/>
      <c r="J693" s="19"/>
      <c r="K693" s="20"/>
      <c r="L693" s="20"/>
      <c r="M693" s="19"/>
      <c r="N693" s="19"/>
      <c r="O693" s="20"/>
      <c r="P693" s="20"/>
      <c r="Q693" s="19"/>
      <c r="R693" s="22" t="str">
        <f aca="false">IF(A693="","",N(G693)+N(I693))</f>
        <v/>
      </c>
      <c r="S693" s="23" t="str">
        <f aca="false">IF(OR(K693="",O693=""),"",O693-K693)</f>
        <v/>
      </c>
      <c r="T693" s="23" t="str">
        <f aca="true">IF(AND(C693="Cetak",L693&lt;&gt;"",L693&lt;TODAY()),"YA","")</f>
        <v/>
      </c>
      <c r="U693" s="23" t="str">
        <f aca="false">IF(B693="","",TEXT(B693,"yyyy-mm"))</f>
        <v/>
      </c>
      <c r="V693" s="23" t="str">
        <f aca="false">IF(K693="","",TEXT(K693,"yyyy-mm"))</f>
        <v/>
      </c>
      <c r="W693" s="23" t="n">
        <f aca="false">IF(OR(C693="Cetak",C693="Dikirim",C693="Selesai"),1,0)</f>
        <v>0</v>
      </c>
      <c r="X693" s="23" t="str">
        <f aca="false">IF(F693="","",SUBSTITUTE(SUBSTITUTE(MID(UPPER(TRIM(F693)),4,99),"-LED",""),"-TK",""))</f>
        <v/>
      </c>
      <c r="Y693" s="23" t="str">
        <f aca="false">IF(X693="","",(LEN(X693)+1)/7)</f>
        <v/>
      </c>
      <c r="Z693" s="23" t="str">
        <f aca="false">IF(X693="","",LEFT(X693,6))</f>
        <v/>
      </c>
      <c r="AA693" s="23" t="str">
        <f aca="false">IF(X693="","",IF(Y693&gt;=3,MID(X693,8,6),""))</f>
        <v/>
      </c>
      <c r="AB693" s="23" t="str">
        <f aca="false">IF(X693="","",IF(Y693&gt;=4,MID(X693,15,6),""))</f>
        <v/>
      </c>
      <c r="AC693" s="23" t="str">
        <f aca="false">IF(X693="","",IF(Y693&gt;=5,MID(X693,22,6),""))</f>
        <v/>
      </c>
      <c r="AD693" s="23" t="str">
        <f aca="false">IF(X693="","",RIGHT(X693,6))</f>
        <v/>
      </c>
      <c r="AE693" s="23" t="str">
        <f aca="false">IF(F693="","",IF(ISNUMBER(SEARCH("-TK",UPPER(F693))),0,1))</f>
        <v/>
      </c>
      <c r="AF693" s="23" t="str">
        <f aca="false">IF(F693="","",IF(ISNUMBER(SEARCH("-LED",UPPER(F693))),1,0))</f>
        <v/>
      </c>
      <c r="AG693" s="24" t="n">
        <f aca="false">IF(Z693="",0,IFERROR(INDEX(Resep!$C$5:$C$7,MATCH(LEFT(Z693,3),Resep!$B$5:$B$7,0)),0))</f>
        <v>0</v>
      </c>
      <c r="AH693" s="24" t="n">
        <f aca="false">IF(AA693="",0,IFERROR(INDEX(Resep!$C$9:$C$13,MATCH(LEFT(AA693,3),Resep!$B$9:$B$13,0)),0))</f>
        <v>0</v>
      </c>
      <c r="AI693" s="24" t="n">
        <f aca="false">IF(AB693="",0,IFERROR(INDEX(Resep!$C$9:$C$13,MATCH(LEFT(AB693,3),Resep!$B$9:$B$13,0)),0))</f>
        <v>0</v>
      </c>
      <c r="AJ693" s="24" t="n">
        <f aca="false">IF(AC693="",0,IFERROR(INDEX(Resep!$C$9:$C$13,MATCH(LEFT(AC693,3),Resep!$B$9:$B$13,0)),0))</f>
        <v>0</v>
      </c>
      <c r="AK693" s="24" t="n">
        <f aca="false">IF(AD693="",0,IFERROR(INDEX(Resep!$C$15:$C$18,MATCH(LEFT(AD693,3),Resep!$B$15:$B$18,0)),0))</f>
        <v>0</v>
      </c>
      <c r="AL693" s="24" t="str">
        <f aca="false">IF(X693="","",AG693+AH693+AI693+AJ693+AK693)</f>
        <v/>
      </c>
      <c r="AM693" s="22" t="str">
        <f aca="false">IF(X693="","",AL693*(Pengaturan!$B$6+Pengaturan!$B$7)+Pengaturan!$B$8+AE693*Pengaturan!$B$9+AF693*Pengaturan!$B$10)</f>
        <v/>
      </c>
      <c r="AN693" s="22" t="str">
        <f aca="false">IF(X693="","",N(G693)-AM693)</f>
        <v/>
      </c>
      <c r="AO693" s="25" t="str">
        <f aca="false">IF(OR(X693="",N(G693)=0),"",AN693/G693)</f>
        <v/>
      </c>
    </row>
    <row r="694" customFormat="false" ht="15" hidden="false" customHeight="false" outlineLevel="0" collapsed="false">
      <c r="A694" s="19"/>
      <c r="B694" s="20"/>
      <c r="C694" s="19"/>
      <c r="D694" s="19"/>
      <c r="E694" s="19"/>
      <c r="F694" s="19"/>
      <c r="G694" s="21"/>
      <c r="H694" s="19"/>
      <c r="I694" s="21"/>
      <c r="J694" s="19"/>
      <c r="K694" s="20"/>
      <c r="L694" s="20"/>
      <c r="M694" s="19"/>
      <c r="N694" s="19"/>
      <c r="O694" s="20"/>
      <c r="P694" s="20"/>
      <c r="Q694" s="19"/>
      <c r="R694" s="22" t="str">
        <f aca="false">IF(A694="","",N(G694)+N(I694))</f>
        <v/>
      </c>
      <c r="S694" s="23" t="str">
        <f aca="false">IF(OR(K694="",O694=""),"",O694-K694)</f>
        <v/>
      </c>
      <c r="T694" s="23" t="str">
        <f aca="true">IF(AND(C694="Cetak",L694&lt;&gt;"",L694&lt;TODAY()),"YA","")</f>
        <v/>
      </c>
      <c r="U694" s="23" t="str">
        <f aca="false">IF(B694="","",TEXT(B694,"yyyy-mm"))</f>
        <v/>
      </c>
      <c r="V694" s="23" t="str">
        <f aca="false">IF(K694="","",TEXT(K694,"yyyy-mm"))</f>
        <v/>
      </c>
      <c r="W694" s="23" t="n">
        <f aca="false">IF(OR(C694="Cetak",C694="Dikirim",C694="Selesai"),1,0)</f>
        <v>0</v>
      </c>
      <c r="X694" s="23" t="str">
        <f aca="false">IF(F694="","",SUBSTITUTE(SUBSTITUTE(MID(UPPER(TRIM(F694)),4,99),"-LED",""),"-TK",""))</f>
        <v/>
      </c>
      <c r="Y694" s="23" t="str">
        <f aca="false">IF(X694="","",(LEN(X694)+1)/7)</f>
        <v/>
      </c>
      <c r="Z694" s="23" t="str">
        <f aca="false">IF(X694="","",LEFT(X694,6))</f>
        <v/>
      </c>
      <c r="AA694" s="23" t="str">
        <f aca="false">IF(X694="","",IF(Y694&gt;=3,MID(X694,8,6),""))</f>
        <v/>
      </c>
      <c r="AB694" s="23" t="str">
        <f aca="false">IF(X694="","",IF(Y694&gt;=4,MID(X694,15,6),""))</f>
        <v/>
      </c>
      <c r="AC694" s="23" t="str">
        <f aca="false">IF(X694="","",IF(Y694&gt;=5,MID(X694,22,6),""))</f>
        <v/>
      </c>
      <c r="AD694" s="23" t="str">
        <f aca="false">IF(X694="","",RIGHT(X694,6))</f>
        <v/>
      </c>
      <c r="AE694" s="23" t="str">
        <f aca="false">IF(F694="","",IF(ISNUMBER(SEARCH("-TK",UPPER(F694))),0,1))</f>
        <v/>
      </c>
      <c r="AF694" s="23" t="str">
        <f aca="false">IF(F694="","",IF(ISNUMBER(SEARCH("-LED",UPPER(F694))),1,0))</f>
        <v/>
      </c>
      <c r="AG694" s="24" t="n">
        <f aca="false">IF(Z694="",0,IFERROR(INDEX(Resep!$C$5:$C$7,MATCH(LEFT(Z694,3),Resep!$B$5:$B$7,0)),0))</f>
        <v>0</v>
      </c>
      <c r="AH694" s="24" t="n">
        <f aca="false">IF(AA694="",0,IFERROR(INDEX(Resep!$C$9:$C$13,MATCH(LEFT(AA694,3),Resep!$B$9:$B$13,0)),0))</f>
        <v>0</v>
      </c>
      <c r="AI694" s="24" t="n">
        <f aca="false">IF(AB694="",0,IFERROR(INDEX(Resep!$C$9:$C$13,MATCH(LEFT(AB694,3),Resep!$B$9:$B$13,0)),0))</f>
        <v>0</v>
      </c>
      <c r="AJ694" s="24" t="n">
        <f aca="false">IF(AC694="",0,IFERROR(INDEX(Resep!$C$9:$C$13,MATCH(LEFT(AC694,3),Resep!$B$9:$B$13,0)),0))</f>
        <v>0</v>
      </c>
      <c r="AK694" s="24" t="n">
        <f aca="false">IF(AD694="",0,IFERROR(INDEX(Resep!$C$15:$C$18,MATCH(LEFT(AD694,3),Resep!$B$15:$B$18,0)),0))</f>
        <v>0</v>
      </c>
      <c r="AL694" s="24" t="str">
        <f aca="false">IF(X694="","",AG694+AH694+AI694+AJ694+AK694)</f>
        <v/>
      </c>
      <c r="AM694" s="22" t="str">
        <f aca="false">IF(X694="","",AL694*(Pengaturan!$B$6+Pengaturan!$B$7)+Pengaturan!$B$8+AE694*Pengaturan!$B$9+AF694*Pengaturan!$B$10)</f>
        <v/>
      </c>
      <c r="AN694" s="22" t="str">
        <f aca="false">IF(X694="","",N(G694)-AM694)</f>
        <v/>
      </c>
      <c r="AO694" s="25" t="str">
        <f aca="false">IF(OR(X694="",N(G694)=0),"",AN694/G694)</f>
        <v/>
      </c>
    </row>
    <row r="695" customFormat="false" ht="15" hidden="false" customHeight="false" outlineLevel="0" collapsed="false">
      <c r="A695" s="19"/>
      <c r="B695" s="20"/>
      <c r="C695" s="19"/>
      <c r="D695" s="19"/>
      <c r="E695" s="19"/>
      <c r="F695" s="19"/>
      <c r="G695" s="21"/>
      <c r="H695" s="19"/>
      <c r="I695" s="21"/>
      <c r="J695" s="19"/>
      <c r="K695" s="20"/>
      <c r="L695" s="20"/>
      <c r="M695" s="19"/>
      <c r="N695" s="19"/>
      <c r="O695" s="20"/>
      <c r="P695" s="20"/>
      <c r="Q695" s="19"/>
      <c r="R695" s="22" t="str">
        <f aca="false">IF(A695="","",N(G695)+N(I695))</f>
        <v/>
      </c>
      <c r="S695" s="23" t="str">
        <f aca="false">IF(OR(K695="",O695=""),"",O695-K695)</f>
        <v/>
      </c>
      <c r="T695" s="23" t="str">
        <f aca="true">IF(AND(C695="Cetak",L695&lt;&gt;"",L695&lt;TODAY()),"YA","")</f>
        <v/>
      </c>
      <c r="U695" s="23" t="str">
        <f aca="false">IF(B695="","",TEXT(B695,"yyyy-mm"))</f>
        <v/>
      </c>
      <c r="V695" s="23" t="str">
        <f aca="false">IF(K695="","",TEXT(K695,"yyyy-mm"))</f>
        <v/>
      </c>
      <c r="W695" s="23" t="n">
        <f aca="false">IF(OR(C695="Cetak",C695="Dikirim",C695="Selesai"),1,0)</f>
        <v>0</v>
      </c>
      <c r="X695" s="23" t="str">
        <f aca="false">IF(F695="","",SUBSTITUTE(SUBSTITUTE(MID(UPPER(TRIM(F695)),4,99),"-LED",""),"-TK",""))</f>
        <v/>
      </c>
      <c r="Y695" s="23" t="str">
        <f aca="false">IF(X695="","",(LEN(X695)+1)/7)</f>
        <v/>
      </c>
      <c r="Z695" s="23" t="str">
        <f aca="false">IF(X695="","",LEFT(X695,6))</f>
        <v/>
      </c>
      <c r="AA695" s="23" t="str">
        <f aca="false">IF(X695="","",IF(Y695&gt;=3,MID(X695,8,6),""))</f>
        <v/>
      </c>
      <c r="AB695" s="23" t="str">
        <f aca="false">IF(X695="","",IF(Y695&gt;=4,MID(X695,15,6),""))</f>
        <v/>
      </c>
      <c r="AC695" s="23" t="str">
        <f aca="false">IF(X695="","",IF(Y695&gt;=5,MID(X695,22,6),""))</f>
        <v/>
      </c>
      <c r="AD695" s="23" t="str">
        <f aca="false">IF(X695="","",RIGHT(X695,6))</f>
        <v/>
      </c>
      <c r="AE695" s="23" t="str">
        <f aca="false">IF(F695="","",IF(ISNUMBER(SEARCH("-TK",UPPER(F695))),0,1))</f>
        <v/>
      </c>
      <c r="AF695" s="23" t="str">
        <f aca="false">IF(F695="","",IF(ISNUMBER(SEARCH("-LED",UPPER(F695))),1,0))</f>
        <v/>
      </c>
      <c r="AG695" s="24" t="n">
        <f aca="false">IF(Z695="",0,IFERROR(INDEX(Resep!$C$5:$C$7,MATCH(LEFT(Z695,3),Resep!$B$5:$B$7,0)),0))</f>
        <v>0</v>
      </c>
      <c r="AH695" s="24" t="n">
        <f aca="false">IF(AA695="",0,IFERROR(INDEX(Resep!$C$9:$C$13,MATCH(LEFT(AA695,3),Resep!$B$9:$B$13,0)),0))</f>
        <v>0</v>
      </c>
      <c r="AI695" s="24" t="n">
        <f aca="false">IF(AB695="",0,IFERROR(INDEX(Resep!$C$9:$C$13,MATCH(LEFT(AB695,3),Resep!$B$9:$B$13,0)),0))</f>
        <v>0</v>
      </c>
      <c r="AJ695" s="24" t="n">
        <f aca="false">IF(AC695="",0,IFERROR(INDEX(Resep!$C$9:$C$13,MATCH(LEFT(AC695,3),Resep!$B$9:$B$13,0)),0))</f>
        <v>0</v>
      </c>
      <c r="AK695" s="24" t="n">
        <f aca="false">IF(AD695="",0,IFERROR(INDEX(Resep!$C$15:$C$18,MATCH(LEFT(AD695,3),Resep!$B$15:$B$18,0)),0))</f>
        <v>0</v>
      </c>
      <c r="AL695" s="24" t="str">
        <f aca="false">IF(X695="","",AG695+AH695+AI695+AJ695+AK695)</f>
        <v/>
      </c>
      <c r="AM695" s="22" t="str">
        <f aca="false">IF(X695="","",AL695*(Pengaturan!$B$6+Pengaturan!$B$7)+Pengaturan!$B$8+AE695*Pengaturan!$B$9+AF695*Pengaturan!$B$10)</f>
        <v/>
      </c>
      <c r="AN695" s="22" t="str">
        <f aca="false">IF(X695="","",N(G695)-AM695)</f>
        <v/>
      </c>
      <c r="AO695" s="25" t="str">
        <f aca="false">IF(OR(X695="",N(G695)=0),"",AN695/G695)</f>
        <v/>
      </c>
    </row>
    <row r="696" customFormat="false" ht="15" hidden="false" customHeight="false" outlineLevel="0" collapsed="false">
      <c r="A696" s="19"/>
      <c r="B696" s="20"/>
      <c r="C696" s="19"/>
      <c r="D696" s="19"/>
      <c r="E696" s="19"/>
      <c r="F696" s="19"/>
      <c r="G696" s="21"/>
      <c r="H696" s="19"/>
      <c r="I696" s="21"/>
      <c r="J696" s="19"/>
      <c r="K696" s="20"/>
      <c r="L696" s="20"/>
      <c r="M696" s="19"/>
      <c r="N696" s="19"/>
      <c r="O696" s="20"/>
      <c r="P696" s="20"/>
      <c r="Q696" s="19"/>
      <c r="R696" s="22" t="str">
        <f aca="false">IF(A696="","",N(G696)+N(I696))</f>
        <v/>
      </c>
      <c r="S696" s="23" t="str">
        <f aca="false">IF(OR(K696="",O696=""),"",O696-K696)</f>
        <v/>
      </c>
      <c r="T696" s="23" t="str">
        <f aca="true">IF(AND(C696="Cetak",L696&lt;&gt;"",L696&lt;TODAY()),"YA","")</f>
        <v/>
      </c>
      <c r="U696" s="23" t="str">
        <f aca="false">IF(B696="","",TEXT(B696,"yyyy-mm"))</f>
        <v/>
      </c>
      <c r="V696" s="23" t="str">
        <f aca="false">IF(K696="","",TEXT(K696,"yyyy-mm"))</f>
        <v/>
      </c>
      <c r="W696" s="23" t="n">
        <f aca="false">IF(OR(C696="Cetak",C696="Dikirim",C696="Selesai"),1,0)</f>
        <v>0</v>
      </c>
      <c r="X696" s="23" t="str">
        <f aca="false">IF(F696="","",SUBSTITUTE(SUBSTITUTE(MID(UPPER(TRIM(F696)),4,99),"-LED",""),"-TK",""))</f>
        <v/>
      </c>
      <c r="Y696" s="23" t="str">
        <f aca="false">IF(X696="","",(LEN(X696)+1)/7)</f>
        <v/>
      </c>
      <c r="Z696" s="23" t="str">
        <f aca="false">IF(X696="","",LEFT(X696,6))</f>
        <v/>
      </c>
      <c r="AA696" s="23" t="str">
        <f aca="false">IF(X696="","",IF(Y696&gt;=3,MID(X696,8,6),""))</f>
        <v/>
      </c>
      <c r="AB696" s="23" t="str">
        <f aca="false">IF(X696="","",IF(Y696&gt;=4,MID(X696,15,6),""))</f>
        <v/>
      </c>
      <c r="AC696" s="23" t="str">
        <f aca="false">IF(X696="","",IF(Y696&gt;=5,MID(X696,22,6),""))</f>
        <v/>
      </c>
      <c r="AD696" s="23" t="str">
        <f aca="false">IF(X696="","",RIGHT(X696,6))</f>
        <v/>
      </c>
      <c r="AE696" s="23" t="str">
        <f aca="false">IF(F696="","",IF(ISNUMBER(SEARCH("-TK",UPPER(F696))),0,1))</f>
        <v/>
      </c>
      <c r="AF696" s="23" t="str">
        <f aca="false">IF(F696="","",IF(ISNUMBER(SEARCH("-LED",UPPER(F696))),1,0))</f>
        <v/>
      </c>
      <c r="AG696" s="24" t="n">
        <f aca="false">IF(Z696="",0,IFERROR(INDEX(Resep!$C$5:$C$7,MATCH(LEFT(Z696,3),Resep!$B$5:$B$7,0)),0))</f>
        <v>0</v>
      </c>
      <c r="AH696" s="24" t="n">
        <f aca="false">IF(AA696="",0,IFERROR(INDEX(Resep!$C$9:$C$13,MATCH(LEFT(AA696,3),Resep!$B$9:$B$13,0)),0))</f>
        <v>0</v>
      </c>
      <c r="AI696" s="24" t="n">
        <f aca="false">IF(AB696="",0,IFERROR(INDEX(Resep!$C$9:$C$13,MATCH(LEFT(AB696,3),Resep!$B$9:$B$13,0)),0))</f>
        <v>0</v>
      </c>
      <c r="AJ696" s="24" t="n">
        <f aca="false">IF(AC696="",0,IFERROR(INDEX(Resep!$C$9:$C$13,MATCH(LEFT(AC696,3),Resep!$B$9:$B$13,0)),0))</f>
        <v>0</v>
      </c>
      <c r="AK696" s="24" t="n">
        <f aca="false">IF(AD696="",0,IFERROR(INDEX(Resep!$C$15:$C$18,MATCH(LEFT(AD696,3),Resep!$B$15:$B$18,0)),0))</f>
        <v>0</v>
      </c>
      <c r="AL696" s="24" t="str">
        <f aca="false">IF(X696="","",AG696+AH696+AI696+AJ696+AK696)</f>
        <v/>
      </c>
      <c r="AM696" s="22" t="str">
        <f aca="false">IF(X696="","",AL696*(Pengaturan!$B$6+Pengaturan!$B$7)+Pengaturan!$B$8+AE696*Pengaturan!$B$9+AF696*Pengaturan!$B$10)</f>
        <v/>
      </c>
      <c r="AN696" s="22" t="str">
        <f aca="false">IF(X696="","",N(G696)-AM696)</f>
        <v/>
      </c>
      <c r="AO696" s="25" t="str">
        <f aca="false">IF(OR(X696="",N(G696)=0),"",AN696/G696)</f>
        <v/>
      </c>
    </row>
    <row r="697" customFormat="false" ht="15" hidden="false" customHeight="false" outlineLevel="0" collapsed="false">
      <c r="A697" s="19"/>
      <c r="B697" s="20"/>
      <c r="C697" s="19"/>
      <c r="D697" s="19"/>
      <c r="E697" s="19"/>
      <c r="F697" s="19"/>
      <c r="G697" s="21"/>
      <c r="H697" s="19"/>
      <c r="I697" s="21"/>
      <c r="J697" s="19"/>
      <c r="K697" s="20"/>
      <c r="L697" s="20"/>
      <c r="M697" s="19"/>
      <c r="N697" s="19"/>
      <c r="O697" s="20"/>
      <c r="P697" s="20"/>
      <c r="Q697" s="19"/>
      <c r="R697" s="22" t="str">
        <f aca="false">IF(A697="","",N(G697)+N(I697))</f>
        <v/>
      </c>
      <c r="S697" s="23" t="str">
        <f aca="false">IF(OR(K697="",O697=""),"",O697-K697)</f>
        <v/>
      </c>
      <c r="T697" s="23" t="str">
        <f aca="true">IF(AND(C697="Cetak",L697&lt;&gt;"",L697&lt;TODAY()),"YA","")</f>
        <v/>
      </c>
      <c r="U697" s="23" t="str">
        <f aca="false">IF(B697="","",TEXT(B697,"yyyy-mm"))</f>
        <v/>
      </c>
      <c r="V697" s="23" t="str">
        <f aca="false">IF(K697="","",TEXT(K697,"yyyy-mm"))</f>
        <v/>
      </c>
      <c r="W697" s="23" t="n">
        <f aca="false">IF(OR(C697="Cetak",C697="Dikirim",C697="Selesai"),1,0)</f>
        <v>0</v>
      </c>
      <c r="X697" s="23" t="str">
        <f aca="false">IF(F697="","",SUBSTITUTE(SUBSTITUTE(MID(UPPER(TRIM(F697)),4,99),"-LED",""),"-TK",""))</f>
        <v/>
      </c>
      <c r="Y697" s="23" t="str">
        <f aca="false">IF(X697="","",(LEN(X697)+1)/7)</f>
        <v/>
      </c>
      <c r="Z697" s="23" t="str">
        <f aca="false">IF(X697="","",LEFT(X697,6))</f>
        <v/>
      </c>
      <c r="AA697" s="23" t="str">
        <f aca="false">IF(X697="","",IF(Y697&gt;=3,MID(X697,8,6),""))</f>
        <v/>
      </c>
      <c r="AB697" s="23" t="str">
        <f aca="false">IF(X697="","",IF(Y697&gt;=4,MID(X697,15,6),""))</f>
        <v/>
      </c>
      <c r="AC697" s="23" t="str">
        <f aca="false">IF(X697="","",IF(Y697&gt;=5,MID(X697,22,6),""))</f>
        <v/>
      </c>
      <c r="AD697" s="23" t="str">
        <f aca="false">IF(X697="","",RIGHT(X697,6))</f>
        <v/>
      </c>
      <c r="AE697" s="23" t="str">
        <f aca="false">IF(F697="","",IF(ISNUMBER(SEARCH("-TK",UPPER(F697))),0,1))</f>
        <v/>
      </c>
      <c r="AF697" s="23" t="str">
        <f aca="false">IF(F697="","",IF(ISNUMBER(SEARCH("-LED",UPPER(F697))),1,0))</f>
        <v/>
      </c>
      <c r="AG697" s="24" t="n">
        <f aca="false">IF(Z697="",0,IFERROR(INDEX(Resep!$C$5:$C$7,MATCH(LEFT(Z697,3),Resep!$B$5:$B$7,0)),0))</f>
        <v>0</v>
      </c>
      <c r="AH697" s="24" t="n">
        <f aca="false">IF(AA697="",0,IFERROR(INDEX(Resep!$C$9:$C$13,MATCH(LEFT(AA697,3),Resep!$B$9:$B$13,0)),0))</f>
        <v>0</v>
      </c>
      <c r="AI697" s="24" t="n">
        <f aca="false">IF(AB697="",0,IFERROR(INDEX(Resep!$C$9:$C$13,MATCH(LEFT(AB697,3),Resep!$B$9:$B$13,0)),0))</f>
        <v>0</v>
      </c>
      <c r="AJ697" s="24" t="n">
        <f aca="false">IF(AC697="",0,IFERROR(INDEX(Resep!$C$9:$C$13,MATCH(LEFT(AC697,3),Resep!$B$9:$B$13,0)),0))</f>
        <v>0</v>
      </c>
      <c r="AK697" s="24" t="n">
        <f aca="false">IF(AD697="",0,IFERROR(INDEX(Resep!$C$15:$C$18,MATCH(LEFT(AD697,3),Resep!$B$15:$B$18,0)),0))</f>
        <v>0</v>
      </c>
      <c r="AL697" s="24" t="str">
        <f aca="false">IF(X697="","",AG697+AH697+AI697+AJ697+AK697)</f>
        <v/>
      </c>
      <c r="AM697" s="22" t="str">
        <f aca="false">IF(X697="","",AL697*(Pengaturan!$B$6+Pengaturan!$B$7)+Pengaturan!$B$8+AE697*Pengaturan!$B$9+AF697*Pengaturan!$B$10)</f>
        <v/>
      </c>
      <c r="AN697" s="22" t="str">
        <f aca="false">IF(X697="","",N(G697)-AM697)</f>
        <v/>
      </c>
      <c r="AO697" s="25" t="str">
        <f aca="false">IF(OR(X697="",N(G697)=0),"",AN697/G697)</f>
        <v/>
      </c>
    </row>
    <row r="698" customFormat="false" ht="15" hidden="false" customHeight="false" outlineLevel="0" collapsed="false">
      <c r="A698" s="19"/>
      <c r="B698" s="20"/>
      <c r="C698" s="19"/>
      <c r="D698" s="19"/>
      <c r="E698" s="19"/>
      <c r="F698" s="19"/>
      <c r="G698" s="21"/>
      <c r="H698" s="19"/>
      <c r="I698" s="21"/>
      <c r="J698" s="19"/>
      <c r="K698" s="20"/>
      <c r="L698" s="20"/>
      <c r="M698" s="19"/>
      <c r="N698" s="19"/>
      <c r="O698" s="20"/>
      <c r="P698" s="20"/>
      <c r="Q698" s="19"/>
      <c r="R698" s="22" t="str">
        <f aca="false">IF(A698="","",N(G698)+N(I698))</f>
        <v/>
      </c>
      <c r="S698" s="23" t="str">
        <f aca="false">IF(OR(K698="",O698=""),"",O698-K698)</f>
        <v/>
      </c>
      <c r="T698" s="23" t="str">
        <f aca="true">IF(AND(C698="Cetak",L698&lt;&gt;"",L698&lt;TODAY()),"YA","")</f>
        <v/>
      </c>
      <c r="U698" s="23" t="str">
        <f aca="false">IF(B698="","",TEXT(B698,"yyyy-mm"))</f>
        <v/>
      </c>
      <c r="V698" s="23" t="str">
        <f aca="false">IF(K698="","",TEXT(K698,"yyyy-mm"))</f>
        <v/>
      </c>
      <c r="W698" s="23" t="n">
        <f aca="false">IF(OR(C698="Cetak",C698="Dikirim",C698="Selesai"),1,0)</f>
        <v>0</v>
      </c>
      <c r="X698" s="23" t="str">
        <f aca="false">IF(F698="","",SUBSTITUTE(SUBSTITUTE(MID(UPPER(TRIM(F698)),4,99),"-LED",""),"-TK",""))</f>
        <v/>
      </c>
      <c r="Y698" s="23" t="str">
        <f aca="false">IF(X698="","",(LEN(X698)+1)/7)</f>
        <v/>
      </c>
      <c r="Z698" s="23" t="str">
        <f aca="false">IF(X698="","",LEFT(X698,6))</f>
        <v/>
      </c>
      <c r="AA698" s="23" t="str">
        <f aca="false">IF(X698="","",IF(Y698&gt;=3,MID(X698,8,6),""))</f>
        <v/>
      </c>
      <c r="AB698" s="23" t="str">
        <f aca="false">IF(X698="","",IF(Y698&gt;=4,MID(X698,15,6),""))</f>
        <v/>
      </c>
      <c r="AC698" s="23" t="str">
        <f aca="false">IF(X698="","",IF(Y698&gt;=5,MID(X698,22,6),""))</f>
        <v/>
      </c>
      <c r="AD698" s="23" t="str">
        <f aca="false">IF(X698="","",RIGHT(X698,6))</f>
        <v/>
      </c>
      <c r="AE698" s="23" t="str">
        <f aca="false">IF(F698="","",IF(ISNUMBER(SEARCH("-TK",UPPER(F698))),0,1))</f>
        <v/>
      </c>
      <c r="AF698" s="23" t="str">
        <f aca="false">IF(F698="","",IF(ISNUMBER(SEARCH("-LED",UPPER(F698))),1,0))</f>
        <v/>
      </c>
      <c r="AG698" s="24" t="n">
        <f aca="false">IF(Z698="",0,IFERROR(INDEX(Resep!$C$5:$C$7,MATCH(LEFT(Z698,3),Resep!$B$5:$B$7,0)),0))</f>
        <v>0</v>
      </c>
      <c r="AH698" s="24" t="n">
        <f aca="false">IF(AA698="",0,IFERROR(INDEX(Resep!$C$9:$C$13,MATCH(LEFT(AA698,3),Resep!$B$9:$B$13,0)),0))</f>
        <v>0</v>
      </c>
      <c r="AI698" s="24" t="n">
        <f aca="false">IF(AB698="",0,IFERROR(INDEX(Resep!$C$9:$C$13,MATCH(LEFT(AB698,3),Resep!$B$9:$B$13,0)),0))</f>
        <v>0</v>
      </c>
      <c r="AJ698" s="24" t="n">
        <f aca="false">IF(AC698="",0,IFERROR(INDEX(Resep!$C$9:$C$13,MATCH(LEFT(AC698,3),Resep!$B$9:$B$13,0)),0))</f>
        <v>0</v>
      </c>
      <c r="AK698" s="24" t="n">
        <f aca="false">IF(AD698="",0,IFERROR(INDEX(Resep!$C$15:$C$18,MATCH(LEFT(AD698,3),Resep!$B$15:$B$18,0)),0))</f>
        <v>0</v>
      </c>
      <c r="AL698" s="24" t="str">
        <f aca="false">IF(X698="","",AG698+AH698+AI698+AJ698+AK698)</f>
        <v/>
      </c>
      <c r="AM698" s="22" t="str">
        <f aca="false">IF(X698="","",AL698*(Pengaturan!$B$6+Pengaturan!$B$7)+Pengaturan!$B$8+AE698*Pengaturan!$B$9+AF698*Pengaturan!$B$10)</f>
        <v/>
      </c>
      <c r="AN698" s="22" t="str">
        <f aca="false">IF(X698="","",N(G698)-AM698)</f>
        <v/>
      </c>
      <c r="AO698" s="25" t="str">
        <f aca="false">IF(OR(X698="",N(G698)=0),"",AN698/G698)</f>
        <v/>
      </c>
    </row>
    <row r="699" customFormat="false" ht="15" hidden="false" customHeight="false" outlineLevel="0" collapsed="false">
      <c r="A699" s="19"/>
      <c r="B699" s="20"/>
      <c r="C699" s="19"/>
      <c r="D699" s="19"/>
      <c r="E699" s="19"/>
      <c r="F699" s="19"/>
      <c r="G699" s="21"/>
      <c r="H699" s="19"/>
      <c r="I699" s="21"/>
      <c r="J699" s="19"/>
      <c r="K699" s="20"/>
      <c r="L699" s="20"/>
      <c r="M699" s="19"/>
      <c r="N699" s="19"/>
      <c r="O699" s="20"/>
      <c r="P699" s="20"/>
      <c r="Q699" s="19"/>
      <c r="R699" s="22" t="str">
        <f aca="false">IF(A699="","",N(G699)+N(I699))</f>
        <v/>
      </c>
      <c r="S699" s="23" t="str">
        <f aca="false">IF(OR(K699="",O699=""),"",O699-K699)</f>
        <v/>
      </c>
      <c r="T699" s="23" t="str">
        <f aca="true">IF(AND(C699="Cetak",L699&lt;&gt;"",L699&lt;TODAY()),"YA","")</f>
        <v/>
      </c>
      <c r="U699" s="23" t="str">
        <f aca="false">IF(B699="","",TEXT(B699,"yyyy-mm"))</f>
        <v/>
      </c>
      <c r="V699" s="23" t="str">
        <f aca="false">IF(K699="","",TEXT(K699,"yyyy-mm"))</f>
        <v/>
      </c>
      <c r="W699" s="23" t="n">
        <f aca="false">IF(OR(C699="Cetak",C699="Dikirim",C699="Selesai"),1,0)</f>
        <v>0</v>
      </c>
      <c r="X699" s="23" t="str">
        <f aca="false">IF(F699="","",SUBSTITUTE(SUBSTITUTE(MID(UPPER(TRIM(F699)),4,99),"-LED",""),"-TK",""))</f>
        <v/>
      </c>
      <c r="Y699" s="23" t="str">
        <f aca="false">IF(X699="","",(LEN(X699)+1)/7)</f>
        <v/>
      </c>
      <c r="Z699" s="23" t="str">
        <f aca="false">IF(X699="","",LEFT(X699,6))</f>
        <v/>
      </c>
      <c r="AA699" s="23" t="str">
        <f aca="false">IF(X699="","",IF(Y699&gt;=3,MID(X699,8,6),""))</f>
        <v/>
      </c>
      <c r="AB699" s="23" t="str">
        <f aca="false">IF(X699="","",IF(Y699&gt;=4,MID(X699,15,6),""))</f>
        <v/>
      </c>
      <c r="AC699" s="23" t="str">
        <f aca="false">IF(X699="","",IF(Y699&gt;=5,MID(X699,22,6),""))</f>
        <v/>
      </c>
      <c r="AD699" s="23" t="str">
        <f aca="false">IF(X699="","",RIGHT(X699,6))</f>
        <v/>
      </c>
      <c r="AE699" s="23" t="str">
        <f aca="false">IF(F699="","",IF(ISNUMBER(SEARCH("-TK",UPPER(F699))),0,1))</f>
        <v/>
      </c>
      <c r="AF699" s="23" t="str">
        <f aca="false">IF(F699="","",IF(ISNUMBER(SEARCH("-LED",UPPER(F699))),1,0))</f>
        <v/>
      </c>
      <c r="AG699" s="24" t="n">
        <f aca="false">IF(Z699="",0,IFERROR(INDEX(Resep!$C$5:$C$7,MATCH(LEFT(Z699,3),Resep!$B$5:$B$7,0)),0))</f>
        <v>0</v>
      </c>
      <c r="AH699" s="24" t="n">
        <f aca="false">IF(AA699="",0,IFERROR(INDEX(Resep!$C$9:$C$13,MATCH(LEFT(AA699,3),Resep!$B$9:$B$13,0)),0))</f>
        <v>0</v>
      </c>
      <c r="AI699" s="24" t="n">
        <f aca="false">IF(AB699="",0,IFERROR(INDEX(Resep!$C$9:$C$13,MATCH(LEFT(AB699,3),Resep!$B$9:$B$13,0)),0))</f>
        <v>0</v>
      </c>
      <c r="AJ699" s="24" t="n">
        <f aca="false">IF(AC699="",0,IFERROR(INDEX(Resep!$C$9:$C$13,MATCH(LEFT(AC699,3),Resep!$B$9:$B$13,0)),0))</f>
        <v>0</v>
      </c>
      <c r="AK699" s="24" t="n">
        <f aca="false">IF(AD699="",0,IFERROR(INDEX(Resep!$C$15:$C$18,MATCH(LEFT(AD699,3),Resep!$B$15:$B$18,0)),0))</f>
        <v>0</v>
      </c>
      <c r="AL699" s="24" t="str">
        <f aca="false">IF(X699="","",AG699+AH699+AI699+AJ699+AK699)</f>
        <v/>
      </c>
      <c r="AM699" s="22" t="str">
        <f aca="false">IF(X699="","",AL699*(Pengaturan!$B$6+Pengaturan!$B$7)+Pengaturan!$B$8+AE699*Pengaturan!$B$9+AF699*Pengaturan!$B$10)</f>
        <v/>
      </c>
      <c r="AN699" s="22" t="str">
        <f aca="false">IF(X699="","",N(G699)-AM699)</f>
        <v/>
      </c>
      <c r="AO699" s="25" t="str">
        <f aca="false">IF(OR(X699="",N(G699)=0),"",AN699/G699)</f>
        <v/>
      </c>
    </row>
    <row r="700" customFormat="false" ht="15" hidden="false" customHeight="false" outlineLevel="0" collapsed="false">
      <c r="A700" s="19"/>
      <c r="B700" s="20"/>
      <c r="C700" s="19"/>
      <c r="D700" s="19"/>
      <c r="E700" s="19"/>
      <c r="F700" s="19"/>
      <c r="G700" s="21"/>
      <c r="H700" s="19"/>
      <c r="I700" s="21"/>
      <c r="J700" s="19"/>
      <c r="K700" s="20"/>
      <c r="L700" s="20"/>
      <c r="M700" s="19"/>
      <c r="N700" s="19"/>
      <c r="O700" s="20"/>
      <c r="P700" s="20"/>
      <c r="Q700" s="19"/>
      <c r="R700" s="22" t="str">
        <f aca="false">IF(A700="","",N(G700)+N(I700))</f>
        <v/>
      </c>
      <c r="S700" s="23" t="str">
        <f aca="false">IF(OR(K700="",O700=""),"",O700-K700)</f>
        <v/>
      </c>
      <c r="T700" s="23" t="str">
        <f aca="true">IF(AND(C700="Cetak",L700&lt;&gt;"",L700&lt;TODAY()),"YA","")</f>
        <v/>
      </c>
      <c r="U700" s="23" t="str">
        <f aca="false">IF(B700="","",TEXT(B700,"yyyy-mm"))</f>
        <v/>
      </c>
      <c r="V700" s="23" t="str">
        <f aca="false">IF(K700="","",TEXT(K700,"yyyy-mm"))</f>
        <v/>
      </c>
      <c r="W700" s="23" t="n">
        <f aca="false">IF(OR(C700="Cetak",C700="Dikirim",C700="Selesai"),1,0)</f>
        <v>0</v>
      </c>
      <c r="X700" s="23" t="str">
        <f aca="false">IF(F700="","",SUBSTITUTE(SUBSTITUTE(MID(UPPER(TRIM(F700)),4,99),"-LED",""),"-TK",""))</f>
        <v/>
      </c>
      <c r="Y700" s="23" t="str">
        <f aca="false">IF(X700="","",(LEN(X700)+1)/7)</f>
        <v/>
      </c>
      <c r="Z700" s="23" t="str">
        <f aca="false">IF(X700="","",LEFT(X700,6))</f>
        <v/>
      </c>
      <c r="AA700" s="23" t="str">
        <f aca="false">IF(X700="","",IF(Y700&gt;=3,MID(X700,8,6),""))</f>
        <v/>
      </c>
      <c r="AB700" s="23" t="str">
        <f aca="false">IF(X700="","",IF(Y700&gt;=4,MID(X700,15,6),""))</f>
        <v/>
      </c>
      <c r="AC700" s="23" t="str">
        <f aca="false">IF(X700="","",IF(Y700&gt;=5,MID(X700,22,6),""))</f>
        <v/>
      </c>
      <c r="AD700" s="23" t="str">
        <f aca="false">IF(X700="","",RIGHT(X700,6))</f>
        <v/>
      </c>
      <c r="AE700" s="23" t="str">
        <f aca="false">IF(F700="","",IF(ISNUMBER(SEARCH("-TK",UPPER(F700))),0,1))</f>
        <v/>
      </c>
      <c r="AF700" s="23" t="str">
        <f aca="false">IF(F700="","",IF(ISNUMBER(SEARCH("-LED",UPPER(F700))),1,0))</f>
        <v/>
      </c>
      <c r="AG700" s="24" t="n">
        <f aca="false">IF(Z700="",0,IFERROR(INDEX(Resep!$C$5:$C$7,MATCH(LEFT(Z700,3),Resep!$B$5:$B$7,0)),0))</f>
        <v>0</v>
      </c>
      <c r="AH700" s="24" t="n">
        <f aca="false">IF(AA700="",0,IFERROR(INDEX(Resep!$C$9:$C$13,MATCH(LEFT(AA700,3),Resep!$B$9:$B$13,0)),0))</f>
        <v>0</v>
      </c>
      <c r="AI700" s="24" t="n">
        <f aca="false">IF(AB700="",0,IFERROR(INDEX(Resep!$C$9:$C$13,MATCH(LEFT(AB700,3),Resep!$B$9:$B$13,0)),0))</f>
        <v>0</v>
      </c>
      <c r="AJ700" s="24" t="n">
        <f aca="false">IF(AC700="",0,IFERROR(INDEX(Resep!$C$9:$C$13,MATCH(LEFT(AC700,3),Resep!$B$9:$B$13,0)),0))</f>
        <v>0</v>
      </c>
      <c r="AK700" s="24" t="n">
        <f aca="false">IF(AD700="",0,IFERROR(INDEX(Resep!$C$15:$C$18,MATCH(LEFT(AD700,3),Resep!$B$15:$B$18,0)),0))</f>
        <v>0</v>
      </c>
      <c r="AL700" s="24" t="str">
        <f aca="false">IF(X700="","",AG700+AH700+AI700+AJ700+AK700)</f>
        <v/>
      </c>
      <c r="AM700" s="22" t="str">
        <f aca="false">IF(X700="","",AL700*(Pengaturan!$B$6+Pengaturan!$B$7)+Pengaturan!$B$8+AE700*Pengaturan!$B$9+AF700*Pengaturan!$B$10)</f>
        <v/>
      </c>
      <c r="AN700" s="22" t="str">
        <f aca="false">IF(X700="","",N(G700)-AM700)</f>
        <v/>
      </c>
      <c r="AO700" s="25" t="str">
        <f aca="false">IF(OR(X700="",N(G700)=0),"",AN700/G700)</f>
        <v/>
      </c>
    </row>
    <row r="701" customFormat="false" ht="15" hidden="false" customHeight="false" outlineLevel="0" collapsed="false">
      <c r="A701" s="19"/>
      <c r="B701" s="20"/>
      <c r="C701" s="19"/>
      <c r="D701" s="19"/>
      <c r="E701" s="19"/>
      <c r="F701" s="19"/>
      <c r="G701" s="21"/>
      <c r="H701" s="19"/>
      <c r="I701" s="21"/>
      <c r="J701" s="19"/>
      <c r="K701" s="20"/>
      <c r="L701" s="20"/>
      <c r="M701" s="19"/>
      <c r="N701" s="19"/>
      <c r="O701" s="20"/>
      <c r="P701" s="20"/>
      <c r="Q701" s="19"/>
      <c r="R701" s="22" t="str">
        <f aca="false">IF(A701="","",N(G701)+N(I701))</f>
        <v/>
      </c>
      <c r="S701" s="23" t="str">
        <f aca="false">IF(OR(K701="",O701=""),"",O701-K701)</f>
        <v/>
      </c>
      <c r="T701" s="23" t="str">
        <f aca="true">IF(AND(C701="Cetak",L701&lt;&gt;"",L701&lt;TODAY()),"YA","")</f>
        <v/>
      </c>
      <c r="U701" s="23" t="str">
        <f aca="false">IF(B701="","",TEXT(B701,"yyyy-mm"))</f>
        <v/>
      </c>
      <c r="V701" s="23" t="str">
        <f aca="false">IF(K701="","",TEXT(K701,"yyyy-mm"))</f>
        <v/>
      </c>
      <c r="W701" s="23" t="n">
        <f aca="false">IF(OR(C701="Cetak",C701="Dikirim",C701="Selesai"),1,0)</f>
        <v>0</v>
      </c>
      <c r="X701" s="23" t="str">
        <f aca="false">IF(F701="","",SUBSTITUTE(SUBSTITUTE(MID(UPPER(TRIM(F701)),4,99),"-LED",""),"-TK",""))</f>
        <v/>
      </c>
      <c r="Y701" s="23" t="str">
        <f aca="false">IF(X701="","",(LEN(X701)+1)/7)</f>
        <v/>
      </c>
      <c r="Z701" s="23" t="str">
        <f aca="false">IF(X701="","",LEFT(X701,6))</f>
        <v/>
      </c>
      <c r="AA701" s="23" t="str">
        <f aca="false">IF(X701="","",IF(Y701&gt;=3,MID(X701,8,6),""))</f>
        <v/>
      </c>
      <c r="AB701" s="23" t="str">
        <f aca="false">IF(X701="","",IF(Y701&gt;=4,MID(X701,15,6),""))</f>
        <v/>
      </c>
      <c r="AC701" s="23" t="str">
        <f aca="false">IF(X701="","",IF(Y701&gt;=5,MID(X701,22,6),""))</f>
        <v/>
      </c>
      <c r="AD701" s="23" t="str">
        <f aca="false">IF(X701="","",RIGHT(X701,6))</f>
        <v/>
      </c>
      <c r="AE701" s="23" t="str">
        <f aca="false">IF(F701="","",IF(ISNUMBER(SEARCH("-TK",UPPER(F701))),0,1))</f>
        <v/>
      </c>
      <c r="AF701" s="23" t="str">
        <f aca="false">IF(F701="","",IF(ISNUMBER(SEARCH("-LED",UPPER(F701))),1,0))</f>
        <v/>
      </c>
      <c r="AG701" s="24" t="n">
        <f aca="false">IF(Z701="",0,IFERROR(INDEX(Resep!$C$5:$C$7,MATCH(LEFT(Z701,3),Resep!$B$5:$B$7,0)),0))</f>
        <v>0</v>
      </c>
      <c r="AH701" s="24" t="n">
        <f aca="false">IF(AA701="",0,IFERROR(INDEX(Resep!$C$9:$C$13,MATCH(LEFT(AA701,3),Resep!$B$9:$B$13,0)),0))</f>
        <v>0</v>
      </c>
      <c r="AI701" s="24" t="n">
        <f aca="false">IF(AB701="",0,IFERROR(INDEX(Resep!$C$9:$C$13,MATCH(LEFT(AB701,3),Resep!$B$9:$B$13,0)),0))</f>
        <v>0</v>
      </c>
      <c r="AJ701" s="24" t="n">
        <f aca="false">IF(AC701="",0,IFERROR(INDEX(Resep!$C$9:$C$13,MATCH(LEFT(AC701,3),Resep!$B$9:$B$13,0)),0))</f>
        <v>0</v>
      </c>
      <c r="AK701" s="24" t="n">
        <f aca="false">IF(AD701="",0,IFERROR(INDEX(Resep!$C$15:$C$18,MATCH(LEFT(AD701,3),Resep!$B$15:$B$18,0)),0))</f>
        <v>0</v>
      </c>
      <c r="AL701" s="24" t="str">
        <f aca="false">IF(X701="","",AG701+AH701+AI701+AJ701+AK701)</f>
        <v/>
      </c>
      <c r="AM701" s="22" t="str">
        <f aca="false">IF(X701="","",AL701*(Pengaturan!$B$6+Pengaturan!$B$7)+Pengaturan!$B$8+AE701*Pengaturan!$B$9+AF701*Pengaturan!$B$10)</f>
        <v/>
      </c>
      <c r="AN701" s="22" t="str">
        <f aca="false">IF(X701="","",N(G701)-AM701)</f>
        <v/>
      </c>
      <c r="AO701" s="25" t="str">
        <f aca="false">IF(OR(X701="",N(G701)=0),"",AN701/G701)</f>
        <v/>
      </c>
    </row>
    <row r="702" customFormat="false" ht="15" hidden="false" customHeight="false" outlineLevel="0" collapsed="false">
      <c r="A702" s="19"/>
      <c r="B702" s="20"/>
      <c r="C702" s="19"/>
      <c r="D702" s="19"/>
      <c r="E702" s="19"/>
      <c r="F702" s="19"/>
      <c r="G702" s="21"/>
      <c r="H702" s="19"/>
      <c r="I702" s="21"/>
      <c r="J702" s="19"/>
      <c r="K702" s="20"/>
      <c r="L702" s="20"/>
      <c r="M702" s="19"/>
      <c r="N702" s="19"/>
      <c r="O702" s="20"/>
      <c r="P702" s="20"/>
      <c r="Q702" s="19"/>
      <c r="R702" s="22" t="str">
        <f aca="false">IF(A702="","",N(G702)+N(I702))</f>
        <v/>
      </c>
      <c r="S702" s="23" t="str">
        <f aca="false">IF(OR(K702="",O702=""),"",O702-K702)</f>
        <v/>
      </c>
      <c r="T702" s="23" t="str">
        <f aca="true">IF(AND(C702="Cetak",L702&lt;&gt;"",L702&lt;TODAY()),"YA","")</f>
        <v/>
      </c>
      <c r="U702" s="23" t="str">
        <f aca="false">IF(B702="","",TEXT(B702,"yyyy-mm"))</f>
        <v/>
      </c>
      <c r="V702" s="23" t="str">
        <f aca="false">IF(K702="","",TEXT(K702,"yyyy-mm"))</f>
        <v/>
      </c>
      <c r="W702" s="23" t="n">
        <f aca="false">IF(OR(C702="Cetak",C702="Dikirim",C702="Selesai"),1,0)</f>
        <v>0</v>
      </c>
      <c r="X702" s="23" t="str">
        <f aca="false">IF(F702="","",SUBSTITUTE(SUBSTITUTE(MID(UPPER(TRIM(F702)),4,99),"-LED",""),"-TK",""))</f>
        <v/>
      </c>
      <c r="Y702" s="23" t="str">
        <f aca="false">IF(X702="","",(LEN(X702)+1)/7)</f>
        <v/>
      </c>
      <c r="Z702" s="23" t="str">
        <f aca="false">IF(X702="","",LEFT(X702,6))</f>
        <v/>
      </c>
      <c r="AA702" s="23" t="str">
        <f aca="false">IF(X702="","",IF(Y702&gt;=3,MID(X702,8,6),""))</f>
        <v/>
      </c>
      <c r="AB702" s="23" t="str">
        <f aca="false">IF(X702="","",IF(Y702&gt;=4,MID(X702,15,6),""))</f>
        <v/>
      </c>
      <c r="AC702" s="23" t="str">
        <f aca="false">IF(X702="","",IF(Y702&gt;=5,MID(X702,22,6),""))</f>
        <v/>
      </c>
      <c r="AD702" s="23" t="str">
        <f aca="false">IF(X702="","",RIGHT(X702,6))</f>
        <v/>
      </c>
      <c r="AE702" s="23" t="str">
        <f aca="false">IF(F702="","",IF(ISNUMBER(SEARCH("-TK",UPPER(F702))),0,1))</f>
        <v/>
      </c>
      <c r="AF702" s="23" t="str">
        <f aca="false">IF(F702="","",IF(ISNUMBER(SEARCH("-LED",UPPER(F702))),1,0))</f>
        <v/>
      </c>
      <c r="AG702" s="24" t="n">
        <f aca="false">IF(Z702="",0,IFERROR(INDEX(Resep!$C$5:$C$7,MATCH(LEFT(Z702,3),Resep!$B$5:$B$7,0)),0))</f>
        <v>0</v>
      </c>
      <c r="AH702" s="24" t="n">
        <f aca="false">IF(AA702="",0,IFERROR(INDEX(Resep!$C$9:$C$13,MATCH(LEFT(AA702,3),Resep!$B$9:$B$13,0)),0))</f>
        <v>0</v>
      </c>
      <c r="AI702" s="24" t="n">
        <f aca="false">IF(AB702="",0,IFERROR(INDEX(Resep!$C$9:$C$13,MATCH(LEFT(AB702,3),Resep!$B$9:$B$13,0)),0))</f>
        <v>0</v>
      </c>
      <c r="AJ702" s="24" t="n">
        <f aca="false">IF(AC702="",0,IFERROR(INDEX(Resep!$C$9:$C$13,MATCH(LEFT(AC702,3),Resep!$B$9:$B$13,0)),0))</f>
        <v>0</v>
      </c>
      <c r="AK702" s="24" t="n">
        <f aca="false">IF(AD702="",0,IFERROR(INDEX(Resep!$C$15:$C$18,MATCH(LEFT(AD702,3),Resep!$B$15:$B$18,0)),0))</f>
        <v>0</v>
      </c>
      <c r="AL702" s="24" t="str">
        <f aca="false">IF(X702="","",AG702+AH702+AI702+AJ702+AK702)</f>
        <v/>
      </c>
      <c r="AM702" s="22" t="str">
        <f aca="false">IF(X702="","",AL702*(Pengaturan!$B$6+Pengaturan!$B$7)+Pengaturan!$B$8+AE702*Pengaturan!$B$9+AF702*Pengaturan!$B$10)</f>
        <v/>
      </c>
      <c r="AN702" s="22" t="str">
        <f aca="false">IF(X702="","",N(G702)-AM702)</f>
        <v/>
      </c>
      <c r="AO702" s="25" t="str">
        <f aca="false">IF(OR(X702="",N(G702)=0),"",AN702/G702)</f>
        <v/>
      </c>
    </row>
    <row r="703" customFormat="false" ht="15" hidden="false" customHeight="false" outlineLevel="0" collapsed="false">
      <c r="A703" s="19"/>
      <c r="B703" s="20"/>
      <c r="C703" s="19"/>
      <c r="D703" s="19"/>
      <c r="E703" s="19"/>
      <c r="F703" s="19"/>
      <c r="G703" s="21"/>
      <c r="H703" s="19"/>
      <c r="I703" s="21"/>
      <c r="J703" s="19"/>
      <c r="K703" s="20"/>
      <c r="L703" s="20"/>
      <c r="M703" s="19"/>
      <c r="N703" s="19"/>
      <c r="O703" s="20"/>
      <c r="P703" s="20"/>
      <c r="Q703" s="19"/>
      <c r="R703" s="22" t="str">
        <f aca="false">IF(A703="","",N(G703)+N(I703))</f>
        <v/>
      </c>
      <c r="S703" s="23" t="str">
        <f aca="false">IF(OR(K703="",O703=""),"",O703-K703)</f>
        <v/>
      </c>
      <c r="T703" s="23" t="str">
        <f aca="true">IF(AND(C703="Cetak",L703&lt;&gt;"",L703&lt;TODAY()),"YA","")</f>
        <v/>
      </c>
      <c r="U703" s="23" t="str">
        <f aca="false">IF(B703="","",TEXT(B703,"yyyy-mm"))</f>
        <v/>
      </c>
      <c r="V703" s="23" t="str">
        <f aca="false">IF(K703="","",TEXT(K703,"yyyy-mm"))</f>
        <v/>
      </c>
      <c r="W703" s="23" t="n">
        <f aca="false">IF(OR(C703="Cetak",C703="Dikirim",C703="Selesai"),1,0)</f>
        <v>0</v>
      </c>
      <c r="X703" s="23" t="str">
        <f aca="false">IF(F703="","",SUBSTITUTE(SUBSTITUTE(MID(UPPER(TRIM(F703)),4,99),"-LED",""),"-TK",""))</f>
        <v/>
      </c>
      <c r="Y703" s="23" t="str">
        <f aca="false">IF(X703="","",(LEN(X703)+1)/7)</f>
        <v/>
      </c>
      <c r="Z703" s="23" t="str">
        <f aca="false">IF(X703="","",LEFT(X703,6))</f>
        <v/>
      </c>
      <c r="AA703" s="23" t="str">
        <f aca="false">IF(X703="","",IF(Y703&gt;=3,MID(X703,8,6),""))</f>
        <v/>
      </c>
      <c r="AB703" s="23" t="str">
        <f aca="false">IF(X703="","",IF(Y703&gt;=4,MID(X703,15,6),""))</f>
        <v/>
      </c>
      <c r="AC703" s="23" t="str">
        <f aca="false">IF(X703="","",IF(Y703&gt;=5,MID(X703,22,6),""))</f>
        <v/>
      </c>
      <c r="AD703" s="23" t="str">
        <f aca="false">IF(X703="","",RIGHT(X703,6))</f>
        <v/>
      </c>
      <c r="AE703" s="23" t="str">
        <f aca="false">IF(F703="","",IF(ISNUMBER(SEARCH("-TK",UPPER(F703))),0,1))</f>
        <v/>
      </c>
      <c r="AF703" s="23" t="str">
        <f aca="false">IF(F703="","",IF(ISNUMBER(SEARCH("-LED",UPPER(F703))),1,0))</f>
        <v/>
      </c>
      <c r="AG703" s="24" t="n">
        <f aca="false">IF(Z703="",0,IFERROR(INDEX(Resep!$C$5:$C$7,MATCH(LEFT(Z703,3),Resep!$B$5:$B$7,0)),0))</f>
        <v>0</v>
      </c>
      <c r="AH703" s="24" t="n">
        <f aca="false">IF(AA703="",0,IFERROR(INDEX(Resep!$C$9:$C$13,MATCH(LEFT(AA703,3),Resep!$B$9:$B$13,0)),0))</f>
        <v>0</v>
      </c>
      <c r="AI703" s="24" t="n">
        <f aca="false">IF(AB703="",0,IFERROR(INDEX(Resep!$C$9:$C$13,MATCH(LEFT(AB703,3),Resep!$B$9:$B$13,0)),0))</f>
        <v>0</v>
      </c>
      <c r="AJ703" s="24" t="n">
        <f aca="false">IF(AC703="",0,IFERROR(INDEX(Resep!$C$9:$C$13,MATCH(LEFT(AC703,3),Resep!$B$9:$B$13,0)),0))</f>
        <v>0</v>
      </c>
      <c r="AK703" s="24" t="n">
        <f aca="false">IF(AD703="",0,IFERROR(INDEX(Resep!$C$15:$C$18,MATCH(LEFT(AD703,3),Resep!$B$15:$B$18,0)),0))</f>
        <v>0</v>
      </c>
      <c r="AL703" s="24" t="str">
        <f aca="false">IF(X703="","",AG703+AH703+AI703+AJ703+AK703)</f>
        <v/>
      </c>
      <c r="AM703" s="22" t="str">
        <f aca="false">IF(X703="","",AL703*(Pengaturan!$B$6+Pengaturan!$B$7)+Pengaturan!$B$8+AE703*Pengaturan!$B$9+AF703*Pengaturan!$B$10)</f>
        <v/>
      </c>
      <c r="AN703" s="22" t="str">
        <f aca="false">IF(X703="","",N(G703)-AM703)</f>
        <v/>
      </c>
      <c r="AO703" s="25" t="str">
        <f aca="false">IF(OR(X703="",N(G703)=0),"",AN703/G703)</f>
        <v/>
      </c>
    </row>
    <row r="704" customFormat="false" ht="15" hidden="false" customHeight="false" outlineLevel="0" collapsed="false">
      <c r="A704" s="19"/>
      <c r="B704" s="20"/>
      <c r="C704" s="19"/>
      <c r="D704" s="19"/>
      <c r="E704" s="19"/>
      <c r="F704" s="19"/>
      <c r="G704" s="21"/>
      <c r="H704" s="19"/>
      <c r="I704" s="21"/>
      <c r="J704" s="19"/>
      <c r="K704" s="20"/>
      <c r="L704" s="20"/>
      <c r="M704" s="19"/>
      <c r="N704" s="19"/>
      <c r="O704" s="20"/>
      <c r="P704" s="20"/>
      <c r="Q704" s="19"/>
      <c r="R704" s="22" t="str">
        <f aca="false">IF(A704="","",N(G704)+N(I704))</f>
        <v/>
      </c>
      <c r="S704" s="23" t="str">
        <f aca="false">IF(OR(K704="",O704=""),"",O704-K704)</f>
        <v/>
      </c>
      <c r="T704" s="23" t="str">
        <f aca="true">IF(AND(C704="Cetak",L704&lt;&gt;"",L704&lt;TODAY()),"YA","")</f>
        <v/>
      </c>
      <c r="U704" s="23" t="str">
        <f aca="false">IF(B704="","",TEXT(B704,"yyyy-mm"))</f>
        <v/>
      </c>
      <c r="V704" s="23" t="str">
        <f aca="false">IF(K704="","",TEXT(K704,"yyyy-mm"))</f>
        <v/>
      </c>
      <c r="W704" s="23" t="n">
        <f aca="false">IF(OR(C704="Cetak",C704="Dikirim",C704="Selesai"),1,0)</f>
        <v>0</v>
      </c>
      <c r="X704" s="23" t="str">
        <f aca="false">IF(F704="","",SUBSTITUTE(SUBSTITUTE(MID(UPPER(TRIM(F704)),4,99),"-LED",""),"-TK",""))</f>
        <v/>
      </c>
      <c r="Y704" s="23" t="str">
        <f aca="false">IF(X704="","",(LEN(X704)+1)/7)</f>
        <v/>
      </c>
      <c r="Z704" s="23" t="str">
        <f aca="false">IF(X704="","",LEFT(X704,6))</f>
        <v/>
      </c>
      <c r="AA704" s="23" t="str">
        <f aca="false">IF(X704="","",IF(Y704&gt;=3,MID(X704,8,6),""))</f>
        <v/>
      </c>
      <c r="AB704" s="23" t="str">
        <f aca="false">IF(X704="","",IF(Y704&gt;=4,MID(X704,15,6),""))</f>
        <v/>
      </c>
      <c r="AC704" s="23" t="str">
        <f aca="false">IF(X704="","",IF(Y704&gt;=5,MID(X704,22,6),""))</f>
        <v/>
      </c>
      <c r="AD704" s="23" t="str">
        <f aca="false">IF(X704="","",RIGHT(X704,6))</f>
        <v/>
      </c>
      <c r="AE704" s="23" t="str">
        <f aca="false">IF(F704="","",IF(ISNUMBER(SEARCH("-TK",UPPER(F704))),0,1))</f>
        <v/>
      </c>
      <c r="AF704" s="23" t="str">
        <f aca="false">IF(F704="","",IF(ISNUMBER(SEARCH("-LED",UPPER(F704))),1,0))</f>
        <v/>
      </c>
      <c r="AG704" s="24" t="n">
        <f aca="false">IF(Z704="",0,IFERROR(INDEX(Resep!$C$5:$C$7,MATCH(LEFT(Z704,3),Resep!$B$5:$B$7,0)),0))</f>
        <v>0</v>
      </c>
      <c r="AH704" s="24" t="n">
        <f aca="false">IF(AA704="",0,IFERROR(INDEX(Resep!$C$9:$C$13,MATCH(LEFT(AA704,3),Resep!$B$9:$B$13,0)),0))</f>
        <v>0</v>
      </c>
      <c r="AI704" s="24" t="n">
        <f aca="false">IF(AB704="",0,IFERROR(INDEX(Resep!$C$9:$C$13,MATCH(LEFT(AB704,3),Resep!$B$9:$B$13,0)),0))</f>
        <v>0</v>
      </c>
      <c r="AJ704" s="24" t="n">
        <f aca="false">IF(AC704="",0,IFERROR(INDEX(Resep!$C$9:$C$13,MATCH(LEFT(AC704,3),Resep!$B$9:$B$13,0)),0))</f>
        <v>0</v>
      </c>
      <c r="AK704" s="24" t="n">
        <f aca="false">IF(AD704="",0,IFERROR(INDEX(Resep!$C$15:$C$18,MATCH(LEFT(AD704,3),Resep!$B$15:$B$18,0)),0))</f>
        <v>0</v>
      </c>
      <c r="AL704" s="24" t="str">
        <f aca="false">IF(X704="","",AG704+AH704+AI704+AJ704+AK704)</f>
        <v/>
      </c>
      <c r="AM704" s="22" t="str">
        <f aca="false">IF(X704="","",AL704*(Pengaturan!$B$6+Pengaturan!$B$7)+Pengaturan!$B$8+AE704*Pengaturan!$B$9+AF704*Pengaturan!$B$10)</f>
        <v/>
      </c>
      <c r="AN704" s="22" t="str">
        <f aca="false">IF(X704="","",N(G704)-AM704)</f>
        <v/>
      </c>
      <c r="AO704" s="25" t="str">
        <f aca="false">IF(OR(X704="",N(G704)=0),"",AN704/G704)</f>
        <v/>
      </c>
    </row>
    <row r="705" customFormat="false" ht="15" hidden="false" customHeight="false" outlineLevel="0" collapsed="false">
      <c r="A705" s="19"/>
      <c r="B705" s="20"/>
      <c r="C705" s="19"/>
      <c r="D705" s="19"/>
      <c r="E705" s="19"/>
      <c r="F705" s="19"/>
      <c r="G705" s="21"/>
      <c r="H705" s="19"/>
      <c r="I705" s="21"/>
      <c r="J705" s="19"/>
      <c r="K705" s="20"/>
      <c r="L705" s="20"/>
      <c r="M705" s="19"/>
      <c r="N705" s="19"/>
      <c r="O705" s="20"/>
      <c r="P705" s="20"/>
      <c r="Q705" s="19"/>
      <c r="R705" s="22" t="str">
        <f aca="false">IF(A705="","",N(G705)+N(I705))</f>
        <v/>
      </c>
      <c r="S705" s="23" t="str">
        <f aca="false">IF(OR(K705="",O705=""),"",O705-K705)</f>
        <v/>
      </c>
      <c r="T705" s="23" t="str">
        <f aca="true">IF(AND(C705="Cetak",L705&lt;&gt;"",L705&lt;TODAY()),"YA","")</f>
        <v/>
      </c>
      <c r="U705" s="23" t="str">
        <f aca="false">IF(B705="","",TEXT(B705,"yyyy-mm"))</f>
        <v/>
      </c>
      <c r="V705" s="23" t="str">
        <f aca="false">IF(K705="","",TEXT(K705,"yyyy-mm"))</f>
        <v/>
      </c>
      <c r="W705" s="23" t="n">
        <f aca="false">IF(OR(C705="Cetak",C705="Dikirim",C705="Selesai"),1,0)</f>
        <v>0</v>
      </c>
      <c r="X705" s="23" t="str">
        <f aca="false">IF(F705="","",SUBSTITUTE(SUBSTITUTE(MID(UPPER(TRIM(F705)),4,99),"-LED",""),"-TK",""))</f>
        <v/>
      </c>
      <c r="Y705" s="23" t="str">
        <f aca="false">IF(X705="","",(LEN(X705)+1)/7)</f>
        <v/>
      </c>
      <c r="Z705" s="23" t="str">
        <f aca="false">IF(X705="","",LEFT(X705,6))</f>
        <v/>
      </c>
      <c r="AA705" s="23" t="str">
        <f aca="false">IF(X705="","",IF(Y705&gt;=3,MID(X705,8,6),""))</f>
        <v/>
      </c>
      <c r="AB705" s="23" t="str">
        <f aca="false">IF(X705="","",IF(Y705&gt;=4,MID(X705,15,6),""))</f>
        <v/>
      </c>
      <c r="AC705" s="23" t="str">
        <f aca="false">IF(X705="","",IF(Y705&gt;=5,MID(X705,22,6),""))</f>
        <v/>
      </c>
      <c r="AD705" s="23" t="str">
        <f aca="false">IF(X705="","",RIGHT(X705,6))</f>
        <v/>
      </c>
      <c r="AE705" s="23" t="str">
        <f aca="false">IF(F705="","",IF(ISNUMBER(SEARCH("-TK",UPPER(F705))),0,1))</f>
        <v/>
      </c>
      <c r="AF705" s="23" t="str">
        <f aca="false">IF(F705="","",IF(ISNUMBER(SEARCH("-LED",UPPER(F705))),1,0))</f>
        <v/>
      </c>
      <c r="AG705" s="24" t="n">
        <f aca="false">IF(Z705="",0,IFERROR(INDEX(Resep!$C$5:$C$7,MATCH(LEFT(Z705,3),Resep!$B$5:$B$7,0)),0))</f>
        <v>0</v>
      </c>
      <c r="AH705" s="24" t="n">
        <f aca="false">IF(AA705="",0,IFERROR(INDEX(Resep!$C$9:$C$13,MATCH(LEFT(AA705,3),Resep!$B$9:$B$13,0)),0))</f>
        <v>0</v>
      </c>
      <c r="AI705" s="24" t="n">
        <f aca="false">IF(AB705="",0,IFERROR(INDEX(Resep!$C$9:$C$13,MATCH(LEFT(AB705,3),Resep!$B$9:$B$13,0)),0))</f>
        <v>0</v>
      </c>
      <c r="AJ705" s="24" t="n">
        <f aca="false">IF(AC705="",0,IFERROR(INDEX(Resep!$C$9:$C$13,MATCH(LEFT(AC705,3),Resep!$B$9:$B$13,0)),0))</f>
        <v>0</v>
      </c>
      <c r="AK705" s="24" t="n">
        <f aca="false">IF(AD705="",0,IFERROR(INDEX(Resep!$C$15:$C$18,MATCH(LEFT(AD705,3),Resep!$B$15:$B$18,0)),0))</f>
        <v>0</v>
      </c>
      <c r="AL705" s="24" t="str">
        <f aca="false">IF(X705="","",AG705+AH705+AI705+AJ705+AK705)</f>
        <v/>
      </c>
      <c r="AM705" s="22" t="str">
        <f aca="false">IF(X705="","",AL705*(Pengaturan!$B$6+Pengaturan!$B$7)+Pengaturan!$B$8+AE705*Pengaturan!$B$9+AF705*Pengaturan!$B$10)</f>
        <v/>
      </c>
      <c r="AN705" s="22" t="str">
        <f aca="false">IF(X705="","",N(G705)-AM705)</f>
        <v/>
      </c>
      <c r="AO705" s="25" t="str">
        <f aca="false">IF(OR(X705="",N(G705)=0),"",AN705/G705)</f>
        <v/>
      </c>
    </row>
    <row r="706" customFormat="false" ht="15" hidden="false" customHeight="false" outlineLevel="0" collapsed="false">
      <c r="A706" s="19"/>
      <c r="B706" s="20"/>
      <c r="C706" s="19"/>
      <c r="D706" s="19"/>
      <c r="E706" s="19"/>
      <c r="F706" s="19"/>
      <c r="G706" s="21"/>
      <c r="H706" s="19"/>
      <c r="I706" s="21"/>
      <c r="J706" s="19"/>
      <c r="K706" s="20"/>
      <c r="L706" s="20"/>
      <c r="M706" s="19"/>
      <c r="N706" s="19"/>
      <c r="O706" s="20"/>
      <c r="P706" s="20"/>
      <c r="Q706" s="19"/>
      <c r="R706" s="22" t="str">
        <f aca="false">IF(A706="","",N(G706)+N(I706))</f>
        <v/>
      </c>
      <c r="S706" s="23" t="str">
        <f aca="false">IF(OR(K706="",O706=""),"",O706-K706)</f>
        <v/>
      </c>
      <c r="T706" s="23" t="str">
        <f aca="true">IF(AND(C706="Cetak",L706&lt;&gt;"",L706&lt;TODAY()),"YA","")</f>
        <v/>
      </c>
      <c r="U706" s="23" t="str">
        <f aca="false">IF(B706="","",TEXT(B706,"yyyy-mm"))</f>
        <v/>
      </c>
      <c r="V706" s="23" t="str">
        <f aca="false">IF(K706="","",TEXT(K706,"yyyy-mm"))</f>
        <v/>
      </c>
      <c r="W706" s="23" t="n">
        <f aca="false">IF(OR(C706="Cetak",C706="Dikirim",C706="Selesai"),1,0)</f>
        <v>0</v>
      </c>
      <c r="X706" s="23" t="str">
        <f aca="false">IF(F706="","",SUBSTITUTE(SUBSTITUTE(MID(UPPER(TRIM(F706)),4,99),"-LED",""),"-TK",""))</f>
        <v/>
      </c>
      <c r="Y706" s="23" t="str">
        <f aca="false">IF(X706="","",(LEN(X706)+1)/7)</f>
        <v/>
      </c>
      <c r="Z706" s="23" t="str">
        <f aca="false">IF(X706="","",LEFT(X706,6))</f>
        <v/>
      </c>
      <c r="AA706" s="23" t="str">
        <f aca="false">IF(X706="","",IF(Y706&gt;=3,MID(X706,8,6),""))</f>
        <v/>
      </c>
      <c r="AB706" s="23" t="str">
        <f aca="false">IF(X706="","",IF(Y706&gt;=4,MID(X706,15,6),""))</f>
        <v/>
      </c>
      <c r="AC706" s="23" t="str">
        <f aca="false">IF(X706="","",IF(Y706&gt;=5,MID(X706,22,6),""))</f>
        <v/>
      </c>
      <c r="AD706" s="23" t="str">
        <f aca="false">IF(X706="","",RIGHT(X706,6))</f>
        <v/>
      </c>
      <c r="AE706" s="23" t="str">
        <f aca="false">IF(F706="","",IF(ISNUMBER(SEARCH("-TK",UPPER(F706))),0,1))</f>
        <v/>
      </c>
      <c r="AF706" s="23" t="str">
        <f aca="false">IF(F706="","",IF(ISNUMBER(SEARCH("-LED",UPPER(F706))),1,0))</f>
        <v/>
      </c>
      <c r="AG706" s="24" t="n">
        <f aca="false">IF(Z706="",0,IFERROR(INDEX(Resep!$C$5:$C$7,MATCH(LEFT(Z706,3),Resep!$B$5:$B$7,0)),0))</f>
        <v>0</v>
      </c>
      <c r="AH706" s="24" t="n">
        <f aca="false">IF(AA706="",0,IFERROR(INDEX(Resep!$C$9:$C$13,MATCH(LEFT(AA706,3),Resep!$B$9:$B$13,0)),0))</f>
        <v>0</v>
      </c>
      <c r="AI706" s="24" t="n">
        <f aca="false">IF(AB706="",0,IFERROR(INDEX(Resep!$C$9:$C$13,MATCH(LEFT(AB706,3),Resep!$B$9:$B$13,0)),0))</f>
        <v>0</v>
      </c>
      <c r="AJ706" s="24" t="n">
        <f aca="false">IF(AC706="",0,IFERROR(INDEX(Resep!$C$9:$C$13,MATCH(LEFT(AC706,3),Resep!$B$9:$B$13,0)),0))</f>
        <v>0</v>
      </c>
      <c r="AK706" s="24" t="n">
        <f aca="false">IF(AD706="",0,IFERROR(INDEX(Resep!$C$15:$C$18,MATCH(LEFT(AD706,3),Resep!$B$15:$B$18,0)),0))</f>
        <v>0</v>
      </c>
      <c r="AL706" s="24" t="str">
        <f aca="false">IF(X706="","",AG706+AH706+AI706+AJ706+AK706)</f>
        <v/>
      </c>
      <c r="AM706" s="22" t="str">
        <f aca="false">IF(X706="","",AL706*(Pengaturan!$B$6+Pengaturan!$B$7)+Pengaturan!$B$8+AE706*Pengaturan!$B$9+AF706*Pengaturan!$B$10)</f>
        <v/>
      </c>
      <c r="AN706" s="22" t="str">
        <f aca="false">IF(X706="","",N(G706)-AM706)</f>
        <v/>
      </c>
      <c r="AO706" s="25" t="str">
        <f aca="false">IF(OR(X706="",N(G706)=0),"",AN706/G706)</f>
        <v/>
      </c>
    </row>
    <row r="707" customFormat="false" ht="15" hidden="false" customHeight="false" outlineLevel="0" collapsed="false">
      <c r="A707" s="19"/>
      <c r="B707" s="20"/>
      <c r="C707" s="19"/>
      <c r="D707" s="19"/>
      <c r="E707" s="19"/>
      <c r="F707" s="19"/>
      <c r="G707" s="21"/>
      <c r="H707" s="19"/>
      <c r="I707" s="21"/>
      <c r="J707" s="19"/>
      <c r="K707" s="20"/>
      <c r="L707" s="20"/>
      <c r="M707" s="19"/>
      <c r="N707" s="19"/>
      <c r="O707" s="20"/>
      <c r="P707" s="20"/>
      <c r="Q707" s="19"/>
      <c r="R707" s="22" t="str">
        <f aca="false">IF(A707="","",N(G707)+N(I707))</f>
        <v/>
      </c>
      <c r="S707" s="23" t="str">
        <f aca="false">IF(OR(K707="",O707=""),"",O707-K707)</f>
        <v/>
      </c>
      <c r="T707" s="23" t="str">
        <f aca="true">IF(AND(C707="Cetak",L707&lt;&gt;"",L707&lt;TODAY()),"YA","")</f>
        <v/>
      </c>
      <c r="U707" s="23" t="str">
        <f aca="false">IF(B707="","",TEXT(B707,"yyyy-mm"))</f>
        <v/>
      </c>
      <c r="V707" s="23" t="str">
        <f aca="false">IF(K707="","",TEXT(K707,"yyyy-mm"))</f>
        <v/>
      </c>
      <c r="W707" s="23" t="n">
        <f aca="false">IF(OR(C707="Cetak",C707="Dikirim",C707="Selesai"),1,0)</f>
        <v>0</v>
      </c>
      <c r="X707" s="23" t="str">
        <f aca="false">IF(F707="","",SUBSTITUTE(SUBSTITUTE(MID(UPPER(TRIM(F707)),4,99),"-LED",""),"-TK",""))</f>
        <v/>
      </c>
      <c r="Y707" s="23" t="str">
        <f aca="false">IF(X707="","",(LEN(X707)+1)/7)</f>
        <v/>
      </c>
      <c r="Z707" s="23" t="str">
        <f aca="false">IF(X707="","",LEFT(X707,6))</f>
        <v/>
      </c>
      <c r="AA707" s="23" t="str">
        <f aca="false">IF(X707="","",IF(Y707&gt;=3,MID(X707,8,6),""))</f>
        <v/>
      </c>
      <c r="AB707" s="23" t="str">
        <f aca="false">IF(X707="","",IF(Y707&gt;=4,MID(X707,15,6),""))</f>
        <v/>
      </c>
      <c r="AC707" s="23" t="str">
        <f aca="false">IF(X707="","",IF(Y707&gt;=5,MID(X707,22,6),""))</f>
        <v/>
      </c>
      <c r="AD707" s="23" t="str">
        <f aca="false">IF(X707="","",RIGHT(X707,6))</f>
        <v/>
      </c>
      <c r="AE707" s="23" t="str">
        <f aca="false">IF(F707="","",IF(ISNUMBER(SEARCH("-TK",UPPER(F707))),0,1))</f>
        <v/>
      </c>
      <c r="AF707" s="23" t="str">
        <f aca="false">IF(F707="","",IF(ISNUMBER(SEARCH("-LED",UPPER(F707))),1,0))</f>
        <v/>
      </c>
      <c r="AG707" s="24" t="n">
        <f aca="false">IF(Z707="",0,IFERROR(INDEX(Resep!$C$5:$C$7,MATCH(LEFT(Z707,3),Resep!$B$5:$B$7,0)),0))</f>
        <v>0</v>
      </c>
      <c r="AH707" s="24" t="n">
        <f aca="false">IF(AA707="",0,IFERROR(INDEX(Resep!$C$9:$C$13,MATCH(LEFT(AA707,3),Resep!$B$9:$B$13,0)),0))</f>
        <v>0</v>
      </c>
      <c r="AI707" s="24" t="n">
        <f aca="false">IF(AB707="",0,IFERROR(INDEX(Resep!$C$9:$C$13,MATCH(LEFT(AB707,3),Resep!$B$9:$B$13,0)),0))</f>
        <v>0</v>
      </c>
      <c r="AJ707" s="24" t="n">
        <f aca="false">IF(AC707="",0,IFERROR(INDEX(Resep!$C$9:$C$13,MATCH(LEFT(AC707,3),Resep!$B$9:$B$13,0)),0))</f>
        <v>0</v>
      </c>
      <c r="AK707" s="24" t="n">
        <f aca="false">IF(AD707="",0,IFERROR(INDEX(Resep!$C$15:$C$18,MATCH(LEFT(AD707,3),Resep!$B$15:$B$18,0)),0))</f>
        <v>0</v>
      </c>
      <c r="AL707" s="24" t="str">
        <f aca="false">IF(X707="","",AG707+AH707+AI707+AJ707+AK707)</f>
        <v/>
      </c>
      <c r="AM707" s="22" t="str">
        <f aca="false">IF(X707="","",AL707*(Pengaturan!$B$6+Pengaturan!$B$7)+Pengaturan!$B$8+AE707*Pengaturan!$B$9+AF707*Pengaturan!$B$10)</f>
        <v/>
      </c>
      <c r="AN707" s="22" t="str">
        <f aca="false">IF(X707="","",N(G707)-AM707)</f>
        <v/>
      </c>
      <c r="AO707" s="25" t="str">
        <f aca="false">IF(OR(X707="",N(G707)=0),"",AN707/G707)</f>
        <v/>
      </c>
    </row>
    <row r="708" customFormat="false" ht="15" hidden="false" customHeight="false" outlineLevel="0" collapsed="false">
      <c r="A708" s="19"/>
      <c r="B708" s="20"/>
      <c r="C708" s="19"/>
      <c r="D708" s="19"/>
      <c r="E708" s="19"/>
      <c r="F708" s="19"/>
      <c r="G708" s="21"/>
      <c r="H708" s="19"/>
      <c r="I708" s="21"/>
      <c r="J708" s="19"/>
      <c r="K708" s="20"/>
      <c r="L708" s="20"/>
      <c r="M708" s="19"/>
      <c r="N708" s="19"/>
      <c r="O708" s="20"/>
      <c r="P708" s="20"/>
      <c r="Q708" s="19"/>
      <c r="R708" s="22" t="str">
        <f aca="false">IF(A708="","",N(G708)+N(I708))</f>
        <v/>
      </c>
      <c r="S708" s="23" t="str">
        <f aca="false">IF(OR(K708="",O708=""),"",O708-K708)</f>
        <v/>
      </c>
      <c r="T708" s="23" t="str">
        <f aca="true">IF(AND(C708="Cetak",L708&lt;&gt;"",L708&lt;TODAY()),"YA","")</f>
        <v/>
      </c>
      <c r="U708" s="23" t="str">
        <f aca="false">IF(B708="","",TEXT(B708,"yyyy-mm"))</f>
        <v/>
      </c>
      <c r="V708" s="23" t="str">
        <f aca="false">IF(K708="","",TEXT(K708,"yyyy-mm"))</f>
        <v/>
      </c>
      <c r="W708" s="23" t="n">
        <f aca="false">IF(OR(C708="Cetak",C708="Dikirim",C708="Selesai"),1,0)</f>
        <v>0</v>
      </c>
      <c r="X708" s="23" t="str">
        <f aca="false">IF(F708="","",SUBSTITUTE(SUBSTITUTE(MID(UPPER(TRIM(F708)),4,99),"-LED",""),"-TK",""))</f>
        <v/>
      </c>
      <c r="Y708" s="23" t="str">
        <f aca="false">IF(X708="","",(LEN(X708)+1)/7)</f>
        <v/>
      </c>
      <c r="Z708" s="23" t="str">
        <f aca="false">IF(X708="","",LEFT(X708,6))</f>
        <v/>
      </c>
      <c r="AA708" s="23" t="str">
        <f aca="false">IF(X708="","",IF(Y708&gt;=3,MID(X708,8,6),""))</f>
        <v/>
      </c>
      <c r="AB708" s="23" t="str">
        <f aca="false">IF(X708="","",IF(Y708&gt;=4,MID(X708,15,6),""))</f>
        <v/>
      </c>
      <c r="AC708" s="23" t="str">
        <f aca="false">IF(X708="","",IF(Y708&gt;=5,MID(X708,22,6),""))</f>
        <v/>
      </c>
      <c r="AD708" s="23" t="str">
        <f aca="false">IF(X708="","",RIGHT(X708,6))</f>
        <v/>
      </c>
      <c r="AE708" s="23" t="str">
        <f aca="false">IF(F708="","",IF(ISNUMBER(SEARCH("-TK",UPPER(F708))),0,1))</f>
        <v/>
      </c>
      <c r="AF708" s="23" t="str">
        <f aca="false">IF(F708="","",IF(ISNUMBER(SEARCH("-LED",UPPER(F708))),1,0))</f>
        <v/>
      </c>
      <c r="AG708" s="24" t="n">
        <f aca="false">IF(Z708="",0,IFERROR(INDEX(Resep!$C$5:$C$7,MATCH(LEFT(Z708,3),Resep!$B$5:$B$7,0)),0))</f>
        <v>0</v>
      </c>
      <c r="AH708" s="24" t="n">
        <f aca="false">IF(AA708="",0,IFERROR(INDEX(Resep!$C$9:$C$13,MATCH(LEFT(AA708,3),Resep!$B$9:$B$13,0)),0))</f>
        <v>0</v>
      </c>
      <c r="AI708" s="24" t="n">
        <f aca="false">IF(AB708="",0,IFERROR(INDEX(Resep!$C$9:$C$13,MATCH(LEFT(AB708,3),Resep!$B$9:$B$13,0)),0))</f>
        <v>0</v>
      </c>
      <c r="AJ708" s="24" t="n">
        <f aca="false">IF(AC708="",0,IFERROR(INDEX(Resep!$C$9:$C$13,MATCH(LEFT(AC708,3),Resep!$B$9:$B$13,0)),0))</f>
        <v>0</v>
      </c>
      <c r="AK708" s="24" t="n">
        <f aca="false">IF(AD708="",0,IFERROR(INDEX(Resep!$C$15:$C$18,MATCH(LEFT(AD708,3),Resep!$B$15:$B$18,0)),0))</f>
        <v>0</v>
      </c>
      <c r="AL708" s="24" t="str">
        <f aca="false">IF(X708="","",AG708+AH708+AI708+AJ708+AK708)</f>
        <v/>
      </c>
      <c r="AM708" s="22" t="str">
        <f aca="false">IF(X708="","",AL708*(Pengaturan!$B$6+Pengaturan!$B$7)+Pengaturan!$B$8+AE708*Pengaturan!$B$9+AF708*Pengaturan!$B$10)</f>
        <v/>
      </c>
      <c r="AN708" s="22" t="str">
        <f aca="false">IF(X708="","",N(G708)-AM708)</f>
        <v/>
      </c>
      <c r="AO708" s="25" t="str">
        <f aca="false">IF(OR(X708="",N(G708)=0),"",AN708/G708)</f>
        <v/>
      </c>
    </row>
    <row r="709" customFormat="false" ht="15" hidden="false" customHeight="false" outlineLevel="0" collapsed="false">
      <c r="A709" s="19"/>
      <c r="B709" s="20"/>
      <c r="C709" s="19"/>
      <c r="D709" s="19"/>
      <c r="E709" s="19"/>
      <c r="F709" s="19"/>
      <c r="G709" s="21"/>
      <c r="H709" s="19"/>
      <c r="I709" s="21"/>
      <c r="J709" s="19"/>
      <c r="K709" s="20"/>
      <c r="L709" s="20"/>
      <c r="M709" s="19"/>
      <c r="N709" s="19"/>
      <c r="O709" s="20"/>
      <c r="P709" s="20"/>
      <c r="Q709" s="19"/>
      <c r="R709" s="22" t="str">
        <f aca="false">IF(A709="","",N(G709)+N(I709))</f>
        <v/>
      </c>
      <c r="S709" s="23" t="str">
        <f aca="false">IF(OR(K709="",O709=""),"",O709-K709)</f>
        <v/>
      </c>
      <c r="T709" s="23" t="str">
        <f aca="true">IF(AND(C709="Cetak",L709&lt;&gt;"",L709&lt;TODAY()),"YA","")</f>
        <v/>
      </c>
      <c r="U709" s="23" t="str">
        <f aca="false">IF(B709="","",TEXT(B709,"yyyy-mm"))</f>
        <v/>
      </c>
      <c r="V709" s="23" t="str">
        <f aca="false">IF(K709="","",TEXT(K709,"yyyy-mm"))</f>
        <v/>
      </c>
      <c r="W709" s="23" t="n">
        <f aca="false">IF(OR(C709="Cetak",C709="Dikirim",C709="Selesai"),1,0)</f>
        <v>0</v>
      </c>
      <c r="X709" s="23" t="str">
        <f aca="false">IF(F709="","",SUBSTITUTE(SUBSTITUTE(MID(UPPER(TRIM(F709)),4,99),"-LED",""),"-TK",""))</f>
        <v/>
      </c>
      <c r="Y709" s="23" t="str">
        <f aca="false">IF(X709="","",(LEN(X709)+1)/7)</f>
        <v/>
      </c>
      <c r="Z709" s="23" t="str">
        <f aca="false">IF(X709="","",LEFT(X709,6))</f>
        <v/>
      </c>
      <c r="AA709" s="23" t="str">
        <f aca="false">IF(X709="","",IF(Y709&gt;=3,MID(X709,8,6),""))</f>
        <v/>
      </c>
      <c r="AB709" s="23" t="str">
        <f aca="false">IF(X709="","",IF(Y709&gt;=4,MID(X709,15,6),""))</f>
        <v/>
      </c>
      <c r="AC709" s="23" t="str">
        <f aca="false">IF(X709="","",IF(Y709&gt;=5,MID(X709,22,6),""))</f>
        <v/>
      </c>
      <c r="AD709" s="23" t="str">
        <f aca="false">IF(X709="","",RIGHT(X709,6))</f>
        <v/>
      </c>
      <c r="AE709" s="23" t="str">
        <f aca="false">IF(F709="","",IF(ISNUMBER(SEARCH("-TK",UPPER(F709))),0,1))</f>
        <v/>
      </c>
      <c r="AF709" s="23" t="str">
        <f aca="false">IF(F709="","",IF(ISNUMBER(SEARCH("-LED",UPPER(F709))),1,0))</f>
        <v/>
      </c>
      <c r="AG709" s="24" t="n">
        <f aca="false">IF(Z709="",0,IFERROR(INDEX(Resep!$C$5:$C$7,MATCH(LEFT(Z709,3),Resep!$B$5:$B$7,0)),0))</f>
        <v>0</v>
      </c>
      <c r="AH709" s="24" t="n">
        <f aca="false">IF(AA709="",0,IFERROR(INDEX(Resep!$C$9:$C$13,MATCH(LEFT(AA709,3),Resep!$B$9:$B$13,0)),0))</f>
        <v>0</v>
      </c>
      <c r="AI709" s="24" t="n">
        <f aca="false">IF(AB709="",0,IFERROR(INDEX(Resep!$C$9:$C$13,MATCH(LEFT(AB709,3),Resep!$B$9:$B$13,0)),0))</f>
        <v>0</v>
      </c>
      <c r="AJ709" s="24" t="n">
        <f aca="false">IF(AC709="",0,IFERROR(INDEX(Resep!$C$9:$C$13,MATCH(LEFT(AC709,3),Resep!$B$9:$B$13,0)),0))</f>
        <v>0</v>
      </c>
      <c r="AK709" s="24" t="n">
        <f aca="false">IF(AD709="",0,IFERROR(INDEX(Resep!$C$15:$C$18,MATCH(LEFT(AD709,3),Resep!$B$15:$B$18,0)),0))</f>
        <v>0</v>
      </c>
      <c r="AL709" s="24" t="str">
        <f aca="false">IF(X709="","",AG709+AH709+AI709+AJ709+AK709)</f>
        <v/>
      </c>
      <c r="AM709" s="22" t="str">
        <f aca="false">IF(X709="","",AL709*(Pengaturan!$B$6+Pengaturan!$B$7)+Pengaturan!$B$8+AE709*Pengaturan!$B$9+AF709*Pengaturan!$B$10)</f>
        <v/>
      </c>
      <c r="AN709" s="22" t="str">
        <f aca="false">IF(X709="","",N(G709)-AM709)</f>
        <v/>
      </c>
      <c r="AO709" s="25" t="str">
        <f aca="false">IF(OR(X709="",N(G709)=0),"",AN709/G709)</f>
        <v/>
      </c>
    </row>
    <row r="710" customFormat="false" ht="15" hidden="false" customHeight="false" outlineLevel="0" collapsed="false">
      <c r="A710" s="19"/>
      <c r="B710" s="20"/>
      <c r="C710" s="19"/>
      <c r="D710" s="19"/>
      <c r="E710" s="19"/>
      <c r="F710" s="19"/>
      <c r="G710" s="21"/>
      <c r="H710" s="19"/>
      <c r="I710" s="21"/>
      <c r="J710" s="19"/>
      <c r="K710" s="20"/>
      <c r="L710" s="20"/>
      <c r="M710" s="19"/>
      <c r="N710" s="19"/>
      <c r="O710" s="20"/>
      <c r="P710" s="20"/>
      <c r="Q710" s="19"/>
      <c r="R710" s="22" t="str">
        <f aca="false">IF(A710="","",N(G710)+N(I710))</f>
        <v/>
      </c>
      <c r="S710" s="23" t="str">
        <f aca="false">IF(OR(K710="",O710=""),"",O710-K710)</f>
        <v/>
      </c>
      <c r="T710" s="23" t="str">
        <f aca="true">IF(AND(C710="Cetak",L710&lt;&gt;"",L710&lt;TODAY()),"YA","")</f>
        <v/>
      </c>
      <c r="U710" s="23" t="str">
        <f aca="false">IF(B710="","",TEXT(B710,"yyyy-mm"))</f>
        <v/>
      </c>
      <c r="V710" s="23" t="str">
        <f aca="false">IF(K710="","",TEXT(K710,"yyyy-mm"))</f>
        <v/>
      </c>
      <c r="W710" s="23" t="n">
        <f aca="false">IF(OR(C710="Cetak",C710="Dikirim",C710="Selesai"),1,0)</f>
        <v>0</v>
      </c>
      <c r="X710" s="23" t="str">
        <f aca="false">IF(F710="","",SUBSTITUTE(SUBSTITUTE(MID(UPPER(TRIM(F710)),4,99),"-LED",""),"-TK",""))</f>
        <v/>
      </c>
      <c r="Y710" s="23" t="str">
        <f aca="false">IF(X710="","",(LEN(X710)+1)/7)</f>
        <v/>
      </c>
      <c r="Z710" s="23" t="str">
        <f aca="false">IF(X710="","",LEFT(X710,6))</f>
        <v/>
      </c>
      <c r="AA710" s="23" t="str">
        <f aca="false">IF(X710="","",IF(Y710&gt;=3,MID(X710,8,6),""))</f>
        <v/>
      </c>
      <c r="AB710" s="23" t="str">
        <f aca="false">IF(X710="","",IF(Y710&gt;=4,MID(X710,15,6),""))</f>
        <v/>
      </c>
      <c r="AC710" s="23" t="str">
        <f aca="false">IF(X710="","",IF(Y710&gt;=5,MID(X710,22,6),""))</f>
        <v/>
      </c>
      <c r="AD710" s="23" t="str">
        <f aca="false">IF(X710="","",RIGHT(X710,6))</f>
        <v/>
      </c>
      <c r="AE710" s="23" t="str">
        <f aca="false">IF(F710="","",IF(ISNUMBER(SEARCH("-TK",UPPER(F710))),0,1))</f>
        <v/>
      </c>
      <c r="AF710" s="23" t="str">
        <f aca="false">IF(F710="","",IF(ISNUMBER(SEARCH("-LED",UPPER(F710))),1,0))</f>
        <v/>
      </c>
      <c r="AG710" s="24" t="n">
        <f aca="false">IF(Z710="",0,IFERROR(INDEX(Resep!$C$5:$C$7,MATCH(LEFT(Z710,3),Resep!$B$5:$B$7,0)),0))</f>
        <v>0</v>
      </c>
      <c r="AH710" s="24" t="n">
        <f aca="false">IF(AA710="",0,IFERROR(INDEX(Resep!$C$9:$C$13,MATCH(LEFT(AA710,3),Resep!$B$9:$B$13,0)),0))</f>
        <v>0</v>
      </c>
      <c r="AI710" s="24" t="n">
        <f aca="false">IF(AB710="",0,IFERROR(INDEX(Resep!$C$9:$C$13,MATCH(LEFT(AB710,3),Resep!$B$9:$B$13,0)),0))</f>
        <v>0</v>
      </c>
      <c r="AJ710" s="24" t="n">
        <f aca="false">IF(AC710="",0,IFERROR(INDEX(Resep!$C$9:$C$13,MATCH(LEFT(AC710,3),Resep!$B$9:$B$13,0)),0))</f>
        <v>0</v>
      </c>
      <c r="AK710" s="24" t="n">
        <f aca="false">IF(AD710="",0,IFERROR(INDEX(Resep!$C$15:$C$18,MATCH(LEFT(AD710,3),Resep!$B$15:$B$18,0)),0))</f>
        <v>0</v>
      </c>
      <c r="AL710" s="24" t="str">
        <f aca="false">IF(X710="","",AG710+AH710+AI710+AJ710+AK710)</f>
        <v/>
      </c>
      <c r="AM710" s="22" t="str">
        <f aca="false">IF(X710="","",AL710*(Pengaturan!$B$6+Pengaturan!$B$7)+Pengaturan!$B$8+AE710*Pengaturan!$B$9+AF710*Pengaturan!$B$10)</f>
        <v/>
      </c>
      <c r="AN710" s="22" t="str">
        <f aca="false">IF(X710="","",N(G710)-AM710)</f>
        <v/>
      </c>
      <c r="AO710" s="25" t="str">
        <f aca="false">IF(OR(X710="",N(G710)=0),"",AN710/G710)</f>
        <v/>
      </c>
    </row>
    <row r="711" customFormat="false" ht="15" hidden="false" customHeight="false" outlineLevel="0" collapsed="false">
      <c r="A711" s="19"/>
      <c r="B711" s="20"/>
      <c r="C711" s="19"/>
      <c r="D711" s="19"/>
      <c r="E711" s="19"/>
      <c r="F711" s="19"/>
      <c r="G711" s="21"/>
      <c r="H711" s="19"/>
      <c r="I711" s="21"/>
      <c r="J711" s="19"/>
      <c r="K711" s="20"/>
      <c r="L711" s="20"/>
      <c r="M711" s="19"/>
      <c r="N711" s="19"/>
      <c r="O711" s="20"/>
      <c r="P711" s="20"/>
      <c r="Q711" s="19"/>
      <c r="R711" s="22" t="str">
        <f aca="false">IF(A711="","",N(G711)+N(I711))</f>
        <v/>
      </c>
      <c r="S711" s="23" t="str">
        <f aca="false">IF(OR(K711="",O711=""),"",O711-K711)</f>
        <v/>
      </c>
      <c r="T711" s="23" t="str">
        <f aca="true">IF(AND(C711="Cetak",L711&lt;&gt;"",L711&lt;TODAY()),"YA","")</f>
        <v/>
      </c>
      <c r="U711" s="23" t="str">
        <f aca="false">IF(B711="","",TEXT(B711,"yyyy-mm"))</f>
        <v/>
      </c>
      <c r="V711" s="23" t="str">
        <f aca="false">IF(K711="","",TEXT(K711,"yyyy-mm"))</f>
        <v/>
      </c>
      <c r="W711" s="23" t="n">
        <f aca="false">IF(OR(C711="Cetak",C711="Dikirim",C711="Selesai"),1,0)</f>
        <v>0</v>
      </c>
      <c r="X711" s="23" t="str">
        <f aca="false">IF(F711="","",SUBSTITUTE(SUBSTITUTE(MID(UPPER(TRIM(F711)),4,99),"-LED",""),"-TK",""))</f>
        <v/>
      </c>
      <c r="Y711" s="23" t="str">
        <f aca="false">IF(X711="","",(LEN(X711)+1)/7)</f>
        <v/>
      </c>
      <c r="Z711" s="23" t="str">
        <f aca="false">IF(X711="","",LEFT(X711,6))</f>
        <v/>
      </c>
      <c r="AA711" s="23" t="str">
        <f aca="false">IF(X711="","",IF(Y711&gt;=3,MID(X711,8,6),""))</f>
        <v/>
      </c>
      <c r="AB711" s="23" t="str">
        <f aca="false">IF(X711="","",IF(Y711&gt;=4,MID(X711,15,6),""))</f>
        <v/>
      </c>
      <c r="AC711" s="23" t="str">
        <f aca="false">IF(X711="","",IF(Y711&gt;=5,MID(X711,22,6),""))</f>
        <v/>
      </c>
      <c r="AD711" s="23" t="str">
        <f aca="false">IF(X711="","",RIGHT(X711,6))</f>
        <v/>
      </c>
      <c r="AE711" s="23" t="str">
        <f aca="false">IF(F711="","",IF(ISNUMBER(SEARCH("-TK",UPPER(F711))),0,1))</f>
        <v/>
      </c>
      <c r="AF711" s="23" t="str">
        <f aca="false">IF(F711="","",IF(ISNUMBER(SEARCH("-LED",UPPER(F711))),1,0))</f>
        <v/>
      </c>
      <c r="AG711" s="24" t="n">
        <f aca="false">IF(Z711="",0,IFERROR(INDEX(Resep!$C$5:$C$7,MATCH(LEFT(Z711,3),Resep!$B$5:$B$7,0)),0))</f>
        <v>0</v>
      </c>
      <c r="AH711" s="24" t="n">
        <f aca="false">IF(AA711="",0,IFERROR(INDEX(Resep!$C$9:$C$13,MATCH(LEFT(AA711,3),Resep!$B$9:$B$13,0)),0))</f>
        <v>0</v>
      </c>
      <c r="AI711" s="24" t="n">
        <f aca="false">IF(AB711="",0,IFERROR(INDEX(Resep!$C$9:$C$13,MATCH(LEFT(AB711,3),Resep!$B$9:$B$13,0)),0))</f>
        <v>0</v>
      </c>
      <c r="AJ711" s="24" t="n">
        <f aca="false">IF(AC711="",0,IFERROR(INDEX(Resep!$C$9:$C$13,MATCH(LEFT(AC711,3),Resep!$B$9:$B$13,0)),0))</f>
        <v>0</v>
      </c>
      <c r="AK711" s="24" t="n">
        <f aca="false">IF(AD711="",0,IFERROR(INDEX(Resep!$C$15:$C$18,MATCH(LEFT(AD711,3),Resep!$B$15:$B$18,0)),0))</f>
        <v>0</v>
      </c>
      <c r="AL711" s="24" t="str">
        <f aca="false">IF(X711="","",AG711+AH711+AI711+AJ711+AK711)</f>
        <v/>
      </c>
      <c r="AM711" s="22" t="str">
        <f aca="false">IF(X711="","",AL711*(Pengaturan!$B$6+Pengaturan!$B$7)+Pengaturan!$B$8+AE711*Pengaturan!$B$9+AF711*Pengaturan!$B$10)</f>
        <v/>
      </c>
      <c r="AN711" s="22" t="str">
        <f aca="false">IF(X711="","",N(G711)-AM711)</f>
        <v/>
      </c>
      <c r="AO711" s="25" t="str">
        <f aca="false">IF(OR(X711="",N(G711)=0),"",AN711/G711)</f>
        <v/>
      </c>
    </row>
    <row r="712" customFormat="false" ht="15" hidden="false" customHeight="false" outlineLevel="0" collapsed="false">
      <c r="A712" s="19"/>
      <c r="B712" s="20"/>
      <c r="C712" s="19"/>
      <c r="D712" s="19"/>
      <c r="E712" s="19"/>
      <c r="F712" s="19"/>
      <c r="G712" s="21"/>
      <c r="H712" s="19"/>
      <c r="I712" s="21"/>
      <c r="J712" s="19"/>
      <c r="K712" s="20"/>
      <c r="L712" s="20"/>
      <c r="M712" s="19"/>
      <c r="N712" s="19"/>
      <c r="O712" s="20"/>
      <c r="P712" s="20"/>
      <c r="Q712" s="19"/>
      <c r="R712" s="22" t="str">
        <f aca="false">IF(A712="","",N(G712)+N(I712))</f>
        <v/>
      </c>
      <c r="S712" s="23" t="str">
        <f aca="false">IF(OR(K712="",O712=""),"",O712-K712)</f>
        <v/>
      </c>
      <c r="T712" s="23" t="str">
        <f aca="true">IF(AND(C712="Cetak",L712&lt;&gt;"",L712&lt;TODAY()),"YA","")</f>
        <v/>
      </c>
      <c r="U712" s="23" t="str">
        <f aca="false">IF(B712="","",TEXT(B712,"yyyy-mm"))</f>
        <v/>
      </c>
      <c r="V712" s="23" t="str">
        <f aca="false">IF(K712="","",TEXT(K712,"yyyy-mm"))</f>
        <v/>
      </c>
      <c r="W712" s="23" t="n">
        <f aca="false">IF(OR(C712="Cetak",C712="Dikirim",C712="Selesai"),1,0)</f>
        <v>0</v>
      </c>
      <c r="X712" s="23" t="str">
        <f aca="false">IF(F712="","",SUBSTITUTE(SUBSTITUTE(MID(UPPER(TRIM(F712)),4,99),"-LED",""),"-TK",""))</f>
        <v/>
      </c>
      <c r="Y712" s="23" t="str">
        <f aca="false">IF(X712="","",(LEN(X712)+1)/7)</f>
        <v/>
      </c>
      <c r="Z712" s="23" t="str">
        <f aca="false">IF(X712="","",LEFT(X712,6))</f>
        <v/>
      </c>
      <c r="AA712" s="23" t="str">
        <f aca="false">IF(X712="","",IF(Y712&gt;=3,MID(X712,8,6),""))</f>
        <v/>
      </c>
      <c r="AB712" s="23" t="str">
        <f aca="false">IF(X712="","",IF(Y712&gt;=4,MID(X712,15,6),""))</f>
        <v/>
      </c>
      <c r="AC712" s="23" t="str">
        <f aca="false">IF(X712="","",IF(Y712&gt;=5,MID(X712,22,6),""))</f>
        <v/>
      </c>
      <c r="AD712" s="23" t="str">
        <f aca="false">IF(X712="","",RIGHT(X712,6))</f>
        <v/>
      </c>
      <c r="AE712" s="23" t="str">
        <f aca="false">IF(F712="","",IF(ISNUMBER(SEARCH("-TK",UPPER(F712))),0,1))</f>
        <v/>
      </c>
      <c r="AF712" s="23" t="str">
        <f aca="false">IF(F712="","",IF(ISNUMBER(SEARCH("-LED",UPPER(F712))),1,0))</f>
        <v/>
      </c>
      <c r="AG712" s="24" t="n">
        <f aca="false">IF(Z712="",0,IFERROR(INDEX(Resep!$C$5:$C$7,MATCH(LEFT(Z712,3),Resep!$B$5:$B$7,0)),0))</f>
        <v>0</v>
      </c>
      <c r="AH712" s="24" t="n">
        <f aca="false">IF(AA712="",0,IFERROR(INDEX(Resep!$C$9:$C$13,MATCH(LEFT(AA712,3),Resep!$B$9:$B$13,0)),0))</f>
        <v>0</v>
      </c>
      <c r="AI712" s="24" t="n">
        <f aca="false">IF(AB712="",0,IFERROR(INDEX(Resep!$C$9:$C$13,MATCH(LEFT(AB712,3),Resep!$B$9:$B$13,0)),0))</f>
        <v>0</v>
      </c>
      <c r="AJ712" s="24" t="n">
        <f aca="false">IF(AC712="",0,IFERROR(INDEX(Resep!$C$9:$C$13,MATCH(LEFT(AC712,3),Resep!$B$9:$B$13,0)),0))</f>
        <v>0</v>
      </c>
      <c r="AK712" s="24" t="n">
        <f aca="false">IF(AD712="",0,IFERROR(INDEX(Resep!$C$15:$C$18,MATCH(LEFT(AD712,3),Resep!$B$15:$B$18,0)),0))</f>
        <v>0</v>
      </c>
      <c r="AL712" s="24" t="str">
        <f aca="false">IF(X712="","",AG712+AH712+AI712+AJ712+AK712)</f>
        <v/>
      </c>
      <c r="AM712" s="22" t="str">
        <f aca="false">IF(X712="","",AL712*(Pengaturan!$B$6+Pengaturan!$B$7)+Pengaturan!$B$8+AE712*Pengaturan!$B$9+AF712*Pengaturan!$B$10)</f>
        <v/>
      </c>
      <c r="AN712" s="22" t="str">
        <f aca="false">IF(X712="","",N(G712)-AM712)</f>
        <v/>
      </c>
      <c r="AO712" s="25" t="str">
        <f aca="false">IF(OR(X712="",N(G712)=0),"",AN712/G712)</f>
        <v/>
      </c>
    </row>
    <row r="713" customFormat="false" ht="15" hidden="false" customHeight="false" outlineLevel="0" collapsed="false">
      <c r="A713" s="19"/>
      <c r="B713" s="20"/>
      <c r="C713" s="19"/>
      <c r="D713" s="19"/>
      <c r="E713" s="19"/>
      <c r="F713" s="19"/>
      <c r="G713" s="21"/>
      <c r="H713" s="19"/>
      <c r="I713" s="21"/>
      <c r="J713" s="19"/>
      <c r="K713" s="20"/>
      <c r="L713" s="20"/>
      <c r="M713" s="19"/>
      <c r="N713" s="19"/>
      <c r="O713" s="20"/>
      <c r="P713" s="20"/>
      <c r="Q713" s="19"/>
      <c r="R713" s="22" t="str">
        <f aca="false">IF(A713="","",N(G713)+N(I713))</f>
        <v/>
      </c>
      <c r="S713" s="23" t="str">
        <f aca="false">IF(OR(K713="",O713=""),"",O713-K713)</f>
        <v/>
      </c>
      <c r="T713" s="23" t="str">
        <f aca="true">IF(AND(C713="Cetak",L713&lt;&gt;"",L713&lt;TODAY()),"YA","")</f>
        <v/>
      </c>
      <c r="U713" s="23" t="str">
        <f aca="false">IF(B713="","",TEXT(B713,"yyyy-mm"))</f>
        <v/>
      </c>
      <c r="V713" s="23" t="str">
        <f aca="false">IF(K713="","",TEXT(K713,"yyyy-mm"))</f>
        <v/>
      </c>
      <c r="W713" s="23" t="n">
        <f aca="false">IF(OR(C713="Cetak",C713="Dikirim",C713="Selesai"),1,0)</f>
        <v>0</v>
      </c>
      <c r="X713" s="23" t="str">
        <f aca="false">IF(F713="","",SUBSTITUTE(SUBSTITUTE(MID(UPPER(TRIM(F713)),4,99),"-LED",""),"-TK",""))</f>
        <v/>
      </c>
      <c r="Y713" s="23" t="str">
        <f aca="false">IF(X713="","",(LEN(X713)+1)/7)</f>
        <v/>
      </c>
      <c r="Z713" s="23" t="str">
        <f aca="false">IF(X713="","",LEFT(X713,6))</f>
        <v/>
      </c>
      <c r="AA713" s="23" t="str">
        <f aca="false">IF(X713="","",IF(Y713&gt;=3,MID(X713,8,6),""))</f>
        <v/>
      </c>
      <c r="AB713" s="23" t="str">
        <f aca="false">IF(X713="","",IF(Y713&gt;=4,MID(X713,15,6),""))</f>
        <v/>
      </c>
      <c r="AC713" s="23" t="str">
        <f aca="false">IF(X713="","",IF(Y713&gt;=5,MID(X713,22,6),""))</f>
        <v/>
      </c>
      <c r="AD713" s="23" t="str">
        <f aca="false">IF(X713="","",RIGHT(X713,6))</f>
        <v/>
      </c>
      <c r="AE713" s="23" t="str">
        <f aca="false">IF(F713="","",IF(ISNUMBER(SEARCH("-TK",UPPER(F713))),0,1))</f>
        <v/>
      </c>
      <c r="AF713" s="23" t="str">
        <f aca="false">IF(F713="","",IF(ISNUMBER(SEARCH("-LED",UPPER(F713))),1,0))</f>
        <v/>
      </c>
      <c r="AG713" s="24" t="n">
        <f aca="false">IF(Z713="",0,IFERROR(INDEX(Resep!$C$5:$C$7,MATCH(LEFT(Z713,3),Resep!$B$5:$B$7,0)),0))</f>
        <v>0</v>
      </c>
      <c r="AH713" s="24" t="n">
        <f aca="false">IF(AA713="",0,IFERROR(INDEX(Resep!$C$9:$C$13,MATCH(LEFT(AA713,3),Resep!$B$9:$B$13,0)),0))</f>
        <v>0</v>
      </c>
      <c r="AI713" s="24" t="n">
        <f aca="false">IF(AB713="",0,IFERROR(INDEX(Resep!$C$9:$C$13,MATCH(LEFT(AB713,3),Resep!$B$9:$B$13,0)),0))</f>
        <v>0</v>
      </c>
      <c r="AJ713" s="24" t="n">
        <f aca="false">IF(AC713="",0,IFERROR(INDEX(Resep!$C$9:$C$13,MATCH(LEFT(AC713,3),Resep!$B$9:$B$13,0)),0))</f>
        <v>0</v>
      </c>
      <c r="AK713" s="24" t="n">
        <f aca="false">IF(AD713="",0,IFERROR(INDEX(Resep!$C$15:$C$18,MATCH(LEFT(AD713,3),Resep!$B$15:$B$18,0)),0))</f>
        <v>0</v>
      </c>
      <c r="AL713" s="24" t="str">
        <f aca="false">IF(X713="","",AG713+AH713+AI713+AJ713+AK713)</f>
        <v/>
      </c>
      <c r="AM713" s="22" t="str">
        <f aca="false">IF(X713="","",AL713*(Pengaturan!$B$6+Pengaturan!$B$7)+Pengaturan!$B$8+AE713*Pengaturan!$B$9+AF713*Pengaturan!$B$10)</f>
        <v/>
      </c>
      <c r="AN713" s="22" t="str">
        <f aca="false">IF(X713="","",N(G713)-AM713)</f>
        <v/>
      </c>
      <c r="AO713" s="25" t="str">
        <f aca="false">IF(OR(X713="",N(G713)=0),"",AN713/G713)</f>
        <v/>
      </c>
    </row>
    <row r="714" customFormat="false" ht="15" hidden="false" customHeight="false" outlineLevel="0" collapsed="false">
      <c r="A714" s="19"/>
      <c r="B714" s="20"/>
      <c r="C714" s="19"/>
      <c r="D714" s="19"/>
      <c r="E714" s="19"/>
      <c r="F714" s="19"/>
      <c r="G714" s="21"/>
      <c r="H714" s="19"/>
      <c r="I714" s="21"/>
      <c r="J714" s="19"/>
      <c r="K714" s="20"/>
      <c r="L714" s="20"/>
      <c r="M714" s="19"/>
      <c r="N714" s="19"/>
      <c r="O714" s="20"/>
      <c r="P714" s="20"/>
      <c r="Q714" s="19"/>
      <c r="R714" s="22" t="str">
        <f aca="false">IF(A714="","",N(G714)+N(I714))</f>
        <v/>
      </c>
      <c r="S714" s="23" t="str">
        <f aca="false">IF(OR(K714="",O714=""),"",O714-K714)</f>
        <v/>
      </c>
      <c r="T714" s="23" t="str">
        <f aca="true">IF(AND(C714="Cetak",L714&lt;&gt;"",L714&lt;TODAY()),"YA","")</f>
        <v/>
      </c>
      <c r="U714" s="23" t="str">
        <f aca="false">IF(B714="","",TEXT(B714,"yyyy-mm"))</f>
        <v/>
      </c>
      <c r="V714" s="23" t="str">
        <f aca="false">IF(K714="","",TEXT(K714,"yyyy-mm"))</f>
        <v/>
      </c>
      <c r="W714" s="23" t="n">
        <f aca="false">IF(OR(C714="Cetak",C714="Dikirim",C714="Selesai"),1,0)</f>
        <v>0</v>
      </c>
      <c r="X714" s="23" t="str">
        <f aca="false">IF(F714="","",SUBSTITUTE(SUBSTITUTE(MID(UPPER(TRIM(F714)),4,99),"-LED",""),"-TK",""))</f>
        <v/>
      </c>
      <c r="Y714" s="23" t="str">
        <f aca="false">IF(X714="","",(LEN(X714)+1)/7)</f>
        <v/>
      </c>
      <c r="Z714" s="23" t="str">
        <f aca="false">IF(X714="","",LEFT(X714,6))</f>
        <v/>
      </c>
      <c r="AA714" s="23" t="str">
        <f aca="false">IF(X714="","",IF(Y714&gt;=3,MID(X714,8,6),""))</f>
        <v/>
      </c>
      <c r="AB714" s="23" t="str">
        <f aca="false">IF(X714="","",IF(Y714&gt;=4,MID(X714,15,6),""))</f>
        <v/>
      </c>
      <c r="AC714" s="23" t="str">
        <f aca="false">IF(X714="","",IF(Y714&gt;=5,MID(X714,22,6),""))</f>
        <v/>
      </c>
      <c r="AD714" s="23" t="str">
        <f aca="false">IF(X714="","",RIGHT(X714,6))</f>
        <v/>
      </c>
      <c r="AE714" s="23" t="str">
        <f aca="false">IF(F714="","",IF(ISNUMBER(SEARCH("-TK",UPPER(F714))),0,1))</f>
        <v/>
      </c>
      <c r="AF714" s="23" t="str">
        <f aca="false">IF(F714="","",IF(ISNUMBER(SEARCH("-LED",UPPER(F714))),1,0))</f>
        <v/>
      </c>
      <c r="AG714" s="24" t="n">
        <f aca="false">IF(Z714="",0,IFERROR(INDEX(Resep!$C$5:$C$7,MATCH(LEFT(Z714,3),Resep!$B$5:$B$7,0)),0))</f>
        <v>0</v>
      </c>
      <c r="AH714" s="24" t="n">
        <f aca="false">IF(AA714="",0,IFERROR(INDEX(Resep!$C$9:$C$13,MATCH(LEFT(AA714,3),Resep!$B$9:$B$13,0)),0))</f>
        <v>0</v>
      </c>
      <c r="AI714" s="24" t="n">
        <f aca="false">IF(AB714="",0,IFERROR(INDEX(Resep!$C$9:$C$13,MATCH(LEFT(AB714,3),Resep!$B$9:$B$13,0)),0))</f>
        <v>0</v>
      </c>
      <c r="AJ714" s="24" t="n">
        <f aca="false">IF(AC714="",0,IFERROR(INDEX(Resep!$C$9:$C$13,MATCH(LEFT(AC714,3),Resep!$B$9:$B$13,0)),0))</f>
        <v>0</v>
      </c>
      <c r="AK714" s="24" t="n">
        <f aca="false">IF(AD714="",0,IFERROR(INDEX(Resep!$C$15:$C$18,MATCH(LEFT(AD714,3),Resep!$B$15:$B$18,0)),0))</f>
        <v>0</v>
      </c>
      <c r="AL714" s="24" t="str">
        <f aca="false">IF(X714="","",AG714+AH714+AI714+AJ714+AK714)</f>
        <v/>
      </c>
      <c r="AM714" s="22" t="str">
        <f aca="false">IF(X714="","",AL714*(Pengaturan!$B$6+Pengaturan!$B$7)+Pengaturan!$B$8+AE714*Pengaturan!$B$9+AF714*Pengaturan!$B$10)</f>
        <v/>
      </c>
      <c r="AN714" s="22" t="str">
        <f aca="false">IF(X714="","",N(G714)-AM714)</f>
        <v/>
      </c>
      <c r="AO714" s="25" t="str">
        <f aca="false">IF(OR(X714="",N(G714)=0),"",AN714/G714)</f>
        <v/>
      </c>
    </row>
    <row r="715" customFormat="false" ht="15" hidden="false" customHeight="false" outlineLevel="0" collapsed="false">
      <c r="A715" s="19"/>
      <c r="B715" s="20"/>
      <c r="C715" s="19"/>
      <c r="D715" s="19"/>
      <c r="E715" s="19"/>
      <c r="F715" s="19"/>
      <c r="G715" s="21"/>
      <c r="H715" s="19"/>
      <c r="I715" s="21"/>
      <c r="J715" s="19"/>
      <c r="K715" s="20"/>
      <c r="L715" s="20"/>
      <c r="M715" s="19"/>
      <c r="N715" s="19"/>
      <c r="O715" s="20"/>
      <c r="P715" s="20"/>
      <c r="Q715" s="19"/>
      <c r="R715" s="22" t="str">
        <f aca="false">IF(A715="","",N(G715)+N(I715))</f>
        <v/>
      </c>
      <c r="S715" s="23" t="str">
        <f aca="false">IF(OR(K715="",O715=""),"",O715-K715)</f>
        <v/>
      </c>
      <c r="T715" s="23" t="str">
        <f aca="true">IF(AND(C715="Cetak",L715&lt;&gt;"",L715&lt;TODAY()),"YA","")</f>
        <v/>
      </c>
      <c r="U715" s="23" t="str">
        <f aca="false">IF(B715="","",TEXT(B715,"yyyy-mm"))</f>
        <v/>
      </c>
      <c r="V715" s="23" t="str">
        <f aca="false">IF(K715="","",TEXT(K715,"yyyy-mm"))</f>
        <v/>
      </c>
      <c r="W715" s="23" t="n">
        <f aca="false">IF(OR(C715="Cetak",C715="Dikirim",C715="Selesai"),1,0)</f>
        <v>0</v>
      </c>
      <c r="X715" s="23" t="str">
        <f aca="false">IF(F715="","",SUBSTITUTE(SUBSTITUTE(MID(UPPER(TRIM(F715)),4,99),"-LED",""),"-TK",""))</f>
        <v/>
      </c>
      <c r="Y715" s="23" t="str">
        <f aca="false">IF(X715="","",(LEN(X715)+1)/7)</f>
        <v/>
      </c>
      <c r="Z715" s="23" t="str">
        <f aca="false">IF(X715="","",LEFT(X715,6))</f>
        <v/>
      </c>
      <c r="AA715" s="23" t="str">
        <f aca="false">IF(X715="","",IF(Y715&gt;=3,MID(X715,8,6),""))</f>
        <v/>
      </c>
      <c r="AB715" s="23" t="str">
        <f aca="false">IF(X715="","",IF(Y715&gt;=4,MID(X715,15,6),""))</f>
        <v/>
      </c>
      <c r="AC715" s="23" t="str">
        <f aca="false">IF(X715="","",IF(Y715&gt;=5,MID(X715,22,6),""))</f>
        <v/>
      </c>
      <c r="AD715" s="23" t="str">
        <f aca="false">IF(X715="","",RIGHT(X715,6))</f>
        <v/>
      </c>
      <c r="AE715" s="23" t="str">
        <f aca="false">IF(F715="","",IF(ISNUMBER(SEARCH("-TK",UPPER(F715))),0,1))</f>
        <v/>
      </c>
      <c r="AF715" s="23" t="str">
        <f aca="false">IF(F715="","",IF(ISNUMBER(SEARCH("-LED",UPPER(F715))),1,0))</f>
        <v/>
      </c>
      <c r="AG715" s="24" t="n">
        <f aca="false">IF(Z715="",0,IFERROR(INDEX(Resep!$C$5:$C$7,MATCH(LEFT(Z715,3),Resep!$B$5:$B$7,0)),0))</f>
        <v>0</v>
      </c>
      <c r="AH715" s="24" t="n">
        <f aca="false">IF(AA715="",0,IFERROR(INDEX(Resep!$C$9:$C$13,MATCH(LEFT(AA715,3),Resep!$B$9:$B$13,0)),0))</f>
        <v>0</v>
      </c>
      <c r="AI715" s="24" t="n">
        <f aca="false">IF(AB715="",0,IFERROR(INDEX(Resep!$C$9:$C$13,MATCH(LEFT(AB715,3),Resep!$B$9:$B$13,0)),0))</f>
        <v>0</v>
      </c>
      <c r="AJ715" s="24" t="n">
        <f aca="false">IF(AC715="",0,IFERROR(INDEX(Resep!$C$9:$C$13,MATCH(LEFT(AC715,3),Resep!$B$9:$B$13,0)),0))</f>
        <v>0</v>
      </c>
      <c r="AK715" s="24" t="n">
        <f aca="false">IF(AD715="",0,IFERROR(INDEX(Resep!$C$15:$C$18,MATCH(LEFT(AD715,3),Resep!$B$15:$B$18,0)),0))</f>
        <v>0</v>
      </c>
      <c r="AL715" s="24" t="str">
        <f aca="false">IF(X715="","",AG715+AH715+AI715+AJ715+AK715)</f>
        <v/>
      </c>
      <c r="AM715" s="22" t="str">
        <f aca="false">IF(X715="","",AL715*(Pengaturan!$B$6+Pengaturan!$B$7)+Pengaturan!$B$8+AE715*Pengaturan!$B$9+AF715*Pengaturan!$B$10)</f>
        <v/>
      </c>
      <c r="AN715" s="22" t="str">
        <f aca="false">IF(X715="","",N(G715)-AM715)</f>
        <v/>
      </c>
      <c r="AO715" s="25" t="str">
        <f aca="false">IF(OR(X715="",N(G715)=0),"",AN715/G715)</f>
        <v/>
      </c>
    </row>
    <row r="716" customFormat="false" ht="15" hidden="false" customHeight="false" outlineLevel="0" collapsed="false">
      <c r="A716" s="19"/>
      <c r="B716" s="20"/>
      <c r="C716" s="19"/>
      <c r="D716" s="19"/>
      <c r="E716" s="19"/>
      <c r="F716" s="19"/>
      <c r="G716" s="21"/>
      <c r="H716" s="19"/>
      <c r="I716" s="21"/>
      <c r="J716" s="19"/>
      <c r="K716" s="20"/>
      <c r="L716" s="20"/>
      <c r="M716" s="19"/>
      <c r="N716" s="19"/>
      <c r="O716" s="20"/>
      <c r="P716" s="20"/>
      <c r="Q716" s="19"/>
      <c r="R716" s="22" t="str">
        <f aca="false">IF(A716="","",N(G716)+N(I716))</f>
        <v/>
      </c>
      <c r="S716" s="23" t="str">
        <f aca="false">IF(OR(K716="",O716=""),"",O716-K716)</f>
        <v/>
      </c>
      <c r="T716" s="23" t="str">
        <f aca="true">IF(AND(C716="Cetak",L716&lt;&gt;"",L716&lt;TODAY()),"YA","")</f>
        <v/>
      </c>
      <c r="U716" s="23" t="str">
        <f aca="false">IF(B716="","",TEXT(B716,"yyyy-mm"))</f>
        <v/>
      </c>
      <c r="V716" s="23" t="str">
        <f aca="false">IF(K716="","",TEXT(K716,"yyyy-mm"))</f>
        <v/>
      </c>
      <c r="W716" s="23" t="n">
        <f aca="false">IF(OR(C716="Cetak",C716="Dikirim",C716="Selesai"),1,0)</f>
        <v>0</v>
      </c>
      <c r="X716" s="23" t="str">
        <f aca="false">IF(F716="","",SUBSTITUTE(SUBSTITUTE(MID(UPPER(TRIM(F716)),4,99),"-LED",""),"-TK",""))</f>
        <v/>
      </c>
      <c r="Y716" s="23" t="str">
        <f aca="false">IF(X716="","",(LEN(X716)+1)/7)</f>
        <v/>
      </c>
      <c r="Z716" s="23" t="str">
        <f aca="false">IF(X716="","",LEFT(X716,6))</f>
        <v/>
      </c>
      <c r="AA716" s="23" t="str">
        <f aca="false">IF(X716="","",IF(Y716&gt;=3,MID(X716,8,6),""))</f>
        <v/>
      </c>
      <c r="AB716" s="23" t="str">
        <f aca="false">IF(X716="","",IF(Y716&gt;=4,MID(X716,15,6),""))</f>
        <v/>
      </c>
      <c r="AC716" s="23" t="str">
        <f aca="false">IF(X716="","",IF(Y716&gt;=5,MID(X716,22,6),""))</f>
        <v/>
      </c>
      <c r="AD716" s="23" t="str">
        <f aca="false">IF(X716="","",RIGHT(X716,6))</f>
        <v/>
      </c>
      <c r="AE716" s="23" t="str">
        <f aca="false">IF(F716="","",IF(ISNUMBER(SEARCH("-TK",UPPER(F716))),0,1))</f>
        <v/>
      </c>
      <c r="AF716" s="23" t="str">
        <f aca="false">IF(F716="","",IF(ISNUMBER(SEARCH("-LED",UPPER(F716))),1,0))</f>
        <v/>
      </c>
      <c r="AG716" s="24" t="n">
        <f aca="false">IF(Z716="",0,IFERROR(INDEX(Resep!$C$5:$C$7,MATCH(LEFT(Z716,3),Resep!$B$5:$B$7,0)),0))</f>
        <v>0</v>
      </c>
      <c r="AH716" s="24" t="n">
        <f aca="false">IF(AA716="",0,IFERROR(INDEX(Resep!$C$9:$C$13,MATCH(LEFT(AA716,3),Resep!$B$9:$B$13,0)),0))</f>
        <v>0</v>
      </c>
      <c r="AI716" s="24" t="n">
        <f aca="false">IF(AB716="",0,IFERROR(INDEX(Resep!$C$9:$C$13,MATCH(LEFT(AB716,3),Resep!$B$9:$B$13,0)),0))</f>
        <v>0</v>
      </c>
      <c r="AJ716" s="24" t="n">
        <f aca="false">IF(AC716="",0,IFERROR(INDEX(Resep!$C$9:$C$13,MATCH(LEFT(AC716,3),Resep!$B$9:$B$13,0)),0))</f>
        <v>0</v>
      </c>
      <c r="AK716" s="24" t="n">
        <f aca="false">IF(AD716="",0,IFERROR(INDEX(Resep!$C$15:$C$18,MATCH(LEFT(AD716,3),Resep!$B$15:$B$18,0)),0))</f>
        <v>0</v>
      </c>
      <c r="AL716" s="24" t="str">
        <f aca="false">IF(X716="","",AG716+AH716+AI716+AJ716+AK716)</f>
        <v/>
      </c>
      <c r="AM716" s="22" t="str">
        <f aca="false">IF(X716="","",AL716*(Pengaturan!$B$6+Pengaturan!$B$7)+Pengaturan!$B$8+AE716*Pengaturan!$B$9+AF716*Pengaturan!$B$10)</f>
        <v/>
      </c>
      <c r="AN716" s="22" t="str">
        <f aca="false">IF(X716="","",N(G716)-AM716)</f>
        <v/>
      </c>
      <c r="AO716" s="25" t="str">
        <f aca="false">IF(OR(X716="",N(G716)=0),"",AN716/G716)</f>
        <v/>
      </c>
    </row>
    <row r="717" customFormat="false" ht="15" hidden="false" customHeight="false" outlineLevel="0" collapsed="false">
      <c r="A717" s="19"/>
      <c r="B717" s="20"/>
      <c r="C717" s="19"/>
      <c r="D717" s="19"/>
      <c r="E717" s="19"/>
      <c r="F717" s="19"/>
      <c r="G717" s="21"/>
      <c r="H717" s="19"/>
      <c r="I717" s="21"/>
      <c r="J717" s="19"/>
      <c r="K717" s="20"/>
      <c r="L717" s="20"/>
      <c r="M717" s="19"/>
      <c r="N717" s="19"/>
      <c r="O717" s="20"/>
      <c r="P717" s="20"/>
      <c r="Q717" s="19"/>
      <c r="R717" s="22" t="str">
        <f aca="false">IF(A717="","",N(G717)+N(I717))</f>
        <v/>
      </c>
      <c r="S717" s="23" t="str">
        <f aca="false">IF(OR(K717="",O717=""),"",O717-K717)</f>
        <v/>
      </c>
      <c r="T717" s="23" t="str">
        <f aca="true">IF(AND(C717="Cetak",L717&lt;&gt;"",L717&lt;TODAY()),"YA","")</f>
        <v/>
      </c>
      <c r="U717" s="23" t="str">
        <f aca="false">IF(B717="","",TEXT(B717,"yyyy-mm"))</f>
        <v/>
      </c>
      <c r="V717" s="23" t="str">
        <f aca="false">IF(K717="","",TEXT(K717,"yyyy-mm"))</f>
        <v/>
      </c>
      <c r="W717" s="23" t="n">
        <f aca="false">IF(OR(C717="Cetak",C717="Dikirim",C717="Selesai"),1,0)</f>
        <v>0</v>
      </c>
      <c r="X717" s="23" t="str">
        <f aca="false">IF(F717="","",SUBSTITUTE(SUBSTITUTE(MID(UPPER(TRIM(F717)),4,99),"-LED",""),"-TK",""))</f>
        <v/>
      </c>
      <c r="Y717" s="23" t="str">
        <f aca="false">IF(X717="","",(LEN(X717)+1)/7)</f>
        <v/>
      </c>
      <c r="Z717" s="23" t="str">
        <f aca="false">IF(X717="","",LEFT(X717,6))</f>
        <v/>
      </c>
      <c r="AA717" s="23" t="str">
        <f aca="false">IF(X717="","",IF(Y717&gt;=3,MID(X717,8,6),""))</f>
        <v/>
      </c>
      <c r="AB717" s="23" t="str">
        <f aca="false">IF(X717="","",IF(Y717&gt;=4,MID(X717,15,6),""))</f>
        <v/>
      </c>
      <c r="AC717" s="23" t="str">
        <f aca="false">IF(X717="","",IF(Y717&gt;=5,MID(X717,22,6),""))</f>
        <v/>
      </c>
      <c r="AD717" s="23" t="str">
        <f aca="false">IF(X717="","",RIGHT(X717,6))</f>
        <v/>
      </c>
      <c r="AE717" s="23" t="str">
        <f aca="false">IF(F717="","",IF(ISNUMBER(SEARCH("-TK",UPPER(F717))),0,1))</f>
        <v/>
      </c>
      <c r="AF717" s="23" t="str">
        <f aca="false">IF(F717="","",IF(ISNUMBER(SEARCH("-LED",UPPER(F717))),1,0))</f>
        <v/>
      </c>
      <c r="AG717" s="24" t="n">
        <f aca="false">IF(Z717="",0,IFERROR(INDEX(Resep!$C$5:$C$7,MATCH(LEFT(Z717,3),Resep!$B$5:$B$7,0)),0))</f>
        <v>0</v>
      </c>
      <c r="AH717" s="24" t="n">
        <f aca="false">IF(AA717="",0,IFERROR(INDEX(Resep!$C$9:$C$13,MATCH(LEFT(AA717,3),Resep!$B$9:$B$13,0)),0))</f>
        <v>0</v>
      </c>
      <c r="AI717" s="24" t="n">
        <f aca="false">IF(AB717="",0,IFERROR(INDEX(Resep!$C$9:$C$13,MATCH(LEFT(AB717,3),Resep!$B$9:$B$13,0)),0))</f>
        <v>0</v>
      </c>
      <c r="AJ717" s="24" t="n">
        <f aca="false">IF(AC717="",0,IFERROR(INDEX(Resep!$C$9:$C$13,MATCH(LEFT(AC717,3),Resep!$B$9:$B$13,0)),0))</f>
        <v>0</v>
      </c>
      <c r="AK717" s="24" t="n">
        <f aca="false">IF(AD717="",0,IFERROR(INDEX(Resep!$C$15:$C$18,MATCH(LEFT(AD717,3),Resep!$B$15:$B$18,0)),0))</f>
        <v>0</v>
      </c>
      <c r="AL717" s="24" t="str">
        <f aca="false">IF(X717="","",AG717+AH717+AI717+AJ717+AK717)</f>
        <v/>
      </c>
      <c r="AM717" s="22" t="str">
        <f aca="false">IF(X717="","",AL717*(Pengaturan!$B$6+Pengaturan!$B$7)+Pengaturan!$B$8+AE717*Pengaturan!$B$9+AF717*Pengaturan!$B$10)</f>
        <v/>
      </c>
      <c r="AN717" s="22" t="str">
        <f aca="false">IF(X717="","",N(G717)-AM717)</f>
        <v/>
      </c>
      <c r="AO717" s="25" t="str">
        <f aca="false">IF(OR(X717="",N(G717)=0),"",AN717/G717)</f>
        <v/>
      </c>
    </row>
    <row r="718" customFormat="false" ht="15" hidden="false" customHeight="false" outlineLevel="0" collapsed="false">
      <c r="A718" s="19"/>
      <c r="B718" s="20"/>
      <c r="C718" s="19"/>
      <c r="D718" s="19"/>
      <c r="E718" s="19"/>
      <c r="F718" s="19"/>
      <c r="G718" s="21"/>
      <c r="H718" s="19"/>
      <c r="I718" s="21"/>
      <c r="J718" s="19"/>
      <c r="K718" s="20"/>
      <c r="L718" s="20"/>
      <c r="M718" s="19"/>
      <c r="N718" s="19"/>
      <c r="O718" s="20"/>
      <c r="P718" s="20"/>
      <c r="Q718" s="19"/>
      <c r="R718" s="22" t="str">
        <f aca="false">IF(A718="","",N(G718)+N(I718))</f>
        <v/>
      </c>
      <c r="S718" s="23" t="str">
        <f aca="false">IF(OR(K718="",O718=""),"",O718-K718)</f>
        <v/>
      </c>
      <c r="T718" s="23" t="str">
        <f aca="true">IF(AND(C718="Cetak",L718&lt;&gt;"",L718&lt;TODAY()),"YA","")</f>
        <v/>
      </c>
      <c r="U718" s="23" t="str">
        <f aca="false">IF(B718="","",TEXT(B718,"yyyy-mm"))</f>
        <v/>
      </c>
      <c r="V718" s="23" t="str">
        <f aca="false">IF(K718="","",TEXT(K718,"yyyy-mm"))</f>
        <v/>
      </c>
      <c r="W718" s="23" t="n">
        <f aca="false">IF(OR(C718="Cetak",C718="Dikirim",C718="Selesai"),1,0)</f>
        <v>0</v>
      </c>
      <c r="X718" s="23" t="str">
        <f aca="false">IF(F718="","",SUBSTITUTE(SUBSTITUTE(MID(UPPER(TRIM(F718)),4,99),"-LED",""),"-TK",""))</f>
        <v/>
      </c>
      <c r="Y718" s="23" t="str">
        <f aca="false">IF(X718="","",(LEN(X718)+1)/7)</f>
        <v/>
      </c>
      <c r="Z718" s="23" t="str">
        <f aca="false">IF(X718="","",LEFT(X718,6))</f>
        <v/>
      </c>
      <c r="AA718" s="23" t="str">
        <f aca="false">IF(X718="","",IF(Y718&gt;=3,MID(X718,8,6),""))</f>
        <v/>
      </c>
      <c r="AB718" s="23" t="str">
        <f aca="false">IF(X718="","",IF(Y718&gt;=4,MID(X718,15,6),""))</f>
        <v/>
      </c>
      <c r="AC718" s="23" t="str">
        <f aca="false">IF(X718="","",IF(Y718&gt;=5,MID(X718,22,6),""))</f>
        <v/>
      </c>
      <c r="AD718" s="23" t="str">
        <f aca="false">IF(X718="","",RIGHT(X718,6))</f>
        <v/>
      </c>
      <c r="AE718" s="23" t="str">
        <f aca="false">IF(F718="","",IF(ISNUMBER(SEARCH("-TK",UPPER(F718))),0,1))</f>
        <v/>
      </c>
      <c r="AF718" s="23" t="str">
        <f aca="false">IF(F718="","",IF(ISNUMBER(SEARCH("-LED",UPPER(F718))),1,0))</f>
        <v/>
      </c>
      <c r="AG718" s="24" t="n">
        <f aca="false">IF(Z718="",0,IFERROR(INDEX(Resep!$C$5:$C$7,MATCH(LEFT(Z718,3),Resep!$B$5:$B$7,0)),0))</f>
        <v>0</v>
      </c>
      <c r="AH718" s="24" t="n">
        <f aca="false">IF(AA718="",0,IFERROR(INDEX(Resep!$C$9:$C$13,MATCH(LEFT(AA718,3),Resep!$B$9:$B$13,0)),0))</f>
        <v>0</v>
      </c>
      <c r="AI718" s="24" t="n">
        <f aca="false">IF(AB718="",0,IFERROR(INDEX(Resep!$C$9:$C$13,MATCH(LEFT(AB718,3),Resep!$B$9:$B$13,0)),0))</f>
        <v>0</v>
      </c>
      <c r="AJ718" s="24" t="n">
        <f aca="false">IF(AC718="",0,IFERROR(INDEX(Resep!$C$9:$C$13,MATCH(LEFT(AC718,3),Resep!$B$9:$B$13,0)),0))</f>
        <v>0</v>
      </c>
      <c r="AK718" s="24" t="n">
        <f aca="false">IF(AD718="",0,IFERROR(INDEX(Resep!$C$15:$C$18,MATCH(LEFT(AD718,3),Resep!$B$15:$B$18,0)),0))</f>
        <v>0</v>
      </c>
      <c r="AL718" s="24" t="str">
        <f aca="false">IF(X718="","",AG718+AH718+AI718+AJ718+AK718)</f>
        <v/>
      </c>
      <c r="AM718" s="22" t="str">
        <f aca="false">IF(X718="","",AL718*(Pengaturan!$B$6+Pengaturan!$B$7)+Pengaturan!$B$8+AE718*Pengaturan!$B$9+AF718*Pengaturan!$B$10)</f>
        <v/>
      </c>
      <c r="AN718" s="22" t="str">
        <f aca="false">IF(X718="","",N(G718)-AM718)</f>
        <v/>
      </c>
      <c r="AO718" s="25" t="str">
        <f aca="false">IF(OR(X718="",N(G718)=0),"",AN718/G718)</f>
        <v/>
      </c>
    </row>
    <row r="719" customFormat="false" ht="15" hidden="false" customHeight="false" outlineLevel="0" collapsed="false">
      <c r="A719" s="19"/>
      <c r="B719" s="20"/>
      <c r="C719" s="19"/>
      <c r="D719" s="19"/>
      <c r="E719" s="19"/>
      <c r="F719" s="19"/>
      <c r="G719" s="21"/>
      <c r="H719" s="19"/>
      <c r="I719" s="21"/>
      <c r="J719" s="19"/>
      <c r="K719" s="20"/>
      <c r="L719" s="20"/>
      <c r="M719" s="19"/>
      <c r="N719" s="19"/>
      <c r="O719" s="20"/>
      <c r="P719" s="20"/>
      <c r="Q719" s="19"/>
      <c r="R719" s="22" t="str">
        <f aca="false">IF(A719="","",N(G719)+N(I719))</f>
        <v/>
      </c>
      <c r="S719" s="23" t="str">
        <f aca="false">IF(OR(K719="",O719=""),"",O719-K719)</f>
        <v/>
      </c>
      <c r="T719" s="23" t="str">
        <f aca="true">IF(AND(C719="Cetak",L719&lt;&gt;"",L719&lt;TODAY()),"YA","")</f>
        <v/>
      </c>
      <c r="U719" s="23" t="str">
        <f aca="false">IF(B719="","",TEXT(B719,"yyyy-mm"))</f>
        <v/>
      </c>
      <c r="V719" s="23" t="str">
        <f aca="false">IF(K719="","",TEXT(K719,"yyyy-mm"))</f>
        <v/>
      </c>
      <c r="W719" s="23" t="n">
        <f aca="false">IF(OR(C719="Cetak",C719="Dikirim",C719="Selesai"),1,0)</f>
        <v>0</v>
      </c>
      <c r="X719" s="23" t="str">
        <f aca="false">IF(F719="","",SUBSTITUTE(SUBSTITUTE(MID(UPPER(TRIM(F719)),4,99),"-LED",""),"-TK",""))</f>
        <v/>
      </c>
      <c r="Y719" s="23" t="str">
        <f aca="false">IF(X719="","",(LEN(X719)+1)/7)</f>
        <v/>
      </c>
      <c r="Z719" s="23" t="str">
        <f aca="false">IF(X719="","",LEFT(X719,6))</f>
        <v/>
      </c>
      <c r="AA719" s="23" t="str">
        <f aca="false">IF(X719="","",IF(Y719&gt;=3,MID(X719,8,6),""))</f>
        <v/>
      </c>
      <c r="AB719" s="23" t="str">
        <f aca="false">IF(X719="","",IF(Y719&gt;=4,MID(X719,15,6),""))</f>
        <v/>
      </c>
      <c r="AC719" s="23" t="str">
        <f aca="false">IF(X719="","",IF(Y719&gt;=5,MID(X719,22,6),""))</f>
        <v/>
      </c>
      <c r="AD719" s="23" t="str">
        <f aca="false">IF(X719="","",RIGHT(X719,6))</f>
        <v/>
      </c>
      <c r="AE719" s="23" t="str">
        <f aca="false">IF(F719="","",IF(ISNUMBER(SEARCH("-TK",UPPER(F719))),0,1))</f>
        <v/>
      </c>
      <c r="AF719" s="23" t="str">
        <f aca="false">IF(F719="","",IF(ISNUMBER(SEARCH("-LED",UPPER(F719))),1,0))</f>
        <v/>
      </c>
      <c r="AG719" s="24" t="n">
        <f aca="false">IF(Z719="",0,IFERROR(INDEX(Resep!$C$5:$C$7,MATCH(LEFT(Z719,3),Resep!$B$5:$B$7,0)),0))</f>
        <v>0</v>
      </c>
      <c r="AH719" s="24" t="n">
        <f aca="false">IF(AA719="",0,IFERROR(INDEX(Resep!$C$9:$C$13,MATCH(LEFT(AA719,3),Resep!$B$9:$B$13,0)),0))</f>
        <v>0</v>
      </c>
      <c r="AI719" s="24" t="n">
        <f aca="false">IF(AB719="",0,IFERROR(INDEX(Resep!$C$9:$C$13,MATCH(LEFT(AB719,3),Resep!$B$9:$B$13,0)),0))</f>
        <v>0</v>
      </c>
      <c r="AJ719" s="24" t="n">
        <f aca="false">IF(AC719="",0,IFERROR(INDEX(Resep!$C$9:$C$13,MATCH(LEFT(AC719,3),Resep!$B$9:$B$13,0)),0))</f>
        <v>0</v>
      </c>
      <c r="AK719" s="24" t="n">
        <f aca="false">IF(AD719="",0,IFERROR(INDEX(Resep!$C$15:$C$18,MATCH(LEFT(AD719,3),Resep!$B$15:$B$18,0)),0))</f>
        <v>0</v>
      </c>
      <c r="AL719" s="24" t="str">
        <f aca="false">IF(X719="","",AG719+AH719+AI719+AJ719+AK719)</f>
        <v/>
      </c>
      <c r="AM719" s="22" t="str">
        <f aca="false">IF(X719="","",AL719*(Pengaturan!$B$6+Pengaturan!$B$7)+Pengaturan!$B$8+AE719*Pengaturan!$B$9+AF719*Pengaturan!$B$10)</f>
        <v/>
      </c>
      <c r="AN719" s="22" t="str">
        <f aca="false">IF(X719="","",N(G719)-AM719)</f>
        <v/>
      </c>
      <c r="AO719" s="25" t="str">
        <f aca="false">IF(OR(X719="",N(G719)=0),"",AN719/G719)</f>
        <v/>
      </c>
    </row>
    <row r="720" customFormat="false" ht="15" hidden="false" customHeight="false" outlineLevel="0" collapsed="false">
      <c r="A720" s="19"/>
      <c r="B720" s="20"/>
      <c r="C720" s="19"/>
      <c r="D720" s="19"/>
      <c r="E720" s="19"/>
      <c r="F720" s="19"/>
      <c r="G720" s="21"/>
      <c r="H720" s="19"/>
      <c r="I720" s="21"/>
      <c r="J720" s="19"/>
      <c r="K720" s="20"/>
      <c r="L720" s="20"/>
      <c r="M720" s="19"/>
      <c r="N720" s="19"/>
      <c r="O720" s="20"/>
      <c r="P720" s="20"/>
      <c r="Q720" s="19"/>
      <c r="R720" s="22" t="str">
        <f aca="false">IF(A720="","",N(G720)+N(I720))</f>
        <v/>
      </c>
      <c r="S720" s="23" t="str">
        <f aca="false">IF(OR(K720="",O720=""),"",O720-K720)</f>
        <v/>
      </c>
      <c r="T720" s="23" t="str">
        <f aca="true">IF(AND(C720="Cetak",L720&lt;&gt;"",L720&lt;TODAY()),"YA","")</f>
        <v/>
      </c>
      <c r="U720" s="23" t="str">
        <f aca="false">IF(B720="","",TEXT(B720,"yyyy-mm"))</f>
        <v/>
      </c>
      <c r="V720" s="23" t="str">
        <f aca="false">IF(K720="","",TEXT(K720,"yyyy-mm"))</f>
        <v/>
      </c>
      <c r="W720" s="23" t="n">
        <f aca="false">IF(OR(C720="Cetak",C720="Dikirim",C720="Selesai"),1,0)</f>
        <v>0</v>
      </c>
      <c r="X720" s="23" t="str">
        <f aca="false">IF(F720="","",SUBSTITUTE(SUBSTITUTE(MID(UPPER(TRIM(F720)),4,99),"-LED",""),"-TK",""))</f>
        <v/>
      </c>
      <c r="Y720" s="23" t="str">
        <f aca="false">IF(X720="","",(LEN(X720)+1)/7)</f>
        <v/>
      </c>
      <c r="Z720" s="23" t="str">
        <f aca="false">IF(X720="","",LEFT(X720,6))</f>
        <v/>
      </c>
      <c r="AA720" s="23" t="str">
        <f aca="false">IF(X720="","",IF(Y720&gt;=3,MID(X720,8,6),""))</f>
        <v/>
      </c>
      <c r="AB720" s="23" t="str">
        <f aca="false">IF(X720="","",IF(Y720&gt;=4,MID(X720,15,6),""))</f>
        <v/>
      </c>
      <c r="AC720" s="23" t="str">
        <f aca="false">IF(X720="","",IF(Y720&gt;=5,MID(X720,22,6),""))</f>
        <v/>
      </c>
      <c r="AD720" s="23" t="str">
        <f aca="false">IF(X720="","",RIGHT(X720,6))</f>
        <v/>
      </c>
      <c r="AE720" s="23" t="str">
        <f aca="false">IF(F720="","",IF(ISNUMBER(SEARCH("-TK",UPPER(F720))),0,1))</f>
        <v/>
      </c>
      <c r="AF720" s="23" t="str">
        <f aca="false">IF(F720="","",IF(ISNUMBER(SEARCH("-LED",UPPER(F720))),1,0))</f>
        <v/>
      </c>
      <c r="AG720" s="24" t="n">
        <f aca="false">IF(Z720="",0,IFERROR(INDEX(Resep!$C$5:$C$7,MATCH(LEFT(Z720,3),Resep!$B$5:$B$7,0)),0))</f>
        <v>0</v>
      </c>
      <c r="AH720" s="24" t="n">
        <f aca="false">IF(AA720="",0,IFERROR(INDEX(Resep!$C$9:$C$13,MATCH(LEFT(AA720,3),Resep!$B$9:$B$13,0)),0))</f>
        <v>0</v>
      </c>
      <c r="AI720" s="24" t="n">
        <f aca="false">IF(AB720="",0,IFERROR(INDEX(Resep!$C$9:$C$13,MATCH(LEFT(AB720,3),Resep!$B$9:$B$13,0)),0))</f>
        <v>0</v>
      </c>
      <c r="AJ720" s="24" t="n">
        <f aca="false">IF(AC720="",0,IFERROR(INDEX(Resep!$C$9:$C$13,MATCH(LEFT(AC720,3),Resep!$B$9:$B$13,0)),0))</f>
        <v>0</v>
      </c>
      <c r="AK720" s="24" t="n">
        <f aca="false">IF(AD720="",0,IFERROR(INDEX(Resep!$C$15:$C$18,MATCH(LEFT(AD720,3),Resep!$B$15:$B$18,0)),0))</f>
        <v>0</v>
      </c>
      <c r="AL720" s="24" t="str">
        <f aca="false">IF(X720="","",AG720+AH720+AI720+AJ720+AK720)</f>
        <v/>
      </c>
      <c r="AM720" s="22" t="str">
        <f aca="false">IF(X720="","",AL720*(Pengaturan!$B$6+Pengaturan!$B$7)+Pengaturan!$B$8+AE720*Pengaturan!$B$9+AF720*Pengaturan!$B$10)</f>
        <v/>
      </c>
      <c r="AN720" s="22" t="str">
        <f aca="false">IF(X720="","",N(G720)-AM720)</f>
        <v/>
      </c>
      <c r="AO720" s="25" t="str">
        <f aca="false">IF(OR(X720="",N(G720)=0),"",AN720/G720)</f>
        <v/>
      </c>
    </row>
    <row r="721" customFormat="false" ht="15" hidden="false" customHeight="false" outlineLevel="0" collapsed="false">
      <c r="A721" s="19"/>
      <c r="B721" s="20"/>
      <c r="C721" s="19"/>
      <c r="D721" s="19"/>
      <c r="E721" s="19"/>
      <c r="F721" s="19"/>
      <c r="G721" s="21"/>
      <c r="H721" s="19"/>
      <c r="I721" s="21"/>
      <c r="J721" s="19"/>
      <c r="K721" s="20"/>
      <c r="L721" s="20"/>
      <c r="M721" s="19"/>
      <c r="N721" s="19"/>
      <c r="O721" s="20"/>
      <c r="P721" s="20"/>
      <c r="Q721" s="19"/>
      <c r="R721" s="22" t="str">
        <f aca="false">IF(A721="","",N(G721)+N(I721))</f>
        <v/>
      </c>
      <c r="S721" s="23" t="str">
        <f aca="false">IF(OR(K721="",O721=""),"",O721-K721)</f>
        <v/>
      </c>
      <c r="T721" s="23" t="str">
        <f aca="true">IF(AND(C721="Cetak",L721&lt;&gt;"",L721&lt;TODAY()),"YA","")</f>
        <v/>
      </c>
      <c r="U721" s="23" t="str">
        <f aca="false">IF(B721="","",TEXT(B721,"yyyy-mm"))</f>
        <v/>
      </c>
      <c r="V721" s="23" t="str">
        <f aca="false">IF(K721="","",TEXT(K721,"yyyy-mm"))</f>
        <v/>
      </c>
      <c r="W721" s="23" t="n">
        <f aca="false">IF(OR(C721="Cetak",C721="Dikirim",C721="Selesai"),1,0)</f>
        <v>0</v>
      </c>
      <c r="X721" s="23" t="str">
        <f aca="false">IF(F721="","",SUBSTITUTE(SUBSTITUTE(MID(UPPER(TRIM(F721)),4,99),"-LED",""),"-TK",""))</f>
        <v/>
      </c>
      <c r="Y721" s="23" t="str">
        <f aca="false">IF(X721="","",(LEN(X721)+1)/7)</f>
        <v/>
      </c>
      <c r="Z721" s="23" t="str">
        <f aca="false">IF(X721="","",LEFT(X721,6))</f>
        <v/>
      </c>
      <c r="AA721" s="23" t="str">
        <f aca="false">IF(X721="","",IF(Y721&gt;=3,MID(X721,8,6),""))</f>
        <v/>
      </c>
      <c r="AB721" s="23" t="str">
        <f aca="false">IF(X721="","",IF(Y721&gt;=4,MID(X721,15,6),""))</f>
        <v/>
      </c>
      <c r="AC721" s="23" t="str">
        <f aca="false">IF(X721="","",IF(Y721&gt;=5,MID(X721,22,6),""))</f>
        <v/>
      </c>
      <c r="AD721" s="23" t="str">
        <f aca="false">IF(X721="","",RIGHT(X721,6))</f>
        <v/>
      </c>
      <c r="AE721" s="23" t="str">
        <f aca="false">IF(F721="","",IF(ISNUMBER(SEARCH("-TK",UPPER(F721))),0,1))</f>
        <v/>
      </c>
      <c r="AF721" s="23" t="str">
        <f aca="false">IF(F721="","",IF(ISNUMBER(SEARCH("-LED",UPPER(F721))),1,0))</f>
        <v/>
      </c>
      <c r="AG721" s="24" t="n">
        <f aca="false">IF(Z721="",0,IFERROR(INDEX(Resep!$C$5:$C$7,MATCH(LEFT(Z721,3),Resep!$B$5:$B$7,0)),0))</f>
        <v>0</v>
      </c>
      <c r="AH721" s="24" t="n">
        <f aca="false">IF(AA721="",0,IFERROR(INDEX(Resep!$C$9:$C$13,MATCH(LEFT(AA721,3),Resep!$B$9:$B$13,0)),0))</f>
        <v>0</v>
      </c>
      <c r="AI721" s="24" t="n">
        <f aca="false">IF(AB721="",0,IFERROR(INDEX(Resep!$C$9:$C$13,MATCH(LEFT(AB721,3),Resep!$B$9:$B$13,0)),0))</f>
        <v>0</v>
      </c>
      <c r="AJ721" s="24" t="n">
        <f aca="false">IF(AC721="",0,IFERROR(INDEX(Resep!$C$9:$C$13,MATCH(LEFT(AC721,3),Resep!$B$9:$B$13,0)),0))</f>
        <v>0</v>
      </c>
      <c r="AK721" s="24" t="n">
        <f aca="false">IF(AD721="",0,IFERROR(INDEX(Resep!$C$15:$C$18,MATCH(LEFT(AD721,3),Resep!$B$15:$B$18,0)),0))</f>
        <v>0</v>
      </c>
      <c r="AL721" s="24" t="str">
        <f aca="false">IF(X721="","",AG721+AH721+AI721+AJ721+AK721)</f>
        <v/>
      </c>
      <c r="AM721" s="22" t="str">
        <f aca="false">IF(X721="","",AL721*(Pengaturan!$B$6+Pengaturan!$B$7)+Pengaturan!$B$8+AE721*Pengaturan!$B$9+AF721*Pengaturan!$B$10)</f>
        <v/>
      </c>
      <c r="AN721" s="22" t="str">
        <f aca="false">IF(X721="","",N(G721)-AM721)</f>
        <v/>
      </c>
      <c r="AO721" s="25" t="str">
        <f aca="false">IF(OR(X721="",N(G721)=0),"",AN721/G721)</f>
        <v/>
      </c>
    </row>
    <row r="722" customFormat="false" ht="15" hidden="false" customHeight="false" outlineLevel="0" collapsed="false">
      <c r="A722" s="19"/>
      <c r="B722" s="20"/>
      <c r="C722" s="19"/>
      <c r="D722" s="19"/>
      <c r="E722" s="19"/>
      <c r="F722" s="19"/>
      <c r="G722" s="21"/>
      <c r="H722" s="19"/>
      <c r="I722" s="21"/>
      <c r="J722" s="19"/>
      <c r="K722" s="20"/>
      <c r="L722" s="20"/>
      <c r="M722" s="19"/>
      <c r="N722" s="19"/>
      <c r="O722" s="20"/>
      <c r="P722" s="20"/>
      <c r="Q722" s="19"/>
      <c r="R722" s="22" t="str">
        <f aca="false">IF(A722="","",N(G722)+N(I722))</f>
        <v/>
      </c>
      <c r="S722" s="23" t="str">
        <f aca="false">IF(OR(K722="",O722=""),"",O722-K722)</f>
        <v/>
      </c>
      <c r="T722" s="23" t="str">
        <f aca="true">IF(AND(C722="Cetak",L722&lt;&gt;"",L722&lt;TODAY()),"YA","")</f>
        <v/>
      </c>
      <c r="U722" s="23" t="str">
        <f aca="false">IF(B722="","",TEXT(B722,"yyyy-mm"))</f>
        <v/>
      </c>
      <c r="V722" s="23" t="str">
        <f aca="false">IF(K722="","",TEXT(K722,"yyyy-mm"))</f>
        <v/>
      </c>
      <c r="W722" s="23" t="n">
        <f aca="false">IF(OR(C722="Cetak",C722="Dikirim",C722="Selesai"),1,0)</f>
        <v>0</v>
      </c>
      <c r="X722" s="23" t="str">
        <f aca="false">IF(F722="","",SUBSTITUTE(SUBSTITUTE(MID(UPPER(TRIM(F722)),4,99),"-LED",""),"-TK",""))</f>
        <v/>
      </c>
      <c r="Y722" s="23" t="str">
        <f aca="false">IF(X722="","",(LEN(X722)+1)/7)</f>
        <v/>
      </c>
      <c r="Z722" s="23" t="str">
        <f aca="false">IF(X722="","",LEFT(X722,6))</f>
        <v/>
      </c>
      <c r="AA722" s="23" t="str">
        <f aca="false">IF(X722="","",IF(Y722&gt;=3,MID(X722,8,6),""))</f>
        <v/>
      </c>
      <c r="AB722" s="23" t="str">
        <f aca="false">IF(X722="","",IF(Y722&gt;=4,MID(X722,15,6),""))</f>
        <v/>
      </c>
      <c r="AC722" s="23" t="str">
        <f aca="false">IF(X722="","",IF(Y722&gt;=5,MID(X722,22,6),""))</f>
        <v/>
      </c>
      <c r="AD722" s="23" t="str">
        <f aca="false">IF(X722="","",RIGHT(X722,6))</f>
        <v/>
      </c>
      <c r="AE722" s="23" t="str">
        <f aca="false">IF(F722="","",IF(ISNUMBER(SEARCH("-TK",UPPER(F722))),0,1))</f>
        <v/>
      </c>
      <c r="AF722" s="23" t="str">
        <f aca="false">IF(F722="","",IF(ISNUMBER(SEARCH("-LED",UPPER(F722))),1,0))</f>
        <v/>
      </c>
      <c r="AG722" s="24" t="n">
        <f aca="false">IF(Z722="",0,IFERROR(INDEX(Resep!$C$5:$C$7,MATCH(LEFT(Z722,3),Resep!$B$5:$B$7,0)),0))</f>
        <v>0</v>
      </c>
      <c r="AH722" s="24" t="n">
        <f aca="false">IF(AA722="",0,IFERROR(INDEX(Resep!$C$9:$C$13,MATCH(LEFT(AA722,3),Resep!$B$9:$B$13,0)),0))</f>
        <v>0</v>
      </c>
      <c r="AI722" s="24" t="n">
        <f aca="false">IF(AB722="",0,IFERROR(INDEX(Resep!$C$9:$C$13,MATCH(LEFT(AB722,3),Resep!$B$9:$B$13,0)),0))</f>
        <v>0</v>
      </c>
      <c r="AJ722" s="24" t="n">
        <f aca="false">IF(AC722="",0,IFERROR(INDEX(Resep!$C$9:$C$13,MATCH(LEFT(AC722,3),Resep!$B$9:$B$13,0)),0))</f>
        <v>0</v>
      </c>
      <c r="AK722" s="24" t="n">
        <f aca="false">IF(AD722="",0,IFERROR(INDEX(Resep!$C$15:$C$18,MATCH(LEFT(AD722,3),Resep!$B$15:$B$18,0)),0))</f>
        <v>0</v>
      </c>
      <c r="AL722" s="24" t="str">
        <f aca="false">IF(X722="","",AG722+AH722+AI722+AJ722+AK722)</f>
        <v/>
      </c>
      <c r="AM722" s="22" t="str">
        <f aca="false">IF(X722="","",AL722*(Pengaturan!$B$6+Pengaturan!$B$7)+Pengaturan!$B$8+AE722*Pengaturan!$B$9+AF722*Pengaturan!$B$10)</f>
        <v/>
      </c>
      <c r="AN722" s="22" t="str">
        <f aca="false">IF(X722="","",N(G722)-AM722)</f>
        <v/>
      </c>
      <c r="AO722" s="25" t="str">
        <f aca="false">IF(OR(X722="",N(G722)=0),"",AN722/G722)</f>
        <v/>
      </c>
    </row>
    <row r="723" customFormat="false" ht="15" hidden="false" customHeight="false" outlineLevel="0" collapsed="false">
      <c r="A723" s="19"/>
      <c r="B723" s="20"/>
      <c r="C723" s="19"/>
      <c r="D723" s="19"/>
      <c r="E723" s="19"/>
      <c r="F723" s="19"/>
      <c r="G723" s="21"/>
      <c r="H723" s="19"/>
      <c r="I723" s="21"/>
      <c r="J723" s="19"/>
      <c r="K723" s="20"/>
      <c r="L723" s="20"/>
      <c r="M723" s="19"/>
      <c r="N723" s="19"/>
      <c r="O723" s="20"/>
      <c r="P723" s="20"/>
      <c r="Q723" s="19"/>
      <c r="R723" s="22" t="str">
        <f aca="false">IF(A723="","",N(G723)+N(I723))</f>
        <v/>
      </c>
      <c r="S723" s="23" t="str">
        <f aca="false">IF(OR(K723="",O723=""),"",O723-K723)</f>
        <v/>
      </c>
      <c r="T723" s="23" t="str">
        <f aca="true">IF(AND(C723="Cetak",L723&lt;&gt;"",L723&lt;TODAY()),"YA","")</f>
        <v/>
      </c>
      <c r="U723" s="23" t="str">
        <f aca="false">IF(B723="","",TEXT(B723,"yyyy-mm"))</f>
        <v/>
      </c>
      <c r="V723" s="23" t="str">
        <f aca="false">IF(K723="","",TEXT(K723,"yyyy-mm"))</f>
        <v/>
      </c>
      <c r="W723" s="23" t="n">
        <f aca="false">IF(OR(C723="Cetak",C723="Dikirim",C723="Selesai"),1,0)</f>
        <v>0</v>
      </c>
      <c r="X723" s="23" t="str">
        <f aca="false">IF(F723="","",SUBSTITUTE(SUBSTITUTE(MID(UPPER(TRIM(F723)),4,99),"-LED",""),"-TK",""))</f>
        <v/>
      </c>
      <c r="Y723" s="23" t="str">
        <f aca="false">IF(X723="","",(LEN(X723)+1)/7)</f>
        <v/>
      </c>
      <c r="Z723" s="23" t="str">
        <f aca="false">IF(X723="","",LEFT(X723,6))</f>
        <v/>
      </c>
      <c r="AA723" s="23" t="str">
        <f aca="false">IF(X723="","",IF(Y723&gt;=3,MID(X723,8,6),""))</f>
        <v/>
      </c>
      <c r="AB723" s="23" t="str">
        <f aca="false">IF(X723="","",IF(Y723&gt;=4,MID(X723,15,6),""))</f>
        <v/>
      </c>
      <c r="AC723" s="23" t="str">
        <f aca="false">IF(X723="","",IF(Y723&gt;=5,MID(X723,22,6),""))</f>
        <v/>
      </c>
      <c r="AD723" s="23" t="str">
        <f aca="false">IF(X723="","",RIGHT(X723,6))</f>
        <v/>
      </c>
      <c r="AE723" s="23" t="str">
        <f aca="false">IF(F723="","",IF(ISNUMBER(SEARCH("-TK",UPPER(F723))),0,1))</f>
        <v/>
      </c>
      <c r="AF723" s="23" t="str">
        <f aca="false">IF(F723="","",IF(ISNUMBER(SEARCH("-LED",UPPER(F723))),1,0))</f>
        <v/>
      </c>
      <c r="AG723" s="24" t="n">
        <f aca="false">IF(Z723="",0,IFERROR(INDEX(Resep!$C$5:$C$7,MATCH(LEFT(Z723,3),Resep!$B$5:$B$7,0)),0))</f>
        <v>0</v>
      </c>
      <c r="AH723" s="24" t="n">
        <f aca="false">IF(AA723="",0,IFERROR(INDEX(Resep!$C$9:$C$13,MATCH(LEFT(AA723,3),Resep!$B$9:$B$13,0)),0))</f>
        <v>0</v>
      </c>
      <c r="AI723" s="24" t="n">
        <f aca="false">IF(AB723="",0,IFERROR(INDEX(Resep!$C$9:$C$13,MATCH(LEFT(AB723,3),Resep!$B$9:$B$13,0)),0))</f>
        <v>0</v>
      </c>
      <c r="AJ723" s="24" t="n">
        <f aca="false">IF(AC723="",0,IFERROR(INDEX(Resep!$C$9:$C$13,MATCH(LEFT(AC723,3),Resep!$B$9:$B$13,0)),0))</f>
        <v>0</v>
      </c>
      <c r="AK723" s="24" t="n">
        <f aca="false">IF(AD723="",0,IFERROR(INDEX(Resep!$C$15:$C$18,MATCH(LEFT(AD723,3),Resep!$B$15:$B$18,0)),0))</f>
        <v>0</v>
      </c>
      <c r="AL723" s="24" t="str">
        <f aca="false">IF(X723="","",AG723+AH723+AI723+AJ723+AK723)</f>
        <v/>
      </c>
      <c r="AM723" s="22" t="str">
        <f aca="false">IF(X723="","",AL723*(Pengaturan!$B$6+Pengaturan!$B$7)+Pengaturan!$B$8+AE723*Pengaturan!$B$9+AF723*Pengaturan!$B$10)</f>
        <v/>
      </c>
      <c r="AN723" s="22" t="str">
        <f aca="false">IF(X723="","",N(G723)-AM723)</f>
        <v/>
      </c>
      <c r="AO723" s="25" t="str">
        <f aca="false">IF(OR(X723="",N(G723)=0),"",AN723/G723)</f>
        <v/>
      </c>
    </row>
    <row r="724" customFormat="false" ht="15" hidden="false" customHeight="false" outlineLevel="0" collapsed="false">
      <c r="A724" s="19"/>
      <c r="B724" s="20"/>
      <c r="C724" s="19"/>
      <c r="D724" s="19"/>
      <c r="E724" s="19"/>
      <c r="F724" s="19"/>
      <c r="G724" s="21"/>
      <c r="H724" s="19"/>
      <c r="I724" s="21"/>
      <c r="J724" s="19"/>
      <c r="K724" s="20"/>
      <c r="L724" s="20"/>
      <c r="M724" s="19"/>
      <c r="N724" s="19"/>
      <c r="O724" s="20"/>
      <c r="P724" s="20"/>
      <c r="Q724" s="19"/>
      <c r="R724" s="22" t="str">
        <f aca="false">IF(A724="","",N(G724)+N(I724))</f>
        <v/>
      </c>
      <c r="S724" s="23" t="str">
        <f aca="false">IF(OR(K724="",O724=""),"",O724-K724)</f>
        <v/>
      </c>
      <c r="T724" s="23" t="str">
        <f aca="true">IF(AND(C724="Cetak",L724&lt;&gt;"",L724&lt;TODAY()),"YA","")</f>
        <v/>
      </c>
      <c r="U724" s="23" t="str">
        <f aca="false">IF(B724="","",TEXT(B724,"yyyy-mm"))</f>
        <v/>
      </c>
      <c r="V724" s="23" t="str">
        <f aca="false">IF(K724="","",TEXT(K724,"yyyy-mm"))</f>
        <v/>
      </c>
      <c r="W724" s="23" t="n">
        <f aca="false">IF(OR(C724="Cetak",C724="Dikirim",C724="Selesai"),1,0)</f>
        <v>0</v>
      </c>
      <c r="X724" s="23" t="str">
        <f aca="false">IF(F724="","",SUBSTITUTE(SUBSTITUTE(MID(UPPER(TRIM(F724)),4,99),"-LED",""),"-TK",""))</f>
        <v/>
      </c>
      <c r="Y724" s="23" t="str">
        <f aca="false">IF(X724="","",(LEN(X724)+1)/7)</f>
        <v/>
      </c>
      <c r="Z724" s="23" t="str">
        <f aca="false">IF(X724="","",LEFT(X724,6))</f>
        <v/>
      </c>
      <c r="AA724" s="23" t="str">
        <f aca="false">IF(X724="","",IF(Y724&gt;=3,MID(X724,8,6),""))</f>
        <v/>
      </c>
      <c r="AB724" s="23" t="str">
        <f aca="false">IF(X724="","",IF(Y724&gt;=4,MID(X724,15,6),""))</f>
        <v/>
      </c>
      <c r="AC724" s="23" t="str">
        <f aca="false">IF(X724="","",IF(Y724&gt;=5,MID(X724,22,6),""))</f>
        <v/>
      </c>
      <c r="AD724" s="23" t="str">
        <f aca="false">IF(X724="","",RIGHT(X724,6))</f>
        <v/>
      </c>
      <c r="AE724" s="23" t="str">
        <f aca="false">IF(F724="","",IF(ISNUMBER(SEARCH("-TK",UPPER(F724))),0,1))</f>
        <v/>
      </c>
      <c r="AF724" s="23" t="str">
        <f aca="false">IF(F724="","",IF(ISNUMBER(SEARCH("-LED",UPPER(F724))),1,0))</f>
        <v/>
      </c>
      <c r="AG724" s="24" t="n">
        <f aca="false">IF(Z724="",0,IFERROR(INDEX(Resep!$C$5:$C$7,MATCH(LEFT(Z724,3),Resep!$B$5:$B$7,0)),0))</f>
        <v>0</v>
      </c>
      <c r="AH724" s="24" t="n">
        <f aca="false">IF(AA724="",0,IFERROR(INDEX(Resep!$C$9:$C$13,MATCH(LEFT(AA724,3),Resep!$B$9:$B$13,0)),0))</f>
        <v>0</v>
      </c>
      <c r="AI724" s="24" t="n">
        <f aca="false">IF(AB724="",0,IFERROR(INDEX(Resep!$C$9:$C$13,MATCH(LEFT(AB724,3),Resep!$B$9:$B$13,0)),0))</f>
        <v>0</v>
      </c>
      <c r="AJ724" s="24" t="n">
        <f aca="false">IF(AC724="",0,IFERROR(INDEX(Resep!$C$9:$C$13,MATCH(LEFT(AC724,3),Resep!$B$9:$B$13,0)),0))</f>
        <v>0</v>
      </c>
      <c r="AK724" s="24" t="n">
        <f aca="false">IF(AD724="",0,IFERROR(INDEX(Resep!$C$15:$C$18,MATCH(LEFT(AD724,3),Resep!$B$15:$B$18,0)),0))</f>
        <v>0</v>
      </c>
      <c r="AL724" s="24" t="str">
        <f aca="false">IF(X724="","",AG724+AH724+AI724+AJ724+AK724)</f>
        <v/>
      </c>
      <c r="AM724" s="22" t="str">
        <f aca="false">IF(X724="","",AL724*(Pengaturan!$B$6+Pengaturan!$B$7)+Pengaturan!$B$8+AE724*Pengaturan!$B$9+AF724*Pengaturan!$B$10)</f>
        <v/>
      </c>
      <c r="AN724" s="22" t="str">
        <f aca="false">IF(X724="","",N(G724)-AM724)</f>
        <v/>
      </c>
      <c r="AO724" s="25" t="str">
        <f aca="false">IF(OR(X724="",N(G724)=0),"",AN724/G724)</f>
        <v/>
      </c>
    </row>
    <row r="725" customFormat="false" ht="15" hidden="false" customHeight="false" outlineLevel="0" collapsed="false">
      <c r="A725" s="19"/>
      <c r="B725" s="20"/>
      <c r="C725" s="19"/>
      <c r="D725" s="19"/>
      <c r="E725" s="19"/>
      <c r="F725" s="19"/>
      <c r="G725" s="21"/>
      <c r="H725" s="19"/>
      <c r="I725" s="21"/>
      <c r="J725" s="19"/>
      <c r="K725" s="20"/>
      <c r="L725" s="20"/>
      <c r="M725" s="19"/>
      <c r="N725" s="19"/>
      <c r="O725" s="20"/>
      <c r="P725" s="20"/>
      <c r="Q725" s="19"/>
      <c r="R725" s="22" t="str">
        <f aca="false">IF(A725="","",N(G725)+N(I725))</f>
        <v/>
      </c>
      <c r="S725" s="23" t="str">
        <f aca="false">IF(OR(K725="",O725=""),"",O725-K725)</f>
        <v/>
      </c>
      <c r="T725" s="23" t="str">
        <f aca="true">IF(AND(C725="Cetak",L725&lt;&gt;"",L725&lt;TODAY()),"YA","")</f>
        <v/>
      </c>
      <c r="U725" s="23" t="str">
        <f aca="false">IF(B725="","",TEXT(B725,"yyyy-mm"))</f>
        <v/>
      </c>
      <c r="V725" s="23" t="str">
        <f aca="false">IF(K725="","",TEXT(K725,"yyyy-mm"))</f>
        <v/>
      </c>
      <c r="W725" s="23" t="n">
        <f aca="false">IF(OR(C725="Cetak",C725="Dikirim",C725="Selesai"),1,0)</f>
        <v>0</v>
      </c>
      <c r="X725" s="23" t="str">
        <f aca="false">IF(F725="","",SUBSTITUTE(SUBSTITUTE(MID(UPPER(TRIM(F725)),4,99),"-LED",""),"-TK",""))</f>
        <v/>
      </c>
      <c r="Y725" s="23" t="str">
        <f aca="false">IF(X725="","",(LEN(X725)+1)/7)</f>
        <v/>
      </c>
      <c r="Z725" s="23" t="str">
        <f aca="false">IF(X725="","",LEFT(X725,6))</f>
        <v/>
      </c>
      <c r="AA725" s="23" t="str">
        <f aca="false">IF(X725="","",IF(Y725&gt;=3,MID(X725,8,6),""))</f>
        <v/>
      </c>
      <c r="AB725" s="23" t="str">
        <f aca="false">IF(X725="","",IF(Y725&gt;=4,MID(X725,15,6),""))</f>
        <v/>
      </c>
      <c r="AC725" s="23" t="str">
        <f aca="false">IF(X725="","",IF(Y725&gt;=5,MID(X725,22,6),""))</f>
        <v/>
      </c>
      <c r="AD725" s="23" t="str">
        <f aca="false">IF(X725="","",RIGHT(X725,6))</f>
        <v/>
      </c>
      <c r="AE725" s="23" t="str">
        <f aca="false">IF(F725="","",IF(ISNUMBER(SEARCH("-TK",UPPER(F725))),0,1))</f>
        <v/>
      </c>
      <c r="AF725" s="23" t="str">
        <f aca="false">IF(F725="","",IF(ISNUMBER(SEARCH("-LED",UPPER(F725))),1,0))</f>
        <v/>
      </c>
      <c r="AG725" s="24" t="n">
        <f aca="false">IF(Z725="",0,IFERROR(INDEX(Resep!$C$5:$C$7,MATCH(LEFT(Z725,3),Resep!$B$5:$B$7,0)),0))</f>
        <v>0</v>
      </c>
      <c r="AH725" s="24" t="n">
        <f aca="false">IF(AA725="",0,IFERROR(INDEX(Resep!$C$9:$C$13,MATCH(LEFT(AA725,3),Resep!$B$9:$B$13,0)),0))</f>
        <v>0</v>
      </c>
      <c r="AI725" s="24" t="n">
        <f aca="false">IF(AB725="",0,IFERROR(INDEX(Resep!$C$9:$C$13,MATCH(LEFT(AB725,3),Resep!$B$9:$B$13,0)),0))</f>
        <v>0</v>
      </c>
      <c r="AJ725" s="24" t="n">
        <f aca="false">IF(AC725="",0,IFERROR(INDEX(Resep!$C$9:$C$13,MATCH(LEFT(AC725,3),Resep!$B$9:$B$13,0)),0))</f>
        <v>0</v>
      </c>
      <c r="AK725" s="24" t="n">
        <f aca="false">IF(AD725="",0,IFERROR(INDEX(Resep!$C$15:$C$18,MATCH(LEFT(AD725,3),Resep!$B$15:$B$18,0)),0))</f>
        <v>0</v>
      </c>
      <c r="AL725" s="24" t="str">
        <f aca="false">IF(X725="","",AG725+AH725+AI725+AJ725+AK725)</f>
        <v/>
      </c>
      <c r="AM725" s="22" t="str">
        <f aca="false">IF(X725="","",AL725*(Pengaturan!$B$6+Pengaturan!$B$7)+Pengaturan!$B$8+AE725*Pengaturan!$B$9+AF725*Pengaturan!$B$10)</f>
        <v/>
      </c>
      <c r="AN725" s="22" t="str">
        <f aca="false">IF(X725="","",N(G725)-AM725)</f>
        <v/>
      </c>
      <c r="AO725" s="25" t="str">
        <f aca="false">IF(OR(X725="",N(G725)=0),"",AN725/G725)</f>
        <v/>
      </c>
    </row>
    <row r="726" customFormat="false" ht="15" hidden="false" customHeight="false" outlineLevel="0" collapsed="false">
      <c r="A726" s="19"/>
      <c r="B726" s="20"/>
      <c r="C726" s="19"/>
      <c r="D726" s="19"/>
      <c r="E726" s="19"/>
      <c r="F726" s="19"/>
      <c r="G726" s="21"/>
      <c r="H726" s="19"/>
      <c r="I726" s="21"/>
      <c r="J726" s="19"/>
      <c r="K726" s="20"/>
      <c r="L726" s="20"/>
      <c r="M726" s="19"/>
      <c r="N726" s="19"/>
      <c r="O726" s="20"/>
      <c r="P726" s="20"/>
      <c r="Q726" s="19"/>
      <c r="R726" s="22" t="str">
        <f aca="false">IF(A726="","",N(G726)+N(I726))</f>
        <v/>
      </c>
      <c r="S726" s="23" t="str">
        <f aca="false">IF(OR(K726="",O726=""),"",O726-K726)</f>
        <v/>
      </c>
      <c r="T726" s="23" t="str">
        <f aca="true">IF(AND(C726="Cetak",L726&lt;&gt;"",L726&lt;TODAY()),"YA","")</f>
        <v/>
      </c>
      <c r="U726" s="23" t="str">
        <f aca="false">IF(B726="","",TEXT(B726,"yyyy-mm"))</f>
        <v/>
      </c>
      <c r="V726" s="23" t="str">
        <f aca="false">IF(K726="","",TEXT(K726,"yyyy-mm"))</f>
        <v/>
      </c>
      <c r="W726" s="23" t="n">
        <f aca="false">IF(OR(C726="Cetak",C726="Dikirim",C726="Selesai"),1,0)</f>
        <v>0</v>
      </c>
      <c r="X726" s="23" t="str">
        <f aca="false">IF(F726="","",SUBSTITUTE(SUBSTITUTE(MID(UPPER(TRIM(F726)),4,99),"-LED",""),"-TK",""))</f>
        <v/>
      </c>
      <c r="Y726" s="23" t="str">
        <f aca="false">IF(X726="","",(LEN(X726)+1)/7)</f>
        <v/>
      </c>
      <c r="Z726" s="23" t="str">
        <f aca="false">IF(X726="","",LEFT(X726,6))</f>
        <v/>
      </c>
      <c r="AA726" s="23" t="str">
        <f aca="false">IF(X726="","",IF(Y726&gt;=3,MID(X726,8,6),""))</f>
        <v/>
      </c>
      <c r="AB726" s="23" t="str">
        <f aca="false">IF(X726="","",IF(Y726&gt;=4,MID(X726,15,6),""))</f>
        <v/>
      </c>
      <c r="AC726" s="23" t="str">
        <f aca="false">IF(X726="","",IF(Y726&gt;=5,MID(X726,22,6),""))</f>
        <v/>
      </c>
      <c r="AD726" s="23" t="str">
        <f aca="false">IF(X726="","",RIGHT(X726,6))</f>
        <v/>
      </c>
      <c r="AE726" s="23" t="str">
        <f aca="false">IF(F726="","",IF(ISNUMBER(SEARCH("-TK",UPPER(F726))),0,1))</f>
        <v/>
      </c>
      <c r="AF726" s="23" t="str">
        <f aca="false">IF(F726="","",IF(ISNUMBER(SEARCH("-LED",UPPER(F726))),1,0))</f>
        <v/>
      </c>
      <c r="AG726" s="24" t="n">
        <f aca="false">IF(Z726="",0,IFERROR(INDEX(Resep!$C$5:$C$7,MATCH(LEFT(Z726,3),Resep!$B$5:$B$7,0)),0))</f>
        <v>0</v>
      </c>
      <c r="AH726" s="24" t="n">
        <f aca="false">IF(AA726="",0,IFERROR(INDEX(Resep!$C$9:$C$13,MATCH(LEFT(AA726,3),Resep!$B$9:$B$13,0)),0))</f>
        <v>0</v>
      </c>
      <c r="AI726" s="24" t="n">
        <f aca="false">IF(AB726="",0,IFERROR(INDEX(Resep!$C$9:$C$13,MATCH(LEFT(AB726,3),Resep!$B$9:$B$13,0)),0))</f>
        <v>0</v>
      </c>
      <c r="AJ726" s="24" t="n">
        <f aca="false">IF(AC726="",0,IFERROR(INDEX(Resep!$C$9:$C$13,MATCH(LEFT(AC726,3),Resep!$B$9:$B$13,0)),0))</f>
        <v>0</v>
      </c>
      <c r="AK726" s="24" t="n">
        <f aca="false">IF(AD726="",0,IFERROR(INDEX(Resep!$C$15:$C$18,MATCH(LEFT(AD726,3),Resep!$B$15:$B$18,0)),0))</f>
        <v>0</v>
      </c>
      <c r="AL726" s="24" t="str">
        <f aca="false">IF(X726="","",AG726+AH726+AI726+AJ726+AK726)</f>
        <v/>
      </c>
      <c r="AM726" s="22" t="str">
        <f aca="false">IF(X726="","",AL726*(Pengaturan!$B$6+Pengaturan!$B$7)+Pengaturan!$B$8+AE726*Pengaturan!$B$9+AF726*Pengaturan!$B$10)</f>
        <v/>
      </c>
      <c r="AN726" s="22" t="str">
        <f aca="false">IF(X726="","",N(G726)-AM726)</f>
        <v/>
      </c>
      <c r="AO726" s="25" t="str">
        <f aca="false">IF(OR(X726="",N(G726)=0),"",AN726/G726)</f>
        <v/>
      </c>
    </row>
    <row r="727" customFormat="false" ht="15" hidden="false" customHeight="false" outlineLevel="0" collapsed="false">
      <c r="A727" s="19"/>
      <c r="B727" s="20"/>
      <c r="C727" s="19"/>
      <c r="D727" s="19"/>
      <c r="E727" s="19"/>
      <c r="F727" s="19"/>
      <c r="G727" s="21"/>
      <c r="H727" s="19"/>
      <c r="I727" s="21"/>
      <c r="J727" s="19"/>
      <c r="K727" s="20"/>
      <c r="L727" s="20"/>
      <c r="M727" s="19"/>
      <c r="N727" s="19"/>
      <c r="O727" s="20"/>
      <c r="P727" s="20"/>
      <c r="Q727" s="19"/>
      <c r="R727" s="22" t="str">
        <f aca="false">IF(A727="","",N(G727)+N(I727))</f>
        <v/>
      </c>
      <c r="S727" s="23" t="str">
        <f aca="false">IF(OR(K727="",O727=""),"",O727-K727)</f>
        <v/>
      </c>
      <c r="T727" s="23" t="str">
        <f aca="true">IF(AND(C727="Cetak",L727&lt;&gt;"",L727&lt;TODAY()),"YA","")</f>
        <v/>
      </c>
      <c r="U727" s="23" t="str">
        <f aca="false">IF(B727="","",TEXT(B727,"yyyy-mm"))</f>
        <v/>
      </c>
      <c r="V727" s="23" t="str">
        <f aca="false">IF(K727="","",TEXT(K727,"yyyy-mm"))</f>
        <v/>
      </c>
      <c r="W727" s="23" t="n">
        <f aca="false">IF(OR(C727="Cetak",C727="Dikirim",C727="Selesai"),1,0)</f>
        <v>0</v>
      </c>
      <c r="X727" s="23" t="str">
        <f aca="false">IF(F727="","",SUBSTITUTE(SUBSTITUTE(MID(UPPER(TRIM(F727)),4,99),"-LED",""),"-TK",""))</f>
        <v/>
      </c>
      <c r="Y727" s="23" t="str">
        <f aca="false">IF(X727="","",(LEN(X727)+1)/7)</f>
        <v/>
      </c>
      <c r="Z727" s="23" t="str">
        <f aca="false">IF(X727="","",LEFT(X727,6))</f>
        <v/>
      </c>
      <c r="AA727" s="23" t="str">
        <f aca="false">IF(X727="","",IF(Y727&gt;=3,MID(X727,8,6),""))</f>
        <v/>
      </c>
      <c r="AB727" s="23" t="str">
        <f aca="false">IF(X727="","",IF(Y727&gt;=4,MID(X727,15,6),""))</f>
        <v/>
      </c>
      <c r="AC727" s="23" t="str">
        <f aca="false">IF(X727="","",IF(Y727&gt;=5,MID(X727,22,6),""))</f>
        <v/>
      </c>
      <c r="AD727" s="23" t="str">
        <f aca="false">IF(X727="","",RIGHT(X727,6))</f>
        <v/>
      </c>
      <c r="AE727" s="23" t="str">
        <f aca="false">IF(F727="","",IF(ISNUMBER(SEARCH("-TK",UPPER(F727))),0,1))</f>
        <v/>
      </c>
      <c r="AF727" s="23" t="str">
        <f aca="false">IF(F727="","",IF(ISNUMBER(SEARCH("-LED",UPPER(F727))),1,0))</f>
        <v/>
      </c>
      <c r="AG727" s="24" t="n">
        <f aca="false">IF(Z727="",0,IFERROR(INDEX(Resep!$C$5:$C$7,MATCH(LEFT(Z727,3),Resep!$B$5:$B$7,0)),0))</f>
        <v>0</v>
      </c>
      <c r="AH727" s="24" t="n">
        <f aca="false">IF(AA727="",0,IFERROR(INDEX(Resep!$C$9:$C$13,MATCH(LEFT(AA727,3),Resep!$B$9:$B$13,0)),0))</f>
        <v>0</v>
      </c>
      <c r="AI727" s="24" t="n">
        <f aca="false">IF(AB727="",0,IFERROR(INDEX(Resep!$C$9:$C$13,MATCH(LEFT(AB727,3),Resep!$B$9:$B$13,0)),0))</f>
        <v>0</v>
      </c>
      <c r="AJ727" s="24" t="n">
        <f aca="false">IF(AC727="",0,IFERROR(INDEX(Resep!$C$9:$C$13,MATCH(LEFT(AC727,3),Resep!$B$9:$B$13,0)),0))</f>
        <v>0</v>
      </c>
      <c r="AK727" s="24" t="n">
        <f aca="false">IF(AD727="",0,IFERROR(INDEX(Resep!$C$15:$C$18,MATCH(LEFT(AD727,3),Resep!$B$15:$B$18,0)),0))</f>
        <v>0</v>
      </c>
      <c r="AL727" s="24" t="str">
        <f aca="false">IF(X727="","",AG727+AH727+AI727+AJ727+AK727)</f>
        <v/>
      </c>
      <c r="AM727" s="22" t="str">
        <f aca="false">IF(X727="","",AL727*(Pengaturan!$B$6+Pengaturan!$B$7)+Pengaturan!$B$8+AE727*Pengaturan!$B$9+AF727*Pengaturan!$B$10)</f>
        <v/>
      </c>
      <c r="AN727" s="22" t="str">
        <f aca="false">IF(X727="","",N(G727)-AM727)</f>
        <v/>
      </c>
      <c r="AO727" s="25" t="str">
        <f aca="false">IF(OR(X727="",N(G727)=0),"",AN727/G727)</f>
        <v/>
      </c>
    </row>
    <row r="728" customFormat="false" ht="15" hidden="false" customHeight="false" outlineLevel="0" collapsed="false">
      <c r="A728" s="19"/>
      <c r="B728" s="20"/>
      <c r="C728" s="19"/>
      <c r="D728" s="19"/>
      <c r="E728" s="19"/>
      <c r="F728" s="19"/>
      <c r="G728" s="21"/>
      <c r="H728" s="19"/>
      <c r="I728" s="21"/>
      <c r="J728" s="19"/>
      <c r="K728" s="20"/>
      <c r="L728" s="20"/>
      <c r="M728" s="19"/>
      <c r="N728" s="19"/>
      <c r="O728" s="20"/>
      <c r="P728" s="20"/>
      <c r="Q728" s="19"/>
      <c r="R728" s="22" t="str">
        <f aca="false">IF(A728="","",N(G728)+N(I728))</f>
        <v/>
      </c>
      <c r="S728" s="23" t="str">
        <f aca="false">IF(OR(K728="",O728=""),"",O728-K728)</f>
        <v/>
      </c>
      <c r="T728" s="23" t="str">
        <f aca="true">IF(AND(C728="Cetak",L728&lt;&gt;"",L728&lt;TODAY()),"YA","")</f>
        <v/>
      </c>
      <c r="U728" s="23" t="str">
        <f aca="false">IF(B728="","",TEXT(B728,"yyyy-mm"))</f>
        <v/>
      </c>
      <c r="V728" s="23" t="str">
        <f aca="false">IF(K728="","",TEXT(K728,"yyyy-mm"))</f>
        <v/>
      </c>
      <c r="W728" s="23" t="n">
        <f aca="false">IF(OR(C728="Cetak",C728="Dikirim",C728="Selesai"),1,0)</f>
        <v>0</v>
      </c>
      <c r="X728" s="23" t="str">
        <f aca="false">IF(F728="","",SUBSTITUTE(SUBSTITUTE(MID(UPPER(TRIM(F728)),4,99),"-LED",""),"-TK",""))</f>
        <v/>
      </c>
      <c r="Y728" s="23" t="str">
        <f aca="false">IF(X728="","",(LEN(X728)+1)/7)</f>
        <v/>
      </c>
      <c r="Z728" s="23" t="str">
        <f aca="false">IF(X728="","",LEFT(X728,6))</f>
        <v/>
      </c>
      <c r="AA728" s="23" t="str">
        <f aca="false">IF(X728="","",IF(Y728&gt;=3,MID(X728,8,6),""))</f>
        <v/>
      </c>
      <c r="AB728" s="23" t="str">
        <f aca="false">IF(X728="","",IF(Y728&gt;=4,MID(X728,15,6),""))</f>
        <v/>
      </c>
      <c r="AC728" s="23" t="str">
        <f aca="false">IF(X728="","",IF(Y728&gt;=5,MID(X728,22,6),""))</f>
        <v/>
      </c>
      <c r="AD728" s="23" t="str">
        <f aca="false">IF(X728="","",RIGHT(X728,6))</f>
        <v/>
      </c>
      <c r="AE728" s="23" t="str">
        <f aca="false">IF(F728="","",IF(ISNUMBER(SEARCH("-TK",UPPER(F728))),0,1))</f>
        <v/>
      </c>
      <c r="AF728" s="23" t="str">
        <f aca="false">IF(F728="","",IF(ISNUMBER(SEARCH("-LED",UPPER(F728))),1,0))</f>
        <v/>
      </c>
      <c r="AG728" s="24" t="n">
        <f aca="false">IF(Z728="",0,IFERROR(INDEX(Resep!$C$5:$C$7,MATCH(LEFT(Z728,3),Resep!$B$5:$B$7,0)),0))</f>
        <v>0</v>
      </c>
      <c r="AH728" s="24" t="n">
        <f aca="false">IF(AA728="",0,IFERROR(INDEX(Resep!$C$9:$C$13,MATCH(LEFT(AA728,3),Resep!$B$9:$B$13,0)),0))</f>
        <v>0</v>
      </c>
      <c r="AI728" s="24" t="n">
        <f aca="false">IF(AB728="",0,IFERROR(INDEX(Resep!$C$9:$C$13,MATCH(LEFT(AB728,3),Resep!$B$9:$B$13,0)),0))</f>
        <v>0</v>
      </c>
      <c r="AJ728" s="24" t="n">
        <f aca="false">IF(AC728="",0,IFERROR(INDEX(Resep!$C$9:$C$13,MATCH(LEFT(AC728,3),Resep!$B$9:$B$13,0)),0))</f>
        <v>0</v>
      </c>
      <c r="AK728" s="24" t="n">
        <f aca="false">IF(AD728="",0,IFERROR(INDEX(Resep!$C$15:$C$18,MATCH(LEFT(AD728,3),Resep!$B$15:$B$18,0)),0))</f>
        <v>0</v>
      </c>
      <c r="AL728" s="24" t="str">
        <f aca="false">IF(X728="","",AG728+AH728+AI728+AJ728+AK728)</f>
        <v/>
      </c>
      <c r="AM728" s="22" t="str">
        <f aca="false">IF(X728="","",AL728*(Pengaturan!$B$6+Pengaturan!$B$7)+Pengaturan!$B$8+AE728*Pengaturan!$B$9+AF728*Pengaturan!$B$10)</f>
        <v/>
      </c>
      <c r="AN728" s="22" t="str">
        <f aca="false">IF(X728="","",N(G728)-AM728)</f>
        <v/>
      </c>
      <c r="AO728" s="25" t="str">
        <f aca="false">IF(OR(X728="",N(G728)=0),"",AN728/G728)</f>
        <v/>
      </c>
    </row>
    <row r="729" customFormat="false" ht="15" hidden="false" customHeight="false" outlineLevel="0" collapsed="false">
      <c r="A729" s="19"/>
      <c r="B729" s="20"/>
      <c r="C729" s="19"/>
      <c r="D729" s="19"/>
      <c r="E729" s="19"/>
      <c r="F729" s="19"/>
      <c r="G729" s="21"/>
      <c r="H729" s="19"/>
      <c r="I729" s="21"/>
      <c r="J729" s="19"/>
      <c r="K729" s="20"/>
      <c r="L729" s="20"/>
      <c r="M729" s="19"/>
      <c r="N729" s="19"/>
      <c r="O729" s="20"/>
      <c r="P729" s="20"/>
      <c r="Q729" s="19"/>
      <c r="R729" s="22" t="str">
        <f aca="false">IF(A729="","",N(G729)+N(I729))</f>
        <v/>
      </c>
      <c r="S729" s="23" t="str">
        <f aca="false">IF(OR(K729="",O729=""),"",O729-K729)</f>
        <v/>
      </c>
      <c r="T729" s="23" t="str">
        <f aca="true">IF(AND(C729="Cetak",L729&lt;&gt;"",L729&lt;TODAY()),"YA","")</f>
        <v/>
      </c>
      <c r="U729" s="23" t="str">
        <f aca="false">IF(B729="","",TEXT(B729,"yyyy-mm"))</f>
        <v/>
      </c>
      <c r="V729" s="23" t="str">
        <f aca="false">IF(K729="","",TEXT(K729,"yyyy-mm"))</f>
        <v/>
      </c>
      <c r="W729" s="23" t="n">
        <f aca="false">IF(OR(C729="Cetak",C729="Dikirim",C729="Selesai"),1,0)</f>
        <v>0</v>
      </c>
      <c r="X729" s="23" t="str">
        <f aca="false">IF(F729="","",SUBSTITUTE(SUBSTITUTE(MID(UPPER(TRIM(F729)),4,99),"-LED",""),"-TK",""))</f>
        <v/>
      </c>
      <c r="Y729" s="23" t="str">
        <f aca="false">IF(X729="","",(LEN(X729)+1)/7)</f>
        <v/>
      </c>
      <c r="Z729" s="23" t="str">
        <f aca="false">IF(X729="","",LEFT(X729,6))</f>
        <v/>
      </c>
      <c r="AA729" s="23" t="str">
        <f aca="false">IF(X729="","",IF(Y729&gt;=3,MID(X729,8,6),""))</f>
        <v/>
      </c>
      <c r="AB729" s="23" t="str">
        <f aca="false">IF(X729="","",IF(Y729&gt;=4,MID(X729,15,6),""))</f>
        <v/>
      </c>
      <c r="AC729" s="23" t="str">
        <f aca="false">IF(X729="","",IF(Y729&gt;=5,MID(X729,22,6),""))</f>
        <v/>
      </c>
      <c r="AD729" s="23" t="str">
        <f aca="false">IF(X729="","",RIGHT(X729,6))</f>
        <v/>
      </c>
      <c r="AE729" s="23" t="str">
        <f aca="false">IF(F729="","",IF(ISNUMBER(SEARCH("-TK",UPPER(F729))),0,1))</f>
        <v/>
      </c>
      <c r="AF729" s="23" t="str">
        <f aca="false">IF(F729="","",IF(ISNUMBER(SEARCH("-LED",UPPER(F729))),1,0))</f>
        <v/>
      </c>
      <c r="AG729" s="24" t="n">
        <f aca="false">IF(Z729="",0,IFERROR(INDEX(Resep!$C$5:$C$7,MATCH(LEFT(Z729,3),Resep!$B$5:$B$7,0)),0))</f>
        <v>0</v>
      </c>
      <c r="AH729" s="24" t="n">
        <f aca="false">IF(AA729="",0,IFERROR(INDEX(Resep!$C$9:$C$13,MATCH(LEFT(AA729,3),Resep!$B$9:$B$13,0)),0))</f>
        <v>0</v>
      </c>
      <c r="AI729" s="24" t="n">
        <f aca="false">IF(AB729="",0,IFERROR(INDEX(Resep!$C$9:$C$13,MATCH(LEFT(AB729,3),Resep!$B$9:$B$13,0)),0))</f>
        <v>0</v>
      </c>
      <c r="AJ729" s="24" t="n">
        <f aca="false">IF(AC729="",0,IFERROR(INDEX(Resep!$C$9:$C$13,MATCH(LEFT(AC729,3),Resep!$B$9:$B$13,0)),0))</f>
        <v>0</v>
      </c>
      <c r="AK729" s="24" t="n">
        <f aca="false">IF(AD729="",0,IFERROR(INDEX(Resep!$C$15:$C$18,MATCH(LEFT(AD729,3),Resep!$B$15:$B$18,0)),0))</f>
        <v>0</v>
      </c>
      <c r="AL729" s="24" t="str">
        <f aca="false">IF(X729="","",AG729+AH729+AI729+AJ729+AK729)</f>
        <v/>
      </c>
      <c r="AM729" s="22" t="str">
        <f aca="false">IF(X729="","",AL729*(Pengaturan!$B$6+Pengaturan!$B$7)+Pengaturan!$B$8+AE729*Pengaturan!$B$9+AF729*Pengaturan!$B$10)</f>
        <v/>
      </c>
      <c r="AN729" s="22" t="str">
        <f aca="false">IF(X729="","",N(G729)-AM729)</f>
        <v/>
      </c>
      <c r="AO729" s="25" t="str">
        <f aca="false">IF(OR(X729="",N(G729)=0),"",AN729/G729)</f>
        <v/>
      </c>
    </row>
    <row r="730" customFormat="false" ht="15" hidden="false" customHeight="false" outlineLevel="0" collapsed="false">
      <c r="A730" s="19"/>
      <c r="B730" s="20"/>
      <c r="C730" s="19"/>
      <c r="D730" s="19"/>
      <c r="E730" s="19"/>
      <c r="F730" s="19"/>
      <c r="G730" s="21"/>
      <c r="H730" s="19"/>
      <c r="I730" s="21"/>
      <c r="J730" s="19"/>
      <c r="K730" s="20"/>
      <c r="L730" s="20"/>
      <c r="M730" s="19"/>
      <c r="N730" s="19"/>
      <c r="O730" s="20"/>
      <c r="P730" s="20"/>
      <c r="Q730" s="19"/>
      <c r="R730" s="22" t="str">
        <f aca="false">IF(A730="","",N(G730)+N(I730))</f>
        <v/>
      </c>
      <c r="S730" s="23" t="str">
        <f aca="false">IF(OR(K730="",O730=""),"",O730-K730)</f>
        <v/>
      </c>
      <c r="T730" s="23" t="str">
        <f aca="true">IF(AND(C730="Cetak",L730&lt;&gt;"",L730&lt;TODAY()),"YA","")</f>
        <v/>
      </c>
      <c r="U730" s="23" t="str">
        <f aca="false">IF(B730="","",TEXT(B730,"yyyy-mm"))</f>
        <v/>
      </c>
      <c r="V730" s="23" t="str">
        <f aca="false">IF(K730="","",TEXT(K730,"yyyy-mm"))</f>
        <v/>
      </c>
      <c r="W730" s="23" t="n">
        <f aca="false">IF(OR(C730="Cetak",C730="Dikirim",C730="Selesai"),1,0)</f>
        <v>0</v>
      </c>
      <c r="X730" s="23" t="str">
        <f aca="false">IF(F730="","",SUBSTITUTE(SUBSTITUTE(MID(UPPER(TRIM(F730)),4,99),"-LED",""),"-TK",""))</f>
        <v/>
      </c>
      <c r="Y730" s="23" t="str">
        <f aca="false">IF(X730="","",(LEN(X730)+1)/7)</f>
        <v/>
      </c>
      <c r="Z730" s="23" t="str">
        <f aca="false">IF(X730="","",LEFT(X730,6))</f>
        <v/>
      </c>
      <c r="AA730" s="23" t="str">
        <f aca="false">IF(X730="","",IF(Y730&gt;=3,MID(X730,8,6),""))</f>
        <v/>
      </c>
      <c r="AB730" s="23" t="str">
        <f aca="false">IF(X730="","",IF(Y730&gt;=4,MID(X730,15,6),""))</f>
        <v/>
      </c>
      <c r="AC730" s="23" t="str">
        <f aca="false">IF(X730="","",IF(Y730&gt;=5,MID(X730,22,6),""))</f>
        <v/>
      </c>
      <c r="AD730" s="23" t="str">
        <f aca="false">IF(X730="","",RIGHT(X730,6))</f>
        <v/>
      </c>
      <c r="AE730" s="23" t="str">
        <f aca="false">IF(F730="","",IF(ISNUMBER(SEARCH("-TK",UPPER(F730))),0,1))</f>
        <v/>
      </c>
      <c r="AF730" s="23" t="str">
        <f aca="false">IF(F730="","",IF(ISNUMBER(SEARCH("-LED",UPPER(F730))),1,0))</f>
        <v/>
      </c>
      <c r="AG730" s="24" t="n">
        <f aca="false">IF(Z730="",0,IFERROR(INDEX(Resep!$C$5:$C$7,MATCH(LEFT(Z730,3),Resep!$B$5:$B$7,0)),0))</f>
        <v>0</v>
      </c>
      <c r="AH730" s="24" t="n">
        <f aca="false">IF(AA730="",0,IFERROR(INDEX(Resep!$C$9:$C$13,MATCH(LEFT(AA730,3),Resep!$B$9:$B$13,0)),0))</f>
        <v>0</v>
      </c>
      <c r="AI730" s="24" t="n">
        <f aca="false">IF(AB730="",0,IFERROR(INDEX(Resep!$C$9:$C$13,MATCH(LEFT(AB730,3),Resep!$B$9:$B$13,0)),0))</f>
        <v>0</v>
      </c>
      <c r="AJ730" s="24" t="n">
        <f aca="false">IF(AC730="",0,IFERROR(INDEX(Resep!$C$9:$C$13,MATCH(LEFT(AC730,3),Resep!$B$9:$B$13,0)),0))</f>
        <v>0</v>
      </c>
      <c r="AK730" s="24" t="n">
        <f aca="false">IF(AD730="",0,IFERROR(INDEX(Resep!$C$15:$C$18,MATCH(LEFT(AD730,3),Resep!$B$15:$B$18,0)),0))</f>
        <v>0</v>
      </c>
      <c r="AL730" s="24" t="str">
        <f aca="false">IF(X730="","",AG730+AH730+AI730+AJ730+AK730)</f>
        <v/>
      </c>
      <c r="AM730" s="22" t="str">
        <f aca="false">IF(X730="","",AL730*(Pengaturan!$B$6+Pengaturan!$B$7)+Pengaturan!$B$8+AE730*Pengaturan!$B$9+AF730*Pengaturan!$B$10)</f>
        <v/>
      </c>
      <c r="AN730" s="22" t="str">
        <f aca="false">IF(X730="","",N(G730)-AM730)</f>
        <v/>
      </c>
      <c r="AO730" s="25" t="str">
        <f aca="false">IF(OR(X730="",N(G730)=0),"",AN730/G730)</f>
        <v/>
      </c>
    </row>
    <row r="731" customFormat="false" ht="15" hidden="false" customHeight="false" outlineLevel="0" collapsed="false">
      <c r="A731" s="19"/>
      <c r="B731" s="20"/>
      <c r="C731" s="19"/>
      <c r="D731" s="19"/>
      <c r="E731" s="19"/>
      <c r="F731" s="19"/>
      <c r="G731" s="21"/>
      <c r="H731" s="19"/>
      <c r="I731" s="21"/>
      <c r="J731" s="19"/>
      <c r="K731" s="20"/>
      <c r="L731" s="20"/>
      <c r="M731" s="19"/>
      <c r="N731" s="19"/>
      <c r="O731" s="20"/>
      <c r="P731" s="20"/>
      <c r="Q731" s="19"/>
      <c r="R731" s="22" t="str">
        <f aca="false">IF(A731="","",N(G731)+N(I731))</f>
        <v/>
      </c>
      <c r="S731" s="23" t="str">
        <f aca="false">IF(OR(K731="",O731=""),"",O731-K731)</f>
        <v/>
      </c>
      <c r="T731" s="23" t="str">
        <f aca="true">IF(AND(C731="Cetak",L731&lt;&gt;"",L731&lt;TODAY()),"YA","")</f>
        <v/>
      </c>
      <c r="U731" s="23" t="str">
        <f aca="false">IF(B731="","",TEXT(B731,"yyyy-mm"))</f>
        <v/>
      </c>
      <c r="V731" s="23" t="str">
        <f aca="false">IF(K731="","",TEXT(K731,"yyyy-mm"))</f>
        <v/>
      </c>
      <c r="W731" s="23" t="n">
        <f aca="false">IF(OR(C731="Cetak",C731="Dikirim",C731="Selesai"),1,0)</f>
        <v>0</v>
      </c>
      <c r="X731" s="23" t="str">
        <f aca="false">IF(F731="","",SUBSTITUTE(SUBSTITUTE(MID(UPPER(TRIM(F731)),4,99),"-LED",""),"-TK",""))</f>
        <v/>
      </c>
      <c r="Y731" s="23" t="str">
        <f aca="false">IF(X731="","",(LEN(X731)+1)/7)</f>
        <v/>
      </c>
      <c r="Z731" s="23" t="str">
        <f aca="false">IF(X731="","",LEFT(X731,6))</f>
        <v/>
      </c>
      <c r="AA731" s="23" t="str">
        <f aca="false">IF(X731="","",IF(Y731&gt;=3,MID(X731,8,6),""))</f>
        <v/>
      </c>
      <c r="AB731" s="23" t="str">
        <f aca="false">IF(X731="","",IF(Y731&gt;=4,MID(X731,15,6),""))</f>
        <v/>
      </c>
      <c r="AC731" s="23" t="str">
        <f aca="false">IF(X731="","",IF(Y731&gt;=5,MID(X731,22,6),""))</f>
        <v/>
      </c>
      <c r="AD731" s="23" t="str">
        <f aca="false">IF(X731="","",RIGHT(X731,6))</f>
        <v/>
      </c>
      <c r="AE731" s="23" t="str">
        <f aca="false">IF(F731="","",IF(ISNUMBER(SEARCH("-TK",UPPER(F731))),0,1))</f>
        <v/>
      </c>
      <c r="AF731" s="23" t="str">
        <f aca="false">IF(F731="","",IF(ISNUMBER(SEARCH("-LED",UPPER(F731))),1,0))</f>
        <v/>
      </c>
      <c r="AG731" s="24" t="n">
        <f aca="false">IF(Z731="",0,IFERROR(INDEX(Resep!$C$5:$C$7,MATCH(LEFT(Z731,3),Resep!$B$5:$B$7,0)),0))</f>
        <v>0</v>
      </c>
      <c r="AH731" s="24" t="n">
        <f aca="false">IF(AA731="",0,IFERROR(INDEX(Resep!$C$9:$C$13,MATCH(LEFT(AA731,3),Resep!$B$9:$B$13,0)),0))</f>
        <v>0</v>
      </c>
      <c r="AI731" s="24" t="n">
        <f aca="false">IF(AB731="",0,IFERROR(INDEX(Resep!$C$9:$C$13,MATCH(LEFT(AB731,3),Resep!$B$9:$B$13,0)),0))</f>
        <v>0</v>
      </c>
      <c r="AJ731" s="24" t="n">
        <f aca="false">IF(AC731="",0,IFERROR(INDEX(Resep!$C$9:$C$13,MATCH(LEFT(AC731,3),Resep!$B$9:$B$13,0)),0))</f>
        <v>0</v>
      </c>
      <c r="AK731" s="24" t="n">
        <f aca="false">IF(AD731="",0,IFERROR(INDEX(Resep!$C$15:$C$18,MATCH(LEFT(AD731,3),Resep!$B$15:$B$18,0)),0))</f>
        <v>0</v>
      </c>
      <c r="AL731" s="24" t="str">
        <f aca="false">IF(X731="","",AG731+AH731+AI731+AJ731+AK731)</f>
        <v/>
      </c>
      <c r="AM731" s="22" t="str">
        <f aca="false">IF(X731="","",AL731*(Pengaturan!$B$6+Pengaturan!$B$7)+Pengaturan!$B$8+AE731*Pengaturan!$B$9+AF731*Pengaturan!$B$10)</f>
        <v/>
      </c>
      <c r="AN731" s="22" t="str">
        <f aca="false">IF(X731="","",N(G731)-AM731)</f>
        <v/>
      </c>
      <c r="AO731" s="25" t="str">
        <f aca="false">IF(OR(X731="",N(G731)=0),"",AN731/G731)</f>
        <v/>
      </c>
    </row>
    <row r="732" customFormat="false" ht="15" hidden="false" customHeight="false" outlineLevel="0" collapsed="false">
      <c r="A732" s="19"/>
      <c r="B732" s="20"/>
      <c r="C732" s="19"/>
      <c r="D732" s="19"/>
      <c r="E732" s="19"/>
      <c r="F732" s="19"/>
      <c r="G732" s="21"/>
      <c r="H732" s="19"/>
      <c r="I732" s="21"/>
      <c r="J732" s="19"/>
      <c r="K732" s="20"/>
      <c r="L732" s="20"/>
      <c r="M732" s="19"/>
      <c r="N732" s="19"/>
      <c r="O732" s="20"/>
      <c r="P732" s="20"/>
      <c r="Q732" s="19"/>
      <c r="R732" s="22" t="str">
        <f aca="false">IF(A732="","",N(G732)+N(I732))</f>
        <v/>
      </c>
      <c r="S732" s="23" t="str">
        <f aca="false">IF(OR(K732="",O732=""),"",O732-K732)</f>
        <v/>
      </c>
      <c r="T732" s="23" t="str">
        <f aca="true">IF(AND(C732="Cetak",L732&lt;&gt;"",L732&lt;TODAY()),"YA","")</f>
        <v/>
      </c>
      <c r="U732" s="23" t="str">
        <f aca="false">IF(B732="","",TEXT(B732,"yyyy-mm"))</f>
        <v/>
      </c>
      <c r="V732" s="23" t="str">
        <f aca="false">IF(K732="","",TEXT(K732,"yyyy-mm"))</f>
        <v/>
      </c>
      <c r="W732" s="23" t="n">
        <f aca="false">IF(OR(C732="Cetak",C732="Dikirim",C732="Selesai"),1,0)</f>
        <v>0</v>
      </c>
      <c r="X732" s="23" t="str">
        <f aca="false">IF(F732="","",SUBSTITUTE(SUBSTITUTE(MID(UPPER(TRIM(F732)),4,99),"-LED",""),"-TK",""))</f>
        <v/>
      </c>
      <c r="Y732" s="23" t="str">
        <f aca="false">IF(X732="","",(LEN(X732)+1)/7)</f>
        <v/>
      </c>
      <c r="Z732" s="23" t="str">
        <f aca="false">IF(X732="","",LEFT(X732,6))</f>
        <v/>
      </c>
      <c r="AA732" s="23" t="str">
        <f aca="false">IF(X732="","",IF(Y732&gt;=3,MID(X732,8,6),""))</f>
        <v/>
      </c>
      <c r="AB732" s="23" t="str">
        <f aca="false">IF(X732="","",IF(Y732&gt;=4,MID(X732,15,6),""))</f>
        <v/>
      </c>
      <c r="AC732" s="23" t="str">
        <f aca="false">IF(X732="","",IF(Y732&gt;=5,MID(X732,22,6),""))</f>
        <v/>
      </c>
      <c r="AD732" s="23" t="str">
        <f aca="false">IF(X732="","",RIGHT(X732,6))</f>
        <v/>
      </c>
      <c r="AE732" s="23" t="str">
        <f aca="false">IF(F732="","",IF(ISNUMBER(SEARCH("-TK",UPPER(F732))),0,1))</f>
        <v/>
      </c>
      <c r="AF732" s="23" t="str">
        <f aca="false">IF(F732="","",IF(ISNUMBER(SEARCH("-LED",UPPER(F732))),1,0))</f>
        <v/>
      </c>
      <c r="AG732" s="24" t="n">
        <f aca="false">IF(Z732="",0,IFERROR(INDEX(Resep!$C$5:$C$7,MATCH(LEFT(Z732,3),Resep!$B$5:$B$7,0)),0))</f>
        <v>0</v>
      </c>
      <c r="AH732" s="24" t="n">
        <f aca="false">IF(AA732="",0,IFERROR(INDEX(Resep!$C$9:$C$13,MATCH(LEFT(AA732,3),Resep!$B$9:$B$13,0)),0))</f>
        <v>0</v>
      </c>
      <c r="AI732" s="24" t="n">
        <f aca="false">IF(AB732="",0,IFERROR(INDEX(Resep!$C$9:$C$13,MATCH(LEFT(AB732,3),Resep!$B$9:$B$13,0)),0))</f>
        <v>0</v>
      </c>
      <c r="AJ732" s="24" t="n">
        <f aca="false">IF(AC732="",0,IFERROR(INDEX(Resep!$C$9:$C$13,MATCH(LEFT(AC732,3),Resep!$B$9:$B$13,0)),0))</f>
        <v>0</v>
      </c>
      <c r="AK732" s="24" t="n">
        <f aca="false">IF(AD732="",0,IFERROR(INDEX(Resep!$C$15:$C$18,MATCH(LEFT(AD732,3),Resep!$B$15:$B$18,0)),0))</f>
        <v>0</v>
      </c>
      <c r="AL732" s="24" t="str">
        <f aca="false">IF(X732="","",AG732+AH732+AI732+AJ732+AK732)</f>
        <v/>
      </c>
      <c r="AM732" s="22" t="str">
        <f aca="false">IF(X732="","",AL732*(Pengaturan!$B$6+Pengaturan!$B$7)+Pengaturan!$B$8+AE732*Pengaturan!$B$9+AF732*Pengaturan!$B$10)</f>
        <v/>
      </c>
      <c r="AN732" s="22" t="str">
        <f aca="false">IF(X732="","",N(G732)-AM732)</f>
        <v/>
      </c>
      <c r="AO732" s="25" t="str">
        <f aca="false">IF(OR(X732="",N(G732)=0),"",AN732/G732)</f>
        <v/>
      </c>
    </row>
    <row r="733" customFormat="false" ht="15" hidden="false" customHeight="false" outlineLevel="0" collapsed="false">
      <c r="A733" s="19"/>
      <c r="B733" s="20"/>
      <c r="C733" s="19"/>
      <c r="D733" s="19"/>
      <c r="E733" s="19"/>
      <c r="F733" s="19"/>
      <c r="G733" s="21"/>
      <c r="H733" s="19"/>
      <c r="I733" s="21"/>
      <c r="J733" s="19"/>
      <c r="K733" s="20"/>
      <c r="L733" s="20"/>
      <c r="M733" s="19"/>
      <c r="N733" s="19"/>
      <c r="O733" s="20"/>
      <c r="P733" s="20"/>
      <c r="Q733" s="19"/>
      <c r="R733" s="22" t="str">
        <f aca="false">IF(A733="","",N(G733)+N(I733))</f>
        <v/>
      </c>
      <c r="S733" s="23" t="str">
        <f aca="false">IF(OR(K733="",O733=""),"",O733-K733)</f>
        <v/>
      </c>
      <c r="T733" s="23" t="str">
        <f aca="true">IF(AND(C733="Cetak",L733&lt;&gt;"",L733&lt;TODAY()),"YA","")</f>
        <v/>
      </c>
      <c r="U733" s="23" t="str">
        <f aca="false">IF(B733="","",TEXT(B733,"yyyy-mm"))</f>
        <v/>
      </c>
      <c r="V733" s="23" t="str">
        <f aca="false">IF(K733="","",TEXT(K733,"yyyy-mm"))</f>
        <v/>
      </c>
      <c r="W733" s="23" t="n">
        <f aca="false">IF(OR(C733="Cetak",C733="Dikirim",C733="Selesai"),1,0)</f>
        <v>0</v>
      </c>
      <c r="X733" s="23" t="str">
        <f aca="false">IF(F733="","",SUBSTITUTE(SUBSTITUTE(MID(UPPER(TRIM(F733)),4,99),"-LED",""),"-TK",""))</f>
        <v/>
      </c>
      <c r="Y733" s="23" t="str">
        <f aca="false">IF(X733="","",(LEN(X733)+1)/7)</f>
        <v/>
      </c>
      <c r="Z733" s="23" t="str">
        <f aca="false">IF(X733="","",LEFT(X733,6))</f>
        <v/>
      </c>
      <c r="AA733" s="23" t="str">
        <f aca="false">IF(X733="","",IF(Y733&gt;=3,MID(X733,8,6),""))</f>
        <v/>
      </c>
      <c r="AB733" s="23" t="str">
        <f aca="false">IF(X733="","",IF(Y733&gt;=4,MID(X733,15,6),""))</f>
        <v/>
      </c>
      <c r="AC733" s="23" t="str">
        <f aca="false">IF(X733="","",IF(Y733&gt;=5,MID(X733,22,6),""))</f>
        <v/>
      </c>
      <c r="AD733" s="23" t="str">
        <f aca="false">IF(X733="","",RIGHT(X733,6))</f>
        <v/>
      </c>
      <c r="AE733" s="23" t="str">
        <f aca="false">IF(F733="","",IF(ISNUMBER(SEARCH("-TK",UPPER(F733))),0,1))</f>
        <v/>
      </c>
      <c r="AF733" s="23" t="str">
        <f aca="false">IF(F733="","",IF(ISNUMBER(SEARCH("-LED",UPPER(F733))),1,0))</f>
        <v/>
      </c>
      <c r="AG733" s="24" t="n">
        <f aca="false">IF(Z733="",0,IFERROR(INDEX(Resep!$C$5:$C$7,MATCH(LEFT(Z733,3),Resep!$B$5:$B$7,0)),0))</f>
        <v>0</v>
      </c>
      <c r="AH733" s="24" t="n">
        <f aca="false">IF(AA733="",0,IFERROR(INDEX(Resep!$C$9:$C$13,MATCH(LEFT(AA733,3),Resep!$B$9:$B$13,0)),0))</f>
        <v>0</v>
      </c>
      <c r="AI733" s="24" t="n">
        <f aca="false">IF(AB733="",0,IFERROR(INDEX(Resep!$C$9:$C$13,MATCH(LEFT(AB733,3),Resep!$B$9:$B$13,0)),0))</f>
        <v>0</v>
      </c>
      <c r="AJ733" s="24" t="n">
        <f aca="false">IF(AC733="",0,IFERROR(INDEX(Resep!$C$9:$C$13,MATCH(LEFT(AC733,3),Resep!$B$9:$B$13,0)),0))</f>
        <v>0</v>
      </c>
      <c r="AK733" s="24" t="n">
        <f aca="false">IF(AD733="",0,IFERROR(INDEX(Resep!$C$15:$C$18,MATCH(LEFT(AD733,3),Resep!$B$15:$B$18,0)),0))</f>
        <v>0</v>
      </c>
      <c r="AL733" s="24" t="str">
        <f aca="false">IF(X733="","",AG733+AH733+AI733+AJ733+AK733)</f>
        <v/>
      </c>
      <c r="AM733" s="22" t="str">
        <f aca="false">IF(X733="","",AL733*(Pengaturan!$B$6+Pengaturan!$B$7)+Pengaturan!$B$8+AE733*Pengaturan!$B$9+AF733*Pengaturan!$B$10)</f>
        <v/>
      </c>
      <c r="AN733" s="22" t="str">
        <f aca="false">IF(X733="","",N(G733)-AM733)</f>
        <v/>
      </c>
      <c r="AO733" s="25" t="str">
        <f aca="false">IF(OR(X733="",N(G733)=0),"",AN733/G733)</f>
        <v/>
      </c>
    </row>
    <row r="734" customFormat="false" ht="15" hidden="false" customHeight="false" outlineLevel="0" collapsed="false">
      <c r="A734" s="19"/>
      <c r="B734" s="20"/>
      <c r="C734" s="19"/>
      <c r="D734" s="19"/>
      <c r="E734" s="19"/>
      <c r="F734" s="19"/>
      <c r="G734" s="21"/>
      <c r="H734" s="19"/>
      <c r="I734" s="21"/>
      <c r="J734" s="19"/>
      <c r="K734" s="20"/>
      <c r="L734" s="20"/>
      <c r="M734" s="19"/>
      <c r="N734" s="19"/>
      <c r="O734" s="20"/>
      <c r="P734" s="20"/>
      <c r="Q734" s="19"/>
      <c r="R734" s="22" t="str">
        <f aca="false">IF(A734="","",N(G734)+N(I734))</f>
        <v/>
      </c>
      <c r="S734" s="23" t="str">
        <f aca="false">IF(OR(K734="",O734=""),"",O734-K734)</f>
        <v/>
      </c>
      <c r="T734" s="23" t="str">
        <f aca="true">IF(AND(C734="Cetak",L734&lt;&gt;"",L734&lt;TODAY()),"YA","")</f>
        <v/>
      </c>
      <c r="U734" s="23" t="str">
        <f aca="false">IF(B734="","",TEXT(B734,"yyyy-mm"))</f>
        <v/>
      </c>
      <c r="V734" s="23" t="str">
        <f aca="false">IF(K734="","",TEXT(K734,"yyyy-mm"))</f>
        <v/>
      </c>
      <c r="W734" s="23" t="n">
        <f aca="false">IF(OR(C734="Cetak",C734="Dikirim",C734="Selesai"),1,0)</f>
        <v>0</v>
      </c>
      <c r="X734" s="23" t="str">
        <f aca="false">IF(F734="","",SUBSTITUTE(SUBSTITUTE(MID(UPPER(TRIM(F734)),4,99),"-LED",""),"-TK",""))</f>
        <v/>
      </c>
      <c r="Y734" s="23" t="str">
        <f aca="false">IF(X734="","",(LEN(X734)+1)/7)</f>
        <v/>
      </c>
      <c r="Z734" s="23" t="str">
        <f aca="false">IF(X734="","",LEFT(X734,6))</f>
        <v/>
      </c>
      <c r="AA734" s="23" t="str">
        <f aca="false">IF(X734="","",IF(Y734&gt;=3,MID(X734,8,6),""))</f>
        <v/>
      </c>
      <c r="AB734" s="23" t="str">
        <f aca="false">IF(X734="","",IF(Y734&gt;=4,MID(X734,15,6),""))</f>
        <v/>
      </c>
      <c r="AC734" s="23" t="str">
        <f aca="false">IF(X734="","",IF(Y734&gt;=5,MID(X734,22,6),""))</f>
        <v/>
      </c>
      <c r="AD734" s="23" t="str">
        <f aca="false">IF(X734="","",RIGHT(X734,6))</f>
        <v/>
      </c>
      <c r="AE734" s="23" t="str">
        <f aca="false">IF(F734="","",IF(ISNUMBER(SEARCH("-TK",UPPER(F734))),0,1))</f>
        <v/>
      </c>
      <c r="AF734" s="23" t="str">
        <f aca="false">IF(F734="","",IF(ISNUMBER(SEARCH("-LED",UPPER(F734))),1,0))</f>
        <v/>
      </c>
      <c r="AG734" s="24" t="n">
        <f aca="false">IF(Z734="",0,IFERROR(INDEX(Resep!$C$5:$C$7,MATCH(LEFT(Z734,3),Resep!$B$5:$B$7,0)),0))</f>
        <v>0</v>
      </c>
      <c r="AH734" s="24" t="n">
        <f aca="false">IF(AA734="",0,IFERROR(INDEX(Resep!$C$9:$C$13,MATCH(LEFT(AA734,3),Resep!$B$9:$B$13,0)),0))</f>
        <v>0</v>
      </c>
      <c r="AI734" s="24" t="n">
        <f aca="false">IF(AB734="",0,IFERROR(INDEX(Resep!$C$9:$C$13,MATCH(LEFT(AB734,3),Resep!$B$9:$B$13,0)),0))</f>
        <v>0</v>
      </c>
      <c r="AJ734" s="24" t="n">
        <f aca="false">IF(AC734="",0,IFERROR(INDEX(Resep!$C$9:$C$13,MATCH(LEFT(AC734,3),Resep!$B$9:$B$13,0)),0))</f>
        <v>0</v>
      </c>
      <c r="AK734" s="24" t="n">
        <f aca="false">IF(AD734="",0,IFERROR(INDEX(Resep!$C$15:$C$18,MATCH(LEFT(AD734,3),Resep!$B$15:$B$18,0)),0))</f>
        <v>0</v>
      </c>
      <c r="AL734" s="24" t="str">
        <f aca="false">IF(X734="","",AG734+AH734+AI734+AJ734+AK734)</f>
        <v/>
      </c>
      <c r="AM734" s="22" t="str">
        <f aca="false">IF(X734="","",AL734*(Pengaturan!$B$6+Pengaturan!$B$7)+Pengaturan!$B$8+AE734*Pengaturan!$B$9+AF734*Pengaturan!$B$10)</f>
        <v/>
      </c>
      <c r="AN734" s="22" t="str">
        <f aca="false">IF(X734="","",N(G734)-AM734)</f>
        <v/>
      </c>
      <c r="AO734" s="25" t="str">
        <f aca="false">IF(OR(X734="",N(G734)=0),"",AN734/G734)</f>
        <v/>
      </c>
    </row>
    <row r="735" customFormat="false" ht="15" hidden="false" customHeight="false" outlineLevel="0" collapsed="false">
      <c r="A735" s="19"/>
      <c r="B735" s="20"/>
      <c r="C735" s="19"/>
      <c r="D735" s="19"/>
      <c r="E735" s="19"/>
      <c r="F735" s="19"/>
      <c r="G735" s="21"/>
      <c r="H735" s="19"/>
      <c r="I735" s="21"/>
      <c r="J735" s="19"/>
      <c r="K735" s="20"/>
      <c r="L735" s="20"/>
      <c r="M735" s="19"/>
      <c r="N735" s="19"/>
      <c r="O735" s="20"/>
      <c r="P735" s="20"/>
      <c r="Q735" s="19"/>
      <c r="R735" s="22" t="str">
        <f aca="false">IF(A735="","",N(G735)+N(I735))</f>
        <v/>
      </c>
      <c r="S735" s="23" t="str">
        <f aca="false">IF(OR(K735="",O735=""),"",O735-K735)</f>
        <v/>
      </c>
      <c r="T735" s="23" t="str">
        <f aca="true">IF(AND(C735="Cetak",L735&lt;&gt;"",L735&lt;TODAY()),"YA","")</f>
        <v/>
      </c>
      <c r="U735" s="23" t="str">
        <f aca="false">IF(B735="","",TEXT(B735,"yyyy-mm"))</f>
        <v/>
      </c>
      <c r="V735" s="23" t="str">
        <f aca="false">IF(K735="","",TEXT(K735,"yyyy-mm"))</f>
        <v/>
      </c>
      <c r="W735" s="23" t="n">
        <f aca="false">IF(OR(C735="Cetak",C735="Dikirim",C735="Selesai"),1,0)</f>
        <v>0</v>
      </c>
      <c r="X735" s="23" t="str">
        <f aca="false">IF(F735="","",SUBSTITUTE(SUBSTITUTE(MID(UPPER(TRIM(F735)),4,99),"-LED",""),"-TK",""))</f>
        <v/>
      </c>
      <c r="Y735" s="23" t="str">
        <f aca="false">IF(X735="","",(LEN(X735)+1)/7)</f>
        <v/>
      </c>
      <c r="Z735" s="23" t="str">
        <f aca="false">IF(X735="","",LEFT(X735,6))</f>
        <v/>
      </c>
      <c r="AA735" s="23" t="str">
        <f aca="false">IF(X735="","",IF(Y735&gt;=3,MID(X735,8,6),""))</f>
        <v/>
      </c>
      <c r="AB735" s="23" t="str">
        <f aca="false">IF(X735="","",IF(Y735&gt;=4,MID(X735,15,6),""))</f>
        <v/>
      </c>
      <c r="AC735" s="23" t="str">
        <f aca="false">IF(X735="","",IF(Y735&gt;=5,MID(X735,22,6),""))</f>
        <v/>
      </c>
      <c r="AD735" s="23" t="str">
        <f aca="false">IF(X735="","",RIGHT(X735,6))</f>
        <v/>
      </c>
      <c r="AE735" s="23" t="str">
        <f aca="false">IF(F735="","",IF(ISNUMBER(SEARCH("-TK",UPPER(F735))),0,1))</f>
        <v/>
      </c>
      <c r="AF735" s="23" t="str">
        <f aca="false">IF(F735="","",IF(ISNUMBER(SEARCH("-LED",UPPER(F735))),1,0))</f>
        <v/>
      </c>
      <c r="AG735" s="24" t="n">
        <f aca="false">IF(Z735="",0,IFERROR(INDEX(Resep!$C$5:$C$7,MATCH(LEFT(Z735,3),Resep!$B$5:$B$7,0)),0))</f>
        <v>0</v>
      </c>
      <c r="AH735" s="24" t="n">
        <f aca="false">IF(AA735="",0,IFERROR(INDEX(Resep!$C$9:$C$13,MATCH(LEFT(AA735,3),Resep!$B$9:$B$13,0)),0))</f>
        <v>0</v>
      </c>
      <c r="AI735" s="24" t="n">
        <f aca="false">IF(AB735="",0,IFERROR(INDEX(Resep!$C$9:$C$13,MATCH(LEFT(AB735,3),Resep!$B$9:$B$13,0)),0))</f>
        <v>0</v>
      </c>
      <c r="AJ735" s="24" t="n">
        <f aca="false">IF(AC735="",0,IFERROR(INDEX(Resep!$C$9:$C$13,MATCH(LEFT(AC735,3),Resep!$B$9:$B$13,0)),0))</f>
        <v>0</v>
      </c>
      <c r="AK735" s="24" t="n">
        <f aca="false">IF(AD735="",0,IFERROR(INDEX(Resep!$C$15:$C$18,MATCH(LEFT(AD735,3),Resep!$B$15:$B$18,0)),0))</f>
        <v>0</v>
      </c>
      <c r="AL735" s="24" t="str">
        <f aca="false">IF(X735="","",AG735+AH735+AI735+AJ735+AK735)</f>
        <v/>
      </c>
      <c r="AM735" s="22" t="str">
        <f aca="false">IF(X735="","",AL735*(Pengaturan!$B$6+Pengaturan!$B$7)+Pengaturan!$B$8+AE735*Pengaturan!$B$9+AF735*Pengaturan!$B$10)</f>
        <v/>
      </c>
      <c r="AN735" s="22" t="str">
        <f aca="false">IF(X735="","",N(G735)-AM735)</f>
        <v/>
      </c>
      <c r="AO735" s="25" t="str">
        <f aca="false">IF(OR(X735="",N(G735)=0),"",AN735/G735)</f>
        <v/>
      </c>
    </row>
    <row r="736" customFormat="false" ht="15" hidden="false" customHeight="false" outlineLevel="0" collapsed="false">
      <c r="A736" s="19"/>
      <c r="B736" s="20"/>
      <c r="C736" s="19"/>
      <c r="D736" s="19"/>
      <c r="E736" s="19"/>
      <c r="F736" s="19"/>
      <c r="G736" s="21"/>
      <c r="H736" s="19"/>
      <c r="I736" s="21"/>
      <c r="J736" s="19"/>
      <c r="K736" s="20"/>
      <c r="L736" s="20"/>
      <c r="M736" s="19"/>
      <c r="N736" s="19"/>
      <c r="O736" s="20"/>
      <c r="P736" s="20"/>
      <c r="Q736" s="19"/>
      <c r="R736" s="22" t="str">
        <f aca="false">IF(A736="","",N(G736)+N(I736))</f>
        <v/>
      </c>
      <c r="S736" s="23" t="str">
        <f aca="false">IF(OR(K736="",O736=""),"",O736-K736)</f>
        <v/>
      </c>
      <c r="T736" s="23" t="str">
        <f aca="true">IF(AND(C736="Cetak",L736&lt;&gt;"",L736&lt;TODAY()),"YA","")</f>
        <v/>
      </c>
      <c r="U736" s="23" t="str">
        <f aca="false">IF(B736="","",TEXT(B736,"yyyy-mm"))</f>
        <v/>
      </c>
      <c r="V736" s="23" t="str">
        <f aca="false">IF(K736="","",TEXT(K736,"yyyy-mm"))</f>
        <v/>
      </c>
      <c r="W736" s="23" t="n">
        <f aca="false">IF(OR(C736="Cetak",C736="Dikirim",C736="Selesai"),1,0)</f>
        <v>0</v>
      </c>
      <c r="X736" s="23" t="str">
        <f aca="false">IF(F736="","",SUBSTITUTE(SUBSTITUTE(MID(UPPER(TRIM(F736)),4,99),"-LED",""),"-TK",""))</f>
        <v/>
      </c>
      <c r="Y736" s="23" t="str">
        <f aca="false">IF(X736="","",(LEN(X736)+1)/7)</f>
        <v/>
      </c>
      <c r="Z736" s="23" t="str">
        <f aca="false">IF(X736="","",LEFT(X736,6))</f>
        <v/>
      </c>
      <c r="AA736" s="23" t="str">
        <f aca="false">IF(X736="","",IF(Y736&gt;=3,MID(X736,8,6),""))</f>
        <v/>
      </c>
      <c r="AB736" s="23" t="str">
        <f aca="false">IF(X736="","",IF(Y736&gt;=4,MID(X736,15,6),""))</f>
        <v/>
      </c>
      <c r="AC736" s="23" t="str">
        <f aca="false">IF(X736="","",IF(Y736&gt;=5,MID(X736,22,6),""))</f>
        <v/>
      </c>
      <c r="AD736" s="23" t="str">
        <f aca="false">IF(X736="","",RIGHT(X736,6))</f>
        <v/>
      </c>
      <c r="AE736" s="23" t="str">
        <f aca="false">IF(F736="","",IF(ISNUMBER(SEARCH("-TK",UPPER(F736))),0,1))</f>
        <v/>
      </c>
      <c r="AF736" s="23" t="str">
        <f aca="false">IF(F736="","",IF(ISNUMBER(SEARCH("-LED",UPPER(F736))),1,0))</f>
        <v/>
      </c>
      <c r="AG736" s="24" t="n">
        <f aca="false">IF(Z736="",0,IFERROR(INDEX(Resep!$C$5:$C$7,MATCH(LEFT(Z736,3),Resep!$B$5:$B$7,0)),0))</f>
        <v>0</v>
      </c>
      <c r="AH736" s="24" t="n">
        <f aca="false">IF(AA736="",0,IFERROR(INDEX(Resep!$C$9:$C$13,MATCH(LEFT(AA736,3),Resep!$B$9:$B$13,0)),0))</f>
        <v>0</v>
      </c>
      <c r="AI736" s="24" t="n">
        <f aca="false">IF(AB736="",0,IFERROR(INDEX(Resep!$C$9:$C$13,MATCH(LEFT(AB736,3),Resep!$B$9:$B$13,0)),0))</f>
        <v>0</v>
      </c>
      <c r="AJ736" s="24" t="n">
        <f aca="false">IF(AC736="",0,IFERROR(INDEX(Resep!$C$9:$C$13,MATCH(LEFT(AC736,3),Resep!$B$9:$B$13,0)),0))</f>
        <v>0</v>
      </c>
      <c r="AK736" s="24" t="n">
        <f aca="false">IF(AD736="",0,IFERROR(INDEX(Resep!$C$15:$C$18,MATCH(LEFT(AD736,3),Resep!$B$15:$B$18,0)),0))</f>
        <v>0</v>
      </c>
      <c r="AL736" s="24" t="str">
        <f aca="false">IF(X736="","",AG736+AH736+AI736+AJ736+AK736)</f>
        <v/>
      </c>
      <c r="AM736" s="22" t="str">
        <f aca="false">IF(X736="","",AL736*(Pengaturan!$B$6+Pengaturan!$B$7)+Pengaturan!$B$8+AE736*Pengaturan!$B$9+AF736*Pengaturan!$B$10)</f>
        <v/>
      </c>
      <c r="AN736" s="22" t="str">
        <f aca="false">IF(X736="","",N(G736)-AM736)</f>
        <v/>
      </c>
      <c r="AO736" s="25" t="str">
        <f aca="false">IF(OR(X736="",N(G736)=0),"",AN736/G736)</f>
        <v/>
      </c>
    </row>
    <row r="737" customFormat="false" ht="15" hidden="false" customHeight="false" outlineLevel="0" collapsed="false">
      <c r="A737" s="19"/>
      <c r="B737" s="20"/>
      <c r="C737" s="19"/>
      <c r="D737" s="19"/>
      <c r="E737" s="19"/>
      <c r="F737" s="19"/>
      <c r="G737" s="21"/>
      <c r="H737" s="19"/>
      <c r="I737" s="21"/>
      <c r="J737" s="19"/>
      <c r="K737" s="20"/>
      <c r="L737" s="20"/>
      <c r="M737" s="19"/>
      <c r="N737" s="19"/>
      <c r="O737" s="20"/>
      <c r="P737" s="20"/>
      <c r="Q737" s="19"/>
      <c r="R737" s="22" t="str">
        <f aca="false">IF(A737="","",N(G737)+N(I737))</f>
        <v/>
      </c>
      <c r="S737" s="23" t="str">
        <f aca="false">IF(OR(K737="",O737=""),"",O737-K737)</f>
        <v/>
      </c>
      <c r="T737" s="23" t="str">
        <f aca="true">IF(AND(C737="Cetak",L737&lt;&gt;"",L737&lt;TODAY()),"YA","")</f>
        <v/>
      </c>
      <c r="U737" s="23" t="str">
        <f aca="false">IF(B737="","",TEXT(B737,"yyyy-mm"))</f>
        <v/>
      </c>
      <c r="V737" s="23" t="str">
        <f aca="false">IF(K737="","",TEXT(K737,"yyyy-mm"))</f>
        <v/>
      </c>
      <c r="W737" s="23" t="n">
        <f aca="false">IF(OR(C737="Cetak",C737="Dikirim",C737="Selesai"),1,0)</f>
        <v>0</v>
      </c>
      <c r="X737" s="23" t="str">
        <f aca="false">IF(F737="","",SUBSTITUTE(SUBSTITUTE(MID(UPPER(TRIM(F737)),4,99),"-LED",""),"-TK",""))</f>
        <v/>
      </c>
      <c r="Y737" s="23" t="str">
        <f aca="false">IF(X737="","",(LEN(X737)+1)/7)</f>
        <v/>
      </c>
      <c r="Z737" s="23" t="str">
        <f aca="false">IF(X737="","",LEFT(X737,6))</f>
        <v/>
      </c>
      <c r="AA737" s="23" t="str">
        <f aca="false">IF(X737="","",IF(Y737&gt;=3,MID(X737,8,6),""))</f>
        <v/>
      </c>
      <c r="AB737" s="23" t="str">
        <f aca="false">IF(X737="","",IF(Y737&gt;=4,MID(X737,15,6),""))</f>
        <v/>
      </c>
      <c r="AC737" s="23" t="str">
        <f aca="false">IF(X737="","",IF(Y737&gt;=5,MID(X737,22,6),""))</f>
        <v/>
      </c>
      <c r="AD737" s="23" t="str">
        <f aca="false">IF(X737="","",RIGHT(X737,6))</f>
        <v/>
      </c>
      <c r="AE737" s="23" t="str">
        <f aca="false">IF(F737="","",IF(ISNUMBER(SEARCH("-TK",UPPER(F737))),0,1))</f>
        <v/>
      </c>
      <c r="AF737" s="23" t="str">
        <f aca="false">IF(F737="","",IF(ISNUMBER(SEARCH("-LED",UPPER(F737))),1,0))</f>
        <v/>
      </c>
      <c r="AG737" s="24" t="n">
        <f aca="false">IF(Z737="",0,IFERROR(INDEX(Resep!$C$5:$C$7,MATCH(LEFT(Z737,3),Resep!$B$5:$B$7,0)),0))</f>
        <v>0</v>
      </c>
      <c r="AH737" s="24" t="n">
        <f aca="false">IF(AA737="",0,IFERROR(INDEX(Resep!$C$9:$C$13,MATCH(LEFT(AA737,3),Resep!$B$9:$B$13,0)),0))</f>
        <v>0</v>
      </c>
      <c r="AI737" s="24" t="n">
        <f aca="false">IF(AB737="",0,IFERROR(INDEX(Resep!$C$9:$C$13,MATCH(LEFT(AB737,3),Resep!$B$9:$B$13,0)),0))</f>
        <v>0</v>
      </c>
      <c r="AJ737" s="24" t="n">
        <f aca="false">IF(AC737="",0,IFERROR(INDEX(Resep!$C$9:$C$13,MATCH(LEFT(AC737,3),Resep!$B$9:$B$13,0)),0))</f>
        <v>0</v>
      </c>
      <c r="AK737" s="24" t="n">
        <f aca="false">IF(AD737="",0,IFERROR(INDEX(Resep!$C$15:$C$18,MATCH(LEFT(AD737,3),Resep!$B$15:$B$18,0)),0))</f>
        <v>0</v>
      </c>
      <c r="AL737" s="24" t="str">
        <f aca="false">IF(X737="","",AG737+AH737+AI737+AJ737+AK737)</f>
        <v/>
      </c>
      <c r="AM737" s="22" t="str">
        <f aca="false">IF(X737="","",AL737*(Pengaturan!$B$6+Pengaturan!$B$7)+Pengaturan!$B$8+AE737*Pengaturan!$B$9+AF737*Pengaturan!$B$10)</f>
        <v/>
      </c>
      <c r="AN737" s="22" t="str">
        <f aca="false">IF(X737="","",N(G737)-AM737)</f>
        <v/>
      </c>
      <c r="AO737" s="25" t="str">
        <f aca="false">IF(OR(X737="",N(G737)=0),"",AN737/G737)</f>
        <v/>
      </c>
    </row>
    <row r="738" customFormat="false" ht="15" hidden="false" customHeight="false" outlineLevel="0" collapsed="false">
      <c r="A738" s="19"/>
      <c r="B738" s="20"/>
      <c r="C738" s="19"/>
      <c r="D738" s="19"/>
      <c r="E738" s="19"/>
      <c r="F738" s="19"/>
      <c r="G738" s="21"/>
      <c r="H738" s="19"/>
      <c r="I738" s="21"/>
      <c r="J738" s="19"/>
      <c r="K738" s="20"/>
      <c r="L738" s="20"/>
      <c r="M738" s="19"/>
      <c r="N738" s="19"/>
      <c r="O738" s="20"/>
      <c r="P738" s="20"/>
      <c r="Q738" s="19"/>
      <c r="R738" s="22" t="str">
        <f aca="false">IF(A738="","",N(G738)+N(I738))</f>
        <v/>
      </c>
      <c r="S738" s="23" t="str">
        <f aca="false">IF(OR(K738="",O738=""),"",O738-K738)</f>
        <v/>
      </c>
      <c r="T738" s="23" t="str">
        <f aca="true">IF(AND(C738="Cetak",L738&lt;&gt;"",L738&lt;TODAY()),"YA","")</f>
        <v/>
      </c>
      <c r="U738" s="23" t="str">
        <f aca="false">IF(B738="","",TEXT(B738,"yyyy-mm"))</f>
        <v/>
      </c>
      <c r="V738" s="23" t="str">
        <f aca="false">IF(K738="","",TEXT(K738,"yyyy-mm"))</f>
        <v/>
      </c>
      <c r="W738" s="23" t="n">
        <f aca="false">IF(OR(C738="Cetak",C738="Dikirim",C738="Selesai"),1,0)</f>
        <v>0</v>
      </c>
      <c r="X738" s="23" t="str">
        <f aca="false">IF(F738="","",SUBSTITUTE(SUBSTITUTE(MID(UPPER(TRIM(F738)),4,99),"-LED",""),"-TK",""))</f>
        <v/>
      </c>
      <c r="Y738" s="23" t="str">
        <f aca="false">IF(X738="","",(LEN(X738)+1)/7)</f>
        <v/>
      </c>
      <c r="Z738" s="23" t="str">
        <f aca="false">IF(X738="","",LEFT(X738,6))</f>
        <v/>
      </c>
      <c r="AA738" s="23" t="str">
        <f aca="false">IF(X738="","",IF(Y738&gt;=3,MID(X738,8,6),""))</f>
        <v/>
      </c>
      <c r="AB738" s="23" t="str">
        <f aca="false">IF(X738="","",IF(Y738&gt;=4,MID(X738,15,6),""))</f>
        <v/>
      </c>
      <c r="AC738" s="23" t="str">
        <f aca="false">IF(X738="","",IF(Y738&gt;=5,MID(X738,22,6),""))</f>
        <v/>
      </c>
      <c r="AD738" s="23" t="str">
        <f aca="false">IF(X738="","",RIGHT(X738,6))</f>
        <v/>
      </c>
      <c r="AE738" s="23" t="str">
        <f aca="false">IF(F738="","",IF(ISNUMBER(SEARCH("-TK",UPPER(F738))),0,1))</f>
        <v/>
      </c>
      <c r="AF738" s="23" t="str">
        <f aca="false">IF(F738="","",IF(ISNUMBER(SEARCH("-LED",UPPER(F738))),1,0))</f>
        <v/>
      </c>
      <c r="AG738" s="24" t="n">
        <f aca="false">IF(Z738="",0,IFERROR(INDEX(Resep!$C$5:$C$7,MATCH(LEFT(Z738,3),Resep!$B$5:$B$7,0)),0))</f>
        <v>0</v>
      </c>
      <c r="AH738" s="24" t="n">
        <f aca="false">IF(AA738="",0,IFERROR(INDEX(Resep!$C$9:$C$13,MATCH(LEFT(AA738,3),Resep!$B$9:$B$13,0)),0))</f>
        <v>0</v>
      </c>
      <c r="AI738" s="24" t="n">
        <f aca="false">IF(AB738="",0,IFERROR(INDEX(Resep!$C$9:$C$13,MATCH(LEFT(AB738,3),Resep!$B$9:$B$13,0)),0))</f>
        <v>0</v>
      </c>
      <c r="AJ738" s="24" t="n">
        <f aca="false">IF(AC738="",0,IFERROR(INDEX(Resep!$C$9:$C$13,MATCH(LEFT(AC738,3),Resep!$B$9:$B$13,0)),0))</f>
        <v>0</v>
      </c>
      <c r="AK738" s="24" t="n">
        <f aca="false">IF(AD738="",0,IFERROR(INDEX(Resep!$C$15:$C$18,MATCH(LEFT(AD738,3),Resep!$B$15:$B$18,0)),0))</f>
        <v>0</v>
      </c>
      <c r="AL738" s="24" t="str">
        <f aca="false">IF(X738="","",AG738+AH738+AI738+AJ738+AK738)</f>
        <v/>
      </c>
      <c r="AM738" s="22" t="str">
        <f aca="false">IF(X738="","",AL738*(Pengaturan!$B$6+Pengaturan!$B$7)+Pengaturan!$B$8+AE738*Pengaturan!$B$9+AF738*Pengaturan!$B$10)</f>
        <v/>
      </c>
      <c r="AN738" s="22" t="str">
        <f aca="false">IF(X738="","",N(G738)-AM738)</f>
        <v/>
      </c>
      <c r="AO738" s="25" t="str">
        <f aca="false">IF(OR(X738="",N(G738)=0),"",AN738/G738)</f>
        <v/>
      </c>
    </row>
    <row r="739" customFormat="false" ht="15" hidden="false" customHeight="false" outlineLevel="0" collapsed="false">
      <c r="A739" s="19"/>
      <c r="B739" s="20"/>
      <c r="C739" s="19"/>
      <c r="D739" s="19"/>
      <c r="E739" s="19"/>
      <c r="F739" s="19"/>
      <c r="G739" s="21"/>
      <c r="H739" s="19"/>
      <c r="I739" s="21"/>
      <c r="J739" s="19"/>
      <c r="K739" s="20"/>
      <c r="L739" s="20"/>
      <c r="M739" s="19"/>
      <c r="N739" s="19"/>
      <c r="O739" s="20"/>
      <c r="P739" s="20"/>
      <c r="Q739" s="19"/>
      <c r="R739" s="22" t="str">
        <f aca="false">IF(A739="","",N(G739)+N(I739))</f>
        <v/>
      </c>
      <c r="S739" s="23" t="str">
        <f aca="false">IF(OR(K739="",O739=""),"",O739-K739)</f>
        <v/>
      </c>
      <c r="T739" s="23" t="str">
        <f aca="true">IF(AND(C739="Cetak",L739&lt;&gt;"",L739&lt;TODAY()),"YA","")</f>
        <v/>
      </c>
      <c r="U739" s="23" t="str">
        <f aca="false">IF(B739="","",TEXT(B739,"yyyy-mm"))</f>
        <v/>
      </c>
      <c r="V739" s="23" t="str">
        <f aca="false">IF(K739="","",TEXT(K739,"yyyy-mm"))</f>
        <v/>
      </c>
      <c r="W739" s="23" t="n">
        <f aca="false">IF(OR(C739="Cetak",C739="Dikirim",C739="Selesai"),1,0)</f>
        <v>0</v>
      </c>
      <c r="X739" s="23" t="str">
        <f aca="false">IF(F739="","",SUBSTITUTE(SUBSTITUTE(MID(UPPER(TRIM(F739)),4,99),"-LED",""),"-TK",""))</f>
        <v/>
      </c>
      <c r="Y739" s="23" t="str">
        <f aca="false">IF(X739="","",(LEN(X739)+1)/7)</f>
        <v/>
      </c>
      <c r="Z739" s="23" t="str">
        <f aca="false">IF(X739="","",LEFT(X739,6))</f>
        <v/>
      </c>
      <c r="AA739" s="23" t="str">
        <f aca="false">IF(X739="","",IF(Y739&gt;=3,MID(X739,8,6),""))</f>
        <v/>
      </c>
      <c r="AB739" s="23" t="str">
        <f aca="false">IF(X739="","",IF(Y739&gt;=4,MID(X739,15,6),""))</f>
        <v/>
      </c>
      <c r="AC739" s="23" t="str">
        <f aca="false">IF(X739="","",IF(Y739&gt;=5,MID(X739,22,6),""))</f>
        <v/>
      </c>
      <c r="AD739" s="23" t="str">
        <f aca="false">IF(X739="","",RIGHT(X739,6))</f>
        <v/>
      </c>
      <c r="AE739" s="23" t="str">
        <f aca="false">IF(F739="","",IF(ISNUMBER(SEARCH("-TK",UPPER(F739))),0,1))</f>
        <v/>
      </c>
      <c r="AF739" s="23" t="str">
        <f aca="false">IF(F739="","",IF(ISNUMBER(SEARCH("-LED",UPPER(F739))),1,0))</f>
        <v/>
      </c>
      <c r="AG739" s="24" t="n">
        <f aca="false">IF(Z739="",0,IFERROR(INDEX(Resep!$C$5:$C$7,MATCH(LEFT(Z739,3),Resep!$B$5:$B$7,0)),0))</f>
        <v>0</v>
      </c>
      <c r="AH739" s="24" t="n">
        <f aca="false">IF(AA739="",0,IFERROR(INDEX(Resep!$C$9:$C$13,MATCH(LEFT(AA739,3),Resep!$B$9:$B$13,0)),0))</f>
        <v>0</v>
      </c>
      <c r="AI739" s="24" t="n">
        <f aca="false">IF(AB739="",0,IFERROR(INDEX(Resep!$C$9:$C$13,MATCH(LEFT(AB739,3),Resep!$B$9:$B$13,0)),0))</f>
        <v>0</v>
      </c>
      <c r="AJ739" s="24" t="n">
        <f aca="false">IF(AC739="",0,IFERROR(INDEX(Resep!$C$9:$C$13,MATCH(LEFT(AC739,3),Resep!$B$9:$B$13,0)),0))</f>
        <v>0</v>
      </c>
      <c r="AK739" s="24" t="n">
        <f aca="false">IF(AD739="",0,IFERROR(INDEX(Resep!$C$15:$C$18,MATCH(LEFT(AD739,3),Resep!$B$15:$B$18,0)),0))</f>
        <v>0</v>
      </c>
      <c r="AL739" s="24" t="str">
        <f aca="false">IF(X739="","",AG739+AH739+AI739+AJ739+AK739)</f>
        <v/>
      </c>
      <c r="AM739" s="22" t="str">
        <f aca="false">IF(X739="","",AL739*(Pengaturan!$B$6+Pengaturan!$B$7)+Pengaturan!$B$8+AE739*Pengaturan!$B$9+AF739*Pengaturan!$B$10)</f>
        <v/>
      </c>
      <c r="AN739" s="22" t="str">
        <f aca="false">IF(X739="","",N(G739)-AM739)</f>
        <v/>
      </c>
      <c r="AO739" s="25" t="str">
        <f aca="false">IF(OR(X739="",N(G739)=0),"",AN739/G739)</f>
        <v/>
      </c>
    </row>
    <row r="740" customFormat="false" ht="15" hidden="false" customHeight="false" outlineLevel="0" collapsed="false">
      <c r="A740" s="19"/>
      <c r="B740" s="20"/>
      <c r="C740" s="19"/>
      <c r="D740" s="19"/>
      <c r="E740" s="19"/>
      <c r="F740" s="19"/>
      <c r="G740" s="21"/>
      <c r="H740" s="19"/>
      <c r="I740" s="21"/>
      <c r="J740" s="19"/>
      <c r="K740" s="20"/>
      <c r="L740" s="20"/>
      <c r="M740" s="19"/>
      <c r="N740" s="19"/>
      <c r="O740" s="20"/>
      <c r="P740" s="20"/>
      <c r="Q740" s="19"/>
      <c r="R740" s="22" t="str">
        <f aca="false">IF(A740="","",N(G740)+N(I740))</f>
        <v/>
      </c>
      <c r="S740" s="23" t="str">
        <f aca="false">IF(OR(K740="",O740=""),"",O740-K740)</f>
        <v/>
      </c>
      <c r="T740" s="23" t="str">
        <f aca="true">IF(AND(C740="Cetak",L740&lt;&gt;"",L740&lt;TODAY()),"YA","")</f>
        <v/>
      </c>
      <c r="U740" s="23" t="str">
        <f aca="false">IF(B740="","",TEXT(B740,"yyyy-mm"))</f>
        <v/>
      </c>
      <c r="V740" s="23" t="str">
        <f aca="false">IF(K740="","",TEXT(K740,"yyyy-mm"))</f>
        <v/>
      </c>
      <c r="W740" s="23" t="n">
        <f aca="false">IF(OR(C740="Cetak",C740="Dikirim",C740="Selesai"),1,0)</f>
        <v>0</v>
      </c>
      <c r="X740" s="23" t="str">
        <f aca="false">IF(F740="","",SUBSTITUTE(SUBSTITUTE(MID(UPPER(TRIM(F740)),4,99),"-LED",""),"-TK",""))</f>
        <v/>
      </c>
      <c r="Y740" s="23" t="str">
        <f aca="false">IF(X740="","",(LEN(X740)+1)/7)</f>
        <v/>
      </c>
      <c r="Z740" s="23" t="str">
        <f aca="false">IF(X740="","",LEFT(X740,6))</f>
        <v/>
      </c>
      <c r="AA740" s="23" t="str">
        <f aca="false">IF(X740="","",IF(Y740&gt;=3,MID(X740,8,6),""))</f>
        <v/>
      </c>
      <c r="AB740" s="23" t="str">
        <f aca="false">IF(X740="","",IF(Y740&gt;=4,MID(X740,15,6),""))</f>
        <v/>
      </c>
      <c r="AC740" s="23" t="str">
        <f aca="false">IF(X740="","",IF(Y740&gt;=5,MID(X740,22,6),""))</f>
        <v/>
      </c>
      <c r="AD740" s="23" t="str">
        <f aca="false">IF(X740="","",RIGHT(X740,6))</f>
        <v/>
      </c>
      <c r="AE740" s="23" t="str">
        <f aca="false">IF(F740="","",IF(ISNUMBER(SEARCH("-TK",UPPER(F740))),0,1))</f>
        <v/>
      </c>
      <c r="AF740" s="23" t="str">
        <f aca="false">IF(F740="","",IF(ISNUMBER(SEARCH("-LED",UPPER(F740))),1,0))</f>
        <v/>
      </c>
      <c r="AG740" s="24" t="n">
        <f aca="false">IF(Z740="",0,IFERROR(INDEX(Resep!$C$5:$C$7,MATCH(LEFT(Z740,3),Resep!$B$5:$B$7,0)),0))</f>
        <v>0</v>
      </c>
      <c r="AH740" s="24" t="n">
        <f aca="false">IF(AA740="",0,IFERROR(INDEX(Resep!$C$9:$C$13,MATCH(LEFT(AA740,3),Resep!$B$9:$B$13,0)),0))</f>
        <v>0</v>
      </c>
      <c r="AI740" s="24" t="n">
        <f aca="false">IF(AB740="",0,IFERROR(INDEX(Resep!$C$9:$C$13,MATCH(LEFT(AB740,3),Resep!$B$9:$B$13,0)),0))</f>
        <v>0</v>
      </c>
      <c r="AJ740" s="24" t="n">
        <f aca="false">IF(AC740="",0,IFERROR(INDEX(Resep!$C$9:$C$13,MATCH(LEFT(AC740,3),Resep!$B$9:$B$13,0)),0))</f>
        <v>0</v>
      </c>
      <c r="AK740" s="24" t="n">
        <f aca="false">IF(AD740="",0,IFERROR(INDEX(Resep!$C$15:$C$18,MATCH(LEFT(AD740,3),Resep!$B$15:$B$18,0)),0))</f>
        <v>0</v>
      </c>
      <c r="AL740" s="24" t="str">
        <f aca="false">IF(X740="","",AG740+AH740+AI740+AJ740+AK740)</f>
        <v/>
      </c>
      <c r="AM740" s="22" t="str">
        <f aca="false">IF(X740="","",AL740*(Pengaturan!$B$6+Pengaturan!$B$7)+Pengaturan!$B$8+AE740*Pengaturan!$B$9+AF740*Pengaturan!$B$10)</f>
        <v/>
      </c>
      <c r="AN740" s="22" t="str">
        <f aca="false">IF(X740="","",N(G740)-AM740)</f>
        <v/>
      </c>
      <c r="AO740" s="25" t="str">
        <f aca="false">IF(OR(X740="",N(G740)=0),"",AN740/G740)</f>
        <v/>
      </c>
    </row>
    <row r="741" customFormat="false" ht="15" hidden="false" customHeight="false" outlineLevel="0" collapsed="false">
      <c r="A741" s="19"/>
      <c r="B741" s="20"/>
      <c r="C741" s="19"/>
      <c r="D741" s="19"/>
      <c r="E741" s="19"/>
      <c r="F741" s="19"/>
      <c r="G741" s="21"/>
      <c r="H741" s="19"/>
      <c r="I741" s="21"/>
      <c r="J741" s="19"/>
      <c r="K741" s="20"/>
      <c r="L741" s="20"/>
      <c r="M741" s="19"/>
      <c r="N741" s="19"/>
      <c r="O741" s="20"/>
      <c r="P741" s="20"/>
      <c r="Q741" s="19"/>
      <c r="R741" s="22" t="str">
        <f aca="false">IF(A741="","",N(G741)+N(I741))</f>
        <v/>
      </c>
      <c r="S741" s="23" t="str">
        <f aca="false">IF(OR(K741="",O741=""),"",O741-K741)</f>
        <v/>
      </c>
      <c r="T741" s="23" t="str">
        <f aca="true">IF(AND(C741="Cetak",L741&lt;&gt;"",L741&lt;TODAY()),"YA","")</f>
        <v/>
      </c>
      <c r="U741" s="23" t="str">
        <f aca="false">IF(B741="","",TEXT(B741,"yyyy-mm"))</f>
        <v/>
      </c>
      <c r="V741" s="23" t="str">
        <f aca="false">IF(K741="","",TEXT(K741,"yyyy-mm"))</f>
        <v/>
      </c>
      <c r="W741" s="23" t="n">
        <f aca="false">IF(OR(C741="Cetak",C741="Dikirim",C741="Selesai"),1,0)</f>
        <v>0</v>
      </c>
      <c r="X741" s="23" t="str">
        <f aca="false">IF(F741="","",SUBSTITUTE(SUBSTITUTE(MID(UPPER(TRIM(F741)),4,99),"-LED",""),"-TK",""))</f>
        <v/>
      </c>
      <c r="Y741" s="23" t="str">
        <f aca="false">IF(X741="","",(LEN(X741)+1)/7)</f>
        <v/>
      </c>
      <c r="Z741" s="23" t="str">
        <f aca="false">IF(X741="","",LEFT(X741,6))</f>
        <v/>
      </c>
      <c r="AA741" s="23" t="str">
        <f aca="false">IF(X741="","",IF(Y741&gt;=3,MID(X741,8,6),""))</f>
        <v/>
      </c>
      <c r="AB741" s="23" t="str">
        <f aca="false">IF(X741="","",IF(Y741&gt;=4,MID(X741,15,6),""))</f>
        <v/>
      </c>
      <c r="AC741" s="23" t="str">
        <f aca="false">IF(X741="","",IF(Y741&gt;=5,MID(X741,22,6),""))</f>
        <v/>
      </c>
      <c r="AD741" s="23" t="str">
        <f aca="false">IF(X741="","",RIGHT(X741,6))</f>
        <v/>
      </c>
      <c r="AE741" s="23" t="str">
        <f aca="false">IF(F741="","",IF(ISNUMBER(SEARCH("-TK",UPPER(F741))),0,1))</f>
        <v/>
      </c>
      <c r="AF741" s="23" t="str">
        <f aca="false">IF(F741="","",IF(ISNUMBER(SEARCH("-LED",UPPER(F741))),1,0))</f>
        <v/>
      </c>
      <c r="AG741" s="24" t="n">
        <f aca="false">IF(Z741="",0,IFERROR(INDEX(Resep!$C$5:$C$7,MATCH(LEFT(Z741,3),Resep!$B$5:$B$7,0)),0))</f>
        <v>0</v>
      </c>
      <c r="AH741" s="24" t="n">
        <f aca="false">IF(AA741="",0,IFERROR(INDEX(Resep!$C$9:$C$13,MATCH(LEFT(AA741,3),Resep!$B$9:$B$13,0)),0))</f>
        <v>0</v>
      </c>
      <c r="AI741" s="24" t="n">
        <f aca="false">IF(AB741="",0,IFERROR(INDEX(Resep!$C$9:$C$13,MATCH(LEFT(AB741,3),Resep!$B$9:$B$13,0)),0))</f>
        <v>0</v>
      </c>
      <c r="AJ741" s="24" t="n">
        <f aca="false">IF(AC741="",0,IFERROR(INDEX(Resep!$C$9:$C$13,MATCH(LEFT(AC741,3),Resep!$B$9:$B$13,0)),0))</f>
        <v>0</v>
      </c>
      <c r="AK741" s="24" t="n">
        <f aca="false">IF(AD741="",0,IFERROR(INDEX(Resep!$C$15:$C$18,MATCH(LEFT(AD741,3),Resep!$B$15:$B$18,0)),0))</f>
        <v>0</v>
      </c>
      <c r="AL741" s="24" t="str">
        <f aca="false">IF(X741="","",AG741+AH741+AI741+AJ741+AK741)</f>
        <v/>
      </c>
      <c r="AM741" s="22" t="str">
        <f aca="false">IF(X741="","",AL741*(Pengaturan!$B$6+Pengaturan!$B$7)+Pengaturan!$B$8+AE741*Pengaturan!$B$9+AF741*Pengaturan!$B$10)</f>
        <v/>
      </c>
      <c r="AN741" s="22" t="str">
        <f aca="false">IF(X741="","",N(G741)-AM741)</f>
        <v/>
      </c>
      <c r="AO741" s="25" t="str">
        <f aca="false">IF(OR(X741="",N(G741)=0),"",AN741/G741)</f>
        <v/>
      </c>
    </row>
    <row r="742" customFormat="false" ht="15" hidden="false" customHeight="false" outlineLevel="0" collapsed="false">
      <c r="A742" s="19"/>
      <c r="B742" s="20"/>
      <c r="C742" s="19"/>
      <c r="D742" s="19"/>
      <c r="E742" s="19"/>
      <c r="F742" s="19"/>
      <c r="G742" s="21"/>
      <c r="H742" s="19"/>
      <c r="I742" s="21"/>
      <c r="J742" s="19"/>
      <c r="K742" s="20"/>
      <c r="L742" s="20"/>
      <c r="M742" s="19"/>
      <c r="N742" s="19"/>
      <c r="O742" s="20"/>
      <c r="P742" s="20"/>
      <c r="Q742" s="19"/>
      <c r="R742" s="22" t="str">
        <f aca="false">IF(A742="","",N(G742)+N(I742))</f>
        <v/>
      </c>
      <c r="S742" s="23" t="str">
        <f aca="false">IF(OR(K742="",O742=""),"",O742-K742)</f>
        <v/>
      </c>
      <c r="T742" s="23" t="str">
        <f aca="true">IF(AND(C742="Cetak",L742&lt;&gt;"",L742&lt;TODAY()),"YA","")</f>
        <v/>
      </c>
      <c r="U742" s="23" t="str">
        <f aca="false">IF(B742="","",TEXT(B742,"yyyy-mm"))</f>
        <v/>
      </c>
      <c r="V742" s="23" t="str">
        <f aca="false">IF(K742="","",TEXT(K742,"yyyy-mm"))</f>
        <v/>
      </c>
      <c r="W742" s="23" t="n">
        <f aca="false">IF(OR(C742="Cetak",C742="Dikirim",C742="Selesai"),1,0)</f>
        <v>0</v>
      </c>
      <c r="X742" s="23" t="str">
        <f aca="false">IF(F742="","",SUBSTITUTE(SUBSTITUTE(MID(UPPER(TRIM(F742)),4,99),"-LED",""),"-TK",""))</f>
        <v/>
      </c>
      <c r="Y742" s="23" t="str">
        <f aca="false">IF(X742="","",(LEN(X742)+1)/7)</f>
        <v/>
      </c>
      <c r="Z742" s="23" t="str">
        <f aca="false">IF(X742="","",LEFT(X742,6))</f>
        <v/>
      </c>
      <c r="AA742" s="23" t="str">
        <f aca="false">IF(X742="","",IF(Y742&gt;=3,MID(X742,8,6),""))</f>
        <v/>
      </c>
      <c r="AB742" s="23" t="str">
        <f aca="false">IF(X742="","",IF(Y742&gt;=4,MID(X742,15,6),""))</f>
        <v/>
      </c>
      <c r="AC742" s="23" t="str">
        <f aca="false">IF(X742="","",IF(Y742&gt;=5,MID(X742,22,6),""))</f>
        <v/>
      </c>
      <c r="AD742" s="23" t="str">
        <f aca="false">IF(X742="","",RIGHT(X742,6))</f>
        <v/>
      </c>
      <c r="AE742" s="23" t="str">
        <f aca="false">IF(F742="","",IF(ISNUMBER(SEARCH("-TK",UPPER(F742))),0,1))</f>
        <v/>
      </c>
      <c r="AF742" s="23" t="str">
        <f aca="false">IF(F742="","",IF(ISNUMBER(SEARCH("-LED",UPPER(F742))),1,0))</f>
        <v/>
      </c>
      <c r="AG742" s="24" t="n">
        <f aca="false">IF(Z742="",0,IFERROR(INDEX(Resep!$C$5:$C$7,MATCH(LEFT(Z742,3),Resep!$B$5:$B$7,0)),0))</f>
        <v>0</v>
      </c>
      <c r="AH742" s="24" t="n">
        <f aca="false">IF(AA742="",0,IFERROR(INDEX(Resep!$C$9:$C$13,MATCH(LEFT(AA742,3),Resep!$B$9:$B$13,0)),0))</f>
        <v>0</v>
      </c>
      <c r="AI742" s="24" t="n">
        <f aca="false">IF(AB742="",0,IFERROR(INDEX(Resep!$C$9:$C$13,MATCH(LEFT(AB742,3),Resep!$B$9:$B$13,0)),0))</f>
        <v>0</v>
      </c>
      <c r="AJ742" s="24" t="n">
        <f aca="false">IF(AC742="",0,IFERROR(INDEX(Resep!$C$9:$C$13,MATCH(LEFT(AC742,3),Resep!$B$9:$B$13,0)),0))</f>
        <v>0</v>
      </c>
      <c r="AK742" s="24" t="n">
        <f aca="false">IF(AD742="",0,IFERROR(INDEX(Resep!$C$15:$C$18,MATCH(LEFT(AD742,3),Resep!$B$15:$B$18,0)),0))</f>
        <v>0</v>
      </c>
      <c r="AL742" s="24" t="str">
        <f aca="false">IF(X742="","",AG742+AH742+AI742+AJ742+AK742)</f>
        <v/>
      </c>
      <c r="AM742" s="22" t="str">
        <f aca="false">IF(X742="","",AL742*(Pengaturan!$B$6+Pengaturan!$B$7)+Pengaturan!$B$8+AE742*Pengaturan!$B$9+AF742*Pengaturan!$B$10)</f>
        <v/>
      </c>
      <c r="AN742" s="22" t="str">
        <f aca="false">IF(X742="","",N(G742)-AM742)</f>
        <v/>
      </c>
      <c r="AO742" s="25" t="str">
        <f aca="false">IF(OR(X742="",N(G742)=0),"",AN742/G742)</f>
        <v/>
      </c>
    </row>
    <row r="743" customFormat="false" ht="15" hidden="false" customHeight="false" outlineLevel="0" collapsed="false">
      <c r="A743" s="19"/>
      <c r="B743" s="20"/>
      <c r="C743" s="19"/>
      <c r="D743" s="19"/>
      <c r="E743" s="19"/>
      <c r="F743" s="19"/>
      <c r="G743" s="21"/>
      <c r="H743" s="19"/>
      <c r="I743" s="21"/>
      <c r="J743" s="19"/>
      <c r="K743" s="20"/>
      <c r="L743" s="20"/>
      <c r="M743" s="19"/>
      <c r="N743" s="19"/>
      <c r="O743" s="20"/>
      <c r="P743" s="20"/>
      <c r="Q743" s="19"/>
      <c r="R743" s="22" t="str">
        <f aca="false">IF(A743="","",N(G743)+N(I743))</f>
        <v/>
      </c>
      <c r="S743" s="23" t="str">
        <f aca="false">IF(OR(K743="",O743=""),"",O743-K743)</f>
        <v/>
      </c>
      <c r="T743" s="23" t="str">
        <f aca="true">IF(AND(C743="Cetak",L743&lt;&gt;"",L743&lt;TODAY()),"YA","")</f>
        <v/>
      </c>
      <c r="U743" s="23" t="str">
        <f aca="false">IF(B743="","",TEXT(B743,"yyyy-mm"))</f>
        <v/>
      </c>
      <c r="V743" s="23" t="str">
        <f aca="false">IF(K743="","",TEXT(K743,"yyyy-mm"))</f>
        <v/>
      </c>
      <c r="W743" s="23" t="n">
        <f aca="false">IF(OR(C743="Cetak",C743="Dikirim",C743="Selesai"),1,0)</f>
        <v>0</v>
      </c>
      <c r="X743" s="23" t="str">
        <f aca="false">IF(F743="","",SUBSTITUTE(SUBSTITUTE(MID(UPPER(TRIM(F743)),4,99),"-LED",""),"-TK",""))</f>
        <v/>
      </c>
      <c r="Y743" s="23" t="str">
        <f aca="false">IF(X743="","",(LEN(X743)+1)/7)</f>
        <v/>
      </c>
      <c r="Z743" s="23" t="str">
        <f aca="false">IF(X743="","",LEFT(X743,6))</f>
        <v/>
      </c>
      <c r="AA743" s="23" t="str">
        <f aca="false">IF(X743="","",IF(Y743&gt;=3,MID(X743,8,6),""))</f>
        <v/>
      </c>
      <c r="AB743" s="23" t="str">
        <f aca="false">IF(X743="","",IF(Y743&gt;=4,MID(X743,15,6),""))</f>
        <v/>
      </c>
      <c r="AC743" s="23" t="str">
        <f aca="false">IF(X743="","",IF(Y743&gt;=5,MID(X743,22,6),""))</f>
        <v/>
      </c>
      <c r="AD743" s="23" t="str">
        <f aca="false">IF(X743="","",RIGHT(X743,6))</f>
        <v/>
      </c>
      <c r="AE743" s="23" t="str">
        <f aca="false">IF(F743="","",IF(ISNUMBER(SEARCH("-TK",UPPER(F743))),0,1))</f>
        <v/>
      </c>
      <c r="AF743" s="23" t="str">
        <f aca="false">IF(F743="","",IF(ISNUMBER(SEARCH("-LED",UPPER(F743))),1,0))</f>
        <v/>
      </c>
      <c r="AG743" s="24" t="n">
        <f aca="false">IF(Z743="",0,IFERROR(INDEX(Resep!$C$5:$C$7,MATCH(LEFT(Z743,3),Resep!$B$5:$B$7,0)),0))</f>
        <v>0</v>
      </c>
      <c r="AH743" s="24" t="n">
        <f aca="false">IF(AA743="",0,IFERROR(INDEX(Resep!$C$9:$C$13,MATCH(LEFT(AA743,3),Resep!$B$9:$B$13,0)),0))</f>
        <v>0</v>
      </c>
      <c r="AI743" s="24" t="n">
        <f aca="false">IF(AB743="",0,IFERROR(INDEX(Resep!$C$9:$C$13,MATCH(LEFT(AB743,3),Resep!$B$9:$B$13,0)),0))</f>
        <v>0</v>
      </c>
      <c r="AJ743" s="24" t="n">
        <f aca="false">IF(AC743="",0,IFERROR(INDEX(Resep!$C$9:$C$13,MATCH(LEFT(AC743,3),Resep!$B$9:$B$13,0)),0))</f>
        <v>0</v>
      </c>
      <c r="AK743" s="24" t="n">
        <f aca="false">IF(AD743="",0,IFERROR(INDEX(Resep!$C$15:$C$18,MATCH(LEFT(AD743,3),Resep!$B$15:$B$18,0)),0))</f>
        <v>0</v>
      </c>
      <c r="AL743" s="24" t="str">
        <f aca="false">IF(X743="","",AG743+AH743+AI743+AJ743+AK743)</f>
        <v/>
      </c>
      <c r="AM743" s="22" t="str">
        <f aca="false">IF(X743="","",AL743*(Pengaturan!$B$6+Pengaturan!$B$7)+Pengaturan!$B$8+AE743*Pengaturan!$B$9+AF743*Pengaturan!$B$10)</f>
        <v/>
      </c>
      <c r="AN743" s="22" t="str">
        <f aca="false">IF(X743="","",N(G743)-AM743)</f>
        <v/>
      </c>
      <c r="AO743" s="25" t="str">
        <f aca="false">IF(OR(X743="",N(G743)=0),"",AN743/G743)</f>
        <v/>
      </c>
    </row>
    <row r="744" customFormat="false" ht="15" hidden="false" customHeight="false" outlineLevel="0" collapsed="false">
      <c r="A744" s="19"/>
      <c r="B744" s="20"/>
      <c r="C744" s="19"/>
      <c r="D744" s="19"/>
      <c r="E744" s="19"/>
      <c r="F744" s="19"/>
      <c r="G744" s="21"/>
      <c r="H744" s="19"/>
      <c r="I744" s="21"/>
      <c r="J744" s="19"/>
      <c r="K744" s="20"/>
      <c r="L744" s="20"/>
      <c r="M744" s="19"/>
      <c r="N744" s="19"/>
      <c r="O744" s="20"/>
      <c r="P744" s="20"/>
      <c r="Q744" s="19"/>
      <c r="R744" s="22" t="str">
        <f aca="false">IF(A744="","",N(G744)+N(I744))</f>
        <v/>
      </c>
      <c r="S744" s="23" t="str">
        <f aca="false">IF(OR(K744="",O744=""),"",O744-K744)</f>
        <v/>
      </c>
      <c r="T744" s="23" t="str">
        <f aca="true">IF(AND(C744="Cetak",L744&lt;&gt;"",L744&lt;TODAY()),"YA","")</f>
        <v/>
      </c>
      <c r="U744" s="23" t="str">
        <f aca="false">IF(B744="","",TEXT(B744,"yyyy-mm"))</f>
        <v/>
      </c>
      <c r="V744" s="23" t="str">
        <f aca="false">IF(K744="","",TEXT(K744,"yyyy-mm"))</f>
        <v/>
      </c>
      <c r="W744" s="23" t="n">
        <f aca="false">IF(OR(C744="Cetak",C744="Dikirim",C744="Selesai"),1,0)</f>
        <v>0</v>
      </c>
      <c r="X744" s="23" t="str">
        <f aca="false">IF(F744="","",SUBSTITUTE(SUBSTITUTE(MID(UPPER(TRIM(F744)),4,99),"-LED",""),"-TK",""))</f>
        <v/>
      </c>
      <c r="Y744" s="23" t="str">
        <f aca="false">IF(X744="","",(LEN(X744)+1)/7)</f>
        <v/>
      </c>
      <c r="Z744" s="23" t="str">
        <f aca="false">IF(X744="","",LEFT(X744,6))</f>
        <v/>
      </c>
      <c r="AA744" s="23" t="str">
        <f aca="false">IF(X744="","",IF(Y744&gt;=3,MID(X744,8,6),""))</f>
        <v/>
      </c>
      <c r="AB744" s="23" t="str">
        <f aca="false">IF(X744="","",IF(Y744&gt;=4,MID(X744,15,6),""))</f>
        <v/>
      </c>
      <c r="AC744" s="23" t="str">
        <f aca="false">IF(X744="","",IF(Y744&gt;=5,MID(X744,22,6),""))</f>
        <v/>
      </c>
      <c r="AD744" s="23" t="str">
        <f aca="false">IF(X744="","",RIGHT(X744,6))</f>
        <v/>
      </c>
      <c r="AE744" s="23" t="str">
        <f aca="false">IF(F744="","",IF(ISNUMBER(SEARCH("-TK",UPPER(F744))),0,1))</f>
        <v/>
      </c>
      <c r="AF744" s="23" t="str">
        <f aca="false">IF(F744="","",IF(ISNUMBER(SEARCH("-LED",UPPER(F744))),1,0))</f>
        <v/>
      </c>
      <c r="AG744" s="24" t="n">
        <f aca="false">IF(Z744="",0,IFERROR(INDEX(Resep!$C$5:$C$7,MATCH(LEFT(Z744,3),Resep!$B$5:$B$7,0)),0))</f>
        <v>0</v>
      </c>
      <c r="AH744" s="24" t="n">
        <f aca="false">IF(AA744="",0,IFERROR(INDEX(Resep!$C$9:$C$13,MATCH(LEFT(AA744,3),Resep!$B$9:$B$13,0)),0))</f>
        <v>0</v>
      </c>
      <c r="AI744" s="24" t="n">
        <f aca="false">IF(AB744="",0,IFERROR(INDEX(Resep!$C$9:$C$13,MATCH(LEFT(AB744,3),Resep!$B$9:$B$13,0)),0))</f>
        <v>0</v>
      </c>
      <c r="AJ744" s="24" t="n">
        <f aca="false">IF(AC744="",0,IFERROR(INDEX(Resep!$C$9:$C$13,MATCH(LEFT(AC744,3),Resep!$B$9:$B$13,0)),0))</f>
        <v>0</v>
      </c>
      <c r="AK744" s="24" t="n">
        <f aca="false">IF(AD744="",0,IFERROR(INDEX(Resep!$C$15:$C$18,MATCH(LEFT(AD744,3),Resep!$B$15:$B$18,0)),0))</f>
        <v>0</v>
      </c>
      <c r="AL744" s="24" t="str">
        <f aca="false">IF(X744="","",AG744+AH744+AI744+AJ744+AK744)</f>
        <v/>
      </c>
      <c r="AM744" s="22" t="str">
        <f aca="false">IF(X744="","",AL744*(Pengaturan!$B$6+Pengaturan!$B$7)+Pengaturan!$B$8+AE744*Pengaturan!$B$9+AF744*Pengaturan!$B$10)</f>
        <v/>
      </c>
      <c r="AN744" s="22" t="str">
        <f aca="false">IF(X744="","",N(G744)-AM744)</f>
        <v/>
      </c>
      <c r="AO744" s="25" t="str">
        <f aca="false">IF(OR(X744="",N(G744)=0),"",AN744/G744)</f>
        <v/>
      </c>
    </row>
    <row r="745" customFormat="false" ht="15" hidden="false" customHeight="false" outlineLevel="0" collapsed="false">
      <c r="A745" s="19"/>
      <c r="B745" s="20"/>
      <c r="C745" s="19"/>
      <c r="D745" s="19"/>
      <c r="E745" s="19"/>
      <c r="F745" s="19"/>
      <c r="G745" s="21"/>
      <c r="H745" s="19"/>
      <c r="I745" s="21"/>
      <c r="J745" s="19"/>
      <c r="K745" s="20"/>
      <c r="L745" s="20"/>
      <c r="M745" s="19"/>
      <c r="N745" s="19"/>
      <c r="O745" s="20"/>
      <c r="P745" s="20"/>
      <c r="Q745" s="19"/>
      <c r="R745" s="22" t="str">
        <f aca="false">IF(A745="","",N(G745)+N(I745))</f>
        <v/>
      </c>
      <c r="S745" s="23" t="str">
        <f aca="false">IF(OR(K745="",O745=""),"",O745-K745)</f>
        <v/>
      </c>
      <c r="T745" s="23" t="str">
        <f aca="true">IF(AND(C745="Cetak",L745&lt;&gt;"",L745&lt;TODAY()),"YA","")</f>
        <v/>
      </c>
      <c r="U745" s="23" t="str">
        <f aca="false">IF(B745="","",TEXT(B745,"yyyy-mm"))</f>
        <v/>
      </c>
      <c r="V745" s="23" t="str">
        <f aca="false">IF(K745="","",TEXT(K745,"yyyy-mm"))</f>
        <v/>
      </c>
      <c r="W745" s="23" t="n">
        <f aca="false">IF(OR(C745="Cetak",C745="Dikirim",C745="Selesai"),1,0)</f>
        <v>0</v>
      </c>
      <c r="X745" s="23" t="str">
        <f aca="false">IF(F745="","",SUBSTITUTE(SUBSTITUTE(MID(UPPER(TRIM(F745)),4,99),"-LED",""),"-TK",""))</f>
        <v/>
      </c>
      <c r="Y745" s="23" t="str">
        <f aca="false">IF(X745="","",(LEN(X745)+1)/7)</f>
        <v/>
      </c>
      <c r="Z745" s="23" t="str">
        <f aca="false">IF(X745="","",LEFT(X745,6))</f>
        <v/>
      </c>
      <c r="AA745" s="23" t="str">
        <f aca="false">IF(X745="","",IF(Y745&gt;=3,MID(X745,8,6),""))</f>
        <v/>
      </c>
      <c r="AB745" s="23" t="str">
        <f aca="false">IF(X745="","",IF(Y745&gt;=4,MID(X745,15,6),""))</f>
        <v/>
      </c>
      <c r="AC745" s="23" t="str">
        <f aca="false">IF(X745="","",IF(Y745&gt;=5,MID(X745,22,6),""))</f>
        <v/>
      </c>
      <c r="AD745" s="23" t="str">
        <f aca="false">IF(X745="","",RIGHT(X745,6))</f>
        <v/>
      </c>
      <c r="AE745" s="23" t="str">
        <f aca="false">IF(F745="","",IF(ISNUMBER(SEARCH("-TK",UPPER(F745))),0,1))</f>
        <v/>
      </c>
      <c r="AF745" s="23" t="str">
        <f aca="false">IF(F745="","",IF(ISNUMBER(SEARCH("-LED",UPPER(F745))),1,0))</f>
        <v/>
      </c>
      <c r="AG745" s="24" t="n">
        <f aca="false">IF(Z745="",0,IFERROR(INDEX(Resep!$C$5:$C$7,MATCH(LEFT(Z745,3),Resep!$B$5:$B$7,0)),0))</f>
        <v>0</v>
      </c>
      <c r="AH745" s="24" t="n">
        <f aca="false">IF(AA745="",0,IFERROR(INDEX(Resep!$C$9:$C$13,MATCH(LEFT(AA745,3),Resep!$B$9:$B$13,0)),0))</f>
        <v>0</v>
      </c>
      <c r="AI745" s="24" t="n">
        <f aca="false">IF(AB745="",0,IFERROR(INDEX(Resep!$C$9:$C$13,MATCH(LEFT(AB745,3),Resep!$B$9:$B$13,0)),0))</f>
        <v>0</v>
      </c>
      <c r="AJ745" s="24" t="n">
        <f aca="false">IF(AC745="",0,IFERROR(INDEX(Resep!$C$9:$C$13,MATCH(LEFT(AC745,3),Resep!$B$9:$B$13,0)),0))</f>
        <v>0</v>
      </c>
      <c r="AK745" s="24" t="n">
        <f aca="false">IF(AD745="",0,IFERROR(INDEX(Resep!$C$15:$C$18,MATCH(LEFT(AD745,3),Resep!$B$15:$B$18,0)),0))</f>
        <v>0</v>
      </c>
      <c r="AL745" s="24" t="str">
        <f aca="false">IF(X745="","",AG745+AH745+AI745+AJ745+AK745)</f>
        <v/>
      </c>
      <c r="AM745" s="22" t="str">
        <f aca="false">IF(X745="","",AL745*(Pengaturan!$B$6+Pengaturan!$B$7)+Pengaturan!$B$8+AE745*Pengaturan!$B$9+AF745*Pengaturan!$B$10)</f>
        <v/>
      </c>
      <c r="AN745" s="22" t="str">
        <f aca="false">IF(X745="","",N(G745)-AM745)</f>
        <v/>
      </c>
      <c r="AO745" s="25" t="str">
        <f aca="false">IF(OR(X745="",N(G745)=0),"",AN745/G745)</f>
        <v/>
      </c>
    </row>
    <row r="746" customFormat="false" ht="15" hidden="false" customHeight="false" outlineLevel="0" collapsed="false">
      <c r="A746" s="19"/>
      <c r="B746" s="20"/>
      <c r="C746" s="19"/>
      <c r="D746" s="19"/>
      <c r="E746" s="19"/>
      <c r="F746" s="19"/>
      <c r="G746" s="21"/>
      <c r="H746" s="19"/>
      <c r="I746" s="21"/>
      <c r="J746" s="19"/>
      <c r="K746" s="20"/>
      <c r="L746" s="20"/>
      <c r="M746" s="19"/>
      <c r="N746" s="19"/>
      <c r="O746" s="20"/>
      <c r="P746" s="20"/>
      <c r="Q746" s="19"/>
      <c r="R746" s="22" t="str">
        <f aca="false">IF(A746="","",N(G746)+N(I746))</f>
        <v/>
      </c>
      <c r="S746" s="23" t="str">
        <f aca="false">IF(OR(K746="",O746=""),"",O746-K746)</f>
        <v/>
      </c>
      <c r="T746" s="23" t="str">
        <f aca="true">IF(AND(C746="Cetak",L746&lt;&gt;"",L746&lt;TODAY()),"YA","")</f>
        <v/>
      </c>
      <c r="U746" s="23" t="str">
        <f aca="false">IF(B746="","",TEXT(B746,"yyyy-mm"))</f>
        <v/>
      </c>
      <c r="V746" s="23" t="str">
        <f aca="false">IF(K746="","",TEXT(K746,"yyyy-mm"))</f>
        <v/>
      </c>
      <c r="W746" s="23" t="n">
        <f aca="false">IF(OR(C746="Cetak",C746="Dikirim",C746="Selesai"),1,0)</f>
        <v>0</v>
      </c>
      <c r="X746" s="23" t="str">
        <f aca="false">IF(F746="","",SUBSTITUTE(SUBSTITUTE(MID(UPPER(TRIM(F746)),4,99),"-LED",""),"-TK",""))</f>
        <v/>
      </c>
      <c r="Y746" s="23" t="str">
        <f aca="false">IF(X746="","",(LEN(X746)+1)/7)</f>
        <v/>
      </c>
      <c r="Z746" s="23" t="str">
        <f aca="false">IF(X746="","",LEFT(X746,6))</f>
        <v/>
      </c>
      <c r="AA746" s="23" t="str">
        <f aca="false">IF(X746="","",IF(Y746&gt;=3,MID(X746,8,6),""))</f>
        <v/>
      </c>
      <c r="AB746" s="23" t="str">
        <f aca="false">IF(X746="","",IF(Y746&gt;=4,MID(X746,15,6),""))</f>
        <v/>
      </c>
      <c r="AC746" s="23" t="str">
        <f aca="false">IF(X746="","",IF(Y746&gt;=5,MID(X746,22,6),""))</f>
        <v/>
      </c>
      <c r="AD746" s="23" t="str">
        <f aca="false">IF(X746="","",RIGHT(X746,6))</f>
        <v/>
      </c>
      <c r="AE746" s="23" t="str">
        <f aca="false">IF(F746="","",IF(ISNUMBER(SEARCH("-TK",UPPER(F746))),0,1))</f>
        <v/>
      </c>
      <c r="AF746" s="23" t="str">
        <f aca="false">IF(F746="","",IF(ISNUMBER(SEARCH("-LED",UPPER(F746))),1,0))</f>
        <v/>
      </c>
      <c r="AG746" s="24" t="n">
        <f aca="false">IF(Z746="",0,IFERROR(INDEX(Resep!$C$5:$C$7,MATCH(LEFT(Z746,3),Resep!$B$5:$B$7,0)),0))</f>
        <v>0</v>
      </c>
      <c r="AH746" s="24" t="n">
        <f aca="false">IF(AA746="",0,IFERROR(INDEX(Resep!$C$9:$C$13,MATCH(LEFT(AA746,3),Resep!$B$9:$B$13,0)),0))</f>
        <v>0</v>
      </c>
      <c r="AI746" s="24" t="n">
        <f aca="false">IF(AB746="",0,IFERROR(INDEX(Resep!$C$9:$C$13,MATCH(LEFT(AB746,3),Resep!$B$9:$B$13,0)),0))</f>
        <v>0</v>
      </c>
      <c r="AJ746" s="24" t="n">
        <f aca="false">IF(AC746="",0,IFERROR(INDEX(Resep!$C$9:$C$13,MATCH(LEFT(AC746,3),Resep!$B$9:$B$13,0)),0))</f>
        <v>0</v>
      </c>
      <c r="AK746" s="24" t="n">
        <f aca="false">IF(AD746="",0,IFERROR(INDEX(Resep!$C$15:$C$18,MATCH(LEFT(AD746,3),Resep!$B$15:$B$18,0)),0))</f>
        <v>0</v>
      </c>
      <c r="AL746" s="24" t="str">
        <f aca="false">IF(X746="","",AG746+AH746+AI746+AJ746+AK746)</f>
        <v/>
      </c>
      <c r="AM746" s="22" t="str">
        <f aca="false">IF(X746="","",AL746*(Pengaturan!$B$6+Pengaturan!$B$7)+Pengaturan!$B$8+AE746*Pengaturan!$B$9+AF746*Pengaturan!$B$10)</f>
        <v/>
      </c>
      <c r="AN746" s="22" t="str">
        <f aca="false">IF(X746="","",N(G746)-AM746)</f>
        <v/>
      </c>
      <c r="AO746" s="25" t="str">
        <f aca="false">IF(OR(X746="",N(G746)=0),"",AN746/G746)</f>
        <v/>
      </c>
    </row>
    <row r="747" customFormat="false" ht="15" hidden="false" customHeight="false" outlineLevel="0" collapsed="false">
      <c r="A747" s="19"/>
      <c r="B747" s="20"/>
      <c r="C747" s="19"/>
      <c r="D747" s="19"/>
      <c r="E747" s="19"/>
      <c r="F747" s="19"/>
      <c r="G747" s="21"/>
      <c r="H747" s="19"/>
      <c r="I747" s="21"/>
      <c r="J747" s="19"/>
      <c r="K747" s="20"/>
      <c r="L747" s="20"/>
      <c r="M747" s="19"/>
      <c r="N747" s="19"/>
      <c r="O747" s="20"/>
      <c r="P747" s="20"/>
      <c r="Q747" s="19"/>
      <c r="R747" s="22" t="str">
        <f aca="false">IF(A747="","",N(G747)+N(I747))</f>
        <v/>
      </c>
      <c r="S747" s="23" t="str">
        <f aca="false">IF(OR(K747="",O747=""),"",O747-K747)</f>
        <v/>
      </c>
      <c r="T747" s="23" t="str">
        <f aca="true">IF(AND(C747="Cetak",L747&lt;&gt;"",L747&lt;TODAY()),"YA","")</f>
        <v/>
      </c>
      <c r="U747" s="23" t="str">
        <f aca="false">IF(B747="","",TEXT(B747,"yyyy-mm"))</f>
        <v/>
      </c>
      <c r="V747" s="23" t="str">
        <f aca="false">IF(K747="","",TEXT(K747,"yyyy-mm"))</f>
        <v/>
      </c>
      <c r="W747" s="23" t="n">
        <f aca="false">IF(OR(C747="Cetak",C747="Dikirim",C747="Selesai"),1,0)</f>
        <v>0</v>
      </c>
      <c r="X747" s="23" t="str">
        <f aca="false">IF(F747="","",SUBSTITUTE(SUBSTITUTE(MID(UPPER(TRIM(F747)),4,99),"-LED",""),"-TK",""))</f>
        <v/>
      </c>
      <c r="Y747" s="23" t="str">
        <f aca="false">IF(X747="","",(LEN(X747)+1)/7)</f>
        <v/>
      </c>
      <c r="Z747" s="23" t="str">
        <f aca="false">IF(X747="","",LEFT(X747,6))</f>
        <v/>
      </c>
      <c r="AA747" s="23" t="str">
        <f aca="false">IF(X747="","",IF(Y747&gt;=3,MID(X747,8,6),""))</f>
        <v/>
      </c>
      <c r="AB747" s="23" t="str">
        <f aca="false">IF(X747="","",IF(Y747&gt;=4,MID(X747,15,6),""))</f>
        <v/>
      </c>
      <c r="AC747" s="23" t="str">
        <f aca="false">IF(X747="","",IF(Y747&gt;=5,MID(X747,22,6),""))</f>
        <v/>
      </c>
      <c r="AD747" s="23" t="str">
        <f aca="false">IF(X747="","",RIGHT(X747,6))</f>
        <v/>
      </c>
      <c r="AE747" s="23" t="str">
        <f aca="false">IF(F747="","",IF(ISNUMBER(SEARCH("-TK",UPPER(F747))),0,1))</f>
        <v/>
      </c>
      <c r="AF747" s="23" t="str">
        <f aca="false">IF(F747="","",IF(ISNUMBER(SEARCH("-LED",UPPER(F747))),1,0))</f>
        <v/>
      </c>
      <c r="AG747" s="24" t="n">
        <f aca="false">IF(Z747="",0,IFERROR(INDEX(Resep!$C$5:$C$7,MATCH(LEFT(Z747,3),Resep!$B$5:$B$7,0)),0))</f>
        <v>0</v>
      </c>
      <c r="AH747" s="24" t="n">
        <f aca="false">IF(AA747="",0,IFERROR(INDEX(Resep!$C$9:$C$13,MATCH(LEFT(AA747,3),Resep!$B$9:$B$13,0)),0))</f>
        <v>0</v>
      </c>
      <c r="AI747" s="24" t="n">
        <f aca="false">IF(AB747="",0,IFERROR(INDEX(Resep!$C$9:$C$13,MATCH(LEFT(AB747,3),Resep!$B$9:$B$13,0)),0))</f>
        <v>0</v>
      </c>
      <c r="AJ747" s="24" t="n">
        <f aca="false">IF(AC747="",0,IFERROR(INDEX(Resep!$C$9:$C$13,MATCH(LEFT(AC747,3),Resep!$B$9:$B$13,0)),0))</f>
        <v>0</v>
      </c>
      <c r="AK747" s="24" t="n">
        <f aca="false">IF(AD747="",0,IFERROR(INDEX(Resep!$C$15:$C$18,MATCH(LEFT(AD747,3),Resep!$B$15:$B$18,0)),0))</f>
        <v>0</v>
      </c>
      <c r="AL747" s="24" t="str">
        <f aca="false">IF(X747="","",AG747+AH747+AI747+AJ747+AK747)</f>
        <v/>
      </c>
      <c r="AM747" s="22" t="str">
        <f aca="false">IF(X747="","",AL747*(Pengaturan!$B$6+Pengaturan!$B$7)+Pengaturan!$B$8+AE747*Pengaturan!$B$9+AF747*Pengaturan!$B$10)</f>
        <v/>
      </c>
      <c r="AN747" s="22" t="str">
        <f aca="false">IF(X747="","",N(G747)-AM747)</f>
        <v/>
      </c>
      <c r="AO747" s="25" t="str">
        <f aca="false">IF(OR(X747="",N(G747)=0),"",AN747/G747)</f>
        <v/>
      </c>
    </row>
    <row r="748" customFormat="false" ht="15" hidden="false" customHeight="false" outlineLevel="0" collapsed="false">
      <c r="A748" s="19"/>
      <c r="B748" s="20"/>
      <c r="C748" s="19"/>
      <c r="D748" s="19"/>
      <c r="E748" s="19"/>
      <c r="F748" s="19"/>
      <c r="G748" s="21"/>
      <c r="H748" s="19"/>
      <c r="I748" s="21"/>
      <c r="J748" s="19"/>
      <c r="K748" s="20"/>
      <c r="L748" s="20"/>
      <c r="M748" s="19"/>
      <c r="N748" s="19"/>
      <c r="O748" s="20"/>
      <c r="P748" s="20"/>
      <c r="Q748" s="19"/>
      <c r="R748" s="22" t="str">
        <f aca="false">IF(A748="","",N(G748)+N(I748))</f>
        <v/>
      </c>
      <c r="S748" s="23" t="str">
        <f aca="false">IF(OR(K748="",O748=""),"",O748-K748)</f>
        <v/>
      </c>
      <c r="T748" s="23" t="str">
        <f aca="true">IF(AND(C748="Cetak",L748&lt;&gt;"",L748&lt;TODAY()),"YA","")</f>
        <v/>
      </c>
      <c r="U748" s="23" t="str">
        <f aca="false">IF(B748="","",TEXT(B748,"yyyy-mm"))</f>
        <v/>
      </c>
      <c r="V748" s="23" t="str">
        <f aca="false">IF(K748="","",TEXT(K748,"yyyy-mm"))</f>
        <v/>
      </c>
      <c r="W748" s="23" t="n">
        <f aca="false">IF(OR(C748="Cetak",C748="Dikirim",C748="Selesai"),1,0)</f>
        <v>0</v>
      </c>
      <c r="X748" s="23" t="str">
        <f aca="false">IF(F748="","",SUBSTITUTE(SUBSTITUTE(MID(UPPER(TRIM(F748)),4,99),"-LED",""),"-TK",""))</f>
        <v/>
      </c>
      <c r="Y748" s="23" t="str">
        <f aca="false">IF(X748="","",(LEN(X748)+1)/7)</f>
        <v/>
      </c>
      <c r="Z748" s="23" t="str">
        <f aca="false">IF(X748="","",LEFT(X748,6))</f>
        <v/>
      </c>
      <c r="AA748" s="23" t="str">
        <f aca="false">IF(X748="","",IF(Y748&gt;=3,MID(X748,8,6),""))</f>
        <v/>
      </c>
      <c r="AB748" s="23" t="str">
        <f aca="false">IF(X748="","",IF(Y748&gt;=4,MID(X748,15,6),""))</f>
        <v/>
      </c>
      <c r="AC748" s="23" t="str">
        <f aca="false">IF(X748="","",IF(Y748&gt;=5,MID(X748,22,6),""))</f>
        <v/>
      </c>
      <c r="AD748" s="23" t="str">
        <f aca="false">IF(X748="","",RIGHT(X748,6))</f>
        <v/>
      </c>
      <c r="AE748" s="23" t="str">
        <f aca="false">IF(F748="","",IF(ISNUMBER(SEARCH("-TK",UPPER(F748))),0,1))</f>
        <v/>
      </c>
      <c r="AF748" s="23" t="str">
        <f aca="false">IF(F748="","",IF(ISNUMBER(SEARCH("-LED",UPPER(F748))),1,0))</f>
        <v/>
      </c>
      <c r="AG748" s="24" t="n">
        <f aca="false">IF(Z748="",0,IFERROR(INDEX(Resep!$C$5:$C$7,MATCH(LEFT(Z748,3),Resep!$B$5:$B$7,0)),0))</f>
        <v>0</v>
      </c>
      <c r="AH748" s="24" t="n">
        <f aca="false">IF(AA748="",0,IFERROR(INDEX(Resep!$C$9:$C$13,MATCH(LEFT(AA748,3),Resep!$B$9:$B$13,0)),0))</f>
        <v>0</v>
      </c>
      <c r="AI748" s="24" t="n">
        <f aca="false">IF(AB748="",0,IFERROR(INDEX(Resep!$C$9:$C$13,MATCH(LEFT(AB748,3),Resep!$B$9:$B$13,0)),0))</f>
        <v>0</v>
      </c>
      <c r="AJ748" s="24" t="n">
        <f aca="false">IF(AC748="",0,IFERROR(INDEX(Resep!$C$9:$C$13,MATCH(LEFT(AC748,3),Resep!$B$9:$B$13,0)),0))</f>
        <v>0</v>
      </c>
      <c r="AK748" s="24" t="n">
        <f aca="false">IF(AD748="",0,IFERROR(INDEX(Resep!$C$15:$C$18,MATCH(LEFT(AD748,3),Resep!$B$15:$B$18,0)),0))</f>
        <v>0</v>
      </c>
      <c r="AL748" s="24" t="str">
        <f aca="false">IF(X748="","",AG748+AH748+AI748+AJ748+AK748)</f>
        <v/>
      </c>
      <c r="AM748" s="22" t="str">
        <f aca="false">IF(X748="","",AL748*(Pengaturan!$B$6+Pengaturan!$B$7)+Pengaturan!$B$8+AE748*Pengaturan!$B$9+AF748*Pengaturan!$B$10)</f>
        <v/>
      </c>
      <c r="AN748" s="22" t="str">
        <f aca="false">IF(X748="","",N(G748)-AM748)</f>
        <v/>
      </c>
      <c r="AO748" s="25" t="str">
        <f aca="false">IF(OR(X748="",N(G748)=0),"",AN748/G748)</f>
        <v/>
      </c>
    </row>
    <row r="749" customFormat="false" ht="15" hidden="false" customHeight="false" outlineLevel="0" collapsed="false">
      <c r="A749" s="19"/>
      <c r="B749" s="20"/>
      <c r="C749" s="19"/>
      <c r="D749" s="19"/>
      <c r="E749" s="19"/>
      <c r="F749" s="19"/>
      <c r="G749" s="21"/>
      <c r="H749" s="19"/>
      <c r="I749" s="21"/>
      <c r="J749" s="19"/>
      <c r="K749" s="20"/>
      <c r="L749" s="20"/>
      <c r="M749" s="19"/>
      <c r="N749" s="19"/>
      <c r="O749" s="20"/>
      <c r="P749" s="20"/>
      <c r="Q749" s="19"/>
      <c r="R749" s="22" t="str">
        <f aca="false">IF(A749="","",N(G749)+N(I749))</f>
        <v/>
      </c>
      <c r="S749" s="23" t="str">
        <f aca="false">IF(OR(K749="",O749=""),"",O749-K749)</f>
        <v/>
      </c>
      <c r="T749" s="23" t="str">
        <f aca="true">IF(AND(C749="Cetak",L749&lt;&gt;"",L749&lt;TODAY()),"YA","")</f>
        <v/>
      </c>
      <c r="U749" s="23" t="str">
        <f aca="false">IF(B749="","",TEXT(B749,"yyyy-mm"))</f>
        <v/>
      </c>
      <c r="V749" s="23" t="str">
        <f aca="false">IF(K749="","",TEXT(K749,"yyyy-mm"))</f>
        <v/>
      </c>
      <c r="W749" s="23" t="n">
        <f aca="false">IF(OR(C749="Cetak",C749="Dikirim",C749="Selesai"),1,0)</f>
        <v>0</v>
      </c>
      <c r="X749" s="23" t="str">
        <f aca="false">IF(F749="","",SUBSTITUTE(SUBSTITUTE(MID(UPPER(TRIM(F749)),4,99),"-LED",""),"-TK",""))</f>
        <v/>
      </c>
      <c r="Y749" s="23" t="str">
        <f aca="false">IF(X749="","",(LEN(X749)+1)/7)</f>
        <v/>
      </c>
      <c r="Z749" s="23" t="str">
        <f aca="false">IF(X749="","",LEFT(X749,6))</f>
        <v/>
      </c>
      <c r="AA749" s="23" t="str">
        <f aca="false">IF(X749="","",IF(Y749&gt;=3,MID(X749,8,6),""))</f>
        <v/>
      </c>
      <c r="AB749" s="23" t="str">
        <f aca="false">IF(X749="","",IF(Y749&gt;=4,MID(X749,15,6),""))</f>
        <v/>
      </c>
      <c r="AC749" s="23" t="str">
        <f aca="false">IF(X749="","",IF(Y749&gt;=5,MID(X749,22,6),""))</f>
        <v/>
      </c>
      <c r="AD749" s="23" t="str">
        <f aca="false">IF(X749="","",RIGHT(X749,6))</f>
        <v/>
      </c>
      <c r="AE749" s="23" t="str">
        <f aca="false">IF(F749="","",IF(ISNUMBER(SEARCH("-TK",UPPER(F749))),0,1))</f>
        <v/>
      </c>
      <c r="AF749" s="23" t="str">
        <f aca="false">IF(F749="","",IF(ISNUMBER(SEARCH("-LED",UPPER(F749))),1,0))</f>
        <v/>
      </c>
      <c r="AG749" s="24" t="n">
        <f aca="false">IF(Z749="",0,IFERROR(INDEX(Resep!$C$5:$C$7,MATCH(LEFT(Z749,3),Resep!$B$5:$B$7,0)),0))</f>
        <v>0</v>
      </c>
      <c r="AH749" s="24" t="n">
        <f aca="false">IF(AA749="",0,IFERROR(INDEX(Resep!$C$9:$C$13,MATCH(LEFT(AA749,3),Resep!$B$9:$B$13,0)),0))</f>
        <v>0</v>
      </c>
      <c r="AI749" s="24" t="n">
        <f aca="false">IF(AB749="",0,IFERROR(INDEX(Resep!$C$9:$C$13,MATCH(LEFT(AB749,3),Resep!$B$9:$B$13,0)),0))</f>
        <v>0</v>
      </c>
      <c r="AJ749" s="24" t="n">
        <f aca="false">IF(AC749="",0,IFERROR(INDEX(Resep!$C$9:$C$13,MATCH(LEFT(AC749,3),Resep!$B$9:$B$13,0)),0))</f>
        <v>0</v>
      </c>
      <c r="AK749" s="24" t="n">
        <f aca="false">IF(AD749="",0,IFERROR(INDEX(Resep!$C$15:$C$18,MATCH(LEFT(AD749,3),Resep!$B$15:$B$18,0)),0))</f>
        <v>0</v>
      </c>
      <c r="AL749" s="24" t="str">
        <f aca="false">IF(X749="","",AG749+AH749+AI749+AJ749+AK749)</f>
        <v/>
      </c>
      <c r="AM749" s="22" t="str">
        <f aca="false">IF(X749="","",AL749*(Pengaturan!$B$6+Pengaturan!$B$7)+Pengaturan!$B$8+AE749*Pengaturan!$B$9+AF749*Pengaturan!$B$10)</f>
        <v/>
      </c>
      <c r="AN749" s="22" t="str">
        <f aca="false">IF(X749="","",N(G749)-AM749)</f>
        <v/>
      </c>
      <c r="AO749" s="25" t="str">
        <f aca="false">IF(OR(X749="",N(G749)=0),"",AN749/G749)</f>
        <v/>
      </c>
    </row>
    <row r="750" customFormat="false" ht="15" hidden="false" customHeight="false" outlineLevel="0" collapsed="false">
      <c r="A750" s="19"/>
      <c r="B750" s="20"/>
      <c r="C750" s="19"/>
      <c r="D750" s="19"/>
      <c r="E750" s="19"/>
      <c r="F750" s="19"/>
      <c r="G750" s="21"/>
      <c r="H750" s="19"/>
      <c r="I750" s="21"/>
      <c r="J750" s="19"/>
      <c r="K750" s="20"/>
      <c r="L750" s="20"/>
      <c r="M750" s="19"/>
      <c r="N750" s="19"/>
      <c r="O750" s="20"/>
      <c r="P750" s="20"/>
      <c r="Q750" s="19"/>
      <c r="R750" s="22" t="str">
        <f aca="false">IF(A750="","",N(G750)+N(I750))</f>
        <v/>
      </c>
      <c r="S750" s="23" t="str">
        <f aca="false">IF(OR(K750="",O750=""),"",O750-K750)</f>
        <v/>
      </c>
      <c r="T750" s="23" t="str">
        <f aca="true">IF(AND(C750="Cetak",L750&lt;&gt;"",L750&lt;TODAY()),"YA","")</f>
        <v/>
      </c>
      <c r="U750" s="23" t="str">
        <f aca="false">IF(B750="","",TEXT(B750,"yyyy-mm"))</f>
        <v/>
      </c>
      <c r="V750" s="23" t="str">
        <f aca="false">IF(K750="","",TEXT(K750,"yyyy-mm"))</f>
        <v/>
      </c>
      <c r="W750" s="23" t="n">
        <f aca="false">IF(OR(C750="Cetak",C750="Dikirim",C750="Selesai"),1,0)</f>
        <v>0</v>
      </c>
      <c r="X750" s="23" t="str">
        <f aca="false">IF(F750="","",SUBSTITUTE(SUBSTITUTE(MID(UPPER(TRIM(F750)),4,99),"-LED",""),"-TK",""))</f>
        <v/>
      </c>
      <c r="Y750" s="23" t="str">
        <f aca="false">IF(X750="","",(LEN(X750)+1)/7)</f>
        <v/>
      </c>
      <c r="Z750" s="23" t="str">
        <f aca="false">IF(X750="","",LEFT(X750,6))</f>
        <v/>
      </c>
      <c r="AA750" s="23" t="str">
        <f aca="false">IF(X750="","",IF(Y750&gt;=3,MID(X750,8,6),""))</f>
        <v/>
      </c>
      <c r="AB750" s="23" t="str">
        <f aca="false">IF(X750="","",IF(Y750&gt;=4,MID(X750,15,6),""))</f>
        <v/>
      </c>
      <c r="AC750" s="23" t="str">
        <f aca="false">IF(X750="","",IF(Y750&gt;=5,MID(X750,22,6),""))</f>
        <v/>
      </c>
      <c r="AD750" s="23" t="str">
        <f aca="false">IF(X750="","",RIGHT(X750,6))</f>
        <v/>
      </c>
      <c r="AE750" s="23" t="str">
        <f aca="false">IF(F750="","",IF(ISNUMBER(SEARCH("-TK",UPPER(F750))),0,1))</f>
        <v/>
      </c>
      <c r="AF750" s="23" t="str">
        <f aca="false">IF(F750="","",IF(ISNUMBER(SEARCH("-LED",UPPER(F750))),1,0))</f>
        <v/>
      </c>
      <c r="AG750" s="24" t="n">
        <f aca="false">IF(Z750="",0,IFERROR(INDEX(Resep!$C$5:$C$7,MATCH(LEFT(Z750,3),Resep!$B$5:$B$7,0)),0))</f>
        <v>0</v>
      </c>
      <c r="AH750" s="24" t="n">
        <f aca="false">IF(AA750="",0,IFERROR(INDEX(Resep!$C$9:$C$13,MATCH(LEFT(AA750,3),Resep!$B$9:$B$13,0)),0))</f>
        <v>0</v>
      </c>
      <c r="AI750" s="24" t="n">
        <f aca="false">IF(AB750="",0,IFERROR(INDEX(Resep!$C$9:$C$13,MATCH(LEFT(AB750,3),Resep!$B$9:$B$13,0)),0))</f>
        <v>0</v>
      </c>
      <c r="AJ750" s="24" t="n">
        <f aca="false">IF(AC750="",0,IFERROR(INDEX(Resep!$C$9:$C$13,MATCH(LEFT(AC750,3),Resep!$B$9:$B$13,0)),0))</f>
        <v>0</v>
      </c>
      <c r="AK750" s="24" t="n">
        <f aca="false">IF(AD750="",0,IFERROR(INDEX(Resep!$C$15:$C$18,MATCH(LEFT(AD750,3),Resep!$B$15:$B$18,0)),0))</f>
        <v>0</v>
      </c>
      <c r="AL750" s="24" t="str">
        <f aca="false">IF(X750="","",AG750+AH750+AI750+AJ750+AK750)</f>
        <v/>
      </c>
      <c r="AM750" s="22" t="str">
        <f aca="false">IF(X750="","",AL750*(Pengaturan!$B$6+Pengaturan!$B$7)+Pengaturan!$B$8+AE750*Pengaturan!$B$9+AF750*Pengaturan!$B$10)</f>
        <v/>
      </c>
      <c r="AN750" s="22" t="str">
        <f aca="false">IF(X750="","",N(G750)-AM750)</f>
        <v/>
      </c>
      <c r="AO750" s="25" t="str">
        <f aca="false">IF(OR(X750="",N(G750)=0),"",AN750/G750)</f>
        <v/>
      </c>
    </row>
    <row r="751" customFormat="false" ht="15" hidden="false" customHeight="false" outlineLevel="0" collapsed="false">
      <c r="A751" s="19"/>
      <c r="B751" s="20"/>
      <c r="C751" s="19"/>
      <c r="D751" s="19"/>
      <c r="E751" s="19"/>
      <c r="F751" s="19"/>
      <c r="G751" s="21"/>
      <c r="H751" s="19"/>
      <c r="I751" s="21"/>
      <c r="J751" s="19"/>
      <c r="K751" s="20"/>
      <c r="L751" s="20"/>
      <c r="M751" s="19"/>
      <c r="N751" s="19"/>
      <c r="O751" s="20"/>
      <c r="P751" s="20"/>
      <c r="Q751" s="19"/>
      <c r="R751" s="22" t="str">
        <f aca="false">IF(A751="","",N(G751)+N(I751))</f>
        <v/>
      </c>
      <c r="S751" s="23" t="str">
        <f aca="false">IF(OR(K751="",O751=""),"",O751-K751)</f>
        <v/>
      </c>
      <c r="T751" s="23" t="str">
        <f aca="true">IF(AND(C751="Cetak",L751&lt;&gt;"",L751&lt;TODAY()),"YA","")</f>
        <v/>
      </c>
      <c r="U751" s="23" t="str">
        <f aca="false">IF(B751="","",TEXT(B751,"yyyy-mm"))</f>
        <v/>
      </c>
      <c r="V751" s="23" t="str">
        <f aca="false">IF(K751="","",TEXT(K751,"yyyy-mm"))</f>
        <v/>
      </c>
      <c r="W751" s="23" t="n">
        <f aca="false">IF(OR(C751="Cetak",C751="Dikirim",C751="Selesai"),1,0)</f>
        <v>0</v>
      </c>
      <c r="X751" s="23" t="str">
        <f aca="false">IF(F751="","",SUBSTITUTE(SUBSTITUTE(MID(UPPER(TRIM(F751)),4,99),"-LED",""),"-TK",""))</f>
        <v/>
      </c>
      <c r="Y751" s="23" t="str">
        <f aca="false">IF(X751="","",(LEN(X751)+1)/7)</f>
        <v/>
      </c>
      <c r="Z751" s="23" t="str">
        <f aca="false">IF(X751="","",LEFT(X751,6))</f>
        <v/>
      </c>
      <c r="AA751" s="23" t="str">
        <f aca="false">IF(X751="","",IF(Y751&gt;=3,MID(X751,8,6),""))</f>
        <v/>
      </c>
      <c r="AB751" s="23" t="str">
        <f aca="false">IF(X751="","",IF(Y751&gt;=4,MID(X751,15,6),""))</f>
        <v/>
      </c>
      <c r="AC751" s="23" t="str">
        <f aca="false">IF(X751="","",IF(Y751&gt;=5,MID(X751,22,6),""))</f>
        <v/>
      </c>
      <c r="AD751" s="23" t="str">
        <f aca="false">IF(X751="","",RIGHT(X751,6))</f>
        <v/>
      </c>
      <c r="AE751" s="23" t="str">
        <f aca="false">IF(F751="","",IF(ISNUMBER(SEARCH("-TK",UPPER(F751))),0,1))</f>
        <v/>
      </c>
      <c r="AF751" s="23" t="str">
        <f aca="false">IF(F751="","",IF(ISNUMBER(SEARCH("-LED",UPPER(F751))),1,0))</f>
        <v/>
      </c>
      <c r="AG751" s="24" t="n">
        <f aca="false">IF(Z751="",0,IFERROR(INDEX(Resep!$C$5:$C$7,MATCH(LEFT(Z751,3),Resep!$B$5:$B$7,0)),0))</f>
        <v>0</v>
      </c>
      <c r="AH751" s="24" t="n">
        <f aca="false">IF(AA751="",0,IFERROR(INDEX(Resep!$C$9:$C$13,MATCH(LEFT(AA751,3),Resep!$B$9:$B$13,0)),0))</f>
        <v>0</v>
      </c>
      <c r="AI751" s="24" t="n">
        <f aca="false">IF(AB751="",0,IFERROR(INDEX(Resep!$C$9:$C$13,MATCH(LEFT(AB751,3),Resep!$B$9:$B$13,0)),0))</f>
        <v>0</v>
      </c>
      <c r="AJ751" s="24" t="n">
        <f aca="false">IF(AC751="",0,IFERROR(INDEX(Resep!$C$9:$C$13,MATCH(LEFT(AC751,3),Resep!$B$9:$B$13,0)),0))</f>
        <v>0</v>
      </c>
      <c r="AK751" s="24" t="n">
        <f aca="false">IF(AD751="",0,IFERROR(INDEX(Resep!$C$15:$C$18,MATCH(LEFT(AD751,3),Resep!$B$15:$B$18,0)),0))</f>
        <v>0</v>
      </c>
      <c r="AL751" s="24" t="str">
        <f aca="false">IF(X751="","",AG751+AH751+AI751+AJ751+AK751)</f>
        <v/>
      </c>
      <c r="AM751" s="22" t="str">
        <f aca="false">IF(X751="","",AL751*(Pengaturan!$B$6+Pengaturan!$B$7)+Pengaturan!$B$8+AE751*Pengaturan!$B$9+AF751*Pengaturan!$B$10)</f>
        <v/>
      </c>
      <c r="AN751" s="22" t="str">
        <f aca="false">IF(X751="","",N(G751)-AM751)</f>
        <v/>
      </c>
      <c r="AO751" s="25" t="str">
        <f aca="false">IF(OR(X751="",N(G751)=0),"",AN751/G751)</f>
        <v/>
      </c>
    </row>
    <row r="752" customFormat="false" ht="15" hidden="false" customHeight="false" outlineLevel="0" collapsed="false">
      <c r="A752" s="19"/>
      <c r="B752" s="20"/>
      <c r="C752" s="19"/>
      <c r="D752" s="19"/>
      <c r="E752" s="19"/>
      <c r="F752" s="19"/>
      <c r="G752" s="21"/>
      <c r="H752" s="19"/>
      <c r="I752" s="21"/>
      <c r="J752" s="19"/>
      <c r="K752" s="20"/>
      <c r="L752" s="20"/>
      <c r="M752" s="19"/>
      <c r="N752" s="19"/>
      <c r="O752" s="20"/>
      <c r="P752" s="20"/>
      <c r="Q752" s="19"/>
      <c r="R752" s="22" t="str">
        <f aca="false">IF(A752="","",N(G752)+N(I752))</f>
        <v/>
      </c>
      <c r="S752" s="23" t="str">
        <f aca="false">IF(OR(K752="",O752=""),"",O752-K752)</f>
        <v/>
      </c>
      <c r="T752" s="23" t="str">
        <f aca="true">IF(AND(C752="Cetak",L752&lt;&gt;"",L752&lt;TODAY()),"YA","")</f>
        <v/>
      </c>
      <c r="U752" s="23" t="str">
        <f aca="false">IF(B752="","",TEXT(B752,"yyyy-mm"))</f>
        <v/>
      </c>
      <c r="V752" s="23" t="str">
        <f aca="false">IF(K752="","",TEXT(K752,"yyyy-mm"))</f>
        <v/>
      </c>
      <c r="W752" s="23" t="n">
        <f aca="false">IF(OR(C752="Cetak",C752="Dikirim",C752="Selesai"),1,0)</f>
        <v>0</v>
      </c>
      <c r="X752" s="23" t="str">
        <f aca="false">IF(F752="","",SUBSTITUTE(SUBSTITUTE(MID(UPPER(TRIM(F752)),4,99),"-LED",""),"-TK",""))</f>
        <v/>
      </c>
      <c r="Y752" s="23" t="str">
        <f aca="false">IF(X752="","",(LEN(X752)+1)/7)</f>
        <v/>
      </c>
      <c r="Z752" s="23" t="str">
        <f aca="false">IF(X752="","",LEFT(X752,6))</f>
        <v/>
      </c>
      <c r="AA752" s="23" t="str">
        <f aca="false">IF(X752="","",IF(Y752&gt;=3,MID(X752,8,6),""))</f>
        <v/>
      </c>
      <c r="AB752" s="23" t="str">
        <f aca="false">IF(X752="","",IF(Y752&gt;=4,MID(X752,15,6),""))</f>
        <v/>
      </c>
      <c r="AC752" s="23" t="str">
        <f aca="false">IF(X752="","",IF(Y752&gt;=5,MID(X752,22,6),""))</f>
        <v/>
      </c>
      <c r="AD752" s="23" t="str">
        <f aca="false">IF(X752="","",RIGHT(X752,6))</f>
        <v/>
      </c>
      <c r="AE752" s="23" t="str">
        <f aca="false">IF(F752="","",IF(ISNUMBER(SEARCH("-TK",UPPER(F752))),0,1))</f>
        <v/>
      </c>
      <c r="AF752" s="23" t="str">
        <f aca="false">IF(F752="","",IF(ISNUMBER(SEARCH("-LED",UPPER(F752))),1,0))</f>
        <v/>
      </c>
      <c r="AG752" s="24" t="n">
        <f aca="false">IF(Z752="",0,IFERROR(INDEX(Resep!$C$5:$C$7,MATCH(LEFT(Z752,3),Resep!$B$5:$B$7,0)),0))</f>
        <v>0</v>
      </c>
      <c r="AH752" s="24" t="n">
        <f aca="false">IF(AA752="",0,IFERROR(INDEX(Resep!$C$9:$C$13,MATCH(LEFT(AA752,3),Resep!$B$9:$B$13,0)),0))</f>
        <v>0</v>
      </c>
      <c r="AI752" s="24" t="n">
        <f aca="false">IF(AB752="",0,IFERROR(INDEX(Resep!$C$9:$C$13,MATCH(LEFT(AB752,3),Resep!$B$9:$B$13,0)),0))</f>
        <v>0</v>
      </c>
      <c r="AJ752" s="24" t="n">
        <f aca="false">IF(AC752="",0,IFERROR(INDEX(Resep!$C$9:$C$13,MATCH(LEFT(AC752,3),Resep!$B$9:$B$13,0)),0))</f>
        <v>0</v>
      </c>
      <c r="AK752" s="24" t="n">
        <f aca="false">IF(AD752="",0,IFERROR(INDEX(Resep!$C$15:$C$18,MATCH(LEFT(AD752,3),Resep!$B$15:$B$18,0)),0))</f>
        <v>0</v>
      </c>
      <c r="AL752" s="24" t="str">
        <f aca="false">IF(X752="","",AG752+AH752+AI752+AJ752+AK752)</f>
        <v/>
      </c>
      <c r="AM752" s="22" t="str">
        <f aca="false">IF(X752="","",AL752*(Pengaturan!$B$6+Pengaturan!$B$7)+Pengaturan!$B$8+AE752*Pengaturan!$B$9+AF752*Pengaturan!$B$10)</f>
        <v/>
      </c>
      <c r="AN752" s="22" t="str">
        <f aca="false">IF(X752="","",N(G752)-AM752)</f>
        <v/>
      </c>
      <c r="AO752" s="25" t="str">
        <f aca="false">IF(OR(X752="",N(G752)=0),"",AN752/G752)</f>
        <v/>
      </c>
    </row>
    <row r="753" customFormat="false" ht="15" hidden="false" customHeight="false" outlineLevel="0" collapsed="false">
      <c r="A753" s="19"/>
      <c r="B753" s="20"/>
      <c r="C753" s="19"/>
      <c r="D753" s="19"/>
      <c r="E753" s="19"/>
      <c r="F753" s="19"/>
      <c r="G753" s="21"/>
      <c r="H753" s="19"/>
      <c r="I753" s="21"/>
      <c r="J753" s="19"/>
      <c r="K753" s="20"/>
      <c r="L753" s="20"/>
      <c r="M753" s="19"/>
      <c r="N753" s="19"/>
      <c r="O753" s="20"/>
      <c r="P753" s="20"/>
      <c r="Q753" s="19"/>
      <c r="R753" s="22" t="str">
        <f aca="false">IF(A753="","",N(G753)+N(I753))</f>
        <v/>
      </c>
      <c r="S753" s="23" t="str">
        <f aca="false">IF(OR(K753="",O753=""),"",O753-K753)</f>
        <v/>
      </c>
      <c r="T753" s="23" t="str">
        <f aca="true">IF(AND(C753="Cetak",L753&lt;&gt;"",L753&lt;TODAY()),"YA","")</f>
        <v/>
      </c>
      <c r="U753" s="23" t="str">
        <f aca="false">IF(B753="","",TEXT(B753,"yyyy-mm"))</f>
        <v/>
      </c>
      <c r="V753" s="23" t="str">
        <f aca="false">IF(K753="","",TEXT(K753,"yyyy-mm"))</f>
        <v/>
      </c>
      <c r="W753" s="23" t="n">
        <f aca="false">IF(OR(C753="Cetak",C753="Dikirim",C753="Selesai"),1,0)</f>
        <v>0</v>
      </c>
      <c r="X753" s="23" t="str">
        <f aca="false">IF(F753="","",SUBSTITUTE(SUBSTITUTE(MID(UPPER(TRIM(F753)),4,99),"-LED",""),"-TK",""))</f>
        <v/>
      </c>
      <c r="Y753" s="23" t="str">
        <f aca="false">IF(X753="","",(LEN(X753)+1)/7)</f>
        <v/>
      </c>
      <c r="Z753" s="23" t="str">
        <f aca="false">IF(X753="","",LEFT(X753,6))</f>
        <v/>
      </c>
      <c r="AA753" s="23" t="str">
        <f aca="false">IF(X753="","",IF(Y753&gt;=3,MID(X753,8,6),""))</f>
        <v/>
      </c>
      <c r="AB753" s="23" t="str">
        <f aca="false">IF(X753="","",IF(Y753&gt;=4,MID(X753,15,6),""))</f>
        <v/>
      </c>
      <c r="AC753" s="23" t="str">
        <f aca="false">IF(X753="","",IF(Y753&gt;=5,MID(X753,22,6),""))</f>
        <v/>
      </c>
      <c r="AD753" s="23" t="str">
        <f aca="false">IF(X753="","",RIGHT(X753,6))</f>
        <v/>
      </c>
      <c r="AE753" s="23" t="str">
        <f aca="false">IF(F753="","",IF(ISNUMBER(SEARCH("-TK",UPPER(F753))),0,1))</f>
        <v/>
      </c>
      <c r="AF753" s="23" t="str">
        <f aca="false">IF(F753="","",IF(ISNUMBER(SEARCH("-LED",UPPER(F753))),1,0))</f>
        <v/>
      </c>
      <c r="AG753" s="24" t="n">
        <f aca="false">IF(Z753="",0,IFERROR(INDEX(Resep!$C$5:$C$7,MATCH(LEFT(Z753,3),Resep!$B$5:$B$7,0)),0))</f>
        <v>0</v>
      </c>
      <c r="AH753" s="24" t="n">
        <f aca="false">IF(AA753="",0,IFERROR(INDEX(Resep!$C$9:$C$13,MATCH(LEFT(AA753,3),Resep!$B$9:$B$13,0)),0))</f>
        <v>0</v>
      </c>
      <c r="AI753" s="24" t="n">
        <f aca="false">IF(AB753="",0,IFERROR(INDEX(Resep!$C$9:$C$13,MATCH(LEFT(AB753,3),Resep!$B$9:$B$13,0)),0))</f>
        <v>0</v>
      </c>
      <c r="AJ753" s="24" t="n">
        <f aca="false">IF(AC753="",0,IFERROR(INDEX(Resep!$C$9:$C$13,MATCH(LEFT(AC753,3),Resep!$B$9:$B$13,0)),0))</f>
        <v>0</v>
      </c>
      <c r="AK753" s="24" t="n">
        <f aca="false">IF(AD753="",0,IFERROR(INDEX(Resep!$C$15:$C$18,MATCH(LEFT(AD753,3),Resep!$B$15:$B$18,0)),0))</f>
        <v>0</v>
      </c>
      <c r="AL753" s="24" t="str">
        <f aca="false">IF(X753="","",AG753+AH753+AI753+AJ753+AK753)</f>
        <v/>
      </c>
      <c r="AM753" s="22" t="str">
        <f aca="false">IF(X753="","",AL753*(Pengaturan!$B$6+Pengaturan!$B$7)+Pengaturan!$B$8+AE753*Pengaturan!$B$9+AF753*Pengaturan!$B$10)</f>
        <v/>
      </c>
      <c r="AN753" s="22" t="str">
        <f aca="false">IF(X753="","",N(G753)-AM753)</f>
        <v/>
      </c>
      <c r="AO753" s="25" t="str">
        <f aca="false">IF(OR(X753="",N(G753)=0),"",AN753/G753)</f>
        <v/>
      </c>
    </row>
    <row r="754" customFormat="false" ht="15" hidden="false" customHeight="false" outlineLevel="0" collapsed="false">
      <c r="A754" s="19"/>
      <c r="B754" s="20"/>
      <c r="C754" s="19"/>
      <c r="D754" s="19"/>
      <c r="E754" s="19"/>
      <c r="F754" s="19"/>
      <c r="G754" s="21"/>
      <c r="H754" s="19"/>
      <c r="I754" s="21"/>
      <c r="J754" s="19"/>
      <c r="K754" s="20"/>
      <c r="L754" s="20"/>
      <c r="M754" s="19"/>
      <c r="N754" s="19"/>
      <c r="O754" s="20"/>
      <c r="P754" s="20"/>
      <c r="Q754" s="19"/>
      <c r="R754" s="22" t="str">
        <f aca="false">IF(A754="","",N(G754)+N(I754))</f>
        <v/>
      </c>
      <c r="S754" s="23" t="str">
        <f aca="false">IF(OR(K754="",O754=""),"",O754-K754)</f>
        <v/>
      </c>
      <c r="T754" s="23" t="str">
        <f aca="true">IF(AND(C754="Cetak",L754&lt;&gt;"",L754&lt;TODAY()),"YA","")</f>
        <v/>
      </c>
      <c r="U754" s="23" t="str">
        <f aca="false">IF(B754="","",TEXT(B754,"yyyy-mm"))</f>
        <v/>
      </c>
      <c r="V754" s="23" t="str">
        <f aca="false">IF(K754="","",TEXT(K754,"yyyy-mm"))</f>
        <v/>
      </c>
      <c r="W754" s="23" t="n">
        <f aca="false">IF(OR(C754="Cetak",C754="Dikirim",C754="Selesai"),1,0)</f>
        <v>0</v>
      </c>
      <c r="X754" s="23" t="str">
        <f aca="false">IF(F754="","",SUBSTITUTE(SUBSTITUTE(MID(UPPER(TRIM(F754)),4,99),"-LED",""),"-TK",""))</f>
        <v/>
      </c>
      <c r="Y754" s="23" t="str">
        <f aca="false">IF(X754="","",(LEN(X754)+1)/7)</f>
        <v/>
      </c>
      <c r="Z754" s="23" t="str">
        <f aca="false">IF(X754="","",LEFT(X754,6))</f>
        <v/>
      </c>
      <c r="AA754" s="23" t="str">
        <f aca="false">IF(X754="","",IF(Y754&gt;=3,MID(X754,8,6),""))</f>
        <v/>
      </c>
      <c r="AB754" s="23" t="str">
        <f aca="false">IF(X754="","",IF(Y754&gt;=4,MID(X754,15,6),""))</f>
        <v/>
      </c>
      <c r="AC754" s="23" t="str">
        <f aca="false">IF(X754="","",IF(Y754&gt;=5,MID(X754,22,6),""))</f>
        <v/>
      </c>
      <c r="AD754" s="23" t="str">
        <f aca="false">IF(X754="","",RIGHT(X754,6))</f>
        <v/>
      </c>
      <c r="AE754" s="23" t="str">
        <f aca="false">IF(F754="","",IF(ISNUMBER(SEARCH("-TK",UPPER(F754))),0,1))</f>
        <v/>
      </c>
      <c r="AF754" s="23" t="str">
        <f aca="false">IF(F754="","",IF(ISNUMBER(SEARCH("-LED",UPPER(F754))),1,0))</f>
        <v/>
      </c>
      <c r="AG754" s="24" t="n">
        <f aca="false">IF(Z754="",0,IFERROR(INDEX(Resep!$C$5:$C$7,MATCH(LEFT(Z754,3),Resep!$B$5:$B$7,0)),0))</f>
        <v>0</v>
      </c>
      <c r="AH754" s="24" t="n">
        <f aca="false">IF(AA754="",0,IFERROR(INDEX(Resep!$C$9:$C$13,MATCH(LEFT(AA754,3),Resep!$B$9:$B$13,0)),0))</f>
        <v>0</v>
      </c>
      <c r="AI754" s="24" t="n">
        <f aca="false">IF(AB754="",0,IFERROR(INDEX(Resep!$C$9:$C$13,MATCH(LEFT(AB754,3),Resep!$B$9:$B$13,0)),0))</f>
        <v>0</v>
      </c>
      <c r="AJ754" s="24" t="n">
        <f aca="false">IF(AC754="",0,IFERROR(INDEX(Resep!$C$9:$C$13,MATCH(LEFT(AC754,3),Resep!$B$9:$B$13,0)),0))</f>
        <v>0</v>
      </c>
      <c r="AK754" s="24" t="n">
        <f aca="false">IF(AD754="",0,IFERROR(INDEX(Resep!$C$15:$C$18,MATCH(LEFT(AD754,3),Resep!$B$15:$B$18,0)),0))</f>
        <v>0</v>
      </c>
      <c r="AL754" s="24" t="str">
        <f aca="false">IF(X754="","",AG754+AH754+AI754+AJ754+AK754)</f>
        <v/>
      </c>
      <c r="AM754" s="22" t="str">
        <f aca="false">IF(X754="","",AL754*(Pengaturan!$B$6+Pengaturan!$B$7)+Pengaturan!$B$8+AE754*Pengaturan!$B$9+AF754*Pengaturan!$B$10)</f>
        <v/>
      </c>
      <c r="AN754" s="22" t="str">
        <f aca="false">IF(X754="","",N(G754)-AM754)</f>
        <v/>
      </c>
      <c r="AO754" s="25" t="str">
        <f aca="false">IF(OR(X754="",N(G754)=0),"",AN754/G754)</f>
        <v/>
      </c>
    </row>
    <row r="755" customFormat="false" ht="15" hidden="false" customHeight="false" outlineLevel="0" collapsed="false">
      <c r="A755" s="19"/>
      <c r="B755" s="20"/>
      <c r="C755" s="19"/>
      <c r="D755" s="19"/>
      <c r="E755" s="19"/>
      <c r="F755" s="19"/>
      <c r="G755" s="21"/>
      <c r="H755" s="19"/>
      <c r="I755" s="21"/>
      <c r="J755" s="19"/>
      <c r="K755" s="20"/>
      <c r="L755" s="20"/>
      <c r="M755" s="19"/>
      <c r="N755" s="19"/>
      <c r="O755" s="20"/>
      <c r="P755" s="20"/>
      <c r="Q755" s="19"/>
      <c r="R755" s="22" t="str">
        <f aca="false">IF(A755="","",N(G755)+N(I755))</f>
        <v/>
      </c>
      <c r="S755" s="23" t="str">
        <f aca="false">IF(OR(K755="",O755=""),"",O755-K755)</f>
        <v/>
      </c>
      <c r="T755" s="23" t="str">
        <f aca="true">IF(AND(C755="Cetak",L755&lt;&gt;"",L755&lt;TODAY()),"YA","")</f>
        <v/>
      </c>
      <c r="U755" s="23" t="str">
        <f aca="false">IF(B755="","",TEXT(B755,"yyyy-mm"))</f>
        <v/>
      </c>
      <c r="V755" s="23" t="str">
        <f aca="false">IF(K755="","",TEXT(K755,"yyyy-mm"))</f>
        <v/>
      </c>
      <c r="W755" s="23" t="n">
        <f aca="false">IF(OR(C755="Cetak",C755="Dikirim",C755="Selesai"),1,0)</f>
        <v>0</v>
      </c>
      <c r="X755" s="23" t="str">
        <f aca="false">IF(F755="","",SUBSTITUTE(SUBSTITUTE(MID(UPPER(TRIM(F755)),4,99),"-LED",""),"-TK",""))</f>
        <v/>
      </c>
      <c r="Y755" s="23" t="str">
        <f aca="false">IF(X755="","",(LEN(X755)+1)/7)</f>
        <v/>
      </c>
      <c r="Z755" s="23" t="str">
        <f aca="false">IF(X755="","",LEFT(X755,6))</f>
        <v/>
      </c>
      <c r="AA755" s="23" t="str">
        <f aca="false">IF(X755="","",IF(Y755&gt;=3,MID(X755,8,6),""))</f>
        <v/>
      </c>
      <c r="AB755" s="23" t="str">
        <f aca="false">IF(X755="","",IF(Y755&gt;=4,MID(X755,15,6),""))</f>
        <v/>
      </c>
      <c r="AC755" s="23" t="str">
        <f aca="false">IF(X755="","",IF(Y755&gt;=5,MID(X755,22,6),""))</f>
        <v/>
      </c>
      <c r="AD755" s="23" t="str">
        <f aca="false">IF(X755="","",RIGHT(X755,6))</f>
        <v/>
      </c>
      <c r="AE755" s="23" t="str">
        <f aca="false">IF(F755="","",IF(ISNUMBER(SEARCH("-TK",UPPER(F755))),0,1))</f>
        <v/>
      </c>
      <c r="AF755" s="23" t="str">
        <f aca="false">IF(F755="","",IF(ISNUMBER(SEARCH("-LED",UPPER(F755))),1,0))</f>
        <v/>
      </c>
      <c r="AG755" s="24" t="n">
        <f aca="false">IF(Z755="",0,IFERROR(INDEX(Resep!$C$5:$C$7,MATCH(LEFT(Z755,3),Resep!$B$5:$B$7,0)),0))</f>
        <v>0</v>
      </c>
      <c r="AH755" s="24" t="n">
        <f aca="false">IF(AA755="",0,IFERROR(INDEX(Resep!$C$9:$C$13,MATCH(LEFT(AA755,3),Resep!$B$9:$B$13,0)),0))</f>
        <v>0</v>
      </c>
      <c r="AI755" s="24" t="n">
        <f aca="false">IF(AB755="",0,IFERROR(INDEX(Resep!$C$9:$C$13,MATCH(LEFT(AB755,3),Resep!$B$9:$B$13,0)),0))</f>
        <v>0</v>
      </c>
      <c r="AJ755" s="24" t="n">
        <f aca="false">IF(AC755="",0,IFERROR(INDEX(Resep!$C$9:$C$13,MATCH(LEFT(AC755,3),Resep!$B$9:$B$13,0)),0))</f>
        <v>0</v>
      </c>
      <c r="AK755" s="24" t="n">
        <f aca="false">IF(AD755="",0,IFERROR(INDEX(Resep!$C$15:$C$18,MATCH(LEFT(AD755,3),Resep!$B$15:$B$18,0)),0))</f>
        <v>0</v>
      </c>
      <c r="AL755" s="24" t="str">
        <f aca="false">IF(X755="","",AG755+AH755+AI755+AJ755+AK755)</f>
        <v/>
      </c>
      <c r="AM755" s="22" t="str">
        <f aca="false">IF(X755="","",AL755*(Pengaturan!$B$6+Pengaturan!$B$7)+Pengaturan!$B$8+AE755*Pengaturan!$B$9+AF755*Pengaturan!$B$10)</f>
        <v/>
      </c>
      <c r="AN755" s="22" t="str">
        <f aca="false">IF(X755="","",N(G755)-AM755)</f>
        <v/>
      </c>
      <c r="AO755" s="25" t="str">
        <f aca="false">IF(OR(X755="",N(G755)=0),"",AN755/G755)</f>
        <v/>
      </c>
    </row>
    <row r="756" customFormat="false" ht="15" hidden="false" customHeight="false" outlineLevel="0" collapsed="false">
      <c r="A756" s="19"/>
      <c r="B756" s="20"/>
      <c r="C756" s="19"/>
      <c r="D756" s="19"/>
      <c r="E756" s="19"/>
      <c r="F756" s="19"/>
      <c r="G756" s="21"/>
      <c r="H756" s="19"/>
      <c r="I756" s="21"/>
      <c r="J756" s="19"/>
      <c r="K756" s="20"/>
      <c r="L756" s="20"/>
      <c r="M756" s="19"/>
      <c r="N756" s="19"/>
      <c r="O756" s="20"/>
      <c r="P756" s="20"/>
      <c r="Q756" s="19"/>
      <c r="R756" s="22" t="str">
        <f aca="false">IF(A756="","",N(G756)+N(I756))</f>
        <v/>
      </c>
      <c r="S756" s="23" t="str">
        <f aca="false">IF(OR(K756="",O756=""),"",O756-K756)</f>
        <v/>
      </c>
      <c r="T756" s="23" t="str">
        <f aca="true">IF(AND(C756="Cetak",L756&lt;&gt;"",L756&lt;TODAY()),"YA","")</f>
        <v/>
      </c>
      <c r="U756" s="23" t="str">
        <f aca="false">IF(B756="","",TEXT(B756,"yyyy-mm"))</f>
        <v/>
      </c>
      <c r="V756" s="23" t="str">
        <f aca="false">IF(K756="","",TEXT(K756,"yyyy-mm"))</f>
        <v/>
      </c>
      <c r="W756" s="23" t="n">
        <f aca="false">IF(OR(C756="Cetak",C756="Dikirim",C756="Selesai"),1,0)</f>
        <v>0</v>
      </c>
      <c r="X756" s="23" t="str">
        <f aca="false">IF(F756="","",SUBSTITUTE(SUBSTITUTE(MID(UPPER(TRIM(F756)),4,99),"-LED",""),"-TK",""))</f>
        <v/>
      </c>
      <c r="Y756" s="23" t="str">
        <f aca="false">IF(X756="","",(LEN(X756)+1)/7)</f>
        <v/>
      </c>
      <c r="Z756" s="23" t="str">
        <f aca="false">IF(X756="","",LEFT(X756,6))</f>
        <v/>
      </c>
      <c r="AA756" s="23" t="str">
        <f aca="false">IF(X756="","",IF(Y756&gt;=3,MID(X756,8,6),""))</f>
        <v/>
      </c>
      <c r="AB756" s="23" t="str">
        <f aca="false">IF(X756="","",IF(Y756&gt;=4,MID(X756,15,6),""))</f>
        <v/>
      </c>
      <c r="AC756" s="23" t="str">
        <f aca="false">IF(X756="","",IF(Y756&gt;=5,MID(X756,22,6),""))</f>
        <v/>
      </c>
      <c r="AD756" s="23" t="str">
        <f aca="false">IF(X756="","",RIGHT(X756,6))</f>
        <v/>
      </c>
      <c r="AE756" s="23" t="str">
        <f aca="false">IF(F756="","",IF(ISNUMBER(SEARCH("-TK",UPPER(F756))),0,1))</f>
        <v/>
      </c>
      <c r="AF756" s="23" t="str">
        <f aca="false">IF(F756="","",IF(ISNUMBER(SEARCH("-LED",UPPER(F756))),1,0))</f>
        <v/>
      </c>
      <c r="AG756" s="24" t="n">
        <f aca="false">IF(Z756="",0,IFERROR(INDEX(Resep!$C$5:$C$7,MATCH(LEFT(Z756,3),Resep!$B$5:$B$7,0)),0))</f>
        <v>0</v>
      </c>
      <c r="AH756" s="24" t="n">
        <f aca="false">IF(AA756="",0,IFERROR(INDEX(Resep!$C$9:$C$13,MATCH(LEFT(AA756,3),Resep!$B$9:$B$13,0)),0))</f>
        <v>0</v>
      </c>
      <c r="AI756" s="24" t="n">
        <f aca="false">IF(AB756="",0,IFERROR(INDEX(Resep!$C$9:$C$13,MATCH(LEFT(AB756,3),Resep!$B$9:$B$13,0)),0))</f>
        <v>0</v>
      </c>
      <c r="AJ756" s="24" t="n">
        <f aca="false">IF(AC756="",0,IFERROR(INDEX(Resep!$C$9:$C$13,MATCH(LEFT(AC756,3),Resep!$B$9:$B$13,0)),0))</f>
        <v>0</v>
      </c>
      <c r="AK756" s="24" t="n">
        <f aca="false">IF(AD756="",0,IFERROR(INDEX(Resep!$C$15:$C$18,MATCH(LEFT(AD756,3),Resep!$B$15:$B$18,0)),0))</f>
        <v>0</v>
      </c>
      <c r="AL756" s="24" t="str">
        <f aca="false">IF(X756="","",AG756+AH756+AI756+AJ756+AK756)</f>
        <v/>
      </c>
      <c r="AM756" s="22" t="str">
        <f aca="false">IF(X756="","",AL756*(Pengaturan!$B$6+Pengaturan!$B$7)+Pengaturan!$B$8+AE756*Pengaturan!$B$9+AF756*Pengaturan!$B$10)</f>
        <v/>
      </c>
      <c r="AN756" s="22" t="str">
        <f aca="false">IF(X756="","",N(G756)-AM756)</f>
        <v/>
      </c>
      <c r="AO756" s="25" t="str">
        <f aca="false">IF(OR(X756="",N(G756)=0),"",AN756/G756)</f>
        <v/>
      </c>
    </row>
    <row r="757" customFormat="false" ht="15" hidden="false" customHeight="false" outlineLevel="0" collapsed="false">
      <c r="A757" s="19"/>
      <c r="B757" s="20"/>
      <c r="C757" s="19"/>
      <c r="D757" s="19"/>
      <c r="E757" s="19"/>
      <c r="F757" s="19"/>
      <c r="G757" s="21"/>
      <c r="H757" s="19"/>
      <c r="I757" s="21"/>
      <c r="J757" s="19"/>
      <c r="K757" s="20"/>
      <c r="L757" s="20"/>
      <c r="M757" s="19"/>
      <c r="N757" s="19"/>
      <c r="O757" s="20"/>
      <c r="P757" s="20"/>
      <c r="Q757" s="19"/>
      <c r="R757" s="22" t="str">
        <f aca="false">IF(A757="","",N(G757)+N(I757))</f>
        <v/>
      </c>
      <c r="S757" s="23" t="str">
        <f aca="false">IF(OR(K757="",O757=""),"",O757-K757)</f>
        <v/>
      </c>
      <c r="T757" s="23" t="str">
        <f aca="true">IF(AND(C757="Cetak",L757&lt;&gt;"",L757&lt;TODAY()),"YA","")</f>
        <v/>
      </c>
      <c r="U757" s="23" t="str">
        <f aca="false">IF(B757="","",TEXT(B757,"yyyy-mm"))</f>
        <v/>
      </c>
      <c r="V757" s="23" t="str">
        <f aca="false">IF(K757="","",TEXT(K757,"yyyy-mm"))</f>
        <v/>
      </c>
      <c r="W757" s="23" t="n">
        <f aca="false">IF(OR(C757="Cetak",C757="Dikirim",C757="Selesai"),1,0)</f>
        <v>0</v>
      </c>
      <c r="X757" s="23" t="str">
        <f aca="false">IF(F757="","",SUBSTITUTE(SUBSTITUTE(MID(UPPER(TRIM(F757)),4,99),"-LED",""),"-TK",""))</f>
        <v/>
      </c>
      <c r="Y757" s="23" t="str">
        <f aca="false">IF(X757="","",(LEN(X757)+1)/7)</f>
        <v/>
      </c>
      <c r="Z757" s="23" t="str">
        <f aca="false">IF(X757="","",LEFT(X757,6))</f>
        <v/>
      </c>
      <c r="AA757" s="23" t="str">
        <f aca="false">IF(X757="","",IF(Y757&gt;=3,MID(X757,8,6),""))</f>
        <v/>
      </c>
      <c r="AB757" s="23" t="str">
        <f aca="false">IF(X757="","",IF(Y757&gt;=4,MID(X757,15,6),""))</f>
        <v/>
      </c>
      <c r="AC757" s="23" t="str">
        <f aca="false">IF(X757="","",IF(Y757&gt;=5,MID(X757,22,6),""))</f>
        <v/>
      </c>
      <c r="AD757" s="23" t="str">
        <f aca="false">IF(X757="","",RIGHT(X757,6))</f>
        <v/>
      </c>
      <c r="AE757" s="23" t="str">
        <f aca="false">IF(F757="","",IF(ISNUMBER(SEARCH("-TK",UPPER(F757))),0,1))</f>
        <v/>
      </c>
      <c r="AF757" s="23" t="str">
        <f aca="false">IF(F757="","",IF(ISNUMBER(SEARCH("-LED",UPPER(F757))),1,0))</f>
        <v/>
      </c>
      <c r="AG757" s="24" t="n">
        <f aca="false">IF(Z757="",0,IFERROR(INDEX(Resep!$C$5:$C$7,MATCH(LEFT(Z757,3),Resep!$B$5:$B$7,0)),0))</f>
        <v>0</v>
      </c>
      <c r="AH757" s="24" t="n">
        <f aca="false">IF(AA757="",0,IFERROR(INDEX(Resep!$C$9:$C$13,MATCH(LEFT(AA757,3),Resep!$B$9:$B$13,0)),0))</f>
        <v>0</v>
      </c>
      <c r="AI757" s="24" t="n">
        <f aca="false">IF(AB757="",0,IFERROR(INDEX(Resep!$C$9:$C$13,MATCH(LEFT(AB757,3),Resep!$B$9:$B$13,0)),0))</f>
        <v>0</v>
      </c>
      <c r="AJ757" s="24" t="n">
        <f aca="false">IF(AC757="",0,IFERROR(INDEX(Resep!$C$9:$C$13,MATCH(LEFT(AC757,3),Resep!$B$9:$B$13,0)),0))</f>
        <v>0</v>
      </c>
      <c r="AK757" s="24" t="n">
        <f aca="false">IF(AD757="",0,IFERROR(INDEX(Resep!$C$15:$C$18,MATCH(LEFT(AD757,3),Resep!$B$15:$B$18,0)),0))</f>
        <v>0</v>
      </c>
      <c r="AL757" s="24" t="str">
        <f aca="false">IF(X757="","",AG757+AH757+AI757+AJ757+AK757)</f>
        <v/>
      </c>
      <c r="AM757" s="22" t="str">
        <f aca="false">IF(X757="","",AL757*(Pengaturan!$B$6+Pengaturan!$B$7)+Pengaturan!$B$8+AE757*Pengaturan!$B$9+AF757*Pengaturan!$B$10)</f>
        <v/>
      </c>
      <c r="AN757" s="22" t="str">
        <f aca="false">IF(X757="","",N(G757)-AM757)</f>
        <v/>
      </c>
      <c r="AO757" s="25" t="str">
        <f aca="false">IF(OR(X757="",N(G757)=0),"",AN757/G757)</f>
        <v/>
      </c>
    </row>
    <row r="758" customFormat="false" ht="15" hidden="false" customHeight="false" outlineLevel="0" collapsed="false">
      <c r="A758" s="19"/>
      <c r="B758" s="20"/>
      <c r="C758" s="19"/>
      <c r="D758" s="19"/>
      <c r="E758" s="19"/>
      <c r="F758" s="19"/>
      <c r="G758" s="21"/>
      <c r="H758" s="19"/>
      <c r="I758" s="21"/>
      <c r="J758" s="19"/>
      <c r="K758" s="20"/>
      <c r="L758" s="20"/>
      <c r="M758" s="19"/>
      <c r="N758" s="19"/>
      <c r="O758" s="20"/>
      <c r="P758" s="20"/>
      <c r="Q758" s="19"/>
      <c r="R758" s="22" t="str">
        <f aca="false">IF(A758="","",N(G758)+N(I758))</f>
        <v/>
      </c>
      <c r="S758" s="23" t="str">
        <f aca="false">IF(OR(K758="",O758=""),"",O758-K758)</f>
        <v/>
      </c>
      <c r="T758" s="23" t="str">
        <f aca="true">IF(AND(C758="Cetak",L758&lt;&gt;"",L758&lt;TODAY()),"YA","")</f>
        <v/>
      </c>
      <c r="U758" s="23" t="str">
        <f aca="false">IF(B758="","",TEXT(B758,"yyyy-mm"))</f>
        <v/>
      </c>
      <c r="V758" s="23" t="str">
        <f aca="false">IF(K758="","",TEXT(K758,"yyyy-mm"))</f>
        <v/>
      </c>
      <c r="W758" s="23" t="n">
        <f aca="false">IF(OR(C758="Cetak",C758="Dikirim",C758="Selesai"),1,0)</f>
        <v>0</v>
      </c>
      <c r="X758" s="23" t="str">
        <f aca="false">IF(F758="","",SUBSTITUTE(SUBSTITUTE(MID(UPPER(TRIM(F758)),4,99),"-LED",""),"-TK",""))</f>
        <v/>
      </c>
      <c r="Y758" s="23" t="str">
        <f aca="false">IF(X758="","",(LEN(X758)+1)/7)</f>
        <v/>
      </c>
      <c r="Z758" s="23" t="str">
        <f aca="false">IF(X758="","",LEFT(X758,6))</f>
        <v/>
      </c>
      <c r="AA758" s="23" t="str">
        <f aca="false">IF(X758="","",IF(Y758&gt;=3,MID(X758,8,6),""))</f>
        <v/>
      </c>
      <c r="AB758" s="23" t="str">
        <f aca="false">IF(X758="","",IF(Y758&gt;=4,MID(X758,15,6),""))</f>
        <v/>
      </c>
      <c r="AC758" s="23" t="str">
        <f aca="false">IF(X758="","",IF(Y758&gt;=5,MID(X758,22,6),""))</f>
        <v/>
      </c>
      <c r="AD758" s="23" t="str">
        <f aca="false">IF(X758="","",RIGHT(X758,6))</f>
        <v/>
      </c>
      <c r="AE758" s="23" t="str">
        <f aca="false">IF(F758="","",IF(ISNUMBER(SEARCH("-TK",UPPER(F758))),0,1))</f>
        <v/>
      </c>
      <c r="AF758" s="23" t="str">
        <f aca="false">IF(F758="","",IF(ISNUMBER(SEARCH("-LED",UPPER(F758))),1,0))</f>
        <v/>
      </c>
      <c r="AG758" s="24" t="n">
        <f aca="false">IF(Z758="",0,IFERROR(INDEX(Resep!$C$5:$C$7,MATCH(LEFT(Z758,3),Resep!$B$5:$B$7,0)),0))</f>
        <v>0</v>
      </c>
      <c r="AH758" s="24" t="n">
        <f aca="false">IF(AA758="",0,IFERROR(INDEX(Resep!$C$9:$C$13,MATCH(LEFT(AA758,3),Resep!$B$9:$B$13,0)),0))</f>
        <v>0</v>
      </c>
      <c r="AI758" s="24" t="n">
        <f aca="false">IF(AB758="",0,IFERROR(INDEX(Resep!$C$9:$C$13,MATCH(LEFT(AB758,3),Resep!$B$9:$B$13,0)),0))</f>
        <v>0</v>
      </c>
      <c r="AJ758" s="24" t="n">
        <f aca="false">IF(AC758="",0,IFERROR(INDEX(Resep!$C$9:$C$13,MATCH(LEFT(AC758,3),Resep!$B$9:$B$13,0)),0))</f>
        <v>0</v>
      </c>
      <c r="AK758" s="24" t="n">
        <f aca="false">IF(AD758="",0,IFERROR(INDEX(Resep!$C$15:$C$18,MATCH(LEFT(AD758,3),Resep!$B$15:$B$18,0)),0))</f>
        <v>0</v>
      </c>
      <c r="AL758" s="24" t="str">
        <f aca="false">IF(X758="","",AG758+AH758+AI758+AJ758+AK758)</f>
        <v/>
      </c>
      <c r="AM758" s="22" t="str">
        <f aca="false">IF(X758="","",AL758*(Pengaturan!$B$6+Pengaturan!$B$7)+Pengaturan!$B$8+AE758*Pengaturan!$B$9+AF758*Pengaturan!$B$10)</f>
        <v/>
      </c>
      <c r="AN758" s="22" t="str">
        <f aca="false">IF(X758="","",N(G758)-AM758)</f>
        <v/>
      </c>
      <c r="AO758" s="25" t="str">
        <f aca="false">IF(OR(X758="",N(G758)=0),"",AN758/G758)</f>
        <v/>
      </c>
    </row>
    <row r="759" customFormat="false" ht="15" hidden="false" customHeight="false" outlineLevel="0" collapsed="false">
      <c r="A759" s="19"/>
      <c r="B759" s="20"/>
      <c r="C759" s="19"/>
      <c r="D759" s="19"/>
      <c r="E759" s="19"/>
      <c r="F759" s="19"/>
      <c r="G759" s="21"/>
      <c r="H759" s="19"/>
      <c r="I759" s="21"/>
      <c r="J759" s="19"/>
      <c r="K759" s="20"/>
      <c r="L759" s="20"/>
      <c r="M759" s="19"/>
      <c r="N759" s="19"/>
      <c r="O759" s="20"/>
      <c r="P759" s="20"/>
      <c r="Q759" s="19"/>
      <c r="R759" s="22" t="str">
        <f aca="false">IF(A759="","",N(G759)+N(I759))</f>
        <v/>
      </c>
      <c r="S759" s="23" t="str">
        <f aca="false">IF(OR(K759="",O759=""),"",O759-K759)</f>
        <v/>
      </c>
      <c r="T759" s="23" t="str">
        <f aca="true">IF(AND(C759="Cetak",L759&lt;&gt;"",L759&lt;TODAY()),"YA","")</f>
        <v/>
      </c>
      <c r="U759" s="23" t="str">
        <f aca="false">IF(B759="","",TEXT(B759,"yyyy-mm"))</f>
        <v/>
      </c>
      <c r="V759" s="23" t="str">
        <f aca="false">IF(K759="","",TEXT(K759,"yyyy-mm"))</f>
        <v/>
      </c>
      <c r="W759" s="23" t="n">
        <f aca="false">IF(OR(C759="Cetak",C759="Dikirim",C759="Selesai"),1,0)</f>
        <v>0</v>
      </c>
      <c r="X759" s="23" t="str">
        <f aca="false">IF(F759="","",SUBSTITUTE(SUBSTITUTE(MID(UPPER(TRIM(F759)),4,99),"-LED",""),"-TK",""))</f>
        <v/>
      </c>
      <c r="Y759" s="23" t="str">
        <f aca="false">IF(X759="","",(LEN(X759)+1)/7)</f>
        <v/>
      </c>
      <c r="Z759" s="23" t="str">
        <f aca="false">IF(X759="","",LEFT(X759,6))</f>
        <v/>
      </c>
      <c r="AA759" s="23" t="str">
        <f aca="false">IF(X759="","",IF(Y759&gt;=3,MID(X759,8,6),""))</f>
        <v/>
      </c>
      <c r="AB759" s="23" t="str">
        <f aca="false">IF(X759="","",IF(Y759&gt;=4,MID(X759,15,6),""))</f>
        <v/>
      </c>
      <c r="AC759" s="23" t="str">
        <f aca="false">IF(X759="","",IF(Y759&gt;=5,MID(X759,22,6),""))</f>
        <v/>
      </c>
      <c r="AD759" s="23" t="str">
        <f aca="false">IF(X759="","",RIGHT(X759,6))</f>
        <v/>
      </c>
      <c r="AE759" s="23" t="str">
        <f aca="false">IF(F759="","",IF(ISNUMBER(SEARCH("-TK",UPPER(F759))),0,1))</f>
        <v/>
      </c>
      <c r="AF759" s="23" t="str">
        <f aca="false">IF(F759="","",IF(ISNUMBER(SEARCH("-LED",UPPER(F759))),1,0))</f>
        <v/>
      </c>
      <c r="AG759" s="24" t="n">
        <f aca="false">IF(Z759="",0,IFERROR(INDEX(Resep!$C$5:$C$7,MATCH(LEFT(Z759,3),Resep!$B$5:$B$7,0)),0))</f>
        <v>0</v>
      </c>
      <c r="AH759" s="24" t="n">
        <f aca="false">IF(AA759="",0,IFERROR(INDEX(Resep!$C$9:$C$13,MATCH(LEFT(AA759,3),Resep!$B$9:$B$13,0)),0))</f>
        <v>0</v>
      </c>
      <c r="AI759" s="24" t="n">
        <f aca="false">IF(AB759="",0,IFERROR(INDEX(Resep!$C$9:$C$13,MATCH(LEFT(AB759,3),Resep!$B$9:$B$13,0)),0))</f>
        <v>0</v>
      </c>
      <c r="AJ759" s="24" t="n">
        <f aca="false">IF(AC759="",0,IFERROR(INDEX(Resep!$C$9:$C$13,MATCH(LEFT(AC759,3),Resep!$B$9:$B$13,0)),0))</f>
        <v>0</v>
      </c>
      <c r="AK759" s="24" t="n">
        <f aca="false">IF(AD759="",0,IFERROR(INDEX(Resep!$C$15:$C$18,MATCH(LEFT(AD759,3),Resep!$B$15:$B$18,0)),0))</f>
        <v>0</v>
      </c>
      <c r="AL759" s="24" t="str">
        <f aca="false">IF(X759="","",AG759+AH759+AI759+AJ759+AK759)</f>
        <v/>
      </c>
      <c r="AM759" s="22" t="str">
        <f aca="false">IF(X759="","",AL759*(Pengaturan!$B$6+Pengaturan!$B$7)+Pengaturan!$B$8+AE759*Pengaturan!$B$9+AF759*Pengaturan!$B$10)</f>
        <v/>
      </c>
      <c r="AN759" s="22" t="str">
        <f aca="false">IF(X759="","",N(G759)-AM759)</f>
        <v/>
      </c>
      <c r="AO759" s="25" t="str">
        <f aca="false">IF(OR(X759="",N(G759)=0),"",AN759/G759)</f>
        <v/>
      </c>
    </row>
    <row r="760" customFormat="false" ht="15" hidden="false" customHeight="false" outlineLevel="0" collapsed="false">
      <c r="A760" s="19"/>
      <c r="B760" s="20"/>
      <c r="C760" s="19"/>
      <c r="D760" s="19"/>
      <c r="E760" s="19"/>
      <c r="F760" s="19"/>
      <c r="G760" s="21"/>
      <c r="H760" s="19"/>
      <c r="I760" s="21"/>
      <c r="J760" s="19"/>
      <c r="K760" s="20"/>
      <c r="L760" s="20"/>
      <c r="M760" s="19"/>
      <c r="N760" s="19"/>
      <c r="O760" s="20"/>
      <c r="P760" s="20"/>
      <c r="Q760" s="19"/>
      <c r="R760" s="22" t="str">
        <f aca="false">IF(A760="","",N(G760)+N(I760))</f>
        <v/>
      </c>
      <c r="S760" s="23" t="str">
        <f aca="false">IF(OR(K760="",O760=""),"",O760-K760)</f>
        <v/>
      </c>
      <c r="T760" s="23" t="str">
        <f aca="true">IF(AND(C760="Cetak",L760&lt;&gt;"",L760&lt;TODAY()),"YA","")</f>
        <v/>
      </c>
      <c r="U760" s="23" t="str">
        <f aca="false">IF(B760="","",TEXT(B760,"yyyy-mm"))</f>
        <v/>
      </c>
      <c r="V760" s="23" t="str">
        <f aca="false">IF(K760="","",TEXT(K760,"yyyy-mm"))</f>
        <v/>
      </c>
      <c r="W760" s="23" t="n">
        <f aca="false">IF(OR(C760="Cetak",C760="Dikirim",C760="Selesai"),1,0)</f>
        <v>0</v>
      </c>
      <c r="X760" s="23" t="str">
        <f aca="false">IF(F760="","",SUBSTITUTE(SUBSTITUTE(MID(UPPER(TRIM(F760)),4,99),"-LED",""),"-TK",""))</f>
        <v/>
      </c>
      <c r="Y760" s="23" t="str">
        <f aca="false">IF(X760="","",(LEN(X760)+1)/7)</f>
        <v/>
      </c>
      <c r="Z760" s="23" t="str">
        <f aca="false">IF(X760="","",LEFT(X760,6))</f>
        <v/>
      </c>
      <c r="AA760" s="23" t="str">
        <f aca="false">IF(X760="","",IF(Y760&gt;=3,MID(X760,8,6),""))</f>
        <v/>
      </c>
      <c r="AB760" s="23" t="str">
        <f aca="false">IF(X760="","",IF(Y760&gt;=4,MID(X760,15,6),""))</f>
        <v/>
      </c>
      <c r="AC760" s="23" t="str">
        <f aca="false">IF(X760="","",IF(Y760&gt;=5,MID(X760,22,6),""))</f>
        <v/>
      </c>
      <c r="AD760" s="23" t="str">
        <f aca="false">IF(X760="","",RIGHT(X760,6))</f>
        <v/>
      </c>
      <c r="AE760" s="23" t="str">
        <f aca="false">IF(F760="","",IF(ISNUMBER(SEARCH("-TK",UPPER(F760))),0,1))</f>
        <v/>
      </c>
      <c r="AF760" s="23" t="str">
        <f aca="false">IF(F760="","",IF(ISNUMBER(SEARCH("-LED",UPPER(F760))),1,0))</f>
        <v/>
      </c>
      <c r="AG760" s="24" t="n">
        <f aca="false">IF(Z760="",0,IFERROR(INDEX(Resep!$C$5:$C$7,MATCH(LEFT(Z760,3),Resep!$B$5:$B$7,0)),0))</f>
        <v>0</v>
      </c>
      <c r="AH760" s="24" t="n">
        <f aca="false">IF(AA760="",0,IFERROR(INDEX(Resep!$C$9:$C$13,MATCH(LEFT(AA760,3),Resep!$B$9:$B$13,0)),0))</f>
        <v>0</v>
      </c>
      <c r="AI760" s="24" t="n">
        <f aca="false">IF(AB760="",0,IFERROR(INDEX(Resep!$C$9:$C$13,MATCH(LEFT(AB760,3),Resep!$B$9:$B$13,0)),0))</f>
        <v>0</v>
      </c>
      <c r="AJ760" s="24" t="n">
        <f aca="false">IF(AC760="",0,IFERROR(INDEX(Resep!$C$9:$C$13,MATCH(LEFT(AC760,3),Resep!$B$9:$B$13,0)),0))</f>
        <v>0</v>
      </c>
      <c r="AK760" s="24" t="n">
        <f aca="false">IF(AD760="",0,IFERROR(INDEX(Resep!$C$15:$C$18,MATCH(LEFT(AD760,3),Resep!$B$15:$B$18,0)),0))</f>
        <v>0</v>
      </c>
      <c r="AL760" s="24" t="str">
        <f aca="false">IF(X760="","",AG760+AH760+AI760+AJ760+AK760)</f>
        <v/>
      </c>
      <c r="AM760" s="22" t="str">
        <f aca="false">IF(X760="","",AL760*(Pengaturan!$B$6+Pengaturan!$B$7)+Pengaturan!$B$8+AE760*Pengaturan!$B$9+AF760*Pengaturan!$B$10)</f>
        <v/>
      </c>
      <c r="AN760" s="22" t="str">
        <f aca="false">IF(X760="","",N(G760)-AM760)</f>
        <v/>
      </c>
      <c r="AO760" s="25" t="str">
        <f aca="false">IF(OR(X760="",N(G760)=0),"",AN760/G760)</f>
        <v/>
      </c>
    </row>
    <row r="761" customFormat="false" ht="15" hidden="false" customHeight="false" outlineLevel="0" collapsed="false">
      <c r="A761" s="19"/>
      <c r="B761" s="20"/>
      <c r="C761" s="19"/>
      <c r="D761" s="19"/>
      <c r="E761" s="19"/>
      <c r="F761" s="19"/>
      <c r="G761" s="21"/>
      <c r="H761" s="19"/>
      <c r="I761" s="21"/>
      <c r="J761" s="19"/>
      <c r="K761" s="20"/>
      <c r="L761" s="20"/>
      <c r="M761" s="19"/>
      <c r="N761" s="19"/>
      <c r="O761" s="20"/>
      <c r="P761" s="20"/>
      <c r="Q761" s="19"/>
      <c r="R761" s="22" t="str">
        <f aca="false">IF(A761="","",N(G761)+N(I761))</f>
        <v/>
      </c>
      <c r="S761" s="23" t="str">
        <f aca="false">IF(OR(K761="",O761=""),"",O761-K761)</f>
        <v/>
      </c>
      <c r="T761" s="23" t="str">
        <f aca="true">IF(AND(C761="Cetak",L761&lt;&gt;"",L761&lt;TODAY()),"YA","")</f>
        <v/>
      </c>
      <c r="U761" s="23" t="str">
        <f aca="false">IF(B761="","",TEXT(B761,"yyyy-mm"))</f>
        <v/>
      </c>
      <c r="V761" s="23" t="str">
        <f aca="false">IF(K761="","",TEXT(K761,"yyyy-mm"))</f>
        <v/>
      </c>
      <c r="W761" s="23" t="n">
        <f aca="false">IF(OR(C761="Cetak",C761="Dikirim",C761="Selesai"),1,0)</f>
        <v>0</v>
      </c>
      <c r="X761" s="23" t="str">
        <f aca="false">IF(F761="","",SUBSTITUTE(SUBSTITUTE(MID(UPPER(TRIM(F761)),4,99),"-LED",""),"-TK",""))</f>
        <v/>
      </c>
      <c r="Y761" s="23" t="str">
        <f aca="false">IF(X761="","",(LEN(X761)+1)/7)</f>
        <v/>
      </c>
      <c r="Z761" s="23" t="str">
        <f aca="false">IF(X761="","",LEFT(X761,6))</f>
        <v/>
      </c>
      <c r="AA761" s="23" t="str">
        <f aca="false">IF(X761="","",IF(Y761&gt;=3,MID(X761,8,6),""))</f>
        <v/>
      </c>
      <c r="AB761" s="23" t="str">
        <f aca="false">IF(X761="","",IF(Y761&gt;=4,MID(X761,15,6),""))</f>
        <v/>
      </c>
      <c r="AC761" s="23" t="str">
        <f aca="false">IF(X761="","",IF(Y761&gt;=5,MID(X761,22,6),""))</f>
        <v/>
      </c>
      <c r="AD761" s="23" t="str">
        <f aca="false">IF(X761="","",RIGHT(X761,6))</f>
        <v/>
      </c>
      <c r="AE761" s="23" t="str">
        <f aca="false">IF(F761="","",IF(ISNUMBER(SEARCH("-TK",UPPER(F761))),0,1))</f>
        <v/>
      </c>
      <c r="AF761" s="23" t="str">
        <f aca="false">IF(F761="","",IF(ISNUMBER(SEARCH("-LED",UPPER(F761))),1,0))</f>
        <v/>
      </c>
      <c r="AG761" s="24" t="n">
        <f aca="false">IF(Z761="",0,IFERROR(INDEX(Resep!$C$5:$C$7,MATCH(LEFT(Z761,3),Resep!$B$5:$B$7,0)),0))</f>
        <v>0</v>
      </c>
      <c r="AH761" s="24" t="n">
        <f aca="false">IF(AA761="",0,IFERROR(INDEX(Resep!$C$9:$C$13,MATCH(LEFT(AA761,3),Resep!$B$9:$B$13,0)),0))</f>
        <v>0</v>
      </c>
      <c r="AI761" s="24" t="n">
        <f aca="false">IF(AB761="",0,IFERROR(INDEX(Resep!$C$9:$C$13,MATCH(LEFT(AB761,3),Resep!$B$9:$B$13,0)),0))</f>
        <v>0</v>
      </c>
      <c r="AJ761" s="24" t="n">
        <f aca="false">IF(AC761="",0,IFERROR(INDEX(Resep!$C$9:$C$13,MATCH(LEFT(AC761,3),Resep!$B$9:$B$13,0)),0))</f>
        <v>0</v>
      </c>
      <c r="AK761" s="24" t="n">
        <f aca="false">IF(AD761="",0,IFERROR(INDEX(Resep!$C$15:$C$18,MATCH(LEFT(AD761,3),Resep!$B$15:$B$18,0)),0))</f>
        <v>0</v>
      </c>
      <c r="AL761" s="24" t="str">
        <f aca="false">IF(X761="","",AG761+AH761+AI761+AJ761+AK761)</f>
        <v/>
      </c>
      <c r="AM761" s="22" t="str">
        <f aca="false">IF(X761="","",AL761*(Pengaturan!$B$6+Pengaturan!$B$7)+Pengaturan!$B$8+AE761*Pengaturan!$B$9+AF761*Pengaturan!$B$10)</f>
        <v/>
      </c>
      <c r="AN761" s="22" t="str">
        <f aca="false">IF(X761="","",N(G761)-AM761)</f>
        <v/>
      </c>
      <c r="AO761" s="25" t="str">
        <f aca="false">IF(OR(X761="",N(G761)=0),"",AN761/G761)</f>
        <v/>
      </c>
    </row>
    <row r="762" customFormat="false" ht="15" hidden="false" customHeight="false" outlineLevel="0" collapsed="false">
      <c r="A762" s="19"/>
      <c r="B762" s="20"/>
      <c r="C762" s="19"/>
      <c r="D762" s="19"/>
      <c r="E762" s="19"/>
      <c r="F762" s="19"/>
      <c r="G762" s="21"/>
      <c r="H762" s="19"/>
      <c r="I762" s="21"/>
      <c r="J762" s="19"/>
      <c r="K762" s="20"/>
      <c r="L762" s="20"/>
      <c r="M762" s="19"/>
      <c r="N762" s="19"/>
      <c r="O762" s="20"/>
      <c r="P762" s="20"/>
      <c r="Q762" s="19"/>
      <c r="R762" s="22" t="str">
        <f aca="false">IF(A762="","",N(G762)+N(I762))</f>
        <v/>
      </c>
      <c r="S762" s="23" t="str">
        <f aca="false">IF(OR(K762="",O762=""),"",O762-K762)</f>
        <v/>
      </c>
      <c r="T762" s="23" t="str">
        <f aca="true">IF(AND(C762="Cetak",L762&lt;&gt;"",L762&lt;TODAY()),"YA","")</f>
        <v/>
      </c>
      <c r="U762" s="23" t="str">
        <f aca="false">IF(B762="","",TEXT(B762,"yyyy-mm"))</f>
        <v/>
      </c>
      <c r="V762" s="23" t="str">
        <f aca="false">IF(K762="","",TEXT(K762,"yyyy-mm"))</f>
        <v/>
      </c>
      <c r="W762" s="23" t="n">
        <f aca="false">IF(OR(C762="Cetak",C762="Dikirim",C762="Selesai"),1,0)</f>
        <v>0</v>
      </c>
      <c r="X762" s="23" t="str">
        <f aca="false">IF(F762="","",SUBSTITUTE(SUBSTITUTE(MID(UPPER(TRIM(F762)),4,99),"-LED",""),"-TK",""))</f>
        <v/>
      </c>
      <c r="Y762" s="23" t="str">
        <f aca="false">IF(X762="","",(LEN(X762)+1)/7)</f>
        <v/>
      </c>
      <c r="Z762" s="23" t="str">
        <f aca="false">IF(X762="","",LEFT(X762,6))</f>
        <v/>
      </c>
      <c r="AA762" s="23" t="str">
        <f aca="false">IF(X762="","",IF(Y762&gt;=3,MID(X762,8,6),""))</f>
        <v/>
      </c>
      <c r="AB762" s="23" t="str">
        <f aca="false">IF(X762="","",IF(Y762&gt;=4,MID(X762,15,6),""))</f>
        <v/>
      </c>
      <c r="AC762" s="23" t="str">
        <f aca="false">IF(X762="","",IF(Y762&gt;=5,MID(X762,22,6),""))</f>
        <v/>
      </c>
      <c r="AD762" s="23" t="str">
        <f aca="false">IF(X762="","",RIGHT(X762,6))</f>
        <v/>
      </c>
      <c r="AE762" s="23" t="str">
        <f aca="false">IF(F762="","",IF(ISNUMBER(SEARCH("-TK",UPPER(F762))),0,1))</f>
        <v/>
      </c>
      <c r="AF762" s="23" t="str">
        <f aca="false">IF(F762="","",IF(ISNUMBER(SEARCH("-LED",UPPER(F762))),1,0))</f>
        <v/>
      </c>
      <c r="AG762" s="24" t="n">
        <f aca="false">IF(Z762="",0,IFERROR(INDEX(Resep!$C$5:$C$7,MATCH(LEFT(Z762,3),Resep!$B$5:$B$7,0)),0))</f>
        <v>0</v>
      </c>
      <c r="AH762" s="24" t="n">
        <f aca="false">IF(AA762="",0,IFERROR(INDEX(Resep!$C$9:$C$13,MATCH(LEFT(AA762,3),Resep!$B$9:$B$13,0)),0))</f>
        <v>0</v>
      </c>
      <c r="AI762" s="24" t="n">
        <f aca="false">IF(AB762="",0,IFERROR(INDEX(Resep!$C$9:$C$13,MATCH(LEFT(AB762,3),Resep!$B$9:$B$13,0)),0))</f>
        <v>0</v>
      </c>
      <c r="AJ762" s="24" t="n">
        <f aca="false">IF(AC762="",0,IFERROR(INDEX(Resep!$C$9:$C$13,MATCH(LEFT(AC762,3),Resep!$B$9:$B$13,0)),0))</f>
        <v>0</v>
      </c>
      <c r="AK762" s="24" t="n">
        <f aca="false">IF(AD762="",0,IFERROR(INDEX(Resep!$C$15:$C$18,MATCH(LEFT(AD762,3),Resep!$B$15:$B$18,0)),0))</f>
        <v>0</v>
      </c>
      <c r="AL762" s="24" t="str">
        <f aca="false">IF(X762="","",AG762+AH762+AI762+AJ762+AK762)</f>
        <v/>
      </c>
      <c r="AM762" s="22" t="str">
        <f aca="false">IF(X762="","",AL762*(Pengaturan!$B$6+Pengaturan!$B$7)+Pengaturan!$B$8+AE762*Pengaturan!$B$9+AF762*Pengaturan!$B$10)</f>
        <v/>
      </c>
      <c r="AN762" s="22" t="str">
        <f aca="false">IF(X762="","",N(G762)-AM762)</f>
        <v/>
      </c>
      <c r="AO762" s="25" t="str">
        <f aca="false">IF(OR(X762="",N(G762)=0),"",AN762/G762)</f>
        <v/>
      </c>
    </row>
    <row r="763" customFormat="false" ht="15" hidden="false" customHeight="false" outlineLevel="0" collapsed="false">
      <c r="A763" s="19"/>
      <c r="B763" s="20"/>
      <c r="C763" s="19"/>
      <c r="D763" s="19"/>
      <c r="E763" s="19"/>
      <c r="F763" s="19"/>
      <c r="G763" s="21"/>
      <c r="H763" s="19"/>
      <c r="I763" s="21"/>
      <c r="J763" s="19"/>
      <c r="K763" s="20"/>
      <c r="L763" s="20"/>
      <c r="M763" s="19"/>
      <c r="N763" s="19"/>
      <c r="O763" s="20"/>
      <c r="P763" s="20"/>
      <c r="Q763" s="19"/>
      <c r="R763" s="22" t="str">
        <f aca="false">IF(A763="","",N(G763)+N(I763))</f>
        <v/>
      </c>
      <c r="S763" s="23" t="str">
        <f aca="false">IF(OR(K763="",O763=""),"",O763-K763)</f>
        <v/>
      </c>
      <c r="T763" s="23" t="str">
        <f aca="true">IF(AND(C763="Cetak",L763&lt;&gt;"",L763&lt;TODAY()),"YA","")</f>
        <v/>
      </c>
      <c r="U763" s="23" t="str">
        <f aca="false">IF(B763="","",TEXT(B763,"yyyy-mm"))</f>
        <v/>
      </c>
      <c r="V763" s="23" t="str">
        <f aca="false">IF(K763="","",TEXT(K763,"yyyy-mm"))</f>
        <v/>
      </c>
      <c r="W763" s="23" t="n">
        <f aca="false">IF(OR(C763="Cetak",C763="Dikirim",C763="Selesai"),1,0)</f>
        <v>0</v>
      </c>
      <c r="X763" s="23" t="str">
        <f aca="false">IF(F763="","",SUBSTITUTE(SUBSTITUTE(MID(UPPER(TRIM(F763)),4,99),"-LED",""),"-TK",""))</f>
        <v/>
      </c>
      <c r="Y763" s="23" t="str">
        <f aca="false">IF(X763="","",(LEN(X763)+1)/7)</f>
        <v/>
      </c>
      <c r="Z763" s="23" t="str">
        <f aca="false">IF(X763="","",LEFT(X763,6))</f>
        <v/>
      </c>
      <c r="AA763" s="23" t="str">
        <f aca="false">IF(X763="","",IF(Y763&gt;=3,MID(X763,8,6),""))</f>
        <v/>
      </c>
      <c r="AB763" s="23" t="str">
        <f aca="false">IF(X763="","",IF(Y763&gt;=4,MID(X763,15,6),""))</f>
        <v/>
      </c>
      <c r="AC763" s="23" t="str">
        <f aca="false">IF(X763="","",IF(Y763&gt;=5,MID(X763,22,6),""))</f>
        <v/>
      </c>
      <c r="AD763" s="23" t="str">
        <f aca="false">IF(X763="","",RIGHT(X763,6))</f>
        <v/>
      </c>
      <c r="AE763" s="23" t="str">
        <f aca="false">IF(F763="","",IF(ISNUMBER(SEARCH("-TK",UPPER(F763))),0,1))</f>
        <v/>
      </c>
      <c r="AF763" s="23" t="str">
        <f aca="false">IF(F763="","",IF(ISNUMBER(SEARCH("-LED",UPPER(F763))),1,0))</f>
        <v/>
      </c>
      <c r="AG763" s="24" t="n">
        <f aca="false">IF(Z763="",0,IFERROR(INDEX(Resep!$C$5:$C$7,MATCH(LEFT(Z763,3),Resep!$B$5:$B$7,0)),0))</f>
        <v>0</v>
      </c>
      <c r="AH763" s="24" t="n">
        <f aca="false">IF(AA763="",0,IFERROR(INDEX(Resep!$C$9:$C$13,MATCH(LEFT(AA763,3),Resep!$B$9:$B$13,0)),0))</f>
        <v>0</v>
      </c>
      <c r="AI763" s="24" t="n">
        <f aca="false">IF(AB763="",0,IFERROR(INDEX(Resep!$C$9:$C$13,MATCH(LEFT(AB763,3),Resep!$B$9:$B$13,0)),0))</f>
        <v>0</v>
      </c>
      <c r="AJ763" s="24" t="n">
        <f aca="false">IF(AC763="",0,IFERROR(INDEX(Resep!$C$9:$C$13,MATCH(LEFT(AC763,3),Resep!$B$9:$B$13,0)),0))</f>
        <v>0</v>
      </c>
      <c r="AK763" s="24" t="n">
        <f aca="false">IF(AD763="",0,IFERROR(INDEX(Resep!$C$15:$C$18,MATCH(LEFT(AD763,3),Resep!$B$15:$B$18,0)),0))</f>
        <v>0</v>
      </c>
      <c r="AL763" s="24" t="str">
        <f aca="false">IF(X763="","",AG763+AH763+AI763+AJ763+AK763)</f>
        <v/>
      </c>
      <c r="AM763" s="22" t="str">
        <f aca="false">IF(X763="","",AL763*(Pengaturan!$B$6+Pengaturan!$B$7)+Pengaturan!$B$8+AE763*Pengaturan!$B$9+AF763*Pengaturan!$B$10)</f>
        <v/>
      </c>
      <c r="AN763" s="22" t="str">
        <f aca="false">IF(X763="","",N(G763)-AM763)</f>
        <v/>
      </c>
      <c r="AO763" s="25" t="str">
        <f aca="false">IF(OR(X763="",N(G763)=0),"",AN763/G763)</f>
        <v/>
      </c>
    </row>
    <row r="764" customFormat="false" ht="15" hidden="false" customHeight="false" outlineLevel="0" collapsed="false">
      <c r="A764" s="19"/>
      <c r="B764" s="20"/>
      <c r="C764" s="19"/>
      <c r="D764" s="19"/>
      <c r="E764" s="19"/>
      <c r="F764" s="19"/>
      <c r="G764" s="21"/>
      <c r="H764" s="19"/>
      <c r="I764" s="21"/>
      <c r="J764" s="19"/>
      <c r="K764" s="20"/>
      <c r="L764" s="20"/>
      <c r="M764" s="19"/>
      <c r="N764" s="19"/>
      <c r="O764" s="20"/>
      <c r="P764" s="20"/>
      <c r="Q764" s="19"/>
      <c r="R764" s="22" t="str">
        <f aca="false">IF(A764="","",N(G764)+N(I764))</f>
        <v/>
      </c>
      <c r="S764" s="23" t="str">
        <f aca="false">IF(OR(K764="",O764=""),"",O764-K764)</f>
        <v/>
      </c>
      <c r="T764" s="23" t="str">
        <f aca="true">IF(AND(C764="Cetak",L764&lt;&gt;"",L764&lt;TODAY()),"YA","")</f>
        <v/>
      </c>
      <c r="U764" s="23" t="str">
        <f aca="false">IF(B764="","",TEXT(B764,"yyyy-mm"))</f>
        <v/>
      </c>
      <c r="V764" s="23" t="str">
        <f aca="false">IF(K764="","",TEXT(K764,"yyyy-mm"))</f>
        <v/>
      </c>
      <c r="W764" s="23" t="n">
        <f aca="false">IF(OR(C764="Cetak",C764="Dikirim",C764="Selesai"),1,0)</f>
        <v>0</v>
      </c>
      <c r="X764" s="23" t="str">
        <f aca="false">IF(F764="","",SUBSTITUTE(SUBSTITUTE(MID(UPPER(TRIM(F764)),4,99),"-LED",""),"-TK",""))</f>
        <v/>
      </c>
      <c r="Y764" s="23" t="str">
        <f aca="false">IF(X764="","",(LEN(X764)+1)/7)</f>
        <v/>
      </c>
      <c r="Z764" s="23" t="str">
        <f aca="false">IF(X764="","",LEFT(X764,6))</f>
        <v/>
      </c>
      <c r="AA764" s="23" t="str">
        <f aca="false">IF(X764="","",IF(Y764&gt;=3,MID(X764,8,6),""))</f>
        <v/>
      </c>
      <c r="AB764" s="23" t="str">
        <f aca="false">IF(X764="","",IF(Y764&gt;=4,MID(X764,15,6),""))</f>
        <v/>
      </c>
      <c r="AC764" s="23" t="str">
        <f aca="false">IF(X764="","",IF(Y764&gt;=5,MID(X764,22,6),""))</f>
        <v/>
      </c>
      <c r="AD764" s="23" t="str">
        <f aca="false">IF(X764="","",RIGHT(X764,6))</f>
        <v/>
      </c>
      <c r="AE764" s="23" t="str">
        <f aca="false">IF(F764="","",IF(ISNUMBER(SEARCH("-TK",UPPER(F764))),0,1))</f>
        <v/>
      </c>
      <c r="AF764" s="23" t="str">
        <f aca="false">IF(F764="","",IF(ISNUMBER(SEARCH("-LED",UPPER(F764))),1,0))</f>
        <v/>
      </c>
      <c r="AG764" s="24" t="n">
        <f aca="false">IF(Z764="",0,IFERROR(INDEX(Resep!$C$5:$C$7,MATCH(LEFT(Z764,3),Resep!$B$5:$B$7,0)),0))</f>
        <v>0</v>
      </c>
      <c r="AH764" s="24" t="n">
        <f aca="false">IF(AA764="",0,IFERROR(INDEX(Resep!$C$9:$C$13,MATCH(LEFT(AA764,3),Resep!$B$9:$B$13,0)),0))</f>
        <v>0</v>
      </c>
      <c r="AI764" s="24" t="n">
        <f aca="false">IF(AB764="",0,IFERROR(INDEX(Resep!$C$9:$C$13,MATCH(LEFT(AB764,3),Resep!$B$9:$B$13,0)),0))</f>
        <v>0</v>
      </c>
      <c r="AJ764" s="24" t="n">
        <f aca="false">IF(AC764="",0,IFERROR(INDEX(Resep!$C$9:$C$13,MATCH(LEFT(AC764,3),Resep!$B$9:$B$13,0)),0))</f>
        <v>0</v>
      </c>
      <c r="AK764" s="24" t="n">
        <f aca="false">IF(AD764="",0,IFERROR(INDEX(Resep!$C$15:$C$18,MATCH(LEFT(AD764,3),Resep!$B$15:$B$18,0)),0))</f>
        <v>0</v>
      </c>
      <c r="AL764" s="24" t="str">
        <f aca="false">IF(X764="","",AG764+AH764+AI764+AJ764+AK764)</f>
        <v/>
      </c>
      <c r="AM764" s="22" t="str">
        <f aca="false">IF(X764="","",AL764*(Pengaturan!$B$6+Pengaturan!$B$7)+Pengaturan!$B$8+AE764*Pengaturan!$B$9+AF764*Pengaturan!$B$10)</f>
        <v/>
      </c>
      <c r="AN764" s="22" t="str">
        <f aca="false">IF(X764="","",N(G764)-AM764)</f>
        <v/>
      </c>
      <c r="AO764" s="25" t="str">
        <f aca="false">IF(OR(X764="",N(G764)=0),"",AN764/G764)</f>
        <v/>
      </c>
    </row>
    <row r="765" customFormat="false" ht="15" hidden="false" customHeight="false" outlineLevel="0" collapsed="false">
      <c r="A765" s="19"/>
      <c r="B765" s="20"/>
      <c r="C765" s="19"/>
      <c r="D765" s="19"/>
      <c r="E765" s="19"/>
      <c r="F765" s="19"/>
      <c r="G765" s="21"/>
      <c r="H765" s="19"/>
      <c r="I765" s="21"/>
      <c r="J765" s="19"/>
      <c r="K765" s="20"/>
      <c r="L765" s="20"/>
      <c r="M765" s="19"/>
      <c r="N765" s="19"/>
      <c r="O765" s="20"/>
      <c r="P765" s="20"/>
      <c r="Q765" s="19"/>
      <c r="R765" s="22" t="str">
        <f aca="false">IF(A765="","",N(G765)+N(I765))</f>
        <v/>
      </c>
      <c r="S765" s="23" t="str">
        <f aca="false">IF(OR(K765="",O765=""),"",O765-K765)</f>
        <v/>
      </c>
      <c r="T765" s="23" t="str">
        <f aca="true">IF(AND(C765="Cetak",L765&lt;&gt;"",L765&lt;TODAY()),"YA","")</f>
        <v/>
      </c>
      <c r="U765" s="23" t="str">
        <f aca="false">IF(B765="","",TEXT(B765,"yyyy-mm"))</f>
        <v/>
      </c>
      <c r="V765" s="23" t="str">
        <f aca="false">IF(K765="","",TEXT(K765,"yyyy-mm"))</f>
        <v/>
      </c>
      <c r="W765" s="23" t="n">
        <f aca="false">IF(OR(C765="Cetak",C765="Dikirim",C765="Selesai"),1,0)</f>
        <v>0</v>
      </c>
      <c r="X765" s="23" t="str">
        <f aca="false">IF(F765="","",SUBSTITUTE(SUBSTITUTE(MID(UPPER(TRIM(F765)),4,99),"-LED",""),"-TK",""))</f>
        <v/>
      </c>
      <c r="Y765" s="23" t="str">
        <f aca="false">IF(X765="","",(LEN(X765)+1)/7)</f>
        <v/>
      </c>
      <c r="Z765" s="23" t="str">
        <f aca="false">IF(X765="","",LEFT(X765,6))</f>
        <v/>
      </c>
      <c r="AA765" s="23" t="str">
        <f aca="false">IF(X765="","",IF(Y765&gt;=3,MID(X765,8,6),""))</f>
        <v/>
      </c>
      <c r="AB765" s="23" t="str">
        <f aca="false">IF(X765="","",IF(Y765&gt;=4,MID(X765,15,6),""))</f>
        <v/>
      </c>
      <c r="AC765" s="23" t="str">
        <f aca="false">IF(X765="","",IF(Y765&gt;=5,MID(X765,22,6),""))</f>
        <v/>
      </c>
      <c r="AD765" s="23" t="str">
        <f aca="false">IF(X765="","",RIGHT(X765,6))</f>
        <v/>
      </c>
      <c r="AE765" s="23" t="str">
        <f aca="false">IF(F765="","",IF(ISNUMBER(SEARCH("-TK",UPPER(F765))),0,1))</f>
        <v/>
      </c>
      <c r="AF765" s="23" t="str">
        <f aca="false">IF(F765="","",IF(ISNUMBER(SEARCH("-LED",UPPER(F765))),1,0))</f>
        <v/>
      </c>
      <c r="AG765" s="24" t="n">
        <f aca="false">IF(Z765="",0,IFERROR(INDEX(Resep!$C$5:$C$7,MATCH(LEFT(Z765,3),Resep!$B$5:$B$7,0)),0))</f>
        <v>0</v>
      </c>
      <c r="AH765" s="24" t="n">
        <f aca="false">IF(AA765="",0,IFERROR(INDEX(Resep!$C$9:$C$13,MATCH(LEFT(AA765,3),Resep!$B$9:$B$13,0)),0))</f>
        <v>0</v>
      </c>
      <c r="AI765" s="24" t="n">
        <f aca="false">IF(AB765="",0,IFERROR(INDEX(Resep!$C$9:$C$13,MATCH(LEFT(AB765,3),Resep!$B$9:$B$13,0)),0))</f>
        <v>0</v>
      </c>
      <c r="AJ765" s="24" t="n">
        <f aca="false">IF(AC765="",0,IFERROR(INDEX(Resep!$C$9:$C$13,MATCH(LEFT(AC765,3),Resep!$B$9:$B$13,0)),0))</f>
        <v>0</v>
      </c>
      <c r="AK765" s="24" t="n">
        <f aca="false">IF(AD765="",0,IFERROR(INDEX(Resep!$C$15:$C$18,MATCH(LEFT(AD765,3),Resep!$B$15:$B$18,0)),0))</f>
        <v>0</v>
      </c>
      <c r="AL765" s="24" t="str">
        <f aca="false">IF(X765="","",AG765+AH765+AI765+AJ765+AK765)</f>
        <v/>
      </c>
      <c r="AM765" s="22" t="str">
        <f aca="false">IF(X765="","",AL765*(Pengaturan!$B$6+Pengaturan!$B$7)+Pengaturan!$B$8+AE765*Pengaturan!$B$9+AF765*Pengaturan!$B$10)</f>
        <v/>
      </c>
      <c r="AN765" s="22" t="str">
        <f aca="false">IF(X765="","",N(G765)-AM765)</f>
        <v/>
      </c>
      <c r="AO765" s="25" t="str">
        <f aca="false">IF(OR(X765="",N(G765)=0),"",AN765/G765)</f>
        <v/>
      </c>
    </row>
    <row r="766" customFormat="false" ht="15" hidden="false" customHeight="false" outlineLevel="0" collapsed="false">
      <c r="A766" s="19"/>
      <c r="B766" s="20"/>
      <c r="C766" s="19"/>
      <c r="D766" s="19"/>
      <c r="E766" s="19"/>
      <c r="F766" s="19"/>
      <c r="G766" s="21"/>
      <c r="H766" s="19"/>
      <c r="I766" s="21"/>
      <c r="J766" s="19"/>
      <c r="K766" s="20"/>
      <c r="L766" s="20"/>
      <c r="M766" s="19"/>
      <c r="N766" s="19"/>
      <c r="O766" s="20"/>
      <c r="P766" s="20"/>
      <c r="Q766" s="19"/>
      <c r="R766" s="22" t="str">
        <f aca="false">IF(A766="","",N(G766)+N(I766))</f>
        <v/>
      </c>
      <c r="S766" s="23" t="str">
        <f aca="false">IF(OR(K766="",O766=""),"",O766-K766)</f>
        <v/>
      </c>
      <c r="T766" s="23" t="str">
        <f aca="true">IF(AND(C766="Cetak",L766&lt;&gt;"",L766&lt;TODAY()),"YA","")</f>
        <v/>
      </c>
      <c r="U766" s="23" t="str">
        <f aca="false">IF(B766="","",TEXT(B766,"yyyy-mm"))</f>
        <v/>
      </c>
      <c r="V766" s="23" t="str">
        <f aca="false">IF(K766="","",TEXT(K766,"yyyy-mm"))</f>
        <v/>
      </c>
      <c r="W766" s="23" t="n">
        <f aca="false">IF(OR(C766="Cetak",C766="Dikirim",C766="Selesai"),1,0)</f>
        <v>0</v>
      </c>
      <c r="X766" s="23" t="str">
        <f aca="false">IF(F766="","",SUBSTITUTE(SUBSTITUTE(MID(UPPER(TRIM(F766)),4,99),"-LED",""),"-TK",""))</f>
        <v/>
      </c>
      <c r="Y766" s="23" t="str">
        <f aca="false">IF(X766="","",(LEN(X766)+1)/7)</f>
        <v/>
      </c>
      <c r="Z766" s="23" t="str">
        <f aca="false">IF(X766="","",LEFT(X766,6))</f>
        <v/>
      </c>
      <c r="AA766" s="23" t="str">
        <f aca="false">IF(X766="","",IF(Y766&gt;=3,MID(X766,8,6),""))</f>
        <v/>
      </c>
      <c r="AB766" s="23" t="str">
        <f aca="false">IF(X766="","",IF(Y766&gt;=4,MID(X766,15,6),""))</f>
        <v/>
      </c>
      <c r="AC766" s="23" t="str">
        <f aca="false">IF(X766="","",IF(Y766&gt;=5,MID(X766,22,6),""))</f>
        <v/>
      </c>
      <c r="AD766" s="23" t="str">
        <f aca="false">IF(X766="","",RIGHT(X766,6))</f>
        <v/>
      </c>
      <c r="AE766" s="23" t="str">
        <f aca="false">IF(F766="","",IF(ISNUMBER(SEARCH("-TK",UPPER(F766))),0,1))</f>
        <v/>
      </c>
      <c r="AF766" s="23" t="str">
        <f aca="false">IF(F766="","",IF(ISNUMBER(SEARCH("-LED",UPPER(F766))),1,0))</f>
        <v/>
      </c>
      <c r="AG766" s="24" t="n">
        <f aca="false">IF(Z766="",0,IFERROR(INDEX(Resep!$C$5:$C$7,MATCH(LEFT(Z766,3),Resep!$B$5:$B$7,0)),0))</f>
        <v>0</v>
      </c>
      <c r="AH766" s="24" t="n">
        <f aca="false">IF(AA766="",0,IFERROR(INDEX(Resep!$C$9:$C$13,MATCH(LEFT(AA766,3),Resep!$B$9:$B$13,0)),0))</f>
        <v>0</v>
      </c>
      <c r="AI766" s="24" t="n">
        <f aca="false">IF(AB766="",0,IFERROR(INDEX(Resep!$C$9:$C$13,MATCH(LEFT(AB766,3),Resep!$B$9:$B$13,0)),0))</f>
        <v>0</v>
      </c>
      <c r="AJ766" s="24" t="n">
        <f aca="false">IF(AC766="",0,IFERROR(INDEX(Resep!$C$9:$C$13,MATCH(LEFT(AC766,3),Resep!$B$9:$B$13,0)),0))</f>
        <v>0</v>
      </c>
      <c r="AK766" s="24" t="n">
        <f aca="false">IF(AD766="",0,IFERROR(INDEX(Resep!$C$15:$C$18,MATCH(LEFT(AD766,3),Resep!$B$15:$B$18,0)),0))</f>
        <v>0</v>
      </c>
      <c r="AL766" s="24" t="str">
        <f aca="false">IF(X766="","",AG766+AH766+AI766+AJ766+AK766)</f>
        <v/>
      </c>
      <c r="AM766" s="22" t="str">
        <f aca="false">IF(X766="","",AL766*(Pengaturan!$B$6+Pengaturan!$B$7)+Pengaturan!$B$8+AE766*Pengaturan!$B$9+AF766*Pengaturan!$B$10)</f>
        <v/>
      </c>
      <c r="AN766" s="22" t="str">
        <f aca="false">IF(X766="","",N(G766)-AM766)</f>
        <v/>
      </c>
      <c r="AO766" s="25" t="str">
        <f aca="false">IF(OR(X766="",N(G766)=0),"",AN766/G766)</f>
        <v/>
      </c>
    </row>
    <row r="767" customFormat="false" ht="15" hidden="false" customHeight="false" outlineLevel="0" collapsed="false">
      <c r="A767" s="19"/>
      <c r="B767" s="20"/>
      <c r="C767" s="19"/>
      <c r="D767" s="19"/>
      <c r="E767" s="19"/>
      <c r="F767" s="19"/>
      <c r="G767" s="21"/>
      <c r="H767" s="19"/>
      <c r="I767" s="21"/>
      <c r="J767" s="19"/>
      <c r="K767" s="20"/>
      <c r="L767" s="20"/>
      <c r="M767" s="19"/>
      <c r="N767" s="19"/>
      <c r="O767" s="20"/>
      <c r="P767" s="20"/>
      <c r="Q767" s="19"/>
      <c r="R767" s="22" t="str">
        <f aca="false">IF(A767="","",N(G767)+N(I767))</f>
        <v/>
      </c>
      <c r="S767" s="23" t="str">
        <f aca="false">IF(OR(K767="",O767=""),"",O767-K767)</f>
        <v/>
      </c>
      <c r="T767" s="23" t="str">
        <f aca="true">IF(AND(C767="Cetak",L767&lt;&gt;"",L767&lt;TODAY()),"YA","")</f>
        <v/>
      </c>
      <c r="U767" s="23" t="str">
        <f aca="false">IF(B767="","",TEXT(B767,"yyyy-mm"))</f>
        <v/>
      </c>
      <c r="V767" s="23" t="str">
        <f aca="false">IF(K767="","",TEXT(K767,"yyyy-mm"))</f>
        <v/>
      </c>
      <c r="W767" s="23" t="n">
        <f aca="false">IF(OR(C767="Cetak",C767="Dikirim",C767="Selesai"),1,0)</f>
        <v>0</v>
      </c>
      <c r="X767" s="23" t="str">
        <f aca="false">IF(F767="","",SUBSTITUTE(SUBSTITUTE(MID(UPPER(TRIM(F767)),4,99),"-LED",""),"-TK",""))</f>
        <v/>
      </c>
      <c r="Y767" s="23" t="str">
        <f aca="false">IF(X767="","",(LEN(X767)+1)/7)</f>
        <v/>
      </c>
      <c r="Z767" s="23" t="str">
        <f aca="false">IF(X767="","",LEFT(X767,6))</f>
        <v/>
      </c>
      <c r="AA767" s="23" t="str">
        <f aca="false">IF(X767="","",IF(Y767&gt;=3,MID(X767,8,6),""))</f>
        <v/>
      </c>
      <c r="AB767" s="23" t="str">
        <f aca="false">IF(X767="","",IF(Y767&gt;=4,MID(X767,15,6),""))</f>
        <v/>
      </c>
      <c r="AC767" s="23" t="str">
        <f aca="false">IF(X767="","",IF(Y767&gt;=5,MID(X767,22,6),""))</f>
        <v/>
      </c>
      <c r="AD767" s="23" t="str">
        <f aca="false">IF(X767="","",RIGHT(X767,6))</f>
        <v/>
      </c>
      <c r="AE767" s="23" t="str">
        <f aca="false">IF(F767="","",IF(ISNUMBER(SEARCH("-TK",UPPER(F767))),0,1))</f>
        <v/>
      </c>
      <c r="AF767" s="23" t="str">
        <f aca="false">IF(F767="","",IF(ISNUMBER(SEARCH("-LED",UPPER(F767))),1,0))</f>
        <v/>
      </c>
      <c r="AG767" s="24" t="n">
        <f aca="false">IF(Z767="",0,IFERROR(INDEX(Resep!$C$5:$C$7,MATCH(LEFT(Z767,3),Resep!$B$5:$B$7,0)),0))</f>
        <v>0</v>
      </c>
      <c r="AH767" s="24" t="n">
        <f aca="false">IF(AA767="",0,IFERROR(INDEX(Resep!$C$9:$C$13,MATCH(LEFT(AA767,3),Resep!$B$9:$B$13,0)),0))</f>
        <v>0</v>
      </c>
      <c r="AI767" s="24" t="n">
        <f aca="false">IF(AB767="",0,IFERROR(INDEX(Resep!$C$9:$C$13,MATCH(LEFT(AB767,3),Resep!$B$9:$B$13,0)),0))</f>
        <v>0</v>
      </c>
      <c r="AJ767" s="24" t="n">
        <f aca="false">IF(AC767="",0,IFERROR(INDEX(Resep!$C$9:$C$13,MATCH(LEFT(AC767,3),Resep!$B$9:$B$13,0)),0))</f>
        <v>0</v>
      </c>
      <c r="AK767" s="24" t="n">
        <f aca="false">IF(AD767="",0,IFERROR(INDEX(Resep!$C$15:$C$18,MATCH(LEFT(AD767,3),Resep!$B$15:$B$18,0)),0))</f>
        <v>0</v>
      </c>
      <c r="AL767" s="24" t="str">
        <f aca="false">IF(X767="","",AG767+AH767+AI767+AJ767+AK767)</f>
        <v/>
      </c>
      <c r="AM767" s="22" t="str">
        <f aca="false">IF(X767="","",AL767*(Pengaturan!$B$6+Pengaturan!$B$7)+Pengaturan!$B$8+AE767*Pengaturan!$B$9+AF767*Pengaturan!$B$10)</f>
        <v/>
      </c>
      <c r="AN767" s="22" t="str">
        <f aca="false">IF(X767="","",N(G767)-AM767)</f>
        <v/>
      </c>
      <c r="AO767" s="25" t="str">
        <f aca="false">IF(OR(X767="",N(G767)=0),"",AN767/G767)</f>
        <v/>
      </c>
    </row>
    <row r="768" customFormat="false" ht="15" hidden="false" customHeight="false" outlineLevel="0" collapsed="false">
      <c r="A768" s="19"/>
      <c r="B768" s="20"/>
      <c r="C768" s="19"/>
      <c r="D768" s="19"/>
      <c r="E768" s="19"/>
      <c r="F768" s="19"/>
      <c r="G768" s="21"/>
      <c r="H768" s="19"/>
      <c r="I768" s="21"/>
      <c r="J768" s="19"/>
      <c r="K768" s="20"/>
      <c r="L768" s="20"/>
      <c r="M768" s="19"/>
      <c r="N768" s="19"/>
      <c r="O768" s="20"/>
      <c r="P768" s="20"/>
      <c r="Q768" s="19"/>
      <c r="R768" s="22" t="str">
        <f aca="false">IF(A768="","",N(G768)+N(I768))</f>
        <v/>
      </c>
      <c r="S768" s="23" t="str">
        <f aca="false">IF(OR(K768="",O768=""),"",O768-K768)</f>
        <v/>
      </c>
      <c r="T768" s="23" t="str">
        <f aca="true">IF(AND(C768="Cetak",L768&lt;&gt;"",L768&lt;TODAY()),"YA","")</f>
        <v/>
      </c>
      <c r="U768" s="23" t="str">
        <f aca="false">IF(B768="","",TEXT(B768,"yyyy-mm"))</f>
        <v/>
      </c>
      <c r="V768" s="23" t="str">
        <f aca="false">IF(K768="","",TEXT(K768,"yyyy-mm"))</f>
        <v/>
      </c>
      <c r="W768" s="23" t="n">
        <f aca="false">IF(OR(C768="Cetak",C768="Dikirim",C768="Selesai"),1,0)</f>
        <v>0</v>
      </c>
      <c r="X768" s="23" t="str">
        <f aca="false">IF(F768="","",SUBSTITUTE(SUBSTITUTE(MID(UPPER(TRIM(F768)),4,99),"-LED",""),"-TK",""))</f>
        <v/>
      </c>
      <c r="Y768" s="23" t="str">
        <f aca="false">IF(X768="","",(LEN(X768)+1)/7)</f>
        <v/>
      </c>
      <c r="Z768" s="23" t="str">
        <f aca="false">IF(X768="","",LEFT(X768,6))</f>
        <v/>
      </c>
      <c r="AA768" s="23" t="str">
        <f aca="false">IF(X768="","",IF(Y768&gt;=3,MID(X768,8,6),""))</f>
        <v/>
      </c>
      <c r="AB768" s="23" t="str">
        <f aca="false">IF(X768="","",IF(Y768&gt;=4,MID(X768,15,6),""))</f>
        <v/>
      </c>
      <c r="AC768" s="23" t="str">
        <f aca="false">IF(X768="","",IF(Y768&gt;=5,MID(X768,22,6),""))</f>
        <v/>
      </c>
      <c r="AD768" s="23" t="str">
        <f aca="false">IF(X768="","",RIGHT(X768,6))</f>
        <v/>
      </c>
      <c r="AE768" s="23" t="str">
        <f aca="false">IF(F768="","",IF(ISNUMBER(SEARCH("-TK",UPPER(F768))),0,1))</f>
        <v/>
      </c>
      <c r="AF768" s="23" t="str">
        <f aca="false">IF(F768="","",IF(ISNUMBER(SEARCH("-LED",UPPER(F768))),1,0))</f>
        <v/>
      </c>
      <c r="AG768" s="24" t="n">
        <f aca="false">IF(Z768="",0,IFERROR(INDEX(Resep!$C$5:$C$7,MATCH(LEFT(Z768,3),Resep!$B$5:$B$7,0)),0))</f>
        <v>0</v>
      </c>
      <c r="AH768" s="24" t="n">
        <f aca="false">IF(AA768="",0,IFERROR(INDEX(Resep!$C$9:$C$13,MATCH(LEFT(AA768,3),Resep!$B$9:$B$13,0)),0))</f>
        <v>0</v>
      </c>
      <c r="AI768" s="24" t="n">
        <f aca="false">IF(AB768="",0,IFERROR(INDEX(Resep!$C$9:$C$13,MATCH(LEFT(AB768,3),Resep!$B$9:$B$13,0)),0))</f>
        <v>0</v>
      </c>
      <c r="AJ768" s="24" t="n">
        <f aca="false">IF(AC768="",0,IFERROR(INDEX(Resep!$C$9:$C$13,MATCH(LEFT(AC768,3),Resep!$B$9:$B$13,0)),0))</f>
        <v>0</v>
      </c>
      <c r="AK768" s="24" t="n">
        <f aca="false">IF(AD768="",0,IFERROR(INDEX(Resep!$C$15:$C$18,MATCH(LEFT(AD768,3),Resep!$B$15:$B$18,0)),0))</f>
        <v>0</v>
      </c>
      <c r="AL768" s="24" t="str">
        <f aca="false">IF(X768="","",AG768+AH768+AI768+AJ768+AK768)</f>
        <v/>
      </c>
      <c r="AM768" s="22" t="str">
        <f aca="false">IF(X768="","",AL768*(Pengaturan!$B$6+Pengaturan!$B$7)+Pengaturan!$B$8+AE768*Pengaturan!$B$9+AF768*Pengaturan!$B$10)</f>
        <v/>
      </c>
      <c r="AN768" s="22" t="str">
        <f aca="false">IF(X768="","",N(G768)-AM768)</f>
        <v/>
      </c>
      <c r="AO768" s="25" t="str">
        <f aca="false">IF(OR(X768="",N(G768)=0),"",AN768/G768)</f>
        <v/>
      </c>
    </row>
    <row r="769" customFormat="false" ht="15" hidden="false" customHeight="false" outlineLevel="0" collapsed="false">
      <c r="A769" s="19"/>
      <c r="B769" s="20"/>
      <c r="C769" s="19"/>
      <c r="D769" s="19"/>
      <c r="E769" s="19"/>
      <c r="F769" s="19"/>
      <c r="G769" s="21"/>
      <c r="H769" s="19"/>
      <c r="I769" s="21"/>
      <c r="J769" s="19"/>
      <c r="K769" s="20"/>
      <c r="L769" s="20"/>
      <c r="M769" s="19"/>
      <c r="N769" s="19"/>
      <c r="O769" s="20"/>
      <c r="P769" s="20"/>
      <c r="Q769" s="19"/>
      <c r="R769" s="22" t="str">
        <f aca="false">IF(A769="","",N(G769)+N(I769))</f>
        <v/>
      </c>
      <c r="S769" s="23" t="str">
        <f aca="false">IF(OR(K769="",O769=""),"",O769-K769)</f>
        <v/>
      </c>
      <c r="T769" s="23" t="str">
        <f aca="true">IF(AND(C769="Cetak",L769&lt;&gt;"",L769&lt;TODAY()),"YA","")</f>
        <v/>
      </c>
      <c r="U769" s="23" t="str">
        <f aca="false">IF(B769="","",TEXT(B769,"yyyy-mm"))</f>
        <v/>
      </c>
      <c r="V769" s="23" t="str">
        <f aca="false">IF(K769="","",TEXT(K769,"yyyy-mm"))</f>
        <v/>
      </c>
      <c r="W769" s="23" t="n">
        <f aca="false">IF(OR(C769="Cetak",C769="Dikirim",C769="Selesai"),1,0)</f>
        <v>0</v>
      </c>
      <c r="X769" s="23" t="str">
        <f aca="false">IF(F769="","",SUBSTITUTE(SUBSTITUTE(MID(UPPER(TRIM(F769)),4,99),"-LED",""),"-TK",""))</f>
        <v/>
      </c>
      <c r="Y769" s="23" t="str">
        <f aca="false">IF(X769="","",(LEN(X769)+1)/7)</f>
        <v/>
      </c>
      <c r="Z769" s="23" t="str">
        <f aca="false">IF(X769="","",LEFT(X769,6))</f>
        <v/>
      </c>
      <c r="AA769" s="23" t="str">
        <f aca="false">IF(X769="","",IF(Y769&gt;=3,MID(X769,8,6),""))</f>
        <v/>
      </c>
      <c r="AB769" s="23" t="str">
        <f aca="false">IF(X769="","",IF(Y769&gt;=4,MID(X769,15,6),""))</f>
        <v/>
      </c>
      <c r="AC769" s="23" t="str">
        <f aca="false">IF(X769="","",IF(Y769&gt;=5,MID(X769,22,6),""))</f>
        <v/>
      </c>
      <c r="AD769" s="23" t="str">
        <f aca="false">IF(X769="","",RIGHT(X769,6))</f>
        <v/>
      </c>
      <c r="AE769" s="23" t="str">
        <f aca="false">IF(F769="","",IF(ISNUMBER(SEARCH("-TK",UPPER(F769))),0,1))</f>
        <v/>
      </c>
      <c r="AF769" s="23" t="str">
        <f aca="false">IF(F769="","",IF(ISNUMBER(SEARCH("-LED",UPPER(F769))),1,0))</f>
        <v/>
      </c>
      <c r="AG769" s="24" t="n">
        <f aca="false">IF(Z769="",0,IFERROR(INDEX(Resep!$C$5:$C$7,MATCH(LEFT(Z769,3),Resep!$B$5:$B$7,0)),0))</f>
        <v>0</v>
      </c>
      <c r="AH769" s="24" t="n">
        <f aca="false">IF(AA769="",0,IFERROR(INDEX(Resep!$C$9:$C$13,MATCH(LEFT(AA769,3),Resep!$B$9:$B$13,0)),0))</f>
        <v>0</v>
      </c>
      <c r="AI769" s="24" t="n">
        <f aca="false">IF(AB769="",0,IFERROR(INDEX(Resep!$C$9:$C$13,MATCH(LEFT(AB769,3),Resep!$B$9:$B$13,0)),0))</f>
        <v>0</v>
      </c>
      <c r="AJ769" s="24" t="n">
        <f aca="false">IF(AC769="",0,IFERROR(INDEX(Resep!$C$9:$C$13,MATCH(LEFT(AC769,3),Resep!$B$9:$B$13,0)),0))</f>
        <v>0</v>
      </c>
      <c r="AK769" s="24" t="n">
        <f aca="false">IF(AD769="",0,IFERROR(INDEX(Resep!$C$15:$C$18,MATCH(LEFT(AD769,3),Resep!$B$15:$B$18,0)),0))</f>
        <v>0</v>
      </c>
      <c r="AL769" s="24" t="str">
        <f aca="false">IF(X769="","",AG769+AH769+AI769+AJ769+AK769)</f>
        <v/>
      </c>
      <c r="AM769" s="22" t="str">
        <f aca="false">IF(X769="","",AL769*(Pengaturan!$B$6+Pengaturan!$B$7)+Pengaturan!$B$8+AE769*Pengaturan!$B$9+AF769*Pengaturan!$B$10)</f>
        <v/>
      </c>
      <c r="AN769" s="22" t="str">
        <f aca="false">IF(X769="","",N(G769)-AM769)</f>
        <v/>
      </c>
      <c r="AO769" s="25" t="str">
        <f aca="false">IF(OR(X769="",N(G769)=0),"",AN769/G769)</f>
        <v/>
      </c>
    </row>
    <row r="770" customFormat="false" ht="15" hidden="false" customHeight="false" outlineLevel="0" collapsed="false">
      <c r="A770" s="19"/>
      <c r="B770" s="20"/>
      <c r="C770" s="19"/>
      <c r="D770" s="19"/>
      <c r="E770" s="19"/>
      <c r="F770" s="19"/>
      <c r="G770" s="21"/>
      <c r="H770" s="19"/>
      <c r="I770" s="21"/>
      <c r="J770" s="19"/>
      <c r="K770" s="20"/>
      <c r="L770" s="20"/>
      <c r="M770" s="19"/>
      <c r="N770" s="19"/>
      <c r="O770" s="20"/>
      <c r="P770" s="20"/>
      <c r="Q770" s="19"/>
      <c r="R770" s="22" t="str">
        <f aca="false">IF(A770="","",N(G770)+N(I770))</f>
        <v/>
      </c>
      <c r="S770" s="23" t="str">
        <f aca="false">IF(OR(K770="",O770=""),"",O770-K770)</f>
        <v/>
      </c>
      <c r="T770" s="23" t="str">
        <f aca="true">IF(AND(C770="Cetak",L770&lt;&gt;"",L770&lt;TODAY()),"YA","")</f>
        <v/>
      </c>
      <c r="U770" s="23" t="str">
        <f aca="false">IF(B770="","",TEXT(B770,"yyyy-mm"))</f>
        <v/>
      </c>
      <c r="V770" s="23" t="str">
        <f aca="false">IF(K770="","",TEXT(K770,"yyyy-mm"))</f>
        <v/>
      </c>
      <c r="W770" s="23" t="n">
        <f aca="false">IF(OR(C770="Cetak",C770="Dikirim",C770="Selesai"),1,0)</f>
        <v>0</v>
      </c>
      <c r="X770" s="23" t="str">
        <f aca="false">IF(F770="","",SUBSTITUTE(SUBSTITUTE(MID(UPPER(TRIM(F770)),4,99),"-LED",""),"-TK",""))</f>
        <v/>
      </c>
      <c r="Y770" s="23" t="str">
        <f aca="false">IF(X770="","",(LEN(X770)+1)/7)</f>
        <v/>
      </c>
      <c r="Z770" s="23" t="str">
        <f aca="false">IF(X770="","",LEFT(X770,6))</f>
        <v/>
      </c>
      <c r="AA770" s="23" t="str">
        <f aca="false">IF(X770="","",IF(Y770&gt;=3,MID(X770,8,6),""))</f>
        <v/>
      </c>
      <c r="AB770" s="23" t="str">
        <f aca="false">IF(X770="","",IF(Y770&gt;=4,MID(X770,15,6),""))</f>
        <v/>
      </c>
      <c r="AC770" s="23" t="str">
        <f aca="false">IF(X770="","",IF(Y770&gt;=5,MID(X770,22,6),""))</f>
        <v/>
      </c>
      <c r="AD770" s="23" t="str">
        <f aca="false">IF(X770="","",RIGHT(X770,6))</f>
        <v/>
      </c>
      <c r="AE770" s="23" t="str">
        <f aca="false">IF(F770="","",IF(ISNUMBER(SEARCH("-TK",UPPER(F770))),0,1))</f>
        <v/>
      </c>
      <c r="AF770" s="23" t="str">
        <f aca="false">IF(F770="","",IF(ISNUMBER(SEARCH("-LED",UPPER(F770))),1,0))</f>
        <v/>
      </c>
      <c r="AG770" s="24" t="n">
        <f aca="false">IF(Z770="",0,IFERROR(INDEX(Resep!$C$5:$C$7,MATCH(LEFT(Z770,3),Resep!$B$5:$B$7,0)),0))</f>
        <v>0</v>
      </c>
      <c r="AH770" s="24" t="n">
        <f aca="false">IF(AA770="",0,IFERROR(INDEX(Resep!$C$9:$C$13,MATCH(LEFT(AA770,3),Resep!$B$9:$B$13,0)),0))</f>
        <v>0</v>
      </c>
      <c r="AI770" s="24" t="n">
        <f aca="false">IF(AB770="",0,IFERROR(INDEX(Resep!$C$9:$C$13,MATCH(LEFT(AB770,3),Resep!$B$9:$B$13,0)),0))</f>
        <v>0</v>
      </c>
      <c r="AJ770" s="24" t="n">
        <f aca="false">IF(AC770="",0,IFERROR(INDEX(Resep!$C$9:$C$13,MATCH(LEFT(AC770,3),Resep!$B$9:$B$13,0)),0))</f>
        <v>0</v>
      </c>
      <c r="AK770" s="24" t="n">
        <f aca="false">IF(AD770="",0,IFERROR(INDEX(Resep!$C$15:$C$18,MATCH(LEFT(AD770,3),Resep!$B$15:$B$18,0)),0))</f>
        <v>0</v>
      </c>
      <c r="AL770" s="24" t="str">
        <f aca="false">IF(X770="","",AG770+AH770+AI770+AJ770+AK770)</f>
        <v/>
      </c>
      <c r="AM770" s="22" t="str">
        <f aca="false">IF(X770="","",AL770*(Pengaturan!$B$6+Pengaturan!$B$7)+Pengaturan!$B$8+AE770*Pengaturan!$B$9+AF770*Pengaturan!$B$10)</f>
        <v/>
      </c>
      <c r="AN770" s="22" t="str">
        <f aca="false">IF(X770="","",N(G770)-AM770)</f>
        <v/>
      </c>
      <c r="AO770" s="25" t="str">
        <f aca="false">IF(OR(X770="",N(G770)=0),"",AN770/G770)</f>
        <v/>
      </c>
    </row>
    <row r="771" customFormat="false" ht="15" hidden="false" customHeight="false" outlineLevel="0" collapsed="false">
      <c r="A771" s="19"/>
      <c r="B771" s="20"/>
      <c r="C771" s="19"/>
      <c r="D771" s="19"/>
      <c r="E771" s="19"/>
      <c r="F771" s="19"/>
      <c r="G771" s="21"/>
      <c r="H771" s="19"/>
      <c r="I771" s="21"/>
      <c r="J771" s="19"/>
      <c r="K771" s="20"/>
      <c r="L771" s="20"/>
      <c r="M771" s="19"/>
      <c r="N771" s="19"/>
      <c r="O771" s="20"/>
      <c r="P771" s="20"/>
      <c r="Q771" s="19"/>
      <c r="R771" s="22" t="str">
        <f aca="false">IF(A771="","",N(G771)+N(I771))</f>
        <v/>
      </c>
      <c r="S771" s="23" t="str">
        <f aca="false">IF(OR(K771="",O771=""),"",O771-K771)</f>
        <v/>
      </c>
      <c r="T771" s="23" t="str">
        <f aca="true">IF(AND(C771="Cetak",L771&lt;&gt;"",L771&lt;TODAY()),"YA","")</f>
        <v/>
      </c>
      <c r="U771" s="23" t="str">
        <f aca="false">IF(B771="","",TEXT(B771,"yyyy-mm"))</f>
        <v/>
      </c>
      <c r="V771" s="23" t="str">
        <f aca="false">IF(K771="","",TEXT(K771,"yyyy-mm"))</f>
        <v/>
      </c>
      <c r="W771" s="23" t="n">
        <f aca="false">IF(OR(C771="Cetak",C771="Dikirim",C771="Selesai"),1,0)</f>
        <v>0</v>
      </c>
      <c r="X771" s="23" t="str">
        <f aca="false">IF(F771="","",SUBSTITUTE(SUBSTITUTE(MID(UPPER(TRIM(F771)),4,99),"-LED",""),"-TK",""))</f>
        <v/>
      </c>
      <c r="Y771" s="23" t="str">
        <f aca="false">IF(X771="","",(LEN(X771)+1)/7)</f>
        <v/>
      </c>
      <c r="Z771" s="23" t="str">
        <f aca="false">IF(X771="","",LEFT(X771,6))</f>
        <v/>
      </c>
      <c r="AA771" s="23" t="str">
        <f aca="false">IF(X771="","",IF(Y771&gt;=3,MID(X771,8,6),""))</f>
        <v/>
      </c>
      <c r="AB771" s="23" t="str">
        <f aca="false">IF(X771="","",IF(Y771&gt;=4,MID(X771,15,6),""))</f>
        <v/>
      </c>
      <c r="AC771" s="23" t="str">
        <f aca="false">IF(X771="","",IF(Y771&gt;=5,MID(X771,22,6),""))</f>
        <v/>
      </c>
      <c r="AD771" s="23" t="str">
        <f aca="false">IF(X771="","",RIGHT(X771,6))</f>
        <v/>
      </c>
      <c r="AE771" s="23" t="str">
        <f aca="false">IF(F771="","",IF(ISNUMBER(SEARCH("-TK",UPPER(F771))),0,1))</f>
        <v/>
      </c>
      <c r="AF771" s="23" t="str">
        <f aca="false">IF(F771="","",IF(ISNUMBER(SEARCH("-LED",UPPER(F771))),1,0))</f>
        <v/>
      </c>
      <c r="AG771" s="24" t="n">
        <f aca="false">IF(Z771="",0,IFERROR(INDEX(Resep!$C$5:$C$7,MATCH(LEFT(Z771,3),Resep!$B$5:$B$7,0)),0))</f>
        <v>0</v>
      </c>
      <c r="AH771" s="24" t="n">
        <f aca="false">IF(AA771="",0,IFERROR(INDEX(Resep!$C$9:$C$13,MATCH(LEFT(AA771,3),Resep!$B$9:$B$13,0)),0))</f>
        <v>0</v>
      </c>
      <c r="AI771" s="24" t="n">
        <f aca="false">IF(AB771="",0,IFERROR(INDEX(Resep!$C$9:$C$13,MATCH(LEFT(AB771,3),Resep!$B$9:$B$13,0)),0))</f>
        <v>0</v>
      </c>
      <c r="AJ771" s="24" t="n">
        <f aca="false">IF(AC771="",0,IFERROR(INDEX(Resep!$C$9:$C$13,MATCH(LEFT(AC771,3),Resep!$B$9:$B$13,0)),0))</f>
        <v>0</v>
      </c>
      <c r="AK771" s="24" t="n">
        <f aca="false">IF(AD771="",0,IFERROR(INDEX(Resep!$C$15:$C$18,MATCH(LEFT(AD771,3),Resep!$B$15:$B$18,0)),0))</f>
        <v>0</v>
      </c>
      <c r="AL771" s="24" t="str">
        <f aca="false">IF(X771="","",AG771+AH771+AI771+AJ771+AK771)</f>
        <v/>
      </c>
      <c r="AM771" s="22" t="str">
        <f aca="false">IF(X771="","",AL771*(Pengaturan!$B$6+Pengaturan!$B$7)+Pengaturan!$B$8+AE771*Pengaturan!$B$9+AF771*Pengaturan!$B$10)</f>
        <v/>
      </c>
      <c r="AN771" s="22" t="str">
        <f aca="false">IF(X771="","",N(G771)-AM771)</f>
        <v/>
      </c>
      <c r="AO771" s="25" t="str">
        <f aca="false">IF(OR(X771="",N(G771)=0),"",AN771/G771)</f>
        <v/>
      </c>
    </row>
    <row r="772" customFormat="false" ht="15" hidden="false" customHeight="false" outlineLevel="0" collapsed="false">
      <c r="A772" s="19"/>
      <c r="B772" s="20"/>
      <c r="C772" s="19"/>
      <c r="D772" s="19"/>
      <c r="E772" s="19"/>
      <c r="F772" s="19"/>
      <c r="G772" s="21"/>
      <c r="H772" s="19"/>
      <c r="I772" s="21"/>
      <c r="J772" s="19"/>
      <c r="K772" s="20"/>
      <c r="L772" s="20"/>
      <c r="M772" s="19"/>
      <c r="N772" s="19"/>
      <c r="O772" s="20"/>
      <c r="P772" s="20"/>
      <c r="Q772" s="19"/>
      <c r="R772" s="22" t="str">
        <f aca="false">IF(A772="","",N(G772)+N(I772))</f>
        <v/>
      </c>
      <c r="S772" s="23" t="str">
        <f aca="false">IF(OR(K772="",O772=""),"",O772-K772)</f>
        <v/>
      </c>
      <c r="T772" s="23" t="str">
        <f aca="true">IF(AND(C772="Cetak",L772&lt;&gt;"",L772&lt;TODAY()),"YA","")</f>
        <v/>
      </c>
      <c r="U772" s="23" t="str">
        <f aca="false">IF(B772="","",TEXT(B772,"yyyy-mm"))</f>
        <v/>
      </c>
      <c r="V772" s="23" t="str">
        <f aca="false">IF(K772="","",TEXT(K772,"yyyy-mm"))</f>
        <v/>
      </c>
      <c r="W772" s="23" t="n">
        <f aca="false">IF(OR(C772="Cetak",C772="Dikirim",C772="Selesai"),1,0)</f>
        <v>0</v>
      </c>
      <c r="X772" s="23" t="str">
        <f aca="false">IF(F772="","",SUBSTITUTE(SUBSTITUTE(MID(UPPER(TRIM(F772)),4,99),"-LED",""),"-TK",""))</f>
        <v/>
      </c>
      <c r="Y772" s="23" t="str">
        <f aca="false">IF(X772="","",(LEN(X772)+1)/7)</f>
        <v/>
      </c>
      <c r="Z772" s="23" t="str">
        <f aca="false">IF(X772="","",LEFT(X772,6))</f>
        <v/>
      </c>
      <c r="AA772" s="23" t="str">
        <f aca="false">IF(X772="","",IF(Y772&gt;=3,MID(X772,8,6),""))</f>
        <v/>
      </c>
      <c r="AB772" s="23" t="str">
        <f aca="false">IF(X772="","",IF(Y772&gt;=4,MID(X772,15,6),""))</f>
        <v/>
      </c>
      <c r="AC772" s="23" t="str">
        <f aca="false">IF(X772="","",IF(Y772&gt;=5,MID(X772,22,6),""))</f>
        <v/>
      </c>
      <c r="AD772" s="23" t="str">
        <f aca="false">IF(X772="","",RIGHT(X772,6))</f>
        <v/>
      </c>
      <c r="AE772" s="23" t="str">
        <f aca="false">IF(F772="","",IF(ISNUMBER(SEARCH("-TK",UPPER(F772))),0,1))</f>
        <v/>
      </c>
      <c r="AF772" s="23" t="str">
        <f aca="false">IF(F772="","",IF(ISNUMBER(SEARCH("-LED",UPPER(F772))),1,0))</f>
        <v/>
      </c>
      <c r="AG772" s="24" t="n">
        <f aca="false">IF(Z772="",0,IFERROR(INDEX(Resep!$C$5:$C$7,MATCH(LEFT(Z772,3),Resep!$B$5:$B$7,0)),0))</f>
        <v>0</v>
      </c>
      <c r="AH772" s="24" t="n">
        <f aca="false">IF(AA772="",0,IFERROR(INDEX(Resep!$C$9:$C$13,MATCH(LEFT(AA772,3),Resep!$B$9:$B$13,0)),0))</f>
        <v>0</v>
      </c>
      <c r="AI772" s="24" t="n">
        <f aca="false">IF(AB772="",0,IFERROR(INDEX(Resep!$C$9:$C$13,MATCH(LEFT(AB772,3),Resep!$B$9:$B$13,0)),0))</f>
        <v>0</v>
      </c>
      <c r="AJ772" s="24" t="n">
        <f aca="false">IF(AC772="",0,IFERROR(INDEX(Resep!$C$9:$C$13,MATCH(LEFT(AC772,3),Resep!$B$9:$B$13,0)),0))</f>
        <v>0</v>
      </c>
      <c r="AK772" s="24" t="n">
        <f aca="false">IF(AD772="",0,IFERROR(INDEX(Resep!$C$15:$C$18,MATCH(LEFT(AD772,3),Resep!$B$15:$B$18,0)),0))</f>
        <v>0</v>
      </c>
      <c r="AL772" s="24" t="str">
        <f aca="false">IF(X772="","",AG772+AH772+AI772+AJ772+AK772)</f>
        <v/>
      </c>
      <c r="AM772" s="22" t="str">
        <f aca="false">IF(X772="","",AL772*(Pengaturan!$B$6+Pengaturan!$B$7)+Pengaturan!$B$8+AE772*Pengaturan!$B$9+AF772*Pengaturan!$B$10)</f>
        <v/>
      </c>
      <c r="AN772" s="22" t="str">
        <f aca="false">IF(X772="","",N(G772)-AM772)</f>
        <v/>
      </c>
      <c r="AO772" s="25" t="str">
        <f aca="false">IF(OR(X772="",N(G772)=0),"",AN772/G772)</f>
        <v/>
      </c>
    </row>
    <row r="773" customFormat="false" ht="15" hidden="false" customHeight="false" outlineLevel="0" collapsed="false">
      <c r="A773" s="19"/>
      <c r="B773" s="20"/>
      <c r="C773" s="19"/>
      <c r="D773" s="19"/>
      <c r="E773" s="19"/>
      <c r="F773" s="19"/>
      <c r="G773" s="21"/>
      <c r="H773" s="19"/>
      <c r="I773" s="21"/>
      <c r="J773" s="19"/>
      <c r="K773" s="20"/>
      <c r="L773" s="20"/>
      <c r="M773" s="19"/>
      <c r="N773" s="19"/>
      <c r="O773" s="20"/>
      <c r="P773" s="20"/>
      <c r="Q773" s="19"/>
      <c r="R773" s="22" t="str">
        <f aca="false">IF(A773="","",N(G773)+N(I773))</f>
        <v/>
      </c>
      <c r="S773" s="23" t="str">
        <f aca="false">IF(OR(K773="",O773=""),"",O773-K773)</f>
        <v/>
      </c>
      <c r="T773" s="23" t="str">
        <f aca="true">IF(AND(C773="Cetak",L773&lt;&gt;"",L773&lt;TODAY()),"YA","")</f>
        <v/>
      </c>
      <c r="U773" s="23" t="str">
        <f aca="false">IF(B773="","",TEXT(B773,"yyyy-mm"))</f>
        <v/>
      </c>
      <c r="V773" s="23" t="str">
        <f aca="false">IF(K773="","",TEXT(K773,"yyyy-mm"))</f>
        <v/>
      </c>
      <c r="W773" s="23" t="n">
        <f aca="false">IF(OR(C773="Cetak",C773="Dikirim",C773="Selesai"),1,0)</f>
        <v>0</v>
      </c>
      <c r="X773" s="23" t="str">
        <f aca="false">IF(F773="","",SUBSTITUTE(SUBSTITUTE(MID(UPPER(TRIM(F773)),4,99),"-LED",""),"-TK",""))</f>
        <v/>
      </c>
      <c r="Y773" s="23" t="str">
        <f aca="false">IF(X773="","",(LEN(X773)+1)/7)</f>
        <v/>
      </c>
      <c r="Z773" s="23" t="str">
        <f aca="false">IF(X773="","",LEFT(X773,6))</f>
        <v/>
      </c>
      <c r="AA773" s="23" t="str">
        <f aca="false">IF(X773="","",IF(Y773&gt;=3,MID(X773,8,6),""))</f>
        <v/>
      </c>
      <c r="AB773" s="23" t="str">
        <f aca="false">IF(X773="","",IF(Y773&gt;=4,MID(X773,15,6),""))</f>
        <v/>
      </c>
      <c r="AC773" s="23" t="str">
        <f aca="false">IF(X773="","",IF(Y773&gt;=5,MID(X773,22,6),""))</f>
        <v/>
      </c>
      <c r="AD773" s="23" t="str">
        <f aca="false">IF(X773="","",RIGHT(X773,6))</f>
        <v/>
      </c>
      <c r="AE773" s="23" t="str">
        <f aca="false">IF(F773="","",IF(ISNUMBER(SEARCH("-TK",UPPER(F773))),0,1))</f>
        <v/>
      </c>
      <c r="AF773" s="23" t="str">
        <f aca="false">IF(F773="","",IF(ISNUMBER(SEARCH("-LED",UPPER(F773))),1,0))</f>
        <v/>
      </c>
      <c r="AG773" s="24" t="n">
        <f aca="false">IF(Z773="",0,IFERROR(INDEX(Resep!$C$5:$C$7,MATCH(LEFT(Z773,3),Resep!$B$5:$B$7,0)),0))</f>
        <v>0</v>
      </c>
      <c r="AH773" s="24" t="n">
        <f aca="false">IF(AA773="",0,IFERROR(INDEX(Resep!$C$9:$C$13,MATCH(LEFT(AA773,3),Resep!$B$9:$B$13,0)),0))</f>
        <v>0</v>
      </c>
      <c r="AI773" s="24" t="n">
        <f aca="false">IF(AB773="",0,IFERROR(INDEX(Resep!$C$9:$C$13,MATCH(LEFT(AB773,3),Resep!$B$9:$B$13,0)),0))</f>
        <v>0</v>
      </c>
      <c r="AJ773" s="24" t="n">
        <f aca="false">IF(AC773="",0,IFERROR(INDEX(Resep!$C$9:$C$13,MATCH(LEFT(AC773,3),Resep!$B$9:$B$13,0)),0))</f>
        <v>0</v>
      </c>
      <c r="AK773" s="24" t="n">
        <f aca="false">IF(AD773="",0,IFERROR(INDEX(Resep!$C$15:$C$18,MATCH(LEFT(AD773,3),Resep!$B$15:$B$18,0)),0))</f>
        <v>0</v>
      </c>
      <c r="AL773" s="24" t="str">
        <f aca="false">IF(X773="","",AG773+AH773+AI773+AJ773+AK773)</f>
        <v/>
      </c>
      <c r="AM773" s="22" t="str">
        <f aca="false">IF(X773="","",AL773*(Pengaturan!$B$6+Pengaturan!$B$7)+Pengaturan!$B$8+AE773*Pengaturan!$B$9+AF773*Pengaturan!$B$10)</f>
        <v/>
      </c>
      <c r="AN773" s="22" t="str">
        <f aca="false">IF(X773="","",N(G773)-AM773)</f>
        <v/>
      </c>
      <c r="AO773" s="25" t="str">
        <f aca="false">IF(OR(X773="",N(G773)=0),"",AN773/G773)</f>
        <v/>
      </c>
    </row>
    <row r="774" customFormat="false" ht="15" hidden="false" customHeight="false" outlineLevel="0" collapsed="false">
      <c r="A774" s="19"/>
      <c r="B774" s="20"/>
      <c r="C774" s="19"/>
      <c r="D774" s="19"/>
      <c r="E774" s="19"/>
      <c r="F774" s="19"/>
      <c r="G774" s="21"/>
      <c r="H774" s="19"/>
      <c r="I774" s="21"/>
      <c r="J774" s="19"/>
      <c r="K774" s="20"/>
      <c r="L774" s="20"/>
      <c r="M774" s="19"/>
      <c r="N774" s="19"/>
      <c r="O774" s="20"/>
      <c r="P774" s="20"/>
      <c r="Q774" s="19"/>
      <c r="R774" s="22" t="str">
        <f aca="false">IF(A774="","",N(G774)+N(I774))</f>
        <v/>
      </c>
      <c r="S774" s="23" t="str">
        <f aca="false">IF(OR(K774="",O774=""),"",O774-K774)</f>
        <v/>
      </c>
      <c r="T774" s="23" t="str">
        <f aca="true">IF(AND(C774="Cetak",L774&lt;&gt;"",L774&lt;TODAY()),"YA","")</f>
        <v/>
      </c>
      <c r="U774" s="23" t="str">
        <f aca="false">IF(B774="","",TEXT(B774,"yyyy-mm"))</f>
        <v/>
      </c>
      <c r="V774" s="23" t="str">
        <f aca="false">IF(K774="","",TEXT(K774,"yyyy-mm"))</f>
        <v/>
      </c>
      <c r="W774" s="23" t="n">
        <f aca="false">IF(OR(C774="Cetak",C774="Dikirim",C774="Selesai"),1,0)</f>
        <v>0</v>
      </c>
      <c r="X774" s="23" t="str">
        <f aca="false">IF(F774="","",SUBSTITUTE(SUBSTITUTE(MID(UPPER(TRIM(F774)),4,99),"-LED",""),"-TK",""))</f>
        <v/>
      </c>
      <c r="Y774" s="23" t="str">
        <f aca="false">IF(X774="","",(LEN(X774)+1)/7)</f>
        <v/>
      </c>
      <c r="Z774" s="23" t="str">
        <f aca="false">IF(X774="","",LEFT(X774,6))</f>
        <v/>
      </c>
      <c r="AA774" s="23" t="str">
        <f aca="false">IF(X774="","",IF(Y774&gt;=3,MID(X774,8,6),""))</f>
        <v/>
      </c>
      <c r="AB774" s="23" t="str">
        <f aca="false">IF(X774="","",IF(Y774&gt;=4,MID(X774,15,6),""))</f>
        <v/>
      </c>
      <c r="AC774" s="23" t="str">
        <f aca="false">IF(X774="","",IF(Y774&gt;=5,MID(X774,22,6),""))</f>
        <v/>
      </c>
      <c r="AD774" s="23" t="str">
        <f aca="false">IF(X774="","",RIGHT(X774,6))</f>
        <v/>
      </c>
      <c r="AE774" s="23" t="str">
        <f aca="false">IF(F774="","",IF(ISNUMBER(SEARCH("-TK",UPPER(F774))),0,1))</f>
        <v/>
      </c>
      <c r="AF774" s="23" t="str">
        <f aca="false">IF(F774="","",IF(ISNUMBER(SEARCH("-LED",UPPER(F774))),1,0))</f>
        <v/>
      </c>
      <c r="AG774" s="24" t="n">
        <f aca="false">IF(Z774="",0,IFERROR(INDEX(Resep!$C$5:$C$7,MATCH(LEFT(Z774,3),Resep!$B$5:$B$7,0)),0))</f>
        <v>0</v>
      </c>
      <c r="AH774" s="24" t="n">
        <f aca="false">IF(AA774="",0,IFERROR(INDEX(Resep!$C$9:$C$13,MATCH(LEFT(AA774,3),Resep!$B$9:$B$13,0)),0))</f>
        <v>0</v>
      </c>
      <c r="AI774" s="24" t="n">
        <f aca="false">IF(AB774="",0,IFERROR(INDEX(Resep!$C$9:$C$13,MATCH(LEFT(AB774,3),Resep!$B$9:$B$13,0)),0))</f>
        <v>0</v>
      </c>
      <c r="AJ774" s="24" t="n">
        <f aca="false">IF(AC774="",0,IFERROR(INDEX(Resep!$C$9:$C$13,MATCH(LEFT(AC774,3),Resep!$B$9:$B$13,0)),0))</f>
        <v>0</v>
      </c>
      <c r="AK774" s="24" t="n">
        <f aca="false">IF(AD774="",0,IFERROR(INDEX(Resep!$C$15:$C$18,MATCH(LEFT(AD774,3),Resep!$B$15:$B$18,0)),0))</f>
        <v>0</v>
      </c>
      <c r="AL774" s="24" t="str">
        <f aca="false">IF(X774="","",AG774+AH774+AI774+AJ774+AK774)</f>
        <v/>
      </c>
      <c r="AM774" s="22" t="str">
        <f aca="false">IF(X774="","",AL774*(Pengaturan!$B$6+Pengaturan!$B$7)+Pengaturan!$B$8+AE774*Pengaturan!$B$9+AF774*Pengaturan!$B$10)</f>
        <v/>
      </c>
      <c r="AN774" s="22" t="str">
        <f aca="false">IF(X774="","",N(G774)-AM774)</f>
        <v/>
      </c>
      <c r="AO774" s="25" t="str">
        <f aca="false">IF(OR(X774="",N(G774)=0),"",AN774/G774)</f>
        <v/>
      </c>
    </row>
    <row r="775" customFormat="false" ht="15" hidden="false" customHeight="false" outlineLevel="0" collapsed="false">
      <c r="A775" s="19"/>
      <c r="B775" s="20"/>
      <c r="C775" s="19"/>
      <c r="D775" s="19"/>
      <c r="E775" s="19"/>
      <c r="F775" s="19"/>
      <c r="G775" s="21"/>
      <c r="H775" s="19"/>
      <c r="I775" s="21"/>
      <c r="J775" s="19"/>
      <c r="K775" s="20"/>
      <c r="L775" s="20"/>
      <c r="M775" s="19"/>
      <c r="N775" s="19"/>
      <c r="O775" s="20"/>
      <c r="P775" s="20"/>
      <c r="Q775" s="19"/>
      <c r="R775" s="22" t="str">
        <f aca="false">IF(A775="","",N(G775)+N(I775))</f>
        <v/>
      </c>
      <c r="S775" s="23" t="str">
        <f aca="false">IF(OR(K775="",O775=""),"",O775-K775)</f>
        <v/>
      </c>
      <c r="T775" s="23" t="str">
        <f aca="true">IF(AND(C775="Cetak",L775&lt;&gt;"",L775&lt;TODAY()),"YA","")</f>
        <v/>
      </c>
      <c r="U775" s="23" t="str">
        <f aca="false">IF(B775="","",TEXT(B775,"yyyy-mm"))</f>
        <v/>
      </c>
      <c r="V775" s="23" t="str">
        <f aca="false">IF(K775="","",TEXT(K775,"yyyy-mm"))</f>
        <v/>
      </c>
      <c r="W775" s="23" t="n">
        <f aca="false">IF(OR(C775="Cetak",C775="Dikirim",C775="Selesai"),1,0)</f>
        <v>0</v>
      </c>
      <c r="X775" s="23" t="str">
        <f aca="false">IF(F775="","",SUBSTITUTE(SUBSTITUTE(MID(UPPER(TRIM(F775)),4,99),"-LED",""),"-TK",""))</f>
        <v/>
      </c>
      <c r="Y775" s="23" t="str">
        <f aca="false">IF(X775="","",(LEN(X775)+1)/7)</f>
        <v/>
      </c>
      <c r="Z775" s="23" t="str">
        <f aca="false">IF(X775="","",LEFT(X775,6))</f>
        <v/>
      </c>
      <c r="AA775" s="23" t="str">
        <f aca="false">IF(X775="","",IF(Y775&gt;=3,MID(X775,8,6),""))</f>
        <v/>
      </c>
      <c r="AB775" s="23" t="str">
        <f aca="false">IF(X775="","",IF(Y775&gt;=4,MID(X775,15,6),""))</f>
        <v/>
      </c>
      <c r="AC775" s="23" t="str">
        <f aca="false">IF(X775="","",IF(Y775&gt;=5,MID(X775,22,6),""))</f>
        <v/>
      </c>
      <c r="AD775" s="23" t="str">
        <f aca="false">IF(X775="","",RIGHT(X775,6))</f>
        <v/>
      </c>
      <c r="AE775" s="23" t="str">
        <f aca="false">IF(F775="","",IF(ISNUMBER(SEARCH("-TK",UPPER(F775))),0,1))</f>
        <v/>
      </c>
      <c r="AF775" s="23" t="str">
        <f aca="false">IF(F775="","",IF(ISNUMBER(SEARCH("-LED",UPPER(F775))),1,0))</f>
        <v/>
      </c>
      <c r="AG775" s="24" t="n">
        <f aca="false">IF(Z775="",0,IFERROR(INDEX(Resep!$C$5:$C$7,MATCH(LEFT(Z775,3),Resep!$B$5:$B$7,0)),0))</f>
        <v>0</v>
      </c>
      <c r="AH775" s="24" t="n">
        <f aca="false">IF(AA775="",0,IFERROR(INDEX(Resep!$C$9:$C$13,MATCH(LEFT(AA775,3),Resep!$B$9:$B$13,0)),0))</f>
        <v>0</v>
      </c>
      <c r="AI775" s="24" t="n">
        <f aca="false">IF(AB775="",0,IFERROR(INDEX(Resep!$C$9:$C$13,MATCH(LEFT(AB775,3),Resep!$B$9:$B$13,0)),0))</f>
        <v>0</v>
      </c>
      <c r="AJ775" s="24" t="n">
        <f aca="false">IF(AC775="",0,IFERROR(INDEX(Resep!$C$9:$C$13,MATCH(LEFT(AC775,3),Resep!$B$9:$B$13,0)),0))</f>
        <v>0</v>
      </c>
      <c r="AK775" s="24" t="n">
        <f aca="false">IF(AD775="",0,IFERROR(INDEX(Resep!$C$15:$C$18,MATCH(LEFT(AD775,3),Resep!$B$15:$B$18,0)),0))</f>
        <v>0</v>
      </c>
      <c r="AL775" s="24" t="str">
        <f aca="false">IF(X775="","",AG775+AH775+AI775+AJ775+AK775)</f>
        <v/>
      </c>
      <c r="AM775" s="22" t="str">
        <f aca="false">IF(X775="","",AL775*(Pengaturan!$B$6+Pengaturan!$B$7)+Pengaturan!$B$8+AE775*Pengaturan!$B$9+AF775*Pengaturan!$B$10)</f>
        <v/>
      </c>
      <c r="AN775" s="22" t="str">
        <f aca="false">IF(X775="","",N(G775)-AM775)</f>
        <v/>
      </c>
      <c r="AO775" s="25" t="str">
        <f aca="false">IF(OR(X775="",N(G775)=0),"",AN775/G775)</f>
        <v/>
      </c>
    </row>
    <row r="776" customFormat="false" ht="15" hidden="false" customHeight="false" outlineLevel="0" collapsed="false">
      <c r="A776" s="19"/>
      <c r="B776" s="20"/>
      <c r="C776" s="19"/>
      <c r="D776" s="19"/>
      <c r="E776" s="19"/>
      <c r="F776" s="19"/>
      <c r="G776" s="21"/>
      <c r="H776" s="19"/>
      <c r="I776" s="21"/>
      <c r="J776" s="19"/>
      <c r="K776" s="20"/>
      <c r="L776" s="20"/>
      <c r="M776" s="19"/>
      <c r="N776" s="19"/>
      <c r="O776" s="20"/>
      <c r="P776" s="20"/>
      <c r="Q776" s="19"/>
      <c r="R776" s="22" t="str">
        <f aca="false">IF(A776="","",N(G776)+N(I776))</f>
        <v/>
      </c>
      <c r="S776" s="23" t="str">
        <f aca="false">IF(OR(K776="",O776=""),"",O776-K776)</f>
        <v/>
      </c>
      <c r="T776" s="23" t="str">
        <f aca="true">IF(AND(C776="Cetak",L776&lt;&gt;"",L776&lt;TODAY()),"YA","")</f>
        <v/>
      </c>
      <c r="U776" s="23" t="str">
        <f aca="false">IF(B776="","",TEXT(B776,"yyyy-mm"))</f>
        <v/>
      </c>
      <c r="V776" s="23" t="str">
        <f aca="false">IF(K776="","",TEXT(K776,"yyyy-mm"))</f>
        <v/>
      </c>
      <c r="W776" s="23" t="n">
        <f aca="false">IF(OR(C776="Cetak",C776="Dikirim",C776="Selesai"),1,0)</f>
        <v>0</v>
      </c>
      <c r="X776" s="23" t="str">
        <f aca="false">IF(F776="","",SUBSTITUTE(SUBSTITUTE(MID(UPPER(TRIM(F776)),4,99),"-LED",""),"-TK",""))</f>
        <v/>
      </c>
      <c r="Y776" s="23" t="str">
        <f aca="false">IF(X776="","",(LEN(X776)+1)/7)</f>
        <v/>
      </c>
      <c r="Z776" s="23" t="str">
        <f aca="false">IF(X776="","",LEFT(X776,6))</f>
        <v/>
      </c>
      <c r="AA776" s="23" t="str">
        <f aca="false">IF(X776="","",IF(Y776&gt;=3,MID(X776,8,6),""))</f>
        <v/>
      </c>
      <c r="AB776" s="23" t="str">
        <f aca="false">IF(X776="","",IF(Y776&gt;=4,MID(X776,15,6),""))</f>
        <v/>
      </c>
      <c r="AC776" s="23" t="str">
        <f aca="false">IF(X776="","",IF(Y776&gt;=5,MID(X776,22,6),""))</f>
        <v/>
      </c>
      <c r="AD776" s="23" t="str">
        <f aca="false">IF(X776="","",RIGHT(X776,6))</f>
        <v/>
      </c>
      <c r="AE776" s="23" t="str">
        <f aca="false">IF(F776="","",IF(ISNUMBER(SEARCH("-TK",UPPER(F776))),0,1))</f>
        <v/>
      </c>
      <c r="AF776" s="23" t="str">
        <f aca="false">IF(F776="","",IF(ISNUMBER(SEARCH("-LED",UPPER(F776))),1,0))</f>
        <v/>
      </c>
      <c r="AG776" s="24" t="n">
        <f aca="false">IF(Z776="",0,IFERROR(INDEX(Resep!$C$5:$C$7,MATCH(LEFT(Z776,3),Resep!$B$5:$B$7,0)),0))</f>
        <v>0</v>
      </c>
      <c r="AH776" s="24" t="n">
        <f aca="false">IF(AA776="",0,IFERROR(INDEX(Resep!$C$9:$C$13,MATCH(LEFT(AA776,3),Resep!$B$9:$B$13,0)),0))</f>
        <v>0</v>
      </c>
      <c r="AI776" s="24" t="n">
        <f aca="false">IF(AB776="",0,IFERROR(INDEX(Resep!$C$9:$C$13,MATCH(LEFT(AB776,3),Resep!$B$9:$B$13,0)),0))</f>
        <v>0</v>
      </c>
      <c r="AJ776" s="24" t="n">
        <f aca="false">IF(AC776="",0,IFERROR(INDEX(Resep!$C$9:$C$13,MATCH(LEFT(AC776,3),Resep!$B$9:$B$13,0)),0))</f>
        <v>0</v>
      </c>
      <c r="AK776" s="24" t="n">
        <f aca="false">IF(AD776="",0,IFERROR(INDEX(Resep!$C$15:$C$18,MATCH(LEFT(AD776,3),Resep!$B$15:$B$18,0)),0))</f>
        <v>0</v>
      </c>
      <c r="AL776" s="24" t="str">
        <f aca="false">IF(X776="","",AG776+AH776+AI776+AJ776+AK776)</f>
        <v/>
      </c>
      <c r="AM776" s="22" t="str">
        <f aca="false">IF(X776="","",AL776*(Pengaturan!$B$6+Pengaturan!$B$7)+Pengaturan!$B$8+AE776*Pengaturan!$B$9+AF776*Pengaturan!$B$10)</f>
        <v/>
      </c>
      <c r="AN776" s="22" t="str">
        <f aca="false">IF(X776="","",N(G776)-AM776)</f>
        <v/>
      </c>
      <c r="AO776" s="25" t="str">
        <f aca="false">IF(OR(X776="",N(G776)=0),"",AN776/G776)</f>
        <v/>
      </c>
    </row>
    <row r="777" customFormat="false" ht="15" hidden="false" customHeight="false" outlineLevel="0" collapsed="false">
      <c r="A777" s="19"/>
      <c r="B777" s="20"/>
      <c r="C777" s="19"/>
      <c r="D777" s="19"/>
      <c r="E777" s="19"/>
      <c r="F777" s="19"/>
      <c r="G777" s="21"/>
      <c r="H777" s="19"/>
      <c r="I777" s="21"/>
      <c r="J777" s="19"/>
      <c r="K777" s="20"/>
      <c r="L777" s="20"/>
      <c r="M777" s="19"/>
      <c r="N777" s="19"/>
      <c r="O777" s="20"/>
      <c r="P777" s="20"/>
      <c r="Q777" s="19"/>
      <c r="R777" s="22" t="str">
        <f aca="false">IF(A777="","",N(G777)+N(I777))</f>
        <v/>
      </c>
      <c r="S777" s="23" t="str">
        <f aca="false">IF(OR(K777="",O777=""),"",O777-K777)</f>
        <v/>
      </c>
      <c r="T777" s="23" t="str">
        <f aca="true">IF(AND(C777="Cetak",L777&lt;&gt;"",L777&lt;TODAY()),"YA","")</f>
        <v/>
      </c>
      <c r="U777" s="23" t="str">
        <f aca="false">IF(B777="","",TEXT(B777,"yyyy-mm"))</f>
        <v/>
      </c>
      <c r="V777" s="23" t="str">
        <f aca="false">IF(K777="","",TEXT(K777,"yyyy-mm"))</f>
        <v/>
      </c>
      <c r="W777" s="23" t="n">
        <f aca="false">IF(OR(C777="Cetak",C777="Dikirim",C777="Selesai"),1,0)</f>
        <v>0</v>
      </c>
      <c r="X777" s="23" t="str">
        <f aca="false">IF(F777="","",SUBSTITUTE(SUBSTITUTE(MID(UPPER(TRIM(F777)),4,99),"-LED",""),"-TK",""))</f>
        <v/>
      </c>
      <c r="Y777" s="23" t="str">
        <f aca="false">IF(X777="","",(LEN(X777)+1)/7)</f>
        <v/>
      </c>
      <c r="Z777" s="23" t="str">
        <f aca="false">IF(X777="","",LEFT(X777,6))</f>
        <v/>
      </c>
      <c r="AA777" s="23" t="str">
        <f aca="false">IF(X777="","",IF(Y777&gt;=3,MID(X777,8,6),""))</f>
        <v/>
      </c>
      <c r="AB777" s="23" t="str">
        <f aca="false">IF(X777="","",IF(Y777&gt;=4,MID(X777,15,6),""))</f>
        <v/>
      </c>
      <c r="AC777" s="23" t="str">
        <f aca="false">IF(X777="","",IF(Y777&gt;=5,MID(X777,22,6),""))</f>
        <v/>
      </c>
      <c r="AD777" s="23" t="str">
        <f aca="false">IF(X777="","",RIGHT(X777,6))</f>
        <v/>
      </c>
      <c r="AE777" s="23" t="str">
        <f aca="false">IF(F777="","",IF(ISNUMBER(SEARCH("-TK",UPPER(F777))),0,1))</f>
        <v/>
      </c>
      <c r="AF777" s="23" t="str">
        <f aca="false">IF(F777="","",IF(ISNUMBER(SEARCH("-LED",UPPER(F777))),1,0))</f>
        <v/>
      </c>
      <c r="AG777" s="24" t="n">
        <f aca="false">IF(Z777="",0,IFERROR(INDEX(Resep!$C$5:$C$7,MATCH(LEFT(Z777,3),Resep!$B$5:$B$7,0)),0))</f>
        <v>0</v>
      </c>
      <c r="AH777" s="24" t="n">
        <f aca="false">IF(AA777="",0,IFERROR(INDEX(Resep!$C$9:$C$13,MATCH(LEFT(AA777,3),Resep!$B$9:$B$13,0)),0))</f>
        <v>0</v>
      </c>
      <c r="AI777" s="24" t="n">
        <f aca="false">IF(AB777="",0,IFERROR(INDEX(Resep!$C$9:$C$13,MATCH(LEFT(AB777,3),Resep!$B$9:$B$13,0)),0))</f>
        <v>0</v>
      </c>
      <c r="AJ777" s="24" t="n">
        <f aca="false">IF(AC777="",0,IFERROR(INDEX(Resep!$C$9:$C$13,MATCH(LEFT(AC777,3),Resep!$B$9:$B$13,0)),0))</f>
        <v>0</v>
      </c>
      <c r="AK777" s="24" t="n">
        <f aca="false">IF(AD777="",0,IFERROR(INDEX(Resep!$C$15:$C$18,MATCH(LEFT(AD777,3),Resep!$B$15:$B$18,0)),0))</f>
        <v>0</v>
      </c>
      <c r="AL777" s="24" t="str">
        <f aca="false">IF(X777="","",AG777+AH777+AI777+AJ777+AK777)</f>
        <v/>
      </c>
      <c r="AM777" s="22" t="str">
        <f aca="false">IF(X777="","",AL777*(Pengaturan!$B$6+Pengaturan!$B$7)+Pengaturan!$B$8+AE777*Pengaturan!$B$9+AF777*Pengaturan!$B$10)</f>
        <v/>
      </c>
      <c r="AN777" s="22" t="str">
        <f aca="false">IF(X777="","",N(G777)-AM777)</f>
        <v/>
      </c>
      <c r="AO777" s="25" t="str">
        <f aca="false">IF(OR(X777="",N(G777)=0),"",AN777/G777)</f>
        <v/>
      </c>
    </row>
    <row r="778" customFormat="false" ht="15" hidden="false" customHeight="false" outlineLevel="0" collapsed="false">
      <c r="A778" s="19"/>
      <c r="B778" s="20"/>
      <c r="C778" s="19"/>
      <c r="D778" s="19"/>
      <c r="E778" s="19"/>
      <c r="F778" s="19"/>
      <c r="G778" s="21"/>
      <c r="H778" s="19"/>
      <c r="I778" s="21"/>
      <c r="J778" s="19"/>
      <c r="K778" s="20"/>
      <c r="L778" s="20"/>
      <c r="M778" s="19"/>
      <c r="N778" s="19"/>
      <c r="O778" s="20"/>
      <c r="P778" s="20"/>
      <c r="Q778" s="19"/>
      <c r="R778" s="22" t="str">
        <f aca="false">IF(A778="","",N(G778)+N(I778))</f>
        <v/>
      </c>
      <c r="S778" s="23" t="str">
        <f aca="false">IF(OR(K778="",O778=""),"",O778-K778)</f>
        <v/>
      </c>
      <c r="T778" s="23" t="str">
        <f aca="true">IF(AND(C778="Cetak",L778&lt;&gt;"",L778&lt;TODAY()),"YA","")</f>
        <v/>
      </c>
      <c r="U778" s="23" t="str">
        <f aca="false">IF(B778="","",TEXT(B778,"yyyy-mm"))</f>
        <v/>
      </c>
      <c r="V778" s="23" t="str">
        <f aca="false">IF(K778="","",TEXT(K778,"yyyy-mm"))</f>
        <v/>
      </c>
      <c r="W778" s="23" t="n">
        <f aca="false">IF(OR(C778="Cetak",C778="Dikirim",C778="Selesai"),1,0)</f>
        <v>0</v>
      </c>
      <c r="X778" s="23" t="str">
        <f aca="false">IF(F778="","",SUBSTITUTE(SUBSTITUTE(MID(UPPER(TRIM(F778)),4,99),"-LED",""),"-TK",""))</f>
        <v/>
      </c>
      <c r="Y778" s="23" t="str">
        <f aca="false">IF(X778="","",(LEN(X778)+1)/7)</f>
        <v/>
      </c>
      <c r="Z778" s="23" t="str">
        <f aca="false">IF(X778="","",LEFT(X778,6))</f>
        <v/>
      </c>
      <c r="AA778" s="23" t="str">
        <f aca="false">IF(X778="","",IF(Y778&gt;=3,MID(X778,8,6),""))</f>
        <v/>
      </c>
      <c r="AB778" s="23" t="str">
        <f aca="false">IF(X778="","",IF(Y778&gt;=4,MID(X778,15,6),""))</f>
        <v/>
      </c>
      <c r="AC778" s="23" t="str">
        <f aca="false">IF(X778="","",IF(Y778&gt;=5,MID(X778,22,6),""))</f>
        <v/>
      </c>
      <c r="AD778" s="23" t="str">
        <f aca="false">IF(X778="","",RIGHT(X778,6))</f>
        <v/>
      </c>
      <c r="AE778" s="23" t="str">
        <f aca="false">IF(F778="","",IF(ISNUMBER(SEARCH("-TK",UPPER(F778))),0,1))</f>
        <v/>
      </c>
      <c r="AF778" s="23" t="str">
        <f aca="false">IF(F778="","",IF(ISNUMBER(SEARCH("-LED",UPPER(F778))),1,0))</f>
        <v/>
      </c>
      <c r="AG778" s="24" t="n">
        <f aca="false">IF(Z778="",0,IFERROR(INDEX(Resep!$C$5:$C$7,MATCH(LEFT(Z778,3),Resep!$B$5:$B$7,0)),0))</f>
        <v>0</v>
      </c>
      <c r="AH778" s="24" t="n">
        <f aca="false">IF(AA778="",0,IFERROR(INDEX(Resep!$C$9:$C$13,MATCH(LEFT(AA778,3),Resep!$B$9:$B$13,0)),0))</f>
        <v>0</v>
      </c>
      <c r="AI778" s="24" t="n">
        <f aca="false">IF(AB778="",0,IFERROR(INDEX(Resep!$C$9:$C$13,MATCH(LEFT(AB778,3),Resep!$B$9:$B$13,0)),0))</f>
        <v>0</v>
      </c>
      <c r="AJ778" s="24" t="n">
        <f aca="false">IF(AC778="",0,IFERROR(INDEX(Resep!$C$9:$C$13,MATCH(LEFT(AC778,3),Resep!$B$9:$B$13,0)),0))</f>
        <v>0</v>
      </c>
      <c r="AK778" s="24" t="n">
        <f aca="false">IF(AD778="",0,IFERROR(INDEX(Resep!$C$15:$C$18,MATCH(LEFT(AD778,3),Resep!$B$15:$B$18,0)),0))</f>
        <v>0</v>
      </c>
      <c r="AL778" s="24" t="str">
        <f aca="false">IF(X778="","",AG778+AH778+AI778+AJ778+AK778)</f>
        <v/>
      </c>
      <c r="AM778" s="22" t="str">
        <f aca="false">IF(X778="","",AL778*(Pengaturan!$B$6+Pengaturan!$B$7)+Pengaturan!$B$8+AE778*Pengaturan!$B$9+AF778*Pengaturan!$B$10)</f>
        <v/>
      </c>
      <c r="AN778" s="22" t="str">
        <f aca="false">IF(X778="","",N(G778)-AM778)</f>
        <v/>
      </c>
      <c r="AO778" s="25" t="str">
        <f aca="false">IF(OR(X778="",N(G778)=0),"",AN778/G778)</f>
        <v/>
      </c>
    </row>
    <row r="779" customFormat="false" ht="15" hidden="false" customHeight="false" outlineLevel="0" collapsed="false">
      <c r="A779" s="19"/>
      <c r="B779" s="20"/>
      <c r="C779" s="19"/>
      <c r="D779" s="19"/>
      <c r="E779" s="19"/>
      <c r="F779" s="19"/>
      <c r="G779" s="21"/>
      <c r="H779" s="19"/>
      <c r="I779" s="21"/>
      <c r="J779" s="19"/>
      <c r="K779" s="20"/>
      <c r="L779" s="20"/>
      <c r="M779" s="19"/>
      <c r="N779" s="19"/>
      <c r="O779" s="20"/>
      <c r="P779" s="20"/>
      <c r="Q779" s="19"/>
      <c r="R779" s="22" t="str">
        <f aca="false">IF(A779="","",N(G779)+N(I779))</f>
        <v/>
      </c>
      <c r="S779" s="23" t="str">
        <f aca="false">IF(OR(K779="",O779=""),"",O779-K779)</f>
        <v/>
      </c>
      <c r="T779" s="23" t="str">
        <f aca="true">IF(AND(C779="Cetak",L779&lt;&gt;"",L779&lt;TODAY()),"YA","")</f>
        <v/>
      </c>
      <c r="U779" s="23" t="str">
        <f aca="false">IF(B779="","",TEXT(B779,"yyyy-mm"))</f>
        <v/>
      </c>
      <c r="V779" s="23" t="str">
        <f aca="false">IF(K779="","",TEXT(K779,"yyyy-mm"))</f>
        <v/>
      </c>
      <c r="W779" s="23" t="n">
        <f aca="false">IF(OR(C779="Cetak",C779="Dikirim",C779="Selesai"),1,0)</f>
        <v>0</v>
      </c>
      <c r="X779" s="23" t="str">
        <f aca="false">IF(F779="","",SUBSTITUTE(SUBSTITUTE(MID(UPPER(TRIM(F779)),4,99),"-LED",""),"-TK",""))</f>
        <v/>
      </c>
      <c r="Y779" s="23" t="str">
        <f aca="false">IF(X779="","",(LEN(X779)+1)/7)</f>
        <v/>
      </c>
      <c r="Z779" s="23" t="str">
        <f aca="false">IF(X779="","",LEFT(X779,6))</f>
        <v/>
      </c>
      <c r="AA779" s="23" t="str">
        <f aca="false">IF(X779="","",IF(Y779&gt;=3,MID(X779,8,6),""))</f>
        <v/>
      </c>
      <c r="AB779" s="23" t="str">
        <f aca="false">IF(X779="","",IF(Y779&gt;=4,MID(X779,15,6),""))</f>
        <v/>
      </c>
      <c r="AC779" s="23" t="str">
        <f aca="false">IF(X779="","",IF(Y779&gt;=5,MID(X779,22,6),""))</f>
        <v/>
      </c>
      <c r="AD779" s="23" t="str">
        <f aca="false">IF(X779="","",RIGHT(X779,6))</f>
        <v/>
      </c>
      <c r="AE779" s="23" t="str">
        <f aca="false">IF(F779="","",IF(ISNUMBER(SEARCH("-TK",UPPER(F779))),0,1))</f>
        <v/>
      </c>
      <c r="AF779" s="23" t="str">
        <f aca="false">IF(F779="","",IF(ISNUMBER(SEARCH("-LED",UPPER(F779))),1,0))</f>
        <v/>
      </c>
      <c r="AG779" s="24" t="n">
        <f aca="false">IF(Z779="",0,IFERROR(INDEX(Resep!$C$5:$C$7,MATCH(LEFT(Z779,3),Resep!$B$5:$B$7,0)),0))</f>
        <v>0</v>
      </c>
      <c r="AH779" s="24" t="n">
        <f aca="false">IF(AA779="",0,IFERROR(INDEX(Resep!$C$9:$C$13,MATCH(LEFT(AA779,3),Resep!$B$9:$B$13,0)),0))</f>
        <v>0</v>
      </c>
      <c r="AI779" s="24" t="n">
        <f aca="false">IF(AB779="",0,IFERROR(INDEX(Resep!$C$9:$C$13,MATCH(LEFT(AB779,3),Resep!$B$9:$B$13,0)),0))</f>
        <v>0</v>
      </c>
      <c r="AJ779" s="24" t="n">
        <f aca="false">IF(AC779="",0,IFERROR(INDEX(Resep!$C$9:$C$13,MATCH(LEFT(AC779,3),Resep!$B$9:$B$13,0)),0))</f>
        <v>0</v>
      </c>
      <c r="AK779" s="24" t="n">
        <f aca="false">IF(AD779="",0,IFERROR(INDEX(Resep!$C$15:$C$18,MATCH(LEFT(AD779,3),Resep!$B$15:$B$18,0)),0))</f>
        <v>0</v>
      </c>
      <c r="AL779" s="24" t="str">
        <f aca="false">IF(X779="","",AG779+AH779+AI779+AJ779+AK779)</f>
        <v/>
      </c>
      <c r="AM779" s="22" t="str">
        <f aca="false">IF(X779="","",AL779*(Pengaturan!$B$6+Pengaturan!$B$7)+Pengaturan!$B$8+AE779*Pengaturan!$B$9+AF779*Pengaturan!$B$10)</f>
        <v/>
      </c>
      <c r="AN779" s="22" t="str">
        <f aca="false">IF(X779="","",N(G779)-AM779)</f>
        <v/>
      </c>
      <c r="AO779" s="25" t="str">
        <f aca="false">IF(OR(X779="",N(G779)=0),"",AN779/G779)</f>
        <v/>
      </c>
    </row>
    <row r="780" customFormat="false" ht="15" hidden="false" customHeight="false" outlineLevel="0" collapsed="false">
      <c r="A780" s="19"/>
      <c r="B780" s="20"/>
      <c r="C780" s="19"/>
      <c r="D780" s="19"/>
      <c r="E780" s="19"/>
      <c r="F780" s="19"/>
      <c r="G780" s="21"/>
      <c r="H780" s="19"/>
      <c r="I780" s="21"/>
      <c r="J780" s="19"/>
      <c r="K780" s="20"/>
      <c r="L780" s="20"/>
      <c r="M780" s="19"/>
      <c r="N780" s="19"/>
      <c r="O780" s="20"/>
      <c r="P780" s="20"/>
      <c r="Q780" s="19"/>
      <c r="R780" s="22" t="str">
        <f aca="false">IF(A780="","",N(G780)+N(I780))</f>
        <v/>
      </c>
      <c r="S780" s="23" t="str">
        <f aca="false">IF(OR(K780="",O780=""),"",O780-K780)</f>
        <v/>
      </c>
      <c r="T780" s="23" t="str">
        <f aca="true">IF(AND(C780="Cetak",L780&lt;&gt;"",L780&lt;TODAY()),"YA","")</f>
        <v/>
      </c>
      <c r="U780" s="23" t="str">
        <f aca="false">IF(B780="","",TEXT(B780,"yyyy-mm"))</f>
        <v/>
      </c>
      <c r="V780" s="23" t="str">
        <f aca="false">IF(K780="","",TEXT(K780,"yyyy-mm"))</f>
        <v/>
      </c>
      <c r="W780" s="23" t="n">
        <f aca="false">IF(OR(C780="Cetak",C780="Dikirim",C780="Selesai"),1,0)</f>
        <v>0</v>
      </c>
      <c r="X780" s="23" t="str">
        <f aca="false">IF(F780="","",SUBSTITUTE(SUBSTITUTE(MID(UPPER(TRIM(F780)),4,99),"-LED",""),"-TK",""))</f>
        <v/>
      </c>
      <c r="Y780" s="23" t="str">
        <f aca="false">IF(X780="","",(LEN(X780)+1)/7)</f>
        <v/>
      </c>
      <c r="Z780" s="23" t="str">
        <f aca="false">IF(X780="","",LEFT(X780,6))</f>
        <v/>
      </c>
      <c r="AA780" s="23" t="str">
        <f aca="false">IF(X780="","",IF(Y780&gt;=3,MID(X780,8,6),""))</f>
        <v/>
      </c>
      <c r="AB780" s="23" t="str">
        <f aca="false">IF(X780="","",IF(Y780&gt;=4,MID(X780,15,6),""))</f>
        <v/>
      </c>
      <c r="AC780" s="23" t="str">
        <f aca="false">IF(X780="","",IF(Y780&gt;=5,MID(X780,22,6),""))</f>
        <v/>
      </c>
      <c r="AD780" s="23" t="str">
        <f aca="false">IF(X780="","",RIGHT(X780,6))</f>
        <v/>
      </c>
      <c r="AE780" s="23" t="str">
        <f aca="false">IF(F780="","",IF(ISNUMBER(SEARCH("-TK",UPPER(F780))),0,1))</f>
        <v/>
      </c>
      <c r="AF780" s="23" t="str">
        <f aca="false">IF(F780="","",IF(ISNUMBER(SEARCH("-LED",UPPER(F780))),1,0))</f>
        <v/>
      </c>
      <c r="AG780" s="24" t="n">
        <f aca="false">IF(Z780="",0,IFERROR(INDEX(Resep!$C$5:$C$7,MATCH(LEFT(Z780,3),Resep!$B$5:$B$7,0)),0))</f>
        <v>0</v>
      </c>
      <c r="AH780" s="24" t="n">
        <f aca="false">IF(AA780="",0,IFERROR(INDEX(Resep!$C$9:$C$13,MATCH(LEFT(AA780,3),Resep!$B$9:$B$13,0)),0))</f>
        <v>0</v>
      </c>
      <c r="AI780" s="24" t="n">
        <f aca="false">IF(AB780="",0,IFERROR(INDEX(Resep!$C$9:$C$13,MATCH(LEFT(AB780,3),Resep!$B$9:$B$13,0)),0))</f>
        <v>0</v>
      </c>
      <c r="AJ780" s="24" t="n">
        <f aca="false">IF(AC780="",0,IFERROR(INDEX(Resep!$C$9:$C$13,MATCH(LEFT(AC780,3),Resep!$B$9:$B$13,0)),0))</f>
        <v>0</v>
      </c>
      <c r="AK780" s="24" t="n">
        <f aca="false">IF(AD780="",0,IFERROR(INDEX(Resep!$C$15:$C$18,MATCH(LEFT(AD780,3),Resep!$B$15:$B$18,0)),0))</f>
        <v>0</v>
      </c>
      <c r="AL780" s="24" t="str">
        <f aca="false">IF(X780="","",AG780+AH780+AI780+AJ780+AK780)</f>
        <v/>
      </c>
      <c r="AM780" s="22" t="str">
        <f aca="false">IF(X780="","",AL780*(Pengaturan!$B$6+Pengaturan!$B$7)+Pengaturan!$B$8+AE780*Pengaturan!$B$9+AF780*Pengaturan!$B$10)</f>
        <v/>
      </c>
      <c r="AN780" s="22" t="str">
        <f aca="false">IF(X780="","",N(G780)-AM780)</f>
        <v/>
      </c>
      <c r="AO780" s="25" t="str">
        <f aca="false">IF(OR(X780="",N(G780)=0),"",AN780/G780)</f>
        <v/>
      </c>
    </row>
    <row r="781" customFormat="false" ht="15" hidden="false" customHeight="false" outlineLevel="0" collapsed="false">
      <c r="A781" s="19"/>
      <c r="B781" s="20"/>
      <c r="C781" s="19"/>
      <c r="D781" s="19"/>
      <c r="E781" s="19"/>
      <c r="F781" s="19"/>
      <c r="G781" s="21"/>
      <c r="H781" s="19"/>
      <c r="I781" s="21"/>
      <c r="J781" s="19"/>
      <c r="K781" s="20"/>
      <c r="L781" s="20"/>
      <c r="M781" s="19"/>
      <c r="N781" s="19"/>
      <c r="O781" s="20"/>
      <c r="P781" s="20"/>
      <c r="Q781" s="19"/>
      <c r="R781" s="22" t="str">
        <f aca="false">IF(A781="","",N(G781)+N(I781))</f>
        <v/>
      </c>
      <c r="S781" s="23" t="str">
        <f aca="false">IF(OR(K781="",O781=""),"",O781-K781)</f>
        <v/>
      </c>
      <c r="T781" s="23" t="str">
        <f aca="true">IF(AND(C781="Cetak",L781&lt;&gt;"",L781&lt;TODAY()),"YA","")</f>
        <v/>
      </c>
      <c r="U781" s="23" t="str">
        <f aca="false">IF(B781="","",TEXT(B781,"yyyy-mm"))</f>
        <v/>
      </c>
      <c r="V781" s="23" t="str">
        <f aca="false">IF(K781="","",TEXT(K781,"yyyy-mm"))</f>
        <v/>
      </c>
      <c r="W781" s="23" t="n">
        <f aca="false">IF(OR(C781="Cetak",C781="Dikirim",C781="Selesai"),1,0)</f>
        <v>0</v>
      </c>
      <c r="X781" s="23" t="str">
        <f aca="false">IF(F781="","",SUBSTITUTE(SUBSTITUTE(MID(UPPER(TRIM(F781)),4,99),"-LED",""),"-TK",""))</f>
        <v/>
      </c>
      <c r="Y781" s="23" t="str">
        <f aca="false">IF(X781="","",(LEN(X781)+1)/7)</f>
        <v/>
      </c>
      <c r="Z781" s="23" t="str">
        <f aca="false">IF(X781="","",LEFT(X781,6))</f>
        <v/>
      </c>
      <c r="AA781" s="23" t="str">
        <f aca="false">IF(X781="","",IF(Y781&gt;=3,MID(X781,8,6),""))</f>
        <v/>
      </c>
      <c r="AB781" s="23" t="str">
        <f aca="false">IF(X781="","",IF(Y781&gt;=4,MID(X781,15,6),""))</f>
        <v/>
      </c>
      <c r="AC781" s="23" t="str">
        <f aca="false">IF(X781="","",IF(Y781&gt;=5,MID(X781,22,6),""))</f>
        <v/>
      </c>
      <c r="AD781" s="23" t="str">
        <f aca="false">IF(X781="","",RIGHT(X781,6))</f>
        <v/>
      </c>
      <c r="AE781" s="23" t="str">
        <f aca="false">IF(F781="","",IF(ISNUMBER(SEARCH("-TK",UPPER(F781))),0,1))</f>
        <v/>
      </c>
      <c r="AF781" s="23" t="str">
        <f aca="false">IF(F781="","",IF(ISNUMBER(SEARCH("-LED",UPPER(F781))),1,0))</f>
        <v/>
      </c>
      <c r="AG781" s="24" t="n">
        <f aca="false">IF(Z781="",0,IFERROR(INDEX(Resep!$C$5:$C$7,MATCH(LEFT(Z781,3),Resep!$B$5:$B$7,0)),0))</f>
        <v>0</v>
      </c>
      <c r="AH781" s="24" t="n">
        <f aca="false">IF(AA781="",0,IFERROR(INDEX(Resep!$C$9:$C$13,MATCH(LEFT(AA781,3),Resep!$B$9:$B$13,0)),0))</f>
        <v>0</v>
      </c>
      <c r="AI781" s="24" t="n">
        <f aca="false">IF(AB781="",0,IFERROR(INDEX(Resep!$C$9:$C$13,MATCH(LEFT(AB781,3),Resep!$B$9:$B$13,0)),0))</f>
        <v>0</v>
      </c>
      <c r="AJ781" s="24" t="n">
        <f aca="false">IF(AC781="",0,IFERROR(INDEX(Resep!$C$9:$C$13,MATCH(LEFT(AC781,3),Resep!$B$9:$B$13,0)),0))</f>
        <v>0</v>
      </c>
      <c r="AK781" s="24" t="n">
        <f aca="false">IF(AD781="",0,IFERROR(INDEX(Resep!$C$15:$C$18,MATCH(LEFT(AD781,3),Resep!$B$15:$B$18,0)),0))</f>
        <v>0</v>
      </c>
      <c r="AL781" s="24" t="str">
        <f aca="false">IF(X781="","",AG781+AH781+AI781+AJ781+AK781)</f>
        <v/>
      </c>
      <c r="AM781" s="22" t="str">
        <f aca="false">IF(X781="","",AL781*(Pengaturan!$B$6+Pengaturan!$B$7)+Pengaturan!$B$8+AE781*Pengaturan!$B$9+AF781*Pengaturan!$B$10)</f>
        <v/>
      </c>
      <c r="AN781" s="22" t="str">
        <f aca="false">IF(X781="","",N(G781)-AM781)</f>
        <v/>
      </c>
      <c r="AO781" s="25" t="str">
        <f aca="false">IF(OR(X781="",N(G781)=0),"",AN781/G781)</f>
        <v/>
      </c>
    </row>
    <row r="782" customFormat="false" ht="15" hidden="false" customHeight="false" outlineLevel="0" collapsed="false">
      <c r="A782" s="19"/>
      <c r="B782" s="20"/>
      <c r="C782" s="19"/>
      <c r="D782" s="19"/>
      <c r="E782" s="19"/>
      <c r="F782" s="19"/>
      <c r="G782" s="21"/>
      <c r="H782" s="19"/>
      <c r="I782" s="21"/>
      <c r="J782" s="19"/>
      <c r="K782" s="20"/>
      <c r="L782" s="20"/>
      <c r="M782" s="19"/>
      <c r="N782" s="19"/>
      <c r="O782" s="20"/>
      <c r="P782" s="20"/>
      <c r="Q782" s="19"/>
      <c r="R782" s="22" t="str">
        <f aca="false">IF(A782="","",N(G782)+N(I782))</f>
        <v/>
      </c>
      <c r="S782" s="23" t="str">
        <f aca="false">IF(OR(K782="",O782=""),"",O782-K782)</f>
        <v/>
      </c>
      <c r="T782" s="23" t="str">
        <f aca="true">IF(AND(C782="Cetak",L782&lt;&gt;"",L782&lt;TODAY()),"YA","")</f>
        <v/>
      </c>
      <c r="U782" s="23" t="str">
        <f aca="false">IF(B782="","",TEXT(B782,"yyyy-mm"))</f>
        <v/>
      </c>
      <c r="V782" s="23" t="str">
        <f aca="false">IF(K782="","",TEXT(K782,"yyyy-mm"))</f>
        <v/>
      </c>
      <c r="W782" s="23" t="n">
        <f aca="false">IF(OR(C782="Cetak",C782="Dikirim",C782="Selesai"),1,0)</f>
        <v>0</v>
      </c>
      <c r="X782" s="23" t="str">
        <f aca="false">IF(F782="","",SUBSTITUTE(SUBSTITUTE(MID(UPPER(TRIM(F782)),4,99),"-LED",""),"-TK",""))</f>
        <v/>
      </c>
      <c r="Y782" s="23" t="str">
        <f aca="false">IF(X782="","",(LEN(X782)+1)/7)</f>
        <v/>
      </c>
      <c r="Z782" s="23" t="str">
        <f aca="false">IF(X782="","",LEFT(X782,6))</f>
        <v/>
      </c>
      <c r="AA782" s="23" t="str">
        <f aca="false">IF(X782="","",IF(Y782&gt;=3,MID(X782,8,6),""))</f>
        <v/>
      </c>
      <c r="AB782" s="23" t="str">
        <f aca="false">IF(X782="","",IF(Y782&gt;=4,MID(X782,15,6),""))</f>
        <v/>
      </c>
      <c r="AC782" s="23" t="str">
        <f aca="false">IF(X782="","",IF(Y782&gt;=5,MID(X782,22,6),""))</f>
        <v/>
      </c>
      <c r="AD782" s="23" t="str">
        <f aca="false">IF(X782="","",RIGHT(X782,6))</f>
        <v/>
      </c>
      <c r="AE782" s="23" t="str">
        <f aca="false">IF(F782="","",IF(ISNUMBER(SEARCH("-TK",UPPER(F782))),0,1))</f>
        <v/>
      </c>
      <c r="AF782" s="23" t="str">
        <f aca="false">IF(F782="","",IF(ISNUMBER(SEARCH("-LED",UPPER(F782))),1,0))</f>
        <v/>
      </c>
      <c r="AG782" s="24" t="n">
        <f aca="false">IF(Z782="",0,IFERROR(INDEX(Resep!$C$5:$C$7,MATCH(LEFT(Z782,3),Resep!$B$5:$B$7,0)),0))</f>
        <v>0</v>
      </c>
      <c r="AH782" s="24" t="n">
        <f aca="false">IF(AA782="",0,IFERROR(INDEX(Resep!$C$9:$C$13,MATCH(LEFT(AA782,3),Resep!$B$9:$B$13,0)),0))</f>
        <v>0</v>
      </c>
      <c r="AI782" s="24" t="n">
        <f aca="false">IF(AB782="",0,IFERROR(INDEX(Resep!$C$9:$C$13,MATCH(LEFT(AB782,3),Resep!$B$9:$B$13,0)),0))</f>
        <v>0</v>
      </c>
      <c r="AJ782" s="24" t="n">
        <f aca="false">IF(AC782="",0,IFERROR(INDEX(Resep!$C$9:$C$13,MATCH(LEFT(AC782,3),Resep!$B$9:$B$13,0)),0))</f>
        <v>0</v>
      </c>
      <c r="AK782" s="24" t="n">
        <f aca="false">IF(AD782="",0,IFERROR(INDEX(Resep!$C$15:$C$18,MATCH(LEFT(AD782,3),Resep!$B$15:$B$18,0)),0))</f>
        <v>0</v>
      </c>
      <c r="AL782" s="24" t="str">
        <f aca="false">IF(X782="","",AG782+AH782+AI782+AJ782+AK782)</f>
        <v/>
      </c>
      <c r="AM782" s="22" t="str">
        <f aca="false">IF(X782="","",AL782*(Pengaturan!$B$6+Pengaturan!$B$7)+Pengaturan!$B$8+AE782*Pengaturan!$B$9+AF782*Pengaturan!$B$10)</f>
        <v/>
      </c>
      <c r="AN782" s="22" t="str">
        <f aca="false">IF(X782="","",N(G782)-AM782)</f>
        <v/>
      </c>
      <c r="AO782" s="25" t="str">
        <f aca="false">IF(OR(X782="",N(G782)=0),"",AN782/G782)</f>
        <v/>
      </c>
    </row>
    <row r="783" customFormat="false" ht="15" hidden="false" customHeight="false" outlineLevel="0" collapsed="false">
      <c r="A783" s="19"/>
      <c r="B783" s="20"/>
      <c r="C783" s="19"/>
      <c r="D783" s="19"/>
      <c r="E783" s="19"/>
      <c r="F783" s="19"/>
      <c r="G783" s="21"/>
      <c r="H783" s="19"/>
      <c r="I783" s="21"/>
      <c r="J783" s="19"/>
      <c r="K783" s="20"/>
      <c r="L783" s="20"/>
      <c r="M783" s="19"/>
      <c r="N783" s="19"/>
      <c r="O783" s="20"/>
      <c r="P783" s="20"/>
      <c r="Q783" s="19"/>
      <c r="R783" s="22" t="str">
        <f aca="false">IF(A783="","",N(G783)+N(I783))</f>
        <v/>
      </c>
      <c r="S783" s="23" t="str">
        <f aca="false">IF(OR(K783="",O783=""),"",O783-K783)</f>
        <v/>
      </c>
      <c r="T783" s="23" t="str">
        <f aca="true">IF(AND(C783="Cetak",L783&lt;&gt;"",L783&lt;TODAY()),"YA","")</f>
        <v/>
      </c>
      <c r="U783" s="23" t="str">
        <f aca="false">IF(B783="","",TEXT(B783,"yyyy-mm"))</f>
        <v/>
      </c>
      <c r="V783" s="23" t="str">
        <f aca="false">IF(K783="","",TEXT(K783,"yyyy-mm"))</f>
        <v/>
      </c>
      <c r="W783" s="23" t="n">
        <f aca="false">IF(OR(C783="Cetak",C783="Dikirim",C783="Selesai"),1,0)</f>
        <v>0</v>
      </c>
      <c r="X783" s="23" t="str">
        <f aca="false">IF(F783="","",SUBSTITUTE(SUBSTITUTE(MID(UPPER(TRIM(F783)),4,99),"-LED",""),"-TK",""))</f>
        <v/>
      </c>
      <c r="Y783" s="23" t="str">
        <f aca="false">IF(X783="","",(LEN(X783)+1)/7)</f>
        <v/>
      </c>
      <c r="Z783" s="23" t="str">
        <f aca="false">IF(X783="","",LEFT(X783,6))</f>
        <v/>
      </c>
      <c r="AA783" s="23" t="str">
        <f aca="false">IF(X783="","",IF(Y783&gt;=3,MID(X783,8,6),""))</f>
        <v/>
      </c>
      <c r="AB783" s="23" t="str">
        <f aca="false">IF(X783="","",IF(Y783&gt;=4,MID(X783,15,6),""))</f>
        <v/>
      </c>
      <c r="AC783" s="23" t="str">
        <f aca="false">IF(X783="","",IF(Y783&gt;=5,MID(X783,22,6),""))</f>
        <v/>
      </c>
      <c r="AD783" s="23" t="str">
        <f aca="false">IF(X783="","",RIGHT(X783,6))</f>
        <v/>
      </c>
      <c r="AE783" s="23" t="str">
        <f aca="false">IF(F783="","",IF(ISNUMBER(SEARCH("-TK",UPPER(F783))),0,1))</f>
        <v/>
      </c>
      <c r="AF783" s="23" t="str">
        <f aca="false">IF(F783="","",IF(ISNUMBER(SEARCH("-LED",UPPER(F783))),1,0))</f>
        <v/>
      </c>
      <c r="AG783" s="24" t="n">
        <f aca="false">IF(Z783="",0,IFERROR(INDEX(Resep!$C$5:$C$7,MATCH(LEFT(Z783,3),Resep!$B$5:$B$7,0)),0))</f>
        <v>0</v>
      </c>
      <c r="AH783" s="24" t="n">
        <f aca="false">IF(AA783="",0,IFERROR(INDEX(Resep!$C$9:$C$13,MATCH(LEFT(AA783,3),Resep!$B$9:$B$13,0)),0))</f>
        <v>0</v>
      </c>
      <c r="AI783" s="24" t="n">
        <f aca="false">IF(AB783="",0,IFERROR(INDEX(Resep!$C$9:$C$13,MATCH(LEFT(AB783,3),Resep!$B$9:$B$13,0)),0))</f>
        <v>0</v>
      </c>
      <c r="AJ783" s="24" t="n">
        <f aca="false">IF(AC783="",0,IFERROR(INDEX(Resep!$C$9:$C$13,MATCH(LEFT(AC783,3),Resep!$B$9:$B$13,0)),0))</f>
        <v>0</v>
      </c>
      <c r="AK783" s="24" t="n">
        <f aca="false">IF(AD783="",0,IFERROR(INDEX(Resep!$C$15:$C$18,MATCH(LEFT(AD783,3),Resep!$B$15:$B$18,0)),0))</f>
        <v>0</v>
      </c>
      <c r="AL783" s="24" t="str">
        <f aca="false">IF(X783="","",AG783+AH783+AI783+AJ783+AK783)</f>
        <v/>
      </c>
      <c r="AM783" s="22" t="str">
        <f aca="false">IF(X783="","",AL783*(Pengaturan!$B$6+Pengaturan!$B$7)+Pengaturan!$B$8+AE783*Pengaturan!$B$9+AF783*Pengaturan!$B$10)</f>
        <v/>
      </c>
      <c r="AN783" s="22" t="str">
        <f aca="false">IF(X783="","",N(G783)-AM783)</f>
        <v/>
      </c>
      <c r="AO783" s="25" t="str">
        <f aca="false">IF(OR(X783="",N(G783)=0),"",AN783/G783)</f>
        <v/>
      </c>
    </row>
    <row r="784" customFormat="false" ht="15" hidden="false" customHeight="false" outlineLevel="0" collapsed="false">
      <c r="A784" s="19"/>
      <c r="B784" s="20"/>
      <c r="C784" s="19"/>
      <c r="D784" s="19"/>
      <c r="E784" s="19"/>
      <c r="F784" s="19"/>
      <c r="G784" s="21"/>
      <c r="H784" s="19"/>
      <c r="I784" s="21"/>
      <c r="J784" s="19"/>
      <c r="K784" s="20"/>
      <c r="L784" s="20"/>
      <c r="M784" s="19"/>
      <c r="N784" s="19"/>
      <c r="O784" s="20"/>
      <c r="P784" s="20"/>
      <c r="Q784" s="19"/>
      <c r="R784" s="22" t="str">
        <f aca="false">IF(A784="","",N(G784)+N(I784))</f>
        <v/>
      </c>
      <c r="S784" s="23" t="str">
        <f aca="false">IF(OR(K784="",O784=""),"",O784-K784)</f>
        <v/>
      </c>
      <c r="T784" s="23" t="str">
        <f aca="true">IF(AND(C784="Cetak",L784&lt;&gt;"",L784&lt;TODAY()),"YA","")</f>
        <v/>
      </c>
      <c r="U784" s="23" t="str">
        <f aca="false">IF(B784="","",TEXT(B784,"yyyy-mm"))</f>
        <v/>
      </c>
      <c r="V784" s="23" t="str">
        <f aca="false">IF(K784="","",TEXT(K784,"yyyy-mm"))</f>
        <v/>
      </c>
      <c r="W784" s="23" t="n">
        <f aca="false">IF(OR(C784="Cetak",C784="Dikirim",C784="Selesai"),1,0)</f>
        <v>0</v>
      </c>
      <c r="X784" s="23" t="str">
        <f aca="false">IF(F784="","",SUBSTITUTE(SUBSTITUTE(MID(UPPER(TRIM(F784)),4,99),"-LED",""),"-TK",""))</f>
        <v/>
      </c>
      <c r="Y784" s="23" t="str">
        <f aca="false">IF(X784="","",(LEN(X784)+1)/7)</f>
        <v/>
      </c>
      <c r="Z784" s="23" t="str">
        <f aca="false">IF(X784="","",LEFT(X784,6))</f>
        <v/>
      </c>
      <c r="AA784" s="23" t="str">
        <f aca="false">IF(X784="","",IF(Y784&gt;=3,MID(X784,8,6),""))</f>
        <v/>
      </c>
      <c r="AB784" s="23" t="str">
        <f aca="false">IF(X784="","",IF(Y784&gt;=4,MID(X784,15,6),""))</f>
        <v/>
      </c>
      <c r="AC784" s="23" t="str">
        <f aca="false">IF(X784="","",IF(Y784&gt;=5,MID(X784,22,6),""))</f>
        <v/>
      </c>
      <c r="AD784" s="23" t="str">
        <f aca="false">IF(X784="","",RIGHT(X784,6))</f>
        <v/>
      </c>
      <c r="AE784" s="23" t="str">
        <f aca="false">IF(F784="","",IF(ISNUMBER(SEARCH("-TK",UPPER(F784))),0,1))</f>
        <v/>
      </c>
      <c r="AF784" s="23" t="str">
        <f aca="false">IF(F784="","",IF(ISNUMBER(SEARCH("-LED",UPPER(F784))),1,0))</f>
        <v/>
      </c>
      <c r="AG784" s="24" t="n">
        <f aca="false">IF(Z784="",0,IFERROR(INDEX(Resep!$C$5:$C$7,MATCH(LEFT(Z784,3),Resep!$B$5:$B$7,0)),0))</f>
        <v>0</v>
      </c>
      <c r="AH784" s="24" t="n">
        <f aca="false">IF(AA784="",0,IFERROR(INDEX(Resep!$C$9:$C$13,MATCH(LEFT(AA784,3),Resep!$B$9:$B$13,0)),0))</f>
        <v>0</v>
      </c>
      <c r="AI784" s="24" t="n">
        <f aca="false">IF(AB784="",0,IFERROR(INDEX(Resep!$C$9:$C$13,MATCH(LEFT(AB784,3),Resep!$B$9:$B$13,0)),0))</f>
        <v>0</v>
      </c>
      <c r="AJ784" s="24" t="n">
        <f aca="false">IF(AC784="",0,IFERROR(INDEX(Resep!$C$9:$C$13,MATCH(LEFT(AC784,3),Resep!$B$9:$B$13,0)),0))</f>
        <v>0</v>
      </c>
      <c r="AK784" s="24" t="n">
        <f aca="false">IF(AD784="",0,IFERROR(INDEX(Resep!$C$15:$C$18,MATCH(LEFT(AD784,3),Resep!$B$15:$B$18,0)),0))</f>
        <v>0</v>
      </c>
      <c r="AL784" s="24" t="str">
        <f aca="false">IF(X784="","",AG784+AH784+AI784+AJ784+AK784)</f>
        <v/>
      </c>
      <c r="AM784" s="22" t="str">
        <f aca="false">IF(X784="","",AL784*(Pengaturan!$B$6+Pengaturan!$B$7)+Pengaturan!$B$8+AE784*Pengaturan!$B$9+AF784*Pengaturan!$B$10)</f>
        <v/>
      </c>
      <c r="AN784" s="22" t="str">
        <f aca="false">IF(X784="","",N(G784)-AM784)</f>
        <v/>
      </c>
      <c r="AO784" s="25" t="str">
        <f aca="false">IF(OR(X784="",N(G784)=0),"",AN784/G784)</f>
        <v/>
      </c>
    </row>
    <row r="785" customFormat="false" ht="15" hidden="false" customHeight="false" outlineLevel="0" collapsed="false">
      <c r="A785" s="19"/>
      <c r="B785" s="20"/>
      <c r="C785" s="19"/>
      <c r="D785" s="19"/>
      <c r="E785" s="19"/>
      <c r="F785" s="19"/>
      <c r="G785" s="21"/>
      <c r="H785" s="19"/>
      <c r="I785" s="21"/>
      <c r="J785" s="19"/>
      <c r="K785" s="20"/>
      <c r="L785" s="20"/>
      <c r="M785" s="19"/>
      <c r="N785" s="19"/>
      <c r="O785" s="20"/>
      <c r="P785" s="20"/>
      <c r="Q785" s="19"/>
      <c r="R785" s="22" t="str">
        <f aca="false">IF(A785="","",N(G785)+N(I785))</f>
        <v/>
      </c>
      <c r="S785" s="23" t="str">
        <f aca="false">IF(OR(K785="",O785=""),"",O785-K785)</f>
        <v/>
      </c>
      <c r="T785" s="23" t="str">
        <f aca="true">IF(AND(C785="Cetak",L785&lt;&gt;"",L785&lt;TODAY()),"YA","")</f>
        <v/>
      </c>
      <c r="U785" s="23" t="str">
        <f aca="false">IF(B785="","",TEXT(B785,"yyyy-mm"))</f>
        <v/>
      </c>
      <c r="V785" s="23" t="str">
        <f aca="false">IF(K785="","",TEXT(K785,"yyyy-mm"))</f>
        <v/>
      </c>
      <c r="W785" s="23" t="n">
        <f aca="false">IF(OR(C785="Cetak",C785="Dikirim",C785="Selesai"),1,0)</f>
        <v>0</v>
      </c>
      <c r="X785" s="23" t="str">
        <f aca="false">IF(F785="","",SUBSTITUTE(SUBSTITUTE(MID(UPPER(TRIM(F785)),4,99),"-LED",""),"-TK",""))</f>
        <v/>
      </c>
      <c r="Y785" s="23" t="str">
        <f aca="false">IF(X785="","",(LEN(X785)+1)/7)</f>
        <v/>
      </c>
      <c r="Z785" s="23" t="str">
        <f aca="false">IF(X785="","",LEFT(X785,6))</f>
        <v/>
      </c>
      <c r="AA785" s="23" t="str">
        <f aca="false">IF(X785="","",IF(Y785&gt;=3,MID(X785,8,6),""))</f>
        <v/>
      </c>
      <c r="AB785" s="23" t="str">
        <f aca="false">IF(X785="","",IF(Y785&gt;=4,MID(X785,15,6),""))</f>
        <v/>
      </c>
      <c r="AC785" s="23" t="str">
        <f aca="false">IF(X785="","",IF(Y785&gt;=5,MID(X785,22,6),""))</f>
        <v/>
      </c>
      <c r="AD785" s="23" t="str">
        <f aca="false">IF(X785="","",RIGHT(X785,6))</f>
        <v/>
      </c>
      <c r="AE785" s="23" t="str">
        <f aca="false">IF(F785="","",IF(ISNUMBER(SEARCH("-TK",UPPER(F785))),0,1))</f>
        <v/>
      </c>
      <c r="AF785" s="23" t="str">
        <f aca="false">IF(F785="","",IF(ISNUMBER(SEARCH("-LED",UPPER(F785))),1,0))</f>
        <v/>
      </c>
      <c r="AG785" s="24" t="n">
        <f aca="false">IF(Z785="",0,IFERROR(INDEX(Resep!$C$5:$C$7,MATCH(LEFT(Z785,3),Resep!$B$5:$B$7,0)),0))</f>
        <v>0</v>
      </c>
      <c r="AH785" s="24" t="n">
        <f aca="false">IF(AA785="",0,IFERROR(INDEX(Resep!$C$9:$C$13,MATCH(LEFT(AA785,3),Resep!$B$9:$B$13,0)),0))</f>
        <v>0</v>
      </c>
      <c r="AI785" s="24" t="n">
        <f aca="false">IF(AB785="",0,IFERROR(INDEX(Resep!$C$9:$C$13,MATCH(LEFT(AB785,3),Resep!$B$9:$B$13,0)),0))</f>
        <v>0</v>
      </c>
      <c r="AJ785" s="24" t="n">
        <f aca="false">IF(AC785="",0,IFERROR(INDEX(Resep!$C$9:$C$13,MATCH(LEFT(AC785,3),Resep!$B$9:$B$13,0)),0))</f>
        <v>0</v>
      </c>
      <c r="AK785" s="24" t="n">
        <f aca="false">IF(AD785="",0,IFERROR(INDEX(Resep!$C$15:$C$18,MATCH(LEFT(AD785,3),Resep!$B$15:$B$18,0)),0))</f>
        <v>0</v>
      </c>
      <c r="AL785" s="24" t="str">
        <f aca="false">IF(X785="","",AG785+AH785+AI785+AJ785+AK785)</f>
        <v/>
      </c>
      <c r="AM785" s="22" t="str">
        <f aca="false">IF(X785="","",AL785*(Pengaturan!$B$6+Pengaturan!$B$7)+Pengaturan!$B$8+AE785*Pengaturan!$B$9+AF785*Pengaturan!$B$10)</f>
        <v/>
      </c>
      <c r="AN785" s="22" t="str">
        <f aca="false">IF(X785="","",N(G785)-AM785)</f>
        <v/>
      </c>
      <c r="AO785" s="25" t="str">
        <f aca="false">IF(OR(X785="",N(G785)=0),"",AN785/G785)</f>
        <v/>
      </c>
    </row>
    <row r="786" customFormat="false" ht="15" hidden="false" customHeight="false" outlineLevel="0" collapsed="false">
      <c r="A786" s="19"/>
      <c r="B786" s="20"/>
      <c r="C786" s="19"/>
      <c r="D786" s="19"/>
      <c r="E786" s="19"/>
      <c r="F786" s="19"/>
      <c r="G786" s="21"/>
      <c r="H786" s="19"/>
      <c r="I786" s="21"/>
      <c r="J786" s="19"/>
      <c r="K786" s="20"/>
      <c r="L786" s="20"/>
      <c r="M786" s="19"/>
      <c r="N786" s="19"/>
      <c r="O786" s="20"/>
      <c r="P786" s="20"/>
      <c r="Q786" s="19"/>
      <c r="R786" s="22" t="str">
        <f aca="false">IF(A786="","",N(G786)+N(I786))</f>
        <v/>
      </c>
      <c r="S786" s="23" t="str">
        <f aca="false">IF(OR(K786="",O786=""),"",O786-K786)</f>
        <v/>
      </c>
      <c r="T786" s="23" t="str">
        <f aca="true">IF(AND(C786="Cetak",L786&lt;&gt;"",L786&lt;TODAY()),"YA","")</f>
        <v/>
      </c>
      <c r="U786" s="23" t="str">
        <f aca="false">IF(B786="","",TEXT(B786,"yyyy-mm"))</f>
        <v/>
      </c>
      <c r="V786" s="23" t="str">
        <f aca="false">IF(K786="","",TEXT(K786,"yyyy-mm"))</f>
        <v/>
      </c>
      <c r="W786" s="23" t="n">
        <f aca="false">IF(OR(C786="Cetak",C786="Dikirim",C786="Selesai"),1,0)</f>
        <v>0</v>
      </c>
      <c r="X786" s="23" t="str">
        <f aca="false">IF(F786="","",SUBSTITUTE(SUBSTITUTE(MID(UPPER(TRIM(F786)),4,99),"-LED",""),"-TK",""))</f>
        <v/>
      </c>
      <c r="Y786" s="23" t="str">
        <f aca="false">IF(X786="","",(LEN(X786)+1)/7)</f>
        <v/>
      </c>
      <c r="Z786" s="23" t="str">
        <f aca="false">IF(X786="","",LEFT(X786,6))</f>
        <v/>
      </c>
      <c r="AA786" s="23" t="str">
        <f aca="false">IF(X786="","",IF(Y786&gt;=3,MID(X786,8,6),""))</f>
        <v/>
      </c>
      <c r="AB786" s="23" t="str">
        <f aca="false">IF(X786="","",IF(Y786&gt;=4,MID(X786,15,6),""))</f>
        <v/>
      </c>
      <c r="AC786" s="23" t="str">
        <f aca="false">IF(X786="","",IF(Y786&gt;=5,MID(X786,22,6),""))</f>
        <v/>
      </c>
      <c r="AD786" s="23" t="str">
        <f aca="false">IF(X786="","",RIGHT(X786,6))</f>
        <v/>
      </c>
      <c r="AE786" s="23" t="str">
        <f aca="false">IF(F786="","",IF(ISNUMBER(SEARCH("-TK",UPPER(F786))),0,1))</f>
        <v/>
      </c>
      <c r="AF786" s="23" t="str">
        <f aca="false">IF(F786="","",IF(ISNUMBER(SEARCH("-LED",UPPER(F786))),1,0))</f>
        <v/>
      </c>
      <c r="AG786" s="24" t="n">
        <f aca="false">IF(Z786="",0,IFERROR(INDEX(Resep!$C$5:$C$7,MATCH(LEFT(Z786,3),Resep!$B$5:$B$7,0)),0))</f>
        <v>0</v>
      </c>
      <c r="AH786" s="24" t="n">
        <f aca="false">IF(AA786="",0,IFERROR(INDEX(Resep!$C$9:$C$13,MATCH(LEFT(AA786,3),Resep!$B$9:$B$13,0)),0))</f>
        <v>0</v>
      </c>
      <c r="AI786" s="24" t="n">
        <f aca="false">IF(AB786="",0,IFERROR(INDEX(Resep!$C$9:$C$13,MATCH(LEFT(AB786,3),Resep!$B$9:$B$13,0)),0))</f>
        <v>0</v>
      </c>
      <c r="AJ786" s="24" t="n">
        <f aca="false">IF(AC786="",0,IFERROR(INDEX(Resep!$C$9:$C$13,MATCH(LEFT(AC786,3),Resep!$B$9:$B$13,0)),0))</f>
        <v>0</v>
      </c>
      <c r="AK786" s="24" t="n">
        <f aca="false">IF(AD786="",0,IFERROR(INDEX(Resep!$C$15:$C$18,MATCH(LEFT(AD786,3),Resep!$B$15:$B$18,0)),0))</f>
        <v>0</v>
      </c>
      <c r="AL786" s="24" t="str">
        <f aca="false">IF(X786="","",AG786+AH786+AI786+AJ786+AK786)</f>
        <v/>
      </c>
      <c r="AM786" s="22" t="str">
        <f aca="false">IF(X786="","",AL786*(Pengaturan!$B$6+Pengaturan!$B$7)+Pengaturan!$B$8+AE786*Pengaturan!$B$9+AF786*Pengaturan!$B$10)</f>
        <v/>
      </c>
      <c r="AN786" s="22" t="str">
        <f aca="false">IF(X786="","",N(G786)-AM786)</f>
        <v/>
      </c>
      <c r="AO786" s="25" t="str">
        <f aca="false">IF(OR(X786="",N(G786)=0),"",AN786/G786)</f>
        <v/>
      </c>
    </row>
    <row r="787" customFormat="false" ht="15" hidden="false" customHeight="false" outlineLevel="0" collapsed="false">
      <c r="A787" s="19"/>
      <c r="B787" s="20"/>
      <c r="C787" s="19"/>
      <c r="D787" s="19"/>
      <c r="E787" s="19"/>
      <c r="F787" s="19"/>
      <c r="G787" s="21"/>
      <c r="H787" s="19"/>
      <c r="I787" s="21"/>
      <c r="J787" s="19"/>
      <c r="K787" s="20"/>
      <c r="L787" s="20"/>
      <c r="M787" s="19"/>
      <c r="N787" s="19"/>
      <c r="O787" s="20"/>
      <c r="P787" s="20"/>
      <c r="Q787" s="19"/>
      <c r="R787" s="22" t="str">
        <f aca="false">IF(A787="","",N(G787)+N(I787))</f>
        <v/>
      </c>
      <c r="S787" s="23" t="str">
        <f aca="false">IF(OR(K787="",O787=""),"",O787-K787)</f>
        <v/>
      </c>
      <c r="T787" s="23" t="str">
        <f aca="true">IF(AND(C787="Cetak",L787&lt;&gt;"",L787&lt;TODAY()),"YA","")</f>
        <v/>
      </c>
      <c r="U787" s="23" t="str">
        <f aca="false">IF(B787="","",TEXT(B787,"yyyy-mm"))</f>
        <v/>
      </c>
      <c r="V787" s="23" t="str">
        <f aca="false">IF(K787="","",TEXT(K787,"yyyy-mm"))</f>
        <v/>
      </c>
      <c r="W787" s="23" t="n">
        <f aca="false">IF(OR(C787="Cetak",C787="Dikirim",C787="Selesai"),1,0)</f>
        <v>0</v>
      </c>
      <c r="X787" s="23" t="str">
        <f aca="false">IF(F787="","",SUBSTITUTE(SUBSTITUTE(MID(UPPER(TRIM(F787)),4,99),"-LED",""),"-TK",""))</f>
        <v/>
      </c>
      <c r="Y787" s="23" t="str">
        <f aca="false">IF(X787="","",(LEN(X787)+1)/7)</f>
        <v/>
      </c>
      <c r="Z787" s="23" t="str">
        <f aca="false">IF(X787="","",LEFT(X787,6))</f>
        <v/>
      </c>
      <c r="AA787" s="23" t="str">
        <f aca="false">IF(X787="","",IF(Y787&gt;=3,MID(X787,8,6),""))</f>
        <v/>
      </c>
      <c r="AB787" s="23" t="str">
        <f aca="false">IF(X787="","",IF(Y787&gt;=4,MID(X787,15,6),""))</f>
        <v/>
      </c>
      <c r="AC787" s="23" t="str">
        <f aca="false">IF(X787="","",IF(Y787&gt;=5,MID(X787,22,6),""))</f>
        <v/>
      </c>
      <c r="AD787" s="23" t="str">
        <f aca="false">IF(X787="","",RIGHT(X787,6))</f>
        <v/>
      </c>
      <c r="AE787" s="23" t="str">
        <f aca="false">IF(F787="","",IF(ISNUMBER(SEARCH("-TK",UPPER(F787))),0,1))</f>
        <v/>
      </c>
      <c r="AF787" s="23" t="str">
        <f aca="false">IF(F787="","",IF(ISNUMBER(SEARCH("-LED",UPPER(F787))),1,0))</f>
        <v/>
      </c>
      <c r="AG787" s="24" t="n">
        <f aca="false">IF(Z787="",0,IFERROR(INDEX(Resep!$C$5:$C$7,MATCH(LEFT(Z787,3),Resep!$B$5:$B$7,0)),0))</f>
        <v>0</v>
      </c>
      <c r="AH787" s="24" t="n">
        <f aca="false">IF(AA787="",0,IFERROR(INDEX(Resep!$C$9:$C$13,MATCH(LEFT(AA787,3),Resep!$B$9:$B$13,0)),0))</f>
        <v>0</v>
      </c>
      <c r="AI787" s="24" t="n">
        <f aca="false">IF(AB787="",0,IFERROR(INDEX(Resep!$C$9:$C$13,MATCH(LEFT(AB787,3),Resep!$B$9:$B$13,0)),0))</f>
        <v>0</v>
      </c>
      <c r="AJ787" s="24" t="n">
        <f aca="false">IF(AC787="",0,IFERROR(INDEX(Resep!$C$9:$C$13,MATCH(LEFT(AC787,3),Resep!$B$9:$B$13,0)),0))</f>
        <v>0</v>
      </c>
      <c r="AK787" s="24" t="n">
        <f aca="false">IF(AD787="",0,IFERROR(INDEX(Resep!$C$15:$C$18,MATCH(LEFT(AD787,3),Resep!$B$15:$B$18,0)),0))</f>
        <v>0</v>
      </c>
      <c r="AL787" s="24" t="str">
        <f aca="false">IF(X787="","",AG787+AH787+AI787+AJ787+AK787)</f>
        <v/>
      </c>
      <c r="AM787" s="22" t="str">
        <f aca="false">IF(X787="","",AL787*(Pengaturan!$B$6+Pengaturan!$B$7)+Pengaturan!$B$8+AE787*Pengaturan!$B$9+AF787*Pengaturan!$B$10)</f>
        <v/>
      </c>
      <c r="AN787" s="22" t="str">
        <f aca="false">IF(X787="","",N(G787)-AM787)</f>
        <v/>
      </c>
      <c r="AO787" s="25" t="str">
        <f aca="false">IF(OR(X787="",N(G787)=0),"",AN787/G787)</f>
        <v/>
      </c>
    </row>
    <row r="788" customFormat="false" ht="15" hidden="false" customHeight="false" outlineLevel="0" collapsed="false">
      <c r="A788" s="19"/>
      <c r="B788" s="20"/>
      <c r="C788" s="19"/>
      <c r="D788" s="19"/>
      <c r="E788" s="19"/>
      <c r="F788" s="19"/>
      <c r="G788" s="21"/>
      <c r="H788" s="19"/>
      <c r="I788" s="21"/>
      <c r="J788" s="19"/>
      <c r="K788" s="20"/>
      <c r="L788" s="20"/>
      <c r="M788" s="19"/>
      <c r="N788" s="19"/>
      <c r="O788" s="20"/>
      <c r="P788" s="20"/>
      <c r="Q788" s="19"/>
      <c r="R788" s="22" t="str">
        <f aca="false">IF(A788="","",N(G788)+N(I788))</f>
        <v/>
      </c>
      <c r="S788" s="23" t="str">
        <f aca="false">IF(OR(K788="",O788=""),"",O788-K788)</f>
        <v/>
      </c>
      <c r="T788" s="23" t="str">
        <f aca="true">IF(AND(C788="Cetak",L788&lt;&gt;"",L788&lt;TODAY()),"YA","")</f>
        <v/>
      </c>
      <c r="U788" s="23" t="str">
        <f aca="false">IF(B788="","",TEXT(B788,"yyyy-mm"))</f>
        <v/>
      </c>
      <c r="V788" s="23" t="str">
        <f aca="false">IF(K788="","",TEXT(K788,"yyyy-mm"))</f>
        <v/>
      </c>
      <c r="W788" s="23" t="n">
        <f aca="false">IF(OR(C788="Cetak",C788="Dikirim",C788="Selesai"),1,0)</f>
        <v>0</v>
      </c>
      <c r="X788" s="23" t="str">
        <f aca="false">IF(F788="","",SUBSTITUTE(SUBSTITUTE(MID(UPPER(TRIM(F788)),4,99),"-LED",""),"-TK",""))</f>
        <v/>
      </c>
      <c r="Y788" s="23" t="str">
        <f aca="false">IF(X788="","",(LEN(X788)+1)/7)</f>
        <v/>
      </c>
      <c r="Z788" s="23" t="str">
        <f aca="false">IF(X788="","",LEFT(X788,6))</f>
        <v/>
      </c>
      <c r="AA788" s="23" t="str">
        <f aca="false">IF(X788="","",IF(Y788&gt;=3,MID(X788,8,6),""))</f>
        <v/>
      </c>
      <c r="AB788" s="23" t="str">
        <f aca="false">IF(X788="","",IF(Y788&gt;=4,MID(X788,15,6),""))</f>
        <v/>
      </c>
      <c r="AC788" s="23" t="str">
        <f aca="false">IF(X788="","",IF(Y788&gt;=5,MID(X788,22,6),""))</f>
        <v/>
      </c>
      <c r="AD788" s="23" t="str">
        <f aca="false">IF(X788="","",RIGHT(X788,6))</f>
        <v/>
      </c>
      <c r="AE788" s="23" t="str">
        <f aca="false">IF(F788="","",IF(ISNUMBER(SEARCH("-TK",UPPER(F788))),0,1))</f>
        <v/>
      </c>
      <c r="AF788" s="23" t="str">
        <f aca="false">IF(F788="","",IF(ISNUMBER(SEARCH("-LED",UPPER(F788))),1,0))</f>
        <v/>
      </c>
      <c r="AG788" s="24" t="n">
        <f aca="false">IF(Z788="",0,IFERROR(INDEX(Resep!$C$5:$C$7,MATCH(LEFT(Z788,3),Resep!$B$5:$B$7,0)),0))</f>
        <v>0</v>
      </c>
      <c r="AH788" s="24" t="n">
        <f aca="false">IF(AA788="",0,IFERROR(INDEX(Resep!$C$9:$C$13,MATCH(LEFT(AA788,3),Resep!$B$9:$B$13,0)),0))</f>
        <v>0</v>
      </c>
      <c r="AI788" s="24" t="n">
        <f aca="false">IF(AB788="",0,IFERROR(INDEX(Resep!$C$9:$C$13,MATCH(LEFT(AB788,3),Resep!$B$9:$B$13,0)),0))</f>
        <v>0</v>
      </c>
      <c r="AJ788" s="24" t="n">
        <f aca="false">IF(AC788="",0,IFERROR(INDEX(Resep!$C$9:$C$13,MATCH(LEFT(AC788,3),Resep!$B$9:$B$13,0)),0))</f>
        <v>0</v>
      </c>
      <c r="AK788" s="24" t="n">
        <f aca="false">IF(AD788="",0,IFERROR(INDEX(Resep!$C$15:$C$18,MATCH(LEFT(AD788,3),Resep!$B$15:$B$18,0)),0))</f>
        <v>0</v>
      </c>
      <c r="AL788" s="24" t="str">
        <f aca="false">IF(X788="","",AG788+AH788+AI788+AJ788+AK788)</f>
        <v/>
      </c>
      <c r="AM788" s="22" t="str">
        <f aca="false">IF(X788="","",AL788*(Pengaturan!$B$6+Pengaturan!$B$7)+Pengaturan!$B$8+AE788*Pengaturan!$B$9+AF788*Pengaturan!$B$10)</f>
        <v/>
      </c>
      <c r="AN788" s="22" t="str">
        <f aca="false">IF(X788="","",N(G788)-AM788)</f>
        <v/>
      </c>
      <c r="AO788" s="25" t="str">
        <f aca="false">IF(OR(X788="",N(G788)=0),"",AN788/G788)</f>
        <v/>
      </c>
    </row>
    <row r="789" customFormat="false" ht="15" hidden="false" customHeight="false" outlineLevel="0" collapsed="false">
      <c r="A789" s="19"/>
      <c r="B789" s="20"/>
      <c r="C789" s="19"/>
      <c r="D789" s="19"/>
      <c r="E789" s="19"/>
      <c r="F789" s="19"/>
      <c r="G789" s="21"/>
      <c r="H789" s="19"/>
      <c r="I789" s="21"/>
      <c r="J789" s="19"/>
      <c r="K789" s="20"/>
      <c r="L789" s="20"/>
      <c r="M789" s="19"/>
      <c r="N789" s="19"/>
      <c r="O789" s="20"/>
      <c r="P789" s="20"/>
      <c r="Q789" s="19"/>
      <c r="R789" s="22" t="str">
        <f aca="false">IF(A789="","",N(G789)+N(I789))</f>
        <v/>
      </c>
      <c r="S789" s="23" t="str">
        <f aca="false">IF(OR(K789="",O789=""),"",O789-K789)</f>
        <v/>
      </c>
      <c r="T789" s="23" t="str">
        <f aca="true">IF(AND(C789="Cetak",L789&lt;&gt;"",L789&lt;TODAY()),"YA","")</f>
        <v/>
      </c>
      <c r="U789" s="23" t="str">
        <f aca="false">IF(B789="","",TEXT(B789,"yyyy-mm"))</f>
        <v/>
      </c>
      <c r="V789" s="23" t="str">
        <f aca="false">IF(K789="","",TEXT(K789,"yyyy-mm"))</f>
        <v/>
      </c>
      <c r="W789" s="23" t="n">
        <f aca="false">IF(OR(C789="Cetak",C789="Dikirim",C789="Selesai"),1,0)</f>
        <v>0</v>
      </c>
      <c r="X789" s="23" t="str">
        <f aca="false">IF(F789="","",SUBSTITUTE(SUBSTITUTE(MID(UPPER(TRIM(F789)),4,99),"-LED",""),"-TK",""))</f>
        <v/>
      </c>
      <c r="Y789" s="23" t="str">
        <f aca="false">IF(X789="","",(LEN(X789)+1)/7)</f>
        <v/>
      </c>
      <c r="Z789" s="23" t="str">
        <f aca="false">IF(X789="","",LEFT(X789,6))</f>
        <v/>
      </c>
      <c r="AA789" s="23" t="str">
        <f aca="false">IF(X789="","",IF(Y789&gt;=3,MID(X789,8,6),""))</f>
        <v/>
      </c>
      <c r="AB789" s="23" t="str">
        <f aca="false">IF(X789="","",IF(Y789&gt;=4,MID(X789,15,6),""))</f>
        <v/>
      </c>
      <c r="AC789" s="23" t="str">
        <f aca="false">IF(X789="","",IF(Y789&gt;=5,MID(X789,22,6),""))</f>
        <v/>
      </c>
      <c r="AD789" s="23" t="str">
        <f aca="false">IF(X789="","",RIGHT(X789,6))</f>
        <v/>
      </c>
      <c r="AE789" s="23" t="str">
        <f aca="false">IF(F789="","",IF(ISNUMBER(SEARCH("-TK",UPPER(F789))),0,1))</f>
        <v/>
      </c>
      <c r="AF789" s="23" t="str">
        <f aca="false">IF(F789="","",IF(ISNUMBER(SEARCH("-LED",UPPER(F789))),1,0))</f>
        <v/>
      </c>
      <c r="AG789" s="24" t="n">
        <f aca="false">IF(Z789="",0,IFERROR(INDEX(Resep!$C$5:$C$7,MATCH(LEFT(Z789,3),Resep!$B$5:$B$7,0)),0))</f>
        <v>0</v>
      </c>
      <c r="AH789" s="24" t="n">
        <f aca="false">IF(AA789="",0,IFERROR(INDEX(Resep!$C$9:$C$13,MATCH(LEFT(AA789,3),Resep!$B$9:$B$13,0)),0))</f>
        <v>0</v>
      </c>
      <c r="AI789" s="24" t="n">
        <f aca="false">IF(AB789="",0,IFERROR(INDEX(Resep!$C$9:$C$13,MATCH(LEFT(AB789,3),Resep!$B$9:$B$13,0)),0))</f>
        <v>0</v>
      </c>
      <c r="AJ789" s="24" t="n">
        <f aca="false">IF(AC789="",0,IFERROR(INDEX(Resep!$C$9:$C$13,MATCH(LEFT(AC789,3),Resep!$B$9:$B$13,0)),0))</f>
        <v>0</v>
      </c>
      <c r="AK789" s="24" t="n">
        <f aca="false">IF(AD789="",0,IFERROR(INDEX(Resep!$C$15:$C$18,MATCH(LEFT(AD789,3),Resep!$B$15:$B$18,0)),0))</f>
        <v>0</v>
      </c>
      <c r="AL789" s="24" t="str">
        <f aca="false">IF(X789="","",AG789+AH789+AI789+AJ789+AK789)</f>
        <v/>
      </c>
      <c r="AM789" s="22" t="str">
        <f aca="false">IF(X789="","",AL789*(Pengaturan!$B$6+Pengaturan!$B$7)+Pengaturan!$B$8+AE789*Pengaturan!$B$9+AF789*Pengaturan!$B$10)</f>
        <v/>
      </c>
      <c r="AN789" s="22" t="str">
        <f aca="false">IF(X789="","",N(G789)-AM789)</f>
        <v/>
      </c>
      <c r="AO789" s="25" t="str">
        <f aca="false">IF(OR(X789="",N(G789)=0),"",AN789/G789)</f>
        <v/>
      </c>
    </row>
    <row r="790" customFormat="false" ht="15" hidden="false" customHeight="false" outlineLevel="0" collapsed="false">
      <c r="A790" s="19"/>
      <c r="B790" s="20"/>
      <c r="C790" s="19"/>
      <c r="D790" s="19"/>
      <c r="E790" s="19"/>
      <c r="F790" s="19"/>
      <c r="G790" s="21"/>
      <c r="H790" s="19"/>
      <c r="I790" s="21"/>
      <c r="J790" s="19"/>
      <c r="K790" s="20"/>
      <c r="L790" s="20"/>
      <c r="M790" s="19"/>
      <c r="N790" s="19"/>
      <c r="O790" s="20"/>
      <c r="P790" s="20"/>
      <c r="Q790" s="19"/>
      <c r="R790" s="22" t="str">
        <f aca="false">IF(A790="","",N(G790)+N(I790))</f>
        <v/>
      </c>
      <c r="S790" s="23" t="str">
        <f aca="false">IF(OR(K790="",O790=""),"",O790-K790)</f>
        <v/>
      </c>
      <c r="T790" s="23" t="str">
        <f aca="true">IF(AND(C790="Cetak",L790&lt;&gt;"",L790&lt;TODAY()),"YA","")</f>
        <v/>
      </c>
      <c r="U790" s="23" t="str">
        <f aca="false">IF(B790="","",TEXT(B790,"yyyy-mm"))</f>
        <v/>
      </c>
      <c r="V790" s="23" t="str">
        <f aca="false">IF(K790="","",TEXT(K790,"yyyy-mm"))</f>
        <v/>
      </c>
      <c r="W790" s="23" t="n">
        <f aca="false">IF(OR(C790="Cetak",C790="Dikirim",C790="Selesai"),1,0)</f>
        <v>0</v>
      </c>
      <c r="X790" s="23" t="str">
        <f aca="false">IF(F790="","",SUBSTITUTE(SUBSTITUTE(MID(UPPER(TRIM(F790)),4,99),"-LED",""),"-TK",""))</f>
        <v/>
      </c>
      <c r="Y790" s="23" t="str">
        <f aca="false">IF(X790="","",(LEN(X790)+1)/7)</f>
        <v/>
      </c>
      <c r="Z790" s="23" t="str">
        <f aca="false">IF(X790="","",LEFT(X790,6))</f>
        <v/>
      </c>
      <c r="AA790" s="23" t="str">
        <f aca="false">IF(X790="","",IF(Y790&gt;=3,MID(X790,8,6),""))</f>
        <v/>
      </c>
      <c r="AB790" s="23" t="str">
        <f aca="false">IF(X790="","",IF(Y790&gt;=4,MID(X790,15,6),""))</f>
        <v/>
      </c>
      <c r="AC790" s="23" t="str">
        <f aca="false">IF(X790="","",IF(Y790&gt;=5,MID(X790,22,6),""))</f>
        <v/>
      </c>
      <c r="AD790" s="23" t="str">
        <f aca="false">IF(X790="","",RIGHT(X790,6))</f>
        <v/>
      </c>
      <c r="AE790" s="23" t="str">
        <f aca="false">IF(F790="","",IF(ISNUMBER(SEARCH("-TK",UPPER(F790))),0,1))</f>
        <v/>
      </c>
      <c r="AF790" s="23" t="str">
        <f aca="false">IF(F790="","",IF(ISNUMBER(SEARCH("-LED",UPPER(F790))),1,0))</f>
        <v/>
      </c>
      <c r="AG790" s="24" t="n">
        <f aca="false">IF(Z790="",0,IFERROR(INDEX(Resep!$C$5:$C$7,MATCH(LEFT(Z790,3),Resep!$B$5:$B$7,0)),0))</f>
        <v>0</v>
      </c>
      <c r="AH790" s="24" t="n">
        <f aca="false">IF(AA790="",0,IFERROR(INDEX(Resep!$C$9:$C$13,MATCH(LEFT(AA790,3),Resep!$B$9:$B$13,0)),0))</f>
        <v>0</v>
      </c>
      <c r="AI790" s="24" t="n">
        <f aca="false">IF(AB790="",0,IFERROR(INDEX(Resep!$C$9:$C$13,MATCH(LEFT(AB790,3),Resep!$B$9:$B$13,0)),0))</f>
        <v>0</v>
      </c>
      <c r="AJ790" s="24" t="n">
        <f aca="false">IF(AC790="",0,IFERROR(INDEX(Resep!$C$9:$C$13,MATCH(LEFT(AC790,3),Resep!$B$9:$B$13,0)),0))</f>
        <v>0</v>
      </c>
      <c r="AK790" s="24" t="n">
        <f aca="false">IF(AD790="",0,IFERROR(INDEX(Resep!$C$15:$C$18,MATCH(LEFT(AD790,3),Resep!$B$15:$B$18,0)),0))</f>
        <v>0</v>
      </c>
      <c r="AL790" s="24" t="str">
        <f aca="false">IF(X790="","",AG790+AH790+AI790+AJ790+AK790)</f>
        <v/>
      </c>
      <c r="AM790" s="22" t="str">
        <f aca="false">IF(X790="","",AL790*(Pengaturan!$B$6+Pengaturan!$B$7)+Pengaturan!$B$8+AE790*Pengaturan!$B$9+AF790*Pengaturan!$B$10)</f>
        <v/>
      </c>
      <c r="AN790" s="22" t="str">
        <f aca="false">IF(X790="","",N(G790)-AM790)</f>
        <v/>
      </c>
      <c r="AO790" s="25" t="str">
        <f aca="false">IF(OR(X790="",N(G790)=0),"",AN790/G790)</f>
        <v/>
      </c>
    </row>
    <row r="791" customFormat="false" ht="15" hidden="false" customHeight="false" outlineLevel="0" collapsed="false">
      <c r="A791" s="19"/>
      <c r="B791" s="20"/>
      <c r="C791" s="19"/>
      <c r="D791" s="19"/>
      <c r="E791" s="19"/>
      <c r="F791" s="19"/>
      <c r="G791" s="21"/>
      <c r="H791" s="19"/>
      <c r="I791" s="21"/>
      <c r="J791" s="19"/>
      <c r="K791" s="20"/>
      <c r="L791" s="20"/>
      <c r="M791" s="19"/>
      <c r="N791" s="19"/>
      <c r="O791" s="20"/>
      <c r="P791" s="20"/>
      <c r="Q791" s="19"/>
      <c r="R791" s="22" t="str">
        <f aca="false">IF(A791="","",N(G791)+N(I791))</f>
        <v/>
      </c>
      <c r="S791" s="23" t="str">
        <f aca="false">IF(OR(K791="",O791=""),"",O791-K791)</f>
        <v/>
      </c>
      <c r="T791" s="23" t="str">
        <f aca="true">IF(AND(C791="Cetak",L791&lt;&gt;"",L791&lt;TODAY()),"YA","")</f>
        <v/>
      </c>
      <c r="U791" s="23" t="str">
        <f aca="false">IF(B791="","",TEXT(B791,"yyyy-mm"))</f>
        <v/>
      </c>
      <c r="V791" s="23" t="str">
        <f aca="false">IF(K791="","",TEXT(K791,"yyyy-mm"))</f>
        <v/>
      </c>
      <c r="W791" s="23" t="n">
        <f aca="false">IF(OR(C791="Cetak",C791="Dikirim",C791="Selesai"),1,0)</f>
        <v>0</v>
      </c>
      <c r="X791" s="23" t="str">
        <f aca="false">IF(F791="","",SUBSTITUTE(SUBSTITUTE(MID(UPPER(TRIM(F791)),4,99),"-LED",""),"-TK",""))</f>
        <v/>
      </c>
      <c r="Y791" s="23" t="str">
        <f aca="false">IF(X791="","",(LEN(X791)+1)/7)</f>
        <v/>
      </c>
      <c r="Z791" s="23" t="str">
        <f aca="false">IF(X791="","",LEFT(X791,6))</f>
        <v/>
      </c>
      <c r="AA791" s="23" t="str">
        <f aca="false">IF(X791="","",IF(Y791&gt;=3,MID(X791,8,6),""))</f>
        <v/>
      </c>
      <c r="AB791" s="23" t="str">
        <f aca="false">IF(X791="","",IF(Y791&gt;=4,MID(X791,15,6),""))</f>
        <v/>
      </c>
      <c r="AC791" s="23" t="str">
        <f aca="false">IF(X791="","",IF(Y791&gt;=5,MID(X791,22,6),""))</f>
        <v/>
      </c>
      <c r="AD791" s="23" t="str">
        <f aca="false">IF(X791="","",RIGHT(X791,6))</f>
        <v/>
      </c>
      <c r="AE791" s="23" t="str">
        <f aca="false">IF(F791="","",IF(ISNUMBER(SEARCH("-TK",UPPER(F791))),0,1))</f>
        <v/>
      </c>
      <c r="AF791" s="23" t="str">
        <f aca="false">IF(F791="","",IF(ISNUMBER(SEARCH("-LED",UPPER(F791))),1,0))</f>
        <v/>
      </c>
      <c r="AG791" s="24" t="n">
        <f aca="false">IF(Z791="",0,IFERROR(INDEX(Resep!$C$5:$C$7,MATCH(LEFT(Z791,3),Resep!$B$5:$B$7,0)),0))</f>
        <v>0</v>
      </c>
      <c r="AH791" s="24" t="n">
        <f aca="false">IF(AA791="",0,IFERROR(INDEX(Resep!$C$9:$C$13,MATCH(LEFT(AA791,3),Resep!$B$9:$B$13,0)),0))</f>
        <v>0</v>
      </c>
      <c r="AI791" s="24" t="n">
        <f aca="false">IF(AB791="",0,IFERROR(INDEX(Resep!$C$9:$C$13,MATCH(LEFT(AB791,3),Resep!$B$9:$B$13,0)),0))</f>
        <v>0</v>
      </c>
      <c r="AJ791" s="24" t="n">
        <f aca="false">IF(AC791="",0,IFERROR(INDEX(Resep!$C$9:$C$13,MATCH(LEFT(AC791,3),Resep!$B$9:$B$13,0)),0))</f>
        <v>0</v>
      </c>
      <c r="AK791" s="24" t="n">
        <f aca="false">IF(AD791="",0,IFERROR(INDEX(Resep!$C$15:$C$18,MATCH(LEFT(AD791,3),Resep!$B$15:$B$18,0)),0))</f>
        <v>0</v>
      </c>
      <c r="AL791" s="24" t="str">
        <f aca="false">IF(X791="","",AG791+AH791+AI791+AJ791+AK791)</f>
        <v/>
      </c>
      <c r="AM791" s="22" t="str">
        <f aca="false">IF(X791="","",AL791*(Pengaturan!$B$6+Pengaturan!$B$7)+Pengaturan!$B$8+AE791*Pengaturan!$B$9+AF791*Pengaturan!$B$10)</f>
        <v/>
      </c>
      <c r="AN791" s="22" t="str">
        <f aca="false">IF(X791="","",N(G791)-AM791)</f>
        <v/>
      </c>
      <c r="AO791" s="25" t="str">
        <f aca="false">IF(OR(X791="",N(G791)=0),"",AN791/G791)</f>
        <v/>
      </c>
    </row>
    <row r="792" customFormat="false" ht="15" hidden="false" customHeight="false" outlineLevel="0" collapsed="false">
      <c r="A792" s="19"/>
      <c r="B792" s="20"/>
      <c r="C792" s="19"/>
      <c r="D792" s="19"/>
      <c r="E792" s="19"/>
      <c r="F792" s="19"/>
      <c r="G792" s="21"/>
      <c r="H792" s="19"/>
      <c r="I792" s="21"/>
      <c r="J792" s="19"/>
      <c r="K792" s="20"/>
      <c r="L792" s="20"/>
      <c r="M792" s="19"/>
      <c r="N792" s="19"/>
      <c r="O792" s="20"/>
      <c r="P792" s="20"/>
      <c r="Q792" s="19"/>
      <c r="R792" s="22" t="str">
        <f aca="false">IF(A792="","",N(G792)+N(I792))</f>
        <v/>
      </c>
      <c r="S792" s="23" t="str">
        <f aca="false">IF(OR(K792="",O792=""),"",O792-K792)</f>
        <v/>
      </c>
      <c r="T792" s="23" t="str">
        <f aca="true">IF(AND(C792="Cetak",L792&lt;&gt;"",L792&lt;TODAY()),"YA","")</f>
        <v/>
      </c>
      <c r="U792" s="23" t="str">
        <f aca="false">IF(B792="","",TEXT(B792,"yyyy-mm"))</f>
        <v/>
      </c>
      <c r="V792" s="23" t="str">
        <f aca="false">IF(K792="","",TEXT(K792,"yyyy-mm"))</f>
        <v/>
      </c>
      <c r="W792" s="23" t="n">
        <f aca="false">IF(OR(C792="Cetak",C792="Dikirim",C792="Selesai"),1,0)</f>
        <v>0</v>
      </c>
      <c r="X792" s="23" t="str">
        <f aca="false">IF(F792="","",SUBSTITUTE(SUBSTITUTE(MID(UPPER(TRIM(F792)),4,99),"-LED",""),"-TK",""))</f>
        <v/>
      </c>
      <c r="Y792" s="23" t="str">
        <f aca="false">IF(X792="","",(LEN(X792)+1)/7)</f>
        <v/>
      </c>
      <c r="Z792" s="23" t="str">
        <f aca="false">IF(X792="","",LEFT(X792,6))</f>
        <v/>
      </c>
      <c r="AA792" s="23" t="str">
        <f aca="false">IF(X792="","",IF(Y792&gt;=3,MID(X792,8,6),""))</f>
        <v/>
      </c>
      <c r="AB792" s="23" t="str">
        <f aca="false">IF(X792="","",IF(Y792&gt;=4,MID(X792,15,6),""))</f>
        <v/>
      </c>
      <c r="AC792" s="23" t="str">
        <f aca="false">IF(X792="","",IF(Y792&gt;=5,MID(X792,22,6),""))</f>
        <v/>
      </c>
      <c r="AD792" s="23" t="str">
        <f aca="false">IF(X792="","",RIGHT(X792,6))</f>
        <v/>
      </c>
      <c r="AE792" s="23" t="str">
        <f aca="false">IF(F792="","",IF(ISNUMBER(SEARCH("-TK",UPPER(F792))),0,1))</f>
        <v/>
      </c>
      <c r="AF792" s="23" t="str">
        <f aca="false">IF(F792="","",IF(ISNUMBER(SEARCH("-LED",UPPER(F792))),1,0))</f>
        <v/>
      </c>
      <c r="AG792" s="24" t="n">
        <f aca="false">IF(Z792="",0,IFERROR(INDEX(Resep!$C$5:$C$7,MATCH(LEFT(Z792,3),Resep!$B$5:$B$7,0)),0))</f>
        <v>0</v>
      </c>
      <c r="AH792" s="24" t="n">
        <f aca="false">IF(AA792="",0,IFERROR(INDEX(Resep!$C$9:$C$13,MATCH(LEFT(AA792,3),Resep!$B$9:$B$13,0)),0))</f>
        <v>0</v>
      </c>
      <c r="AI792" s="24" t="n">
        <f aca="false">IF(AB792="",0,IFERROR(INDEX(Resep!$C$9:$C$13,MATCH(LEFT(AB792,3),Resep!$B$9:$B$13,0)),0))</f>
        <v>0</v>
      </c>
      <c r="AJ792" s="24" t="n">
        <f aca="false">IF(AC792="",0,IFERROR(INDEX(Resep!$C$9:$C$13,MATCH(LEFT(AC792,3),Resep!$B$9:$B$13,0)),0))</f>
        <v>0</v>
      </c>
      <c r="AK792" s="24" t="n">
        <f aca="false">IF(AD792="",0,IFERROR(INDEX(Resep!$C$15:$C$18,MATCH(LEFT(AD792,3),Resep!$B$15:$B$18,0)),0))</f>
        <v>0</v>
      </c>
      <c r="AL792" s="24" t="str">
        <f aca="false">IF(X792="","",AG792+AH792+AI792+AJ792+AK792)</f>
        <v/>
      </c>
      <c r="AM792" s="22" t="str">
        <f aca="false">IF(X792="","",AL792*(Pengaturan!$B$6+Pengaturan!$B$7)+Pengaturan!$B$8+AE792*Pengaturan!$B$9+AF792*Pengaturan!$B$10)</f>
        <v/>
      </c>
      <c r="AN792" s="22" t="str">
        <f aca="false">IF(X792="","",N(G792)-AM792)</f>
        <v/>
      </c>
      <c r="AO792" s="25" t="str">
        <f aca="false">IF(OR(X792="",N(G792)=0),"",AN792/G792)</f>
        <v/>
      </c>
    </row>
    <row r="793" customFormat="false" ht="15" hidden="false" customHeight="false" outlineLevel="0" collapsed="false">
      <c r="A793" s="19"/>
      <c r="B793" s="20"/>
      <c r="C793" s="19"/>
      <c r="D793" s="19"/>
      <c r="E793" s="19"/>
      <c r="F793" s="19"/>
      <c r="G793" s="21"/>
      <c r="H793" s="19"/>
      <c r="I793" s="21"/>
      <c r="J793" s="19"/>
      <c r="K793" s="20"/>
      <c r="L793" s="20"/>
      <c r="M793" s="19"/>
      <c r="N793" s="19"/>
      <c r="O793" s="20"/>
      <c r="P793" s="20"/>
      <c r="Q793" s="19"/>
      <c r="R793" s="22" t="str">
        <f aca="false">IF(A793="","",N(G793)+N(I793))</f>
        <v/>
      </c>
      <c r="S793" s="23" t="str">
        <f aca="false">IF(OR(K793="",O793=""),"",O793-K793)</f>
        <v/>
      </c>
      <c r="T793" s="23" t="str">
        <f aca="true">IF(AND(C793="Cetak",L793&lt;&gt;"",L793&lt;TODAY()),"YA","")</f>
        <v/>
      </c>
      <c r="U793" s="23" t="str">
        <f aca="false">IF(B793="","",TEXT(B793,"yyyy-mm"))</f>
        <v/>
      </c>
      <c r="V793" s="23" t="str">
        <f aca="false">IF(K793="","",TEXT(K793,"yyyy-mm"))</f>
        <v/>
      </c>
      <c r="W793" s="23" t="n">
        <f aca="false">IF(OR(C793="Cetak",C793="Dikirim",C793="Selesai"),1,0)</f>
        <v>0</v>
      </c>
      <c r="X793" s="23" t="str">
        <f aca="false">IF(F793="","",SUBSTITUTE(SUBSTITUTE(MID(UPPER(TRIM(F793)),4,99),"-LED",""),"-TK",""))</f>
        <v/>
      </c>
      <c r="Y793" s="23" t="str">
        <f aca="false">IF(X793="","",(LEN(X793)+1)/7)</f>
        <v/>
      </c>
      <c r="Z793" s="23" t="str">
        <f aca="false">IF(X793="","",LEFT(X793,6))</f>
        <v/>
      </c>
      <c r="AA793" s="23" t="str">
        <f aca="false">IF(X793="","",IF(Y793&gt;=3,MID(X793,8,6),""))</f>
        <v/>
      </c>
      <c r="AB793" s="23" t="str">
        <f aca="false">IF(X793="","",IF(Y793&gt;=4,MID(X793,15,6),""))</f>
        <v/>
      </c>
      <c r="AC793" s="23" t="str">
        <f aca="false">IF(X793="","",IF(Y793&gt;=5,MID(X793,22,6),""))</f>
        <v/>
      </c>
      <c r="AD793" s="23" t="str">
        <f aca="false">IF(X793="","",RIGHT(X793,6))</f>
        <v/>
      </c>
      <c r="AE793" s="23" t="str">
        <f aca="false">IF(F793="","",IF(ISNUMBER(SEARCH("-TK",UPPER(F793))),0,1))</f>
        <v/>
      </c>
      <c r="AF793" s="23" t="str">
        <f aca="false">IF(F793="","",IF(ISNUMBER(SEARCH("-LED",UPPER(F793))),1,0))</f>
        <v/>
      </c>
      <c r="AG793" s="24" t="n">
        <f aca="false">IF(Z793="",0,IFERROR(INDEX(Resep!$C$5:$C$7,MATCH(LEFT(Z793,3),Resep!$B$5:$B$7,0)),0))</f>
        <v>0</v>
      </c>
      <c r="AH793" s="24" t="n">
        <f aca="false">IF(AA793="",0,IFERROR(INDEX(Resep!$C$9:$C$13,MATCH(LEFT(AA793,3),Resep!$B$9:$B$13,0)),0))</f>
        <v>0</v>
      </c>
      <c r="AI793" s="24" t="n">
        <f aca="false">IF(AB793="",0,IFERROR(INDEX(Resep!$C$9:$C$13,MATCH(LEFT(AB793,3),Resep!$B$9:$B$13,0)),0))</f>
        <v>0</v>
      </c>
      <c r="AJ793" s="24" t="n">
        <f aca="false">IF(AC793="",0,IFERROR(INDEX(Resep!$C$9:$C$13,MATCH(LEFT(AC793,3),Resep!$B$9:$B$13,0)),0))</f>
        <v>0</v>
      </c>
      <c r="AK793" s="24" t="n">
        <f aca="false">IF(AD793="",0,IFERROR(INDEX(Resep!$C$15:$C$18,MATCH(LEFT(AD793,3),Resep!$B$15:$B$18,0)),0))</f>
        <v>0</v>
      </c>
      <c r="AL793" s="24" t="str">
        <f aca="false">IF(X793="","",AG793+AH793+AI793+AJ793+AK793)</f>
        <v/>
      </c>
      <c r="AM793" s="22" t="str">
        <f aca="false">IF(X793="","",AL793*(Pengaturan!$B$6+Pengaturan!$B$7)+Pengaturan!$B$8+AE793*Pengaturan!$B$9+AF793*Pengaturan!$B$10)</f>
        <v/>
      </c>
      <c r="AN793" s="22" t="str">
        <f aca="false">IF(X793="","",N(G793)-AM793)</f>
        <v/>
      </c>
      <c r="AO793" s="25" t="str">
        <f aca="false">IF(OR(X793="",N(G793)=0),"",AN793/G793)</f>
        <v/>
      </c>
    </row>
    <row r="794" customFormat="false" ht="15" hidden="false" customHeight="false" outlineLevel="0" collapsed="false">
      <c r="A794" s="19"/>
      <c r="B794" s="20"/>
      <c r="C794" s="19"/>
      <c r="D794" s="19"/>
      <c r="E794" s="19"/>
      <c r="F794" s="19"/>
      <c r="G794" s="21"/>
      <c r="H794" s="19"/>
      <c r="I794" s="21"/>
      <c r="J794" s="19"/>
      <c r="K794" s="20"/>
      <c r="L794" s="20"/>
      <c r="M794" s="19"/>
      <c r="N794" s="19"/>
      <c r="O794" s="20"/>
      <c r="P794" s="20"/>
      <c r="Q794" s="19"/>
      <c r="R794" s="22" t="str">
        <f aca="false">IF(A794="","",N(G794)+N(I794))</f>
        <v/>
      </c>
      <c r="S794" s="23" t="str">
        <f aca="false">IF(OR(K794="",O794=""),"",O794-K794)</f>
        <v/>
      </c>
      <c r="T794" s="23" t="str">
        <f aca="true">IF(AND(C794="Cetak",L794&lt;&gt;"",L794&lt;TODAY()),"YA","")</f>
        <v/>
      </c>
      <c r="U794" s="23" t="str">
        <f aca="false">IF(B794="","",TEXT(B794,"yyyy-mm"))</f>
        <v/>
      </c>
      <c r="V794" s="23" t="str">
        <f aca="false">IF(K794="","",TEXT(K794,"yyyy-mm"))</f>
        <v/>
      </c>
      <c r="W794" s="23" t="n">
        <f aca="false">IF(OR(C794="Cetak",C794="Dikirim",C794="Selesai"),1,0)</f>
        <v>0</v>
      </c>
      <c r="X794" s="23" t="str">
        <f aca="false">IF(F794="","",SUBSTITUTE(SUBSTITUTE(MID(UPPER(TRIM(F794)),4,99),"-LED",""),"-TK",""))</f>
        <v/>
      </c>
      <c r="Y794" s="23" t="str">
        <f aca="false">IF(X794="","",(LEN(X794)+1)/7)</f>
        <v/>
      </c>
      <c r="Z794" s="23" t="str">
        <f aca="false">IF(X794="","",LEFT(X794,6))</f>
        <v/>
      </c>
      <c r="AA794" s="23" t="str">
        <f aca="false">IF(X794="","",IF(Y794&gt;=3,MID(X794,8,6),""))</f>
        <v/>
      </c>
      <c r="AB794" s="23" t="str">
        <f aca="false">IF(X794="","",IF(Y794&gt;=4,MID(X794,15,6),""))</f>
        <v/>
      </c>
      <c r="AC794" s="23" t="str">
        <f aca="false">IF(X794="","",IF(Y794&gt;=5,MID(X794,22,6),""))</f>
        <v/>
      </c>
      <c r="AD794" s="23" t="str">
        <f aca="false">IF(X794="","",RIGHT(X794,6))</f>
        <v/>
      </c>
      <c r="AE794" s="23" t="str">
        <f aca="false">IF(F794="","",IF(ISNUMBER(SEARCH("-TK",UPPER(F794))),0,1))</f>
        <v/>
      </c>
      <c r="AF794" s="23" t="str">
        <f aca="false">IF(F794="","",IF(ISNUMBER(SEARCH("-LED",UPPER(F794))),1,0))</f>
        <v/>
      </c>
      <c r="AG794" s="24" t="n">
        <f aca="false">IF(Z794="",0,IFERROR(INDEX(Resep!$C$5:$C$7,MATCH(LEFT(Z794,3),Resep!$B$5:$B$7,0)),0))</f>
        <v>0</v>
      </c>
      <c r="AH794" s="24" t="n">
        <f aca="false">IF(AA794="",0,IFERROR(INDEX(Resep!$C$9:$C$13,MATCH(LEFT(AA794,3),Resep!$B$9:$B$13,0)),0))</f>
        <v>0</v>
      </c>
      <c r="AI794" s="24" t="n">
        <f aca="false">IF(AB794="",0,IFERROR(INDEX(Resep!$C$9:$C$13,MATCH(LEFT(AB794,3),Resep!$B$9:$B$13,0)),0))</f>
        <v>0</v>
      </c>
      <c r="AJ794" s="24" t="n">
        <f aca="false">IF(AC794="",0,IFERROR(INDEX(Resep!$C$9:$C$13,MATCH(LEFT(AC794,3),Resep!$B$9:$B$13,0)),0))</f>
        <v>0</v>
      </c>
      <c r="AK794" s="24" t="n">
        <f aca="false">IF(AD794="",0,IFERROR(INDEX(Resep!$C$15:$C$18,MATCH(LEFT(AD794,3),Resep!$B$15:$B$18,0)),0))</f>
        <v>0</v>
      </c>
      <c r="AL794" s="24" t="str">
        <f aca="false">IF(X794="","",AG794+AH794+AI794+AJ794+AK794)</f>
        <v/>
      </c>
      <c r="AM794" s="22" t="str">
        <f aca="false">IF(X794="","",AL794*(Pengaturan!$B$6+Pengaturan!$B$7)+Pengaturan!$B$8+AE794*Pengaturan!$B$9+AF794*Pengaturan!$B$10)</f>
        <v/>
      </c>
      <c r="AN794" s="22" t="str">
        <f aca="false">IF(X794="","",N(G794)-AM794)</f>
        <v/>
      </c>
      <c r="AO794" s="25" t="str">
        <f aca="false">IF(OR(X794="",N(G794)=0),"",AN794/G794)</f>
        <v/>
      </c>
    </row>
    <row r="795" customFormat="false" ht="15" hidden="false" customHeight="false" outlineLevel="0" collapsed="false">
      <c r="A795" s="19"/>
      <c r="B795" s="20"/>
      <c r="C795" s="19"/>
      <c r="D795" s="19"/>
      <c r="E795" s="19"/>
      <c r="F795" s="19"/>
      <c r="G795" s="21"/>
      <c r="H795" s="19"/>
      <c r="I795" s="21"/>
      <c r="J795" s="19"/>
      <c r="K795" s="20"/>
      <c r="L795" s="20"/>
      <c r="M795" s="19"/>
      <c r="N795" s="19"/>
      <c r="O795" s="20"/>
      <c r="P795" s="20"/>
      <c r="Q795" s="19"/>
      <c r="R795" s="22" t="str">
        <f aca="false">IF(A795="","",N(G795)+N(I795))</f>
        <v/>
      </c>
      <c r="S795" s="23" t="str">
        <f aca="false">IF(OR(K795="",O795=""),"",O795-K795)</f>
        <v/>
      </c>
      <c r="T795" s="23" t="str">
        <f aca="true">IF(AND(C795="Cetak",L795&lt;&gt;"",L795&lt;TODAY()),"YA","")</f>
        <v/>
      </c>
      <c r="U795" s="23" t="str">
        <f aca="false">IF(B795="","",TEXT(B795,"yyyy-mm"))</f>
        <v/>
      </c>
      <c r="V795" s="23" t="str">
        <f aca="false">IF(K795="","",TEXT(K795,"yyyy-mm"))</f>
        <v/>
      </c>
      <c r="W795" s="23" t="n">
        <f aca="false">IF(OR(C795="Cetak",C795="Dikirim",C795="Selesai"),1,0)</f>
        <v>0</v>
      </c>
      <c r="X795" s="23" t="str">
        <f aca="false">IF(F795="","",SUBSTITUTE(SUBSTITUTE(MID(UPPER(TRIM(F795)),4,99),"-LED",""),"-TK",""))</f>
        <v/>
      </c>
      <c r="Y795" s="23" t="str">
        <f aca="false">IF(X795="","",(LEN(X795)+1)/7)</f>
        <v/>
      </c>
      <c r="Z795" s="23" t="str">
        <f aca="false">IF(X795="","",LEFT(X795,6))</f>
        <v/>
      </c>
      <c r="AA795" s="23" t="str">
        <f aca="false">IF(X795="","",IF(Y795&gt;=3,MID(X795,8,6),""))</f>
        <v/>
      </c>
      <c r="AB795" s="23" t="str">
        <f aca="false">IF(X795="","",IF(Y795&gt;=4,MID(X795,15,6),""))</f>
        <v/>
      </c>
      <c r="AC795" s="23" t="str">
        <f aca="false">IF(X795="","",IF(Y795&gt;=5,MID(X795,22,6),""))</f>
        <v/>
      </c>
      <c r="AD795" s="23" t="str">
        <f aca="false">IF(X795="","",RIGHT(X795,6))</f>
        <v/>
      </c>
      <c r="AE795" s="23" t="str">
        <f aca="false">IF(F795="","",IF(ISNUMBER(SEARCH("-TK",UPPER(F795))),0,1))</f>
        <v/>
      </c>
      <c r="AF795" s="23" t="str">
        <f aca="false">IF(F795="","",IF(ISNUMBER(SEARCH("-LED",UPPER(F795))),1,0))</f>
        <v/>
      </c>
      <c r="AG795" s="24" t="n">
        <f aca="false">IF(Z795="",0,IFERROR(INDEX(Resep!$C$5:$C$7,MATCH(LEFT(Z795,3),Resep!$B$5:$B$7,0)),0))</f>
        <v>0</v>
      </c>
      <c r="AH795" s="24" t="n">
        <f aca="false">IF(AA795="",0,IFERROR(INDEX(Resep!$C$9:$C$13,MATCH(LEFT(AA795,3),Resep!$B$9:$B$13,0)),0))</f>
        <v>0</v>
      </c>
      <c r="AI795" s="24" t="n">
        <f aca="false">IF(AB795="",0,IFERROR(INDEX(Resep!$C$9:$C$13,MATCH(LEFT(AB795,3),Resep!$B$9:$B$13,0)),0))</f>
        <v>0</v>
      </c>
      <c r="AJ795" s="24" t="n">
        <f aca="false">IF(AC795="",0,IFERROR(INDEX(Resep!$C$9:$C$13,MATCH(LEFT(AC795,3),Resep!$B$9:$B$13,0)),0))</f>
        <v>0</v>
      </c>
      <c r="AK795" s="24" t="n">
        <f aca="false">IF(AD795="",0,IFERROR(INDEX(Resep!$C$15:$C$18,MATCH(LEFT(AD795,3),Resep!$B$15:$B$18,0)),0))</f>
        <v>0</v>
      </c>
      <c r="AL795" s="24" t="str">
        <f aca="false">IF(X795="","",AG795+AH795+AI795+AJ795+AK795)</f>
        <v/>
      </c>
      <c r="AM795" s="22" t="str">
        <f aca="false">IF(X795="","",AL795*(Pengaturan!$B$6+Pengaturan!$B$7)+Pengaturan!$B$8+AE795*Pengaturan!$B$9+AF795*Pengaturan!$B$10)</f>
        <v/>
      </c>
      <c r="AN795" s="22" t="str">
        <f aca="false">IF(X795="","",N(G795)-AM795)</f>
        <v/>
      </c>
      <c r="AO795" s="25" t="str">
        <f aca="false">IF(OR(X795="",N(G795)=0),"",AN795/G795)</f>
        <v/>
      </c>
    </row>
    <row r="796" customFormat="false" ht="15" hidden="false" customHeight="false" outlineLevel="0" collapsed="false">
      <c r="A796" s="19"/>
      <c r="B796" s="20"/>
      <c r="C796" s="19"/>
      <c r="D796" s="19"/>
      <c r="E796" s="19"/>
      <c r="F796" s="19"/>
      <c r="G796" s="21"/>
      <c r="H796" s="19"/>
      <c r="I796" s="21"/>
      <c r="J796" s="19"/>
      <c r="K796" s="20"/>
      <c r="L796" s="20"/>
      <c r="M796" s="19"/>
      <c r="N796" s="19"/>
      <c r="O796" s="20"/>
      <c r="P796" s="20"/>
      <c r="Q796" s="19"/>
      <c r="R796" s="22" t="str">
        <f aca="false">IF(A796="","",N(G796)+N(I796))</f>
        <v/>
      </c>
      <c r="S796" s="23" t="str">
        <f aca="false">IF(OR(K796="",O796=""),"",O796-K796)</f>
        <v/>
      </c>
      <c r="T796" s="23" t="str">
        <f aca="true">IF(AND(C796="Cetak",L796&lt;&gt;"",L796&lt;TODAY()),"YA","")</f>
        <v/>
      </c>
      <c r="U796" s="23" t="str">
        <f aca="false">IF(B796="","",TEXT(B796,"yyyy-mm"))</f>
        <v/>
      </c>
      <c r="V796" s="23" t="str">
        <f aca="false">IF(K796="","",TEXT(K796,"yyyy-mm"))</f>
        <v/>
      </c>
      <c r="W796" s="23" t="n">
        <f aca="false">IF(OR(C796="Cetak",C796="Dikirim",C796="Selesai"),1,0)</f>
        <v>0</v>
      </c>
      <c r="X796" s="23" t="str">
        <f aca="false">IF(F796="","",SUBSTITUTE(SUBSTITUTE(MID(UPPER(TRIM(F796)),4,99),"-LED",""),"-TK",""))</f>
        <v/>
      </c>
      <c r="Y796" s="23" t="str">
        <f aca="false">IF(X796="","",(LEN(X796)+1)/7)</f>
        <v/>
      </c>
      <c r="Z796" s="23" t="str">
        <f aca="false">IF(X796="","",LEFT(X796,6))</f>
        <v/>
      </c>
      <c r="AA796" s="23" t="str">
        <f aca="false">IF(X796="","",IF(Y796&gt;=3,MID(X796,8,6),""))</f>
        <v/>
      </c>
      <c r="AB796" s="23" t="str">
        <f aca="false">IF(X796="","",IF(Y796&gt;=4,MID(X796,15,6),""))</f>
        <v/>
      </c>
      <c r="AC796" s="23" t="str">
        <f aca="false">IF(X796="","",IF(Y796&gt;=5,MID(X796,22,6),""))</f>
        <v/>
      </c>
      <c r="AD796" s="23" t="str">
        <f aca="false">IF(X796="","",RIGHT(X796,6))</f>
        <v/>
      </c>
      <c r="AE796" s="23" t="str">
        <f aca="false">IF(F796="","",IF(ISNUMBER(SEARCH("-TK",UPPER(F796))),0,1))</f>
        <v/>
      </c>
      <c r="AF796" s="23" t="str">
        <f aca="false">IF(F796="","",IF(ISNUMBER(SEARCH("-LED",UPPER(F796))),1,0))</f>
        <v/>
      </c>
      <c r="AG796" s="24" t="n">
        <f aca="false">IF(Z796="",0,IFERROR(INDEX(Resep!$C$5:$C$7,MATCH(LEFT(Z796,3),Resep!$B$5:$B$7,0)),0))</f>
        <v>0</v>
      </c>
      <c r="AH796" s="24" t="n">
        <f aca="false">IF(AA796="",0,IFERROR(INDEX(Resep!$C$9:$C$13,MATCH(LEFT(AA796,3),Resep!$B$9:$B$13,0)),0))</f>
        <v>0</v>
      </c>
      <c r="AI796" s="24" t="n">
        <f aca="false">IF(AB796="",0,IFERROR(INDEX(Resep!$C$9:$C$13,MATCH(LEFT(AB796,3),Resep!$B$9:$B$13,0)),0))</f>
        <v>0</v>
      </c>
      <c r="AJ796" s="24" t="n">
        <f aca="false">IF(AC796="",0,IFERROR(INDEX(Resep!$C$9:$C$13,MATCH(LEFT(AC796,3),Resep!$B$9:$B$13,0)),0))</f>
        <v>0</v>
      </c>
      <c r="AK796" s="24" t="n">
        <f aca="false">IF(AD796="",0,IFERROR(INDEX(Resep!$C$15:$C$18,MATCH(LEFT(AD796,3),Resep!$B$15:$B$18,0)),0))</f>
        <v>0</v>
      </c>
      <c r="AL796" s="24" t="str">
        <f aca="false">IF(X796="","",AG796+AH796+AI796+AJ796+AK796)</f>
        <v/>
      </c>
      <c r="AM796" s="22" t="str">
        <f aca="false">IF(X796="","",AL796*(Pengaturan!$B$6+Pengaturan!$B$7)+Pengaturan!$B$8+AE796*Pengaturan!$B$9+AF796*Pengaturan!$B$10)</f>
        <v/>
      </c>
      <c r="AN796" s="22" t="str">
        <f aca="false">IF(X796="","",N(G796)-AM796)</f>
        <v/>
      </c>
      <c r="AO796" s="25" t="str">
        <f aca="false">IF(OR(X796="",N(G796)=0),"",AN796/G796)</f>
        <v/>
      </c>
    </row>
    <row r="797" customFormat="false" ht="15" hidden="false" customHeight="false" outlineLevel="0" collapsed="false">
      <c r="A797" s="19"/>
      <c r="B797" s="20"/>
      <c r="C797" s="19"/>
      <c r="D797" s="19"/>
      <c r="E797" s="19"/>
      <c r="F797" s="19"/>
      <c r="G797" s="21"/>
      <c r="H797" s="19"/>
      <c r="I797" s="21"/>
      <c r="J797" s="19"/>
      <c r="K797" s="20"/>
      <c r="L797" s="20"/>
      <c r="M797" s="19"/>
      <c r="N797" s="19"/>
      <c r="O797" s="20"/>
      <c r="P797" s="20"/>
      <c r="Q797" s="19"/>
      <c r="R797" s="22" t="str">
        <f aca="false">IF(A797="","",N(G797)+N(I797))</f>
        <v/>
      </c>
      <c r="S797" s="23" t="str">
        <f aca="false">IF(OR(K797="",O797=""),"",O797-K797)</f>
        <v/>
      </c>
      <c r="T797" s="23" t="str">
        <f aca="true">IF(AND(C797="Cetak",L797&lt;&gt;"",L797&lt;TODAY()),"YA","")</f>
        <v/>
      </c>
      <c r="U797" s="23" t="str">
        <f aca="false">IF(B797="","",TEXT(B797,"yyyy-mm"))</f>
        <v/>
      </c>
      <c r="V797" s="23" t="str">
        <f aca="false">IF(K797="","",TEXT(K797,"yyyy-mm"))</f>
        <v/>
      </c>
      <c r="W797" s="23" t="n">
        <f aca="false">IF(OR(C797="Cetak",C797="Dikirim",C797="Selesai"),1,0)</f>
        <v>0</v>
      </c>
      <c r="X797" s="23" t="str">
        <f aca="false">IF(F797="","",SUBSTITUTE(SUBSTITUTE(MID(UPPER(TRIM(F797)),4,99),"-LED",""),"-TK",""))</f>
        <v/>
      </c>
      <c r="Y797" s="23" t="str">
        <f aca="false">IF(X797="","",(LEN(X797)+1)/7)</f>
        <v/>
      </c>
      <c r="Z797" s="23" t="str">
        <f aca="false">IF(X797="","",LEFT(X797,6))</f>
        <v/>
      </c>
      <c r="AA797" s="23" t="str">
        <f aca="false">IF(X797="","",IF(Y797&gt;=3,MID(X797,8,6),""))</f>
        <v/>
      </c>
      <c r="AB797" s="23" t="str">
        <f aca="false">IF(X797="","",IF(Y797&gt;=4,MID(X797,15,6),""))</f>
        <v/>
      </c>
      <c r="AC797" s="23" t="str">
        <f aca="false">IF(X797="","",IF(Y797&gt;=5,MID(X797,22,6),""))</f>
        <v/>
      </c>
      <c r="AD797" s="23" t="str">
        <f aca="false">IF(X797="","",RIGHT(X797,6))</f>
        <v/>
      </c>
      <c r="AE797" s="23" t="str">
        <f aca="false">IF(F797="","",IF(ISNUMBER(SEARCH("-TK",UPPER(F797))),0,1))</f>
        <v/>
      </c>
      <c r="AF797" s="23" t="str">
        <f aca="false">IF(F797="","",IF(ISNUMBER(SEARCH("-LED",UPPER(F797))),1,0))</f>
        <v/>
      </c>
      <c r="AG797" s="24" t="n">
        <f aca="false">IF(Z797="",0,IFERROR(INDEX(Resep!$C$5:$C$7,MATCH(LEFT(Z797,3),Resep!$B$5:$B$7,0)),0))</f>
        <v>0</v>
      </c>
      <c r="AH797" s="24" t="n">
        <f aca="false">IF(AA797="",0,IFERROR(INDEX(Resep!$C$9:$C$13,MATCH(LEFT(AA797,3),Resep!$B$9:$B$13,0)),0))</f>
        <v>0</v>
      </c>
      <c r="AI797" s="24" t="n">
        <f aca="false">IF(AB797="",0,IFERROR(INDEX(Resep!$C$9:$C$13,MATCH(LEFT(AB797,3),Resep!$B$9:$B$13,0)),0))</f>
        <v>0</v>
      </c>
      <c r="AJ797" s="24" t="n">
        <f aca="false">IF(AC797="",0,IFERROR(INDEX(Resep!$C$9:$C$13,MATCH(LEFT(AC797,3),Resep!$B$9:$B$13,0)),0))</f>
        <v>0</v>
      </c>
      <c r="AK797" s="24" t="n">
        <f aca="false">IF(AD797="",0,IFERROR(INDEX(Resep!$C$15:$C$18,MATCH(LEFT(AD797,3),Resep!$B$15:$B$18,0)),0))</f>
        <v>0</v>
      </c>
      <c r="AL797" s="24" t="str">
        <f aca="false">IF(X797="","",AG797+AH797+AI797+AJ797+AK797)</f>
        <v/>
      </c>
      <c r="AM797" s="22" t="str">
        <f aca="false">IF(X797="","",AL797*(Pengaturan!$B$6+Pengaturan!$B$7)+Pengaturan!$B$8+AE797*Pengaturan!$B$9+AF797*Pengaturan!$B$10)</f>
        <v/>
      </c>
      <c r="AN797" s="22" t="str">
        <f aca="false">IF(X797="","",N(G797)-AM797)</f>
        <v/>
      </c>
      <c r="AO797" s="25" t="str">
        <f aca="false">IF(OR(X797="",N(G797)=0),"",AN797/G797)</f>
        <v/>
      </c>
    </row>
    <row r="798" customFormat="false" ht="15" hidden="false" customHeight="false" outlineLevel="0" collapsed="false">
      <c r="A798" s="19"/>
      <c r="B798" s="20"/>
      <c r="C798" s="19"/>
      <c r="D798" s="19"/>
      <c r="E798" s="19"/>
      <c r="F798" s="19"/>
      <c r="G798" s="21"/>
      <c r="H798" s="19"/>
      <c r="I798" s="21"/>
      <c r="J798" s="19"/>
      <c r="K798" s="20"/>
      <c r="L798" s="20"/>
      <c r="M798" s="19"/>
      <c r="N798" s="19"/>
      <c r="O798" s="20"/>
      <c r="P798" s="20"/>
      <c r="Q798" s="19"/>
      <c r="R798" s="22" t="str">
        <f aca="false">IF(A798="","",N(G798)+N(I798))</f>
        <v/>
      </c>
      <c r="S798" s="23" t="str">
        <f aca="false">IF(OR(K798="",O798=""),"",O798-K798)</f>
        <v/>
      </c>
      <c r="T798" s="23" t="str">
        <f aca="true">IF(AND(C798="Cetak",L798&lt;&gt;"",L798&lt;TODAY()),"YA","")</f>
        <v/>
      </c>
      <c r="U798" s="23" t="str">
        <f aca="false">IF(B798="","",TEXT(B798,"yyyy-mm"))</f>
        <v/>
      </c>
      <c r="V798" s="23" t="str">
        <f aca="false">IF(K798="","",TEXT(K798,"yyyy-mm"))</f>
        <v/>
      </c>
      <c r="W798" s="23" t="n">
        <f aca="false">IF(OR(C798="Cetak",C798="Dikirim",C798="Selesai"),1,0)</f>
        <v>0</v>
      </c>
      <c r="X798" s="23" t="str">
        <f aca="false">IF(F798="","",SUBSTITUTE(SUBSTITUTE(MID(UPPER(TRIM(F798)),4,99),"-LED",""),"-TK",""))</f>
        <v/>
      </c>
      <c r="Y798" s="23" t="str">
        <f aca="false">IF(X798="","",(LEN(X798)+1)/7)</f>
        <v/>
      </c>
      <c r="Z798" s="23" t="str">
        <f aca="false">IF(X798="","",LEFT(X798,6))</f>
        <v/>
      </c>
      <c r="AA798" s="23" t="str">
        <f aca="false">IF(X798="","",IF(Y798&gt;=3,MID(X798,8,6),""))</f>
        <v/>
      </c>
      <c r="AB798" s="23" t="str">
        <f aca="false">IF(X798="","",IF(Y798&gt;=4,MID(X798,15,6),""))</f>
        <v/>
      </c>
      <c r="AC798" s="23" t="str">
        <f aca="false">IF(X798="","",IF(Y798&gt;=5,MID(X798,22,6),""))</f>
        <v/>
      </c>
      <c r="AD798" s="23" t="str">
        <f aca="false">IF(X798="","",RIGHT(X798,6))</f>
        <v/>
      </c>
      <c r="AE798" s="23" t="str">
        <f aca="false">IF(F798="","",IF(ISNUMBER(SEARCH("-TK",UPPER(F798))),0,1))</f>
        <v/>
      </c>
      <c r="AF798" s="23" t="str">
        <f aca="false">IF(F798="","",IF(ISNUMBER(SEARCH("-LED",UPPER(F798))),1,0))</f>
        <v/>
      </c>
      <c r="AG798" s="24" t="n">
        <f aca="false">IF(Z798="",0,IFERROR(INDEX(Resep!$C$5:$C$7,MATCH(LEFT(Z798,3),Resep!$B$5:$B$7,0)),0))</f>
        <v>0</v>
      </c>
      <c r="AH798" s="24" t="n">
        <f aca="false">IF(AA798="",0,IFERROR(INDEX(Resep!$C$9:$C$13,MATCH(LEFT(AA798,3),Resep!$B$9:$B$13,0)),0))</f>
        <v>0</v>
      </c>
      <c r="AI798" s="24" t="n">
        <f aca="false">IF(AB798="",0,IFERROR(INDEX(Resep!$C$9:$C$13,MATCH(LEFT(AB798,3),Resep!$B$9:$B$13,0)),0))</f>
        <v>0</v>
      </c>
      <c r="AJ798" s="24" t="n">
        <f aca="false">IF(AC798="",0,IFERROR(INDEX(Resep!$C$9:$C$13,MATCH(LEFT(AC798,3),Resep!$B$9:$B$13,0)),0))</f>
        <v>0</v>
      </c>
      <c r="AK798" s="24" t="n">
        <f aca="false">IF(AD798="",0,IFERROR(INDEX(Resep!$C$15:$C$18,MATCH(LEFT(AD798,3),Resep!$B$15:$B$18,0)),0))</f>
        <v>0</v>
      </c>
      <c r="AL798" s="24" t="str">
        <f aca="false">IF(X798="","",AG798+AH798+AI798+AJ798+AK798)</f>
        <v/>
      </c>
      <c r="AM798" s="22" t="str">
        <f aca="false">IF(X798="","",AL798*(Pengaturan!$B$6+Pengaturan!$B$7)+Pengaturan!$B$8+AE798*Pengaturan!$B$9+AF798*Pengaturan!$B$10)</f>
        <v/>
      </c>
      <c r="AN798" s="22" t="str">
        <f aca="false">IF(X798="","",N(G798)-AM798)</f>
        <v/>
      </c>
      <c r="AO798" s="25" t="str">
        <f aca="false">IF(OR(X798="",N(G798)=0),"",AN798/G798)</f>
        <v/>
      </c>
    </row>
    <row r="799" customFormat="false" ht="15" hidden="false" customHeight="false" outlineLevel="0" collapsed="false">
      <c r="A799" s="19"/>
      <c r="B799" s="20"/>
      <c r="C799" s="19"/>
      <c r="D799" s="19"/>
      <c r="E799" s="19"/>
      <c r="F799" s="19"/>
      <c r="G799" s="21"/>
      <c r="H799" s="19"/>
      <c r="I799" s="21"/>
      <c r="J799" s="19"/>
      <c r="K799" s="20"/>
      <c r="L799" s="20"/>
      <c r="M799" s="19"/>
      <c r="N799" s="19"/>
      <c r="O799" s="20"/>
      <c r="P799" s="20"/>
      <c r="Q799" s="19"/>
      <c r="R799" s="22" t="str">
        <f aca="false">IF(A799="","",N(G799)+N(I799))</f>
        <v/>
      </c>
      <c r="S799" s="23" t="str">
        <f aca="false">IF(OR(K799="",O799=""),"",O799-K799)</f>
        <v/>
      </c>
      <c r="T799" s="23" t="str">
        <f aca="true">IF(AND(C799="Cetak",L799&lt;&gt;"",L799&lt;TODAY()),"YA","")</f>
        <v/>
      </c>
      <c r="U799" s="23" t="str">
        <f aca="false">IF(B799="","",TEXT(B799,"yyyy-mm"))</f>
        <v/>
      </c>
      <c r="V799" s="23" t="str">
        <f aca="false">IF(K799="","",TEXT(K799,"yyyy-mm"))</f>
        <v/>
      </c>
      <c r="W799" s="23" t="n">
        <f aca="false">IF(OR(C799="Cetak",C799="Dikirim",C799="Selesai"),1,0)</f>
        <v>0</v>
      </c>
      <c r="X799" s="23" t="str">
        <f aca="false">IF(F799="","",SUBSTITUTE(SUBSTITUTE(MID(UPPER(TRIM(F799)),4,99),"-LED",""),"-TK",""))</f>
        <v/>
      </c>
      <c r="Y799" s="23" t="str">
        <f aca="false">IF(X799="","",(LEN(X799)+1)/7)</f>
        <v/>
      </c>
      <c r="Z799" s="23" t="str">
        <f aca="false">IF(X799="","",LEFT(X799,6))</f>
        <v/>
      </c>
      <c r="AA799" s="23" t="str">
        <f aca="false">IF(X799="","",IF(Y799&gt;=3,MID(X799,8,6),""))</f>
        <v/>
      </c>
      <c r="AB799" s="23" t="str">
        <f aca="false">IF(X799="","",IF(Y799&gt;=4,MID(X799,15,6),""))</f>
        <v/>
      </c>
      <c r="AC799" s="23" t="str">
        <f aca="false">IF(X799="","",IF(Y799&gt;=5,MID(X799,22,6),""))</f>
        <v/>
      </c>
      <c r="AD799" s="23" t="str">
        <f aca="false">IF(X799="","",RIGHT(X799,6))</f>
        <v/>
      </c>
      <c r="AE799" s="23" t="str">
        <f aca="false">IF(F799="","",IF(ISNUMBER(SEARCH("-TK",UPPER(F799))),0,1))</f>
        <v/>
      </c>
      <c r="AF799" s="23" t="str">
        <f aca="false">IF(F799="","",IF(ISNUMBER(SEARCH("-LED",UPPER(F799))),1,0))</f>
        <v/>
      </c>
      <c r="AG799" s="24" t="n">
        <f aca="false">IF(Z799="",0,IFERROR(INDEX(Resep!$C$5:$C$7,MATCH(LEFT(Z799,3),Resep!$B$5:$B$7,0)),0))</f>
        <v>0</v>
      </c>
      <c r="AH799" s="24" t="n">
        <f aca="false">IF(AA799="",0,IFERROR(INDEX(Resep!$C$9:$C$13,MATCH(LEFT(AA799,3),Resep!$B$9:$B$13,0)),0))</f>
        <v>0</v>
      </c>
      <c r="AI799" s="24" t="n">
        <f aca="false">IF(AB799="",0,IFERROR(INDEX(Resep!$C$9:$C$13,MATCH(LEFT(AB799,3),Resep!$B$9:$B$13,0)),0))</f>
        <v>0</v>
      </c>
      <c r="AJ799" s="24" t="n">
        <f aca="false">IF(AC799="",0,IFERROR(INDEX(Resep!$C$9:$C$13,MATCH(LEFT(AC799,3),Resep!$B$9:$B$13,0)),0))</f>
        <v>0</v>
      </c>
      <c r="AK799" s="24" t="n">
        <f aca="false">IF(AD799="",0,IFERROR(INDEX(Resep!$C$15:$C$18,MATCH(LEFT(AD799,3),Resep!$B$15:$B$18,0)),0))</f>
        <v>0</v>
      </c>
      <c r="AL799" s="24" t="str">
        <f aca="false">IF(X799="","",AG799+AH799+AI799+AJ799+AK799)</f>
        <v/>
      </c>
      <c r="AM799" s="22" t="str">
        <f aca="false">IF(X799="","",AL799*(Pengaturan!$B$6+Pengaturan!$B$7)+Pengaturan!$B$8+AE799*Pengaturan!$B$9+AF799*Pengaturan!$B$10)</f>
        <v/>
      </c>
      <c r="AN799" s="22" t="str">
        <f aca="false">IF(X799="","",N(G799)-AM799)</f>
        <v/>
      </c>
      <c r="AO799" s="25" t="str">
        <f aca="false">IF(OR(X799="",N(G799)=0),"",AN799/G799)</f>
        <v/>
      </c>
    </row>
    <row r="800" customFormat="false" ht="15" hidden="false" customHeight="false" outlineLevel="0" collapsed="false">
      <c r="A800" s="19"/>
      <c r="B800" s="20"/>
      <c r="C800" s="19"/>
      <c r="D800" s="19"/>
      <c r="E800" s="19"/>
      <c r="F800" s="19"/>
      <c r="G800" s="21"/>
      <c r="H800" s="19"/>
      <c r="I800" s="21"/>
      <c r="J800" s="19"/>
      <c r="K800" s="20"/>
      <c r="L800" s="20"/>
      <c r="M800" s="19"/>
      <c r="N800" s="19"/>
      <c r="O800" s="20"/>
      <c r="P800" s="20"/>
      <c r="Q800" s="19"/>
      <c r="R800" s="22" t="str">
        <f aca="false">IF(A800="","",N(G800)+N(I800))</f>
        <v/>
      </c>
      <c r="S800" s="23" t="str">
        <f aca="false">IF(OR(K800="",O800=""),"",O800-K800)</f>
        <v/>
      </c>
      <c r="T800" s="23" t="str">
        <f aca="true">IF(AND(C800="Cetak",L800&lt;&gt;"",L800&lt;TODAY()),"YA","")</f>
        <v/>
      </c>
      <c r="U800" s="23" t="str">
        <f aca="false">IF(B800="","",TEXT(B800,"yyyy-mm"))</f>
        <v/>
      </c>
      <c r="V800" s="23" t="str">
        <f aca="false">IF(K800="","",TEXT(K800,"yyyy-mm"))</f>
        <v/>
      </c>
      <c r="W800" s="23" t="n">
        <f aca="false">IF(OR(C800="Cetak",C800="Dikirim",C800="Selesai"),1,0)</f>
        <v>0</v>
      </c>
      <c r="X800" s="23" t="str">
        <f aca="false">IF(F800="","",SUBSTITUTE(SUBSTITUTE(MID(UPPER(TRIM(F800)),4,99),"-LED",""),"-TK",""))</f>
        <v/>
      </c>
      <c r="Y800" s="23" t="str">
        <f aca="false">IF(X800="","",(LEN(X800)+1)/7)</f>
        <v/>
      </c>
      <c r="Z800" s="23" t="str">
        <f aca="false">IF(X800="","",LEFT(X800,6))</f>
        <v/>
      </c>
      <c r="AA800" s="23" t="str">
        <f aca="false">IF(X800="","",IF(Y800&gt;=3,MID(X800,8,6),""))</f>
        <v/>
      </c>
      <c r="AB800" s="23" t="str">
        <f aca="false">IF(X800="","",IF(Y800&gt;=4,MID(X800,15,6),""))</f>
        <v/>
      </c>
      <c r="AC800" s="23" t="str">
        <f aca="false">IF(X800="","",IF(Y800&gt;=5,MID(X800,22,6),""))</f>
        <v/>
      </c>
      <c r="AD800" s="23" t="str">
        <f aca="false">IF(X800="","",RIGHT(X800,6))</f>
        <v/>
      </c>
      <c r="AE800" s="23" t="str">
        <f aca="false">IF(F800="","",IF(ISNUMBER(SEARCH("-TK",UPPER(F800))),0,1))</f>
        <v/>
      </c>
      <c r="AF800" s="23" t="str">
        <f aca="false">IF(F800="","",IF(ISNUMBER(SEARCH("-LED",UPPER(F800))),1,0))</f>
        <v/>
      </c>
      <c r="AG800" s="24" t="n">
        <f aca="false">IF(Z800="",0,IFERROR(INDEX(Resep!$C$5:$C$7,MATCH(LEFT(Z800,3),Resep!$B$5:$B$7,0)),0))</f>
        <v>0</v>
      </c>
      <c r="AH800" s="24" t="n">
        <f aca="false">IF(AA800="",0,IFERROR(INDEX(Resep!$C$9:$C$13,MATCH(LEFT(AA800,3),Resep!$B$9:$B$13,0)),0))</f>
        <v>0</v>
      </c>
      <c r="AI800" s="24" t="n">
        <f aca="false">IF(AB800="",0,IFERROR(INDEX(Resep!$C$9:$C$13,MATCH(LEFT(AB800,3),Resep!$B$9:$B$13,0)),0))</f>
        <v>0</v>
      </c>
      <c r="AJ800" s="24" t="n">
        <f aca="false">IF(AC800="",0,IFERROR(INDEX(Resep!$C$9:$C$13,MATCH(LEFT(AC800,3),Resep!$B$9:$B$13,0)),0))</f>
        <v>0</v>
      </c>
      <c r="AK800" s="24" t="n">
        <f aca="false">IF(AD800="",0,IFERROR(INDEX(Resep!$C$15:$C$18,MATCH(LEFT(AD800,3),Resep!$B$15:$B$18,0)),0))</f>
        <v>0</v>
      </c>
      <c r="AL800" s="24" t="str">
        <f aca="false">IF(X800="","",AG800+AH800+AI800+AJ800+AK800)</f>
        <v/>
      </c>
      <c r="AM800" s="22" t="str">
        <f aca="false">IF(X800="","",AL800*(Pengaturan!$B$6+Pengaturan!$B$7)+Pengaturan!$B$8+AE800*Pengaturan!$B$9+AF800*Pengaturan!$B$10)</f>
        <v/>
      </c>
      <c r="AN800" s="22" t="str">
        <f aca="false">IF(X800="","",N(G800)-AM800)</f>
        <v/>
      </c>
      <c r="AO800" s="25" t="str">
        <f aca="false">IF(OR(X800="",N(G800)=0),"",AN800/G800)</f>
        <v/>
      </c>
    </row>
    <row r="801" customFormat="false" ht="15" hidden="false" customHeight="false" outlineLevel="0" collapsed="false">
      <c r="A801" s="19"/>
      <c r="B801" s="20"/>
      <c r="C801" s="19"/>
      <c r="D801" s="19"/>
      <c r="E801" s="19"/>
      <c r="F801" s="19"/>
      <c r="G801" s="21"/>
      <c r="H801" s="19"/>
      <c r="I801" s="21"/>
      <c r="J801" s="19"/>
      <c r="K801" s="20"/>
      <c r="L801" s="20"/>
      <c r="M801" s="19"/>
      <c r="N801" s="19"/>
      <c r="O801" s="20"/>
      <c r="P801" s="20"/>
      <c r="Q801" s="19"/>
      <c r="R801" s="22" t="str">
        <f aca="false">IF(A801="","",N(G801)+N(I801))</f>
        <v/>
      </c>
      <c r="S801" s="23" t="str">
        <f aca="false">IF(OR(K801="",O801=""),"",O801-K801)</f>
        <v/>
      </c>
      <c r="T801" s="23" t="str">
        <f aca="true">IF(AND(C801="Cetak",L801&lt;&gt;"",L801&lt;TODAY()),"YA","")</f>
        <v/>
      </c>
      <c r="U801" s="23" t="str">
        <f aca="false">IF(B801="","",TEXT(B801,"yyyy-mm"))</f>
        <v/>
      </c>
      <c r="V801" s="23" t="str">
        <f aca="false">IF(K801="","",TEXT(K801,"yyyy-mm"))</f>
        <v/>
      </c>
      <c r="W801" s="23" t="n">
        <f aca="false">IF(OR(C801="Cetak",C801="Dikirim",C801="Selesai"),1,0)</f>
        <v>0</v>
      </c>
      <c r="X801" s="23" t="str">
        <f aca="false">IF(F801="","",SUBSTITUTE(SUBSTITUTE(MID(UPPER(TRIM(F801)),4,99),"-LED",""),"-TK",""))</f>
        <v/>
      </c>
      <c r="Y801" s="23" t="str">
        <f aca="false">IF(X801="","",(LEN(X801)+1)/7)</f>
        <v/>
      </c>
      <c r="Z801" s="23" t="str">
        <f aca="false">IF(X801="","",LEFT(X801,6))</f>
        <v/>
      </c>
      <c r="AA801" s="23" t="str">
        <f aca="false">IF(X801="","",IF(Y801&gt;=3,MID(X801,8,6),""))</f>
        <v/>
      </c>
      <c r="AB801" s="23" t="str">
        <f aca="false">IF(X801="","",IF(Y801&gt;=4,MID(X801,15,6),""))</f>
        <v/>
      </c>
      <c r="AC801" s="23" t="str">
        <f aca="false">IF(X801="","",IF(Y801&gt;=5,MID(X801,22,6),""))</f>
        <v/>
      </c>
      <c r="AD801" s="23" t="str">
        <f aca="false">IF(X801="","",RIGHT(X801,6))</f>
        <v/>
      </c>
      <c r="AE801" s="23" t="str">
        <f aca="false">IF(F801="","",IF(ISNUMBER(SEARCH("-TK",UPPER(F801))),0,1))</f>
        <v/>
      </c>
      <c r="AF801" s="23" t="str">
        <f aca="false">IF(F801="","",IF(ISNUMBER(SEARCH("-LED",UPPER(F801))),1,0))</f>
        <v/>
      </c>
      <c r="AG801" s="24" t="n">
        <f aca="false">IF(Z801="",0,IFERROR(INDEX(Resep!$C$5:$C$7,MATCH(LEFT(Z801,3),Resep!$B$5:$B$7,0)),0))</f>
        <v>0</v>
      </c>
      <c r="AH801" s="24" t="n">
        <f aca="false">IF(AA801="",0,IFERROR(INDEX(Resep!$C$9:$C$13,MATCH(LEFT(AA801,3),Resep!$B$9:$B$13,0)),0))</f>
        <v>0</v>
      </c>
      <c r="AI801" s="24" t="n">
        <f aca="false">IF(AB801="",0,IFERROR(INDEX(Resep!$C$9:$C$13,MATCH(LEFT(AB801,3),Resep!$B$9:$B$13,0)),0))</f>
        <v>0</v>
      </c>
      <c r="AJ801" s="24" t="n">
        <f aca="false">IF(AC801="",0,IFERROR(INDEX(Resep!$C$9:$C$13,MATCH(LEFT(AC801,3),Resep!$B$9:$B$13,0)),0))</f>
        <v>0</v>
      </c>
      <c r="AK801" s="24" t="n">
        <f aca="false">IF(AD801="",0,IFERROR(INDEX(Resep!$C$15:$C$18,MATCH(LEFT(AD801,3),Resep!$B$15:$B$18,0)),0))</f>
        <v>0</v>
      </c>
      <c r="AL801" s="24" t="str">
        <f aca="false">IF(X801="","",AG801+AH801+AI801+AJ801+AK801)</f>
        <v/>
      </c>
      <c r="AM801" s="22" t="str">
        <f aca="false">IF(X801="","",AL801*(Pengaturan!$B$6+Pengaturan!$B$7)+Pengaturan!$B$8+AE801*Pengaturan!$B$9+AF801*Pengaturan!$B$10)</f>
        <v/>
      </c>
      <c r="AN801" s="22" t="str">
        <f aca="false">IF(X801="","",N(G801)-AM801)</f>
        <v/>
      </c>
      <c r="AO801" s="25" t="str">
        <f aca="false">IF(OR(X801="",N(G801)=0),"",AN801/G801)</f>
        <v/>
      </c>
    </row>
    <row r="802" customFormat="false" ht="15" hidden="false" customHeight="false" outlineLevel="0" collapsed="false">
      <c r="A802" s="19"/>
      <c r="B802" s="20"/>
      <c r="C802" s="19"/>
      <c r="D802" s="19"/>
      <c r="E802" s="19"/>
      <c r="F802" s="19"/>
      <c r="G802" s="21"/>
      <c r="H802" s="19"/>
      <c r="I802" s="21"/>
      <c r="J802" s="19"/>
      <c r="K802" s="20"/>
      <c r="L802" s="20"/>
      <c r="M802" s="19"/>
      <c r="N802" s="19"/>
      <c r="O802" s="20"/>
      <c r="P802" s="20"/>
      <c r="Q802" s="19"/>
      <c r="R802" s="22" t="str">
        <f aca="false">IF(A802="","",N(G802)+N(I802))</f>
        <v/>
      </c>
      <c r="S802" s="23" t="str">
        <f aca="false">IF(OR(K802="",O802=""),"",O802-K802)</f>
        <v/>
      </c>
      <c r="T802" s="23" t="str">
        <f aca="true">IF(AND(C802="Cetak",L802&lt;&gt;"",L802&lt;TODAY()),"YA","")</f>
        <v/>
      </c>
      <c r="U802" s="23" t="str">
        <f aca="false">IF(B802="","",TEXT(B802,"yyyy-mm"))</f>
        <v/>
      </c>
      <c r="V802" s="23" t="str">
        <f aca="false">IF(K802="","",TEXT(K802,"yyyy-mm"))</f>
        <v/>
      </c>
      <c r="W802" s="23" t="n">
        <f aca="false">IF(OR(C802="Cetak",C802="Dikirim",C802="Selesai"),1,0)</f>
        <v>0</v>
      </c>
      <c r="X802" s="23" t="str">
        <f aca="false">IF(F802="","",SUBSTITUTE(SUBSTITUTE(MID(UPPER(TRIM(F802)),4,99),"-LED",""),"-TK",""))</f>
        <v/>
      </c>
      <c r="Y802" s="23" t="str">
        <f aca="false">IF(X802="","",(LEN(X802)+1)/7)</f>
        <v/>
      </c>
      <c r="Z802" s="23" t="str">
        <f aca="false">IF(X802="","",LEFT(X802,6))</f>
        <v/>
      </c>
      <c r="AA802" s="23" t="str">
        <f aca="false">IF(X802="","",IF(Y802&gt;=3,MID(X802,8,6),""))</f>
        <v/>
      </c>
      <c r="AB802" s="23" t="str">
        <f aca="false">IF(X802="","",IF(Y802&gt;=4,MID(X802,15,6),""))</f>
        <v/>
      </c>
      <c r="AC802" s="23" t="str">
        <f aca="false">IF(X802="","",IF(Y802&gt;=5,MID(X802,22,6),""))</f>
        <v/>
      </c>
      <c r="AD802" s="23" t="str">
        <f aca="false">IF(X802="","",RIGHT(X802,6))</f>
        <v/>
      </c>
      <c r="AE802" s="23" t="str">
        <f aca="false">IF(F802="","",IF(ISNUMBER(SEARCH("-TK",UPPER(F802))),0,1))</f>
        <v/>
      </c>
      <c r="AF802" s="23" t="str">
        <f aca="false">IF(F802="","",IF(ISNUMBER(SEARCH("-LED",UPPER(F802))),1,0))</f>
        <v/>
      </c>
      <c r="AG802" s="24" t="n">
        <f aca="false">IF(Z802="",0,IFERROR(INDEX(Resep!$C$5:$C$7,MATCH(LEFT(Z802,3),Resep!$B$5:$B$7,0)),0))</f>
        <v>0</v>
      </c>
      <c r="AH802" s="24" t="n">
        <f aca="false">IF(AA802="",0,IFERROR(INDEX(Resep!$C$9:$C$13,MATCH(LEFT(AA802,3),Resep!$B$9:$B$13,0)),0))</f>
        <v>0</v>
      </c>
      <c r="AI802" s="24" t="n">
        <f aca="false">IF(AB802="",0,IFERROR(INDEX(Resep!$C$9:$C$13,MATCH(LEFT(AB802,3),Resep!$B$9:$B$13,0)),0))</f>
        <v>0</v>
      </c>
      <c r="AJ802" s="24" t="n">
        <f aca="false">IF(AC802="",0,IFERROR(INDEX(Resep!$C$9:$C$13,MATCH(LEFT(AC802,3),Resep!$B$9:$B$13,0)),0))</f>
        <v>0</v>
      </c>
      <c r="AK802" s="24" t="n">
        <f aca="false">IF(AD802="",0,IFERROR(INDEX(Resep!$C$15:$C$18,MATCH(LEFT(AD802,3),Resep!$B$15:$B$18,0)),0))</f>
        <v>0</v>
      </c>
      <c r="AL802" s="24" t="str">
        <f aca="false">IF(X802="","",AG802+AH802+AI802+AJ802+AK802)</f>
        <v/>
      </c>
      <c r="AM802" s="22" t="str">
        <f aca="false">IF(X802="","",AL802*(Pengaturan!$B$6+Pengaturan!$B$7)+Pengaturan!$B$8+AE802*Pengaturan!$B$9+AF802*Pengaturan!$B$10)</f>
        <v/>
      </c>
      <c r="AN802" s="22" t="str">
        <f aca="false">IF(X802="","",N(G802)-AM802)</f>
        <v/>
      </c>
      <c r="AO802" s="25" t="str">
        <f aca="false">IF(OR(X802="",N(G802)=0),"",AN802/G802)</f>
        <v/>
      </c>
    </row>
    <row r="803" customFormat="false" ht="15" hidden="false" customHeight="false" outlineLevel="0" collapsed="false">
      <c r="A803" s="19"/>
      <c r="B803" s="20"/>
      <c r="C803" s="19"/>
      <c r="D803" s="19"/>
      <c r="E803" s="19"/>
      <c r="F803" s="19"/>
      <c r="G803" s="21"/>
      <c r="H803" s="19"/>
      <c r="I803" s="21"/>
      <c r="J803" s="19"/>
      <c r="K803" s="20"/>
      <c r="L803" s="20"/>
      <c r="M803" s="19"/>
      <c r="N803" s="19"/>
      <c r="O803" s="20"/>
      <c r="P803" s="20"/>
      <c r="Q803" s="19"/>
      <c r="R803" s="22" t="str">
        <f aca="false">IF(A803="","",N(G803)+N(I803))</f>
        <v/>
      </c>
      <c r="S803" s="23" t="str">
        <f aca="false">IF(OR(K803="",O803=""),"",O803-K803)</f>
        <v/>
      </c>
      <c r="T803" s="23" t="str">
        <f aca="true">IF(AND(C803="Cetak",L803&lt;&gt;"",L803&lt;TODAY()),"YA","")</f>
        <v/>
      </c>
      <c r="U803" s="23" t="str">
        <f aca="false">IF(B803="","",TEXT(B803,"yyyy-mm"))</f>
        <v/>
      </c>
      <c r="V803" s="23" t="str">
        <f aca="false">IF(K803="","",TEXT(K803,"yyyy-mm"))</f>
        <v/>
      </c>
      <c r="W803" s="23" t="n">
        <f aca="false">IF(OR(C803="Cetak",C803="Dikirim",C803="Selesai"),1,0)</f>
        <v>0</v>
      </c>
      <c r="X803" s="23" t="str">
        <f aca="false">IF(F803="","",SUBSTITUTE(SUBSTITUTE(MID(UPPER(TRIM(F803)),4,99),"-LED",""),"-TK",""))</f>
        <v/>
      </c>
      <c r="Y803" s="23" t="str">
        <f aca="false">IF(X803="","",(LEN(X803)+1)/7)</f>
        <v/>
      </c>
      <c r="Z803" s="23" t="str">
        <f aca="false">IF(X803="","",LEFT(X803,6))</f>
        <v/>
      </c>
      <c r="AA803" s="23" t="str">
        <f aca="false">IF(X803="","",IF(Y803&gt;=3,MID(X803,8,6),""))</f>
        <v/>
      </c>
      <c r="AB803" s="23" t="str">
        <f aca="false">IF(X803="","",IF(Y803&gt;=4,MID(X803,15,6),""))</f>
        <v/>
      </c>
      <c r="AC803" s="23" t="str">
        <f aca="false">IF(X803="","",IF(Y803&gt;=5,MID(X803,22,6),""))</f>
        <v/>
      </c>
      <c r="AD803" s="23" t="str">
        <f aca="false">IF(X803="","",RIGHT(X803,6))</f>
        <v/>
      </c>
      <c r="AE803" s="23" t="str">
        <f aca="false">IF(F803="","",IF(ISNUMBER(SEARCH("-TK",UPPER(F803))),0,1))</f>
        <v/>
      </c>
      <c r="AF803" s="23" t="str">
        <f aca="false">IF(F803="","",IF(ISNUMBER(SEARCH("-LED",UPPER(F803))),1,0))</f>
        <v/>
      </c>
      <c r="AG803" s="24" t="n">
        <f aca="false">IF(Z803="",0,IFERROR(INDEX(Resep!$C$5:$C$7,MATCH(LEFT(Z803,3),Resep!$B$5:$B$7,0)),0))</f>
        <v>0</v>
      </c>
      <c r="AH803" s="24" t="n">
        <f aca="false">IF(AA803="",0,IFERROR(INDEX(Resep!$C$9:$C$13,MATCH(LEFT(AA803,3),Resep!$B$9:$B$13,0)),0))</f>
        <v>0</v>
      </c>
      <c r="AI803" s="24" t="n">
        <f aca="false">IF(AB803="",0,IFERROR(INDEX(Resep!$C$9:$C$13,MATCH(LEFT(AB803,3),Resep!$B$9:$B$13,0)),0))</f>
        <v>0</v>
      </c>
      <c r="AJ803" s="24" t="n">
        <f aca="false">IF(AC803="",0,IFERROR(INDEX(Resep!$C$9:$C$13,MATCH(LEFT(AC803,3),Resep!$B$9:$B$13,0)),0))</f>
        <v>0</v>
      </c>
      <c r="AK803" s="24" t="n">
        <f aca="false">IF(AD803="",0,IFERROR(INDEX(Resep!$C$15:$C$18,MATCH(LEFT(AD803,3),Resep!$B$15:$B$18,0)),0))</f>
        <v>0</v>
      </c>
      <c r="AL803" s="24" t="str">
        <f aca="false">IF(X803="","",AG803+AH803+AI803+AJ803+AK803)</f>
        <v/>
      </c>
      <c r="AM803" s="22" t="str">
        <f aca="false">IF(X803="","",AL803*(Pengaturan!$B$6+Pengaturan!$B$7)+Pengaturan!$B$8+AE803*Pengaturan!$B$9+AF803*Pengaturan!$B$10)</f>
        <v/>
      </c>
      <c r="AN803" s="22" t="str">
        <f aca="false">IF(X803="","",N(G803)-AM803)</f>
        <v/>
      </c>
      <c r="AO803" s="25" t="str">
        <f aca="false">IF(OR(X803="",N(G803)=0),"",AN803/G803)</f>
        <v/>
      </c>
    </row>
    <row r="804" customFormat="false" ht="15" hidden="false" customHeight="false" outlineLevel="0" collapsed="false">
      <c r="A804" s="19"/>
      <c r="B804" s="20"/>
      <c r="C804" s="19"/>
      <c r="D804" s="19"/>
      <c r="E804" s="19"/>
      <c r="F804" s="19"/>
      <c r="G804" s="21"/>
      <c r="H804" s="19"/>
      <c r="I804" s="21"/>
      <c r="J804" s="19"/>
      <c r="K804" s="20"/>
      <c r="L804" s="20"/>
      <c r="M804" s="19"/>
      <c r="N804" s="19"/>
      <c r="O804" s="20"/>
      <c r="P804" s="20"/>
      <c r="Q804" s="19"/>
      <c r="R804" s="22" t="str">
        <f aca="false">IF(A804="","",N(G804)+N(I804))</f>
        <v/>
      </c>
      <c r="S804" s="23" t="str">
        <f aca="false">IF(OR(K804="",O804=""),"",O804-K804)</f>
        <v/>
      </c>
      <c r="T804" s="23" t="str">
        <f aca="true">IF(AND(C804="Cetak",L804&lt;&gt;"",L804&lt;TODAY()),"YA","")</f>
        <v/>
      </c>
      <c r="U804" s="23" t="str">
        <f aca="false">IF(B804="","",TEXT(B804,"yyyy-mm"))</f>
        <v/>
      </c>
      <c r="V804" s="23" t="str">
        <f aca="false">IF(K804="","",TEXT(K804,"yyyy-mm"))</f>
        <v/>
      </c>
      <c r="W804" s="23" t="n">
        <f aca="false">IF(OR(C804="Cetak",C804="Dikirim",C804="Selesai"),1,0)</f>
        <v>0</v>
      </c>
      <c r="X804" s="23" t="str">
        <f aca="false">IF(F804="","",SUBSTITUTE(SUBSTITUTE(MID(UPPER(TRIM(F804)),4,99),"-LED",""),"-TK",""))</f>
        <v/>
      </c>
      <c r="Y804" s="23" t="str">
        <f aca="false">IF(X804="","",(LEN(X804)+1)/7)</f>
        <v/>
      </c>
      <c r="Z804" s="23" t="str">
        <f aca="false">IF(X804="","",LEFT(X804,6))</f>
        <v/>
      </c>
      <c r="AA804" s="23" t="str">
        <f aca="false">IF(X804="","",IF(Y804&gt;=3,MID(X804,8,6),""))</f>
        <v/>
      </c>
      <c r="AB804" s="23" t="str">
        <f aca="false">IF(X804="","",IF(Y804&gt;=4,MID(X804,15,6),""))</f>
        <v/>
      </c>
      <c r="AC804" s="23" t="str">
        <f aca="false">IF(X804="","",IF(Y804&gt;=5,MID(X804,22,6),""))</f>
        <v/>
      </c>
      <c r="AD804" s="23" t="str">
        <f aca="false">IF(X804="","",RIGHT(X804,6))</f>
        <v/>
      </c>
      <c r="AE804" s="23" t="str">
        <f aca="false">IF(F804="","",IF(ISNUMBER(SEARCH("-TK",UPPER(F804))),0,1))</f>
        <v/>
      </c>
      <c r="AF804" s="23" t="str">
        <f aca="false">IF(F804="","",IF(ISNUMBER(SEARCH("-LED",UPPER(F804))),1,0))</f>
        <v/>
      </c>
      <c r="AG804" s="24" t="n">
        <f aca="false">IF(Z804="",0,IFERROR(INDEX(Resep!$C$5:$C$7,MATCH(LEFT(Z804,3),Resep!$B$5:$B$7,0)),0))</f>
        <v>0</v>
      </c>
      <c r="AH804" s="24" t="n">
        <f aca="false">IF(AA804="",0,IFERROR(INDEX(Resep!$C$9:$C$13,MATCH(LEFT(AA804,3),Resep!$B$9:$B$13,0)),0))</f>
        <v>0</v>
      </c>
      <c r="AI804" s="24" t="n">
        <f aca="false">IF(AB804="",0,IFERROR(INDEX(Resep!$C$9:$C$13,MATCH(LEFT(AB804,3),Resep!$B$9:$B$13,0)),0))</f>
        <v>0</v>
      </c>
      <c r="AJ804" s="24" t="n">
        <f aca="false">IF(AC804="",0,IFERROR(INDEX(Resep!$C$9:$C$13,MATCH(LEFT(AC804,3),Resep!$B$9:$B$13,0)),0))</f>
        <v>0</v>
      </c>
      <c r="AK804" s="24" t="n">
        <f aca="false">IF(AD804="",0,IFERROR(INDEX(Resep!$C$15:$C$18,MATCH(LEFT(AD804,3),Resep!$B$15:$B$18,0)),0))</f>
        <v>0</v>
      </c>
      <c r="AL804" s="24" t="str">
        <f aca="false">IF(X804="","",AG804+AH804+AI804+AJ804+AK804)</f>
        <v/>
      </c>
      <c r="AM804" s="22" t="str">
        <f aca="false">IF(X804="","",AL804*(Pengaturan!$B$6+Pengaturan!$B$7)+Pengaturan!$B$8+AE804*Pengaturan!$B$9+AF804*Pengaturan!$B$10)</f>
        <v/>
      </c>
      <c r="AN804" s="22" t="str">
        <f aca="false">IF(X804="","",N(G804)-AM804)</f>
        <v/>
      </c>
      <c r="AO804" s="25" t="str">
        <f aca="false">IF(OR(X804="",N(G804)=0),"",AN804/G804)</f>
        <v/>
      </c>
    </row>
    <row r="805" customFormat="false" ht="15" hidden="false" customHeight="false" outlineLevel="0" collapsed="false">
      <c r="A805" s="19"/>
      <c r="B805" s="20"/>
      <c r="C805" s="19"/>
      <c r="D805" s="19"/>
      <c r="E805" s="19"/>
      <c r="F805" s="19"/>
      <c r="G805" s="21"/>
      <c r="H805" s="19"/>
      <c r="I805" s="21"/>
      <c r="J805" s="19"/>
      <c r="K805" s="20"/>
      <c r="L805" s="20"/>
      <c r="M805" s="19"/>
      <c r="N805" s="19"/>
      <c r="O805" s="20"/>
      <c r="P805" s="20"/>
      <c r="Q805" s="19"/>
      <c r="R805" s="22" t="str">
        <f aca="false">IF(A805="","",N(G805)+N(I805))</f>
        <v/>
      </c>
      <c r="S805" s="23" t="str">
        <f aca="false">IF(OR(K805="",O805=""),"",O805-K805)</f>
        <v/>
      </c>
      <c r="T805" s="23" t="str">
        <f aca="true">IF(AND(C805="Cetak",L805&lt;&gt;"",L805&lt;TODAY()),"YA","")</f>
        <v/>
      </c>
      <c r="U805" s="23" t="str">
        <f aca="false">IF(B805="","",TEXT(B805,"yyyy-mm"))</f>
        <v/>
      </c>
      <c r="V805" s="23" t="str">
        <f aca="false">IF(K805="","",TEXT(K805,"yyyy-mm"))</f>
        <v/>
      </c>
      <c r="W805" s="23" t="n">
        <f aca="false">IF(OR(C805="Cetak",C805="Dikirim",C805="Selesai"),1,0)</f>
        <v>0</v>
      </c>
      <c r="X805" s="23" t="str">
        <f aca="false">IF(F805="","",SUBSTITUTE(SUBSTITUTE(MID(UPPER(TRIM(F805)),4,99),"-LED",""),"-TK",""))</f>
        <v/>
      </c>
      <c r="Y805" s="23" t="str">
        <f aca="false">IF(X805="","",(LEN(X805)+1)/7)</f>
        <v/>
      </c>
      <c r="Z805" s="23" t="str">
        <f aca="false">IF(X805="","",LEFT(X805,6))</f>
        <v/>
      </c>
      <c r="AA805" s="23" t="str">
        <f aca="false">IF(X805="","",IF(Y805&gt;=3,MID(X805,8,6),""))</f>
        <v/>
      </c>
      <c r="AB805" s="23" t="str">
        <f aca="false">IF(X805="","",IF(Y805&gt;=4,MID(X805,15,6),""))</f>
        <v/>
      </c>
      <c r="AC805" s="23" t="str">
        <f aca="false">IF(X805="","",IF(Y805&gt;=5,MID(X805,22,6),""))</f>
        <v/>
      </c>
      <c r="AD805" s="23" t="str">
        <f aca="false">IF(X805="","",RIGHT(X805,6))</f>
        <v/>
      </c>
      <c r="AE805" s="23" t="str">
        <f aca="false">IF(F805="","",IF(ISNUMBER(SEARCH("-TK",UPPER(F805))),0,1))</f>
        <v/>
      </c>
      <c r="AF805" s="23" t="str">
        <f aca="false">IF(F805="","",IF(ISNUMBER(SEARCH("-LED",UPPER(F805))),1,0))</f>
        <v/>
      </c>
      <c r="AG805" s="24" t="n">
        <f aca="false">IF(Z805="",0,IFERROR(INDEX(Resep!$C$5:$C$7,MATCH(LEFT(Z805,3),Resep!$B$5:$B$7,0)),0))</f>
        <v>0</v>
      </c>
      <c r="AH805" s="24" t="n">
        <f aca="false">IF(AA805="",0,IFERROR(INDEX(Resep!$C$9:$C$13,MATCH(LEFT(AA805,3),Resep!$B$9:$B$13,0)),0))</f>
        <v>0</v>
      </c>
      <c r="AI805" s="24" t="n">
        <f aca="false">IF(AB805="",0,IFERROR(INDEX(Resep!$C$9:$C$13,MATCH(LEFT(AB805,3),Resep!$B$9:$B$13,0)),0))</f>
        <v>0</v>
      </c>
      <c r="AJ805" s="24" t="n">
        <f aca="false">IF(AC805="",0,IFERROR(INDEX(Resep!$C$9:$C$13,MATCH(LEFT(AC805,3),Resep!$B$9:$B$13,0)),0))</f>
        <v>0</v>
      </c>
      <c r="AK805" s="24" t="n">
        <f aca="false">IF(AD805="",0,IFERROR(INDEX(Resep!$C$15:$C$18,MATCH(LEFT(AD805,3),Resep!$B$15:$B$18,0)),0))</f>
        <v>0</v>
      </c>
      <c r="AL805" s="24" t="str">
        <f aca="false">IF(X805="","",AG805+AH805+AI805+AJ805+AK805)</f>
        <v/>
      </c>
      <c r="AM805" s="22" t="str">
        <f aca="false">IF(X805="","",AL805*(Pengaturan!$B$6+Pengaturan!$B$7)+Pengaturan!$B$8+AE805*Pengaturan!$B$9+AF805*Pengaturan!$B$10)</f>
        <v/>
      </c>
      <c r="AN805" s="22" t="str">
        <f aca="false">IF(X805="","",N(G805)-AM805)</f>
        <v/>
      </c>
      <c r="AO805" s="25" t="str">
        <f aca="false">IF(OR(X805="",N(G805)=0),"",AN805/G805)</f>
        <v/>
      </c>
    </row>
    <row r="806" customFormat="false" ht="15" hidden="false" customHeight="false" outlineLevel="0" collapsed="false">
      <c r="A806" s="19"/>
      <c r="B806" s="20"/>
      <c r="C806" s="19"/>
      <c r="D806" s="19"/>
      <c r="E806" s="19"/>
      <c r="F806" s="19"/>
      <c r="G806" s="21"/>
      <c r="H806" s="19"/>
      <c r="I806" s="21"/>
      <c r="J806" s="19"/>
      <c r="K806" s="20"/>
      <c r="L806" s="20"/>
      <c r="M806" s="19"/>
      <c r="N806" s="19"/>
      <c r="O806" s="20"/>
      <c r="P806" s="20"/>
      <c r="Q806" s="19"/>
      <c r="R806" s="22" t="str">
        <f aca="false">IF(A806="","",N(G806)+N(I806))</f>
        <v/>
      </c>
      <c r="S806" s="23" t="str">
        <f aca="false">IF(OR(K806="",O806=""),"",O806-K806)</f>
        <v/>
      </c>
      <c r="T806" s="23" t="str">
        <f aca="true">IF(AND(C806="Cetak",L806&lt;&gt;"",L806&lt;TODAY()),"YA","")</f>
        <v/>
      </c>
      <c r="U806" s="23" t="str">
        <f aca="false">IF(B806="","",TEXT(B806,"yyyy-mm"))</f>
        <v/>
      </c>
      <c r="V806" s="23" t="str">
        <f aca="false">IF(K806="","",TEXT(K806,"yyyy-mm"))</f>
        <v/>
      </c>
      <c r="W806" s="23" t="n">
        <f aca="false">IF(OR(C806="Cetak",C806="Dikirim",C806="Selesai"),1,0)</f>
        <v>0</v>
      </c>
      <c r="X806" s="23" t="str">
        <f aca="false">IF(F806="","",SUBSTITUTE(SUBSTITUTE(MID(UPPER(TRIM(F806)),4,99),"-LED",""),"-TK",""))</f>
        <v/>
      </c>
      <c r="Y806" s="23" t="str">
        <f aca="false">IF(X806="","",(LEN(X806)+1)/7)</f>
        <v/>
      </c>
      <c r="Z806" s="23" t="str">
        <f aca="false">IF(X806="","",LEFT(X806,6))</f>
        <v/>
      </c>
      <c r="AA806" s="23" t="str">
        <f aca="false">IF(X806="","",IF(Y806&gt;=3,MID(X806,8,6),""))</f>
        <v/>
      </c>
      <c r="AB806" s="23" t="str">
        <f aca="false">IF(X806="","",IF(Y806&gt;=4,MID(X806,15,6),""))</f>
        <v/>
      </c>
      <c r="AC806" s="23" t="str">
        <f aca="false">IF(X806="","",IF(Y806&gt;=5,MID(X806,22,6),""))</f>
        <v/>
      </c>
      <c r="AD806" s="23" t="str">
        <f aca="false">IF(X806="","",RIGHT(X806,6))</f>
        <v/>
      </c>
      <c r="AE806" s="23" t="str">
        <f aca="false">IF(F806="","",IF(ISNUMBER(SEARCH("-TK",UPPER(F806))),0,1))</f>
        <v/>
      </c>
      <c r="AF806" s="23" t="str">
        <f aca="false">IF(F806="","",IF(ISNUMBER(SEARCH("-LED",UPPER(F806))),1,0))</f>
        <v/>
      </c>
      <c r="AG806" s="24" t="n">
        <f aca="false">IF(Z806="",0,IFERROR(INDEX(Resep!$C$5:$C$7,MATCH(LEFT(Z806,3),Resep!$B$5:$B$7,0)),0))</f>
        <v>0</v>
      </c>
      <c r="AH806" s="24" t="n">
        <f aca="false">IF(AA806="",0,IFERROR(INDEX(Resep!$C$9:$C$13,MATCH(LEFT(AA806,3),Resep!$B$9:$B$13,0)),0))</f>
        <v>0</v>
      </c>
      <c r="AI806" s="24" t="n">
        <f aca="false">IF(AB806="",0,IFERROR(INDEX(Resep!$C$9:$C$13,MATCH(LEFT(AB806,3),Resep!$B$9:$B$13,0)),0))</f>
        <v>0</v>
      </c>
      <c r="AJ806" s="24" t="n">
        <f aca="false">IF(AC806="",0,IFERROR(INDEX(Resep!$C$9:$C$13,MATCH(LEFT(AC806,3),Resep!$B$9:$B$13,0)),0))</f>
        <v>0</v>
      </c>
      <c r="AK806" s="24" t="n">
        <f aca="false">IF(AD806="",0,IFERROR(INDEX(Resep!$C$15:$C$18,MATCH(LEFT(AD806,3),Resep!$B$15:$B$18,0)),0))</f>
        <v>0</v>
      </c>
      <c r="AL806" s="24" t="str">
        <f aca="false">IF(X806="","",AG806+AH806+AI806+AJ806+AK806)</f>
        <v/>
      </c>
      <c r="AM806" s="22" t="str">
        <f aca="false">IF(X806="","",AL806*(Pengaturan!$B$6+Pengaturan!$B$7)+Pengaturan!$B$8+AE806*Pengaturan!$B$9+AF806*Pengaturan!$B$10)</f>
        <v/>
      </c>
      <c r="AN806" s="22" t="str">
        <f aca="false">IF(X806="","",N(G806)-AM806)</f>
        <v/>
      </c>
      <c r="AO806" s="25" t="str">
        <f aca="false">IF(OR(X806="",N(G806)=0),"",AN806/G806)</f>
        <v/>
      </c>
    </row>
    <row r="807" customFormat="false" ht="15" hidden="false" customHeight="false" outlineLevel="0" collapsed="false">
      <c r="A807" s="19"/>
      <c r="B807" s="20"/>
      <c r="C807" s="19"/>
      <c r="D807" s="19"/>
      <c r="E807" s="19"/>
      <c r="F807" s="19"/>
      <c r="G807" s="21"/>
      <c r="H807" s="19"/>
      <c r="I807" s="21"/>
      <c r="J807" s="19"/>
      <c r="K807" s="20"/>
      <c r="L807" s="20"/>
      <c r="M807" s="19"/>
      <c r="N807" s="19"/>
      <c r="O807" s="20"/>
      <c r="P807" s="20"/>
      <c r="Q807" s="19"/>
      <c r="R807" s="22" t="str">
        <f aca="false">IF(A807="","",N(G807)+N(I807))</f>
        <v/>
      </c>
      <c r="S807" s="23" t="str">
        <f aca="false">IF(OR(K807="",O807=""),"",O807-K807)</f>
        <v/>
      </c>
      <c r="T807" s="23" t="str">
        <f aca="true">IF(AND(C807="Cetak",L807&lt;&gt;"",L807&lt;TODAY()),"YA","")</f>
        <v/>
      </c>
      <c r="U807" s="23" t="str">
        <f aca="false">IF(B807="","",TEXT(B807,"yyyy-mm"))</f>
        <v/>
      </c>
      <c r="V807" s="23" t="str">
        <f aca="false">IF(K807="","",TEXT(K807,"yyyy-mm"))</f>
        <v/>
      </c>
      <c r="W807" s="23" t="n">
        <f aca="false">IF(OR(C807="Cetak",C807="Dikirim",C807="Selesai"),1,0)</f>
        <v>0</v>
      </c>
      <c r="X807" s="23" t="str">
        <f aca="false">IF(F807="","",SUBSTITUTE(SUBSTITUTE(MID(UPPER(TRIM(F807)),4,99),"-LED",""),"-TK",""))</f>
        <v/>
      </c>
      <c r="Y807" s="23" t="str">
        <f aca="false">IF(X807="","",(LEN(X807)+1)/7)</f>
        <v/>
      </c>
      <c r="Z807" s="23" t="str">
        <f aca="false">IF(X807="","",LEFT(X807,6))</f>
        <v/>
      </c>
      <c r="AA807" s="23" t="str">
        <f aca="false">IF(X807="","",IF(Y807&gt;=3,MID(X807,8,6),""))</f>
        <v/>
      </c>
      <c r="AB807" s="23" t="str">
        <f aca="false">IF(X807="","",IF(Y807&gt;=4,MID(X807,15,6),""))</f>
        <v/>
      </c>
      <c r="AC807" s="23" t="str">
        <f aca="false">IF(X807="","",IF(Y807&gt;=5,MID(X807,22,6),""))</f>
        <v/>
      </c>
      <c r="AD807" s="23" t="str">
        <f aca="false">IF(X807="","",RIGHT(X807,6))</f>
        <v/>
      </c>
      <c r="AE807" s="23" t="str">
        <f aca="false">IF(F807="","",IF(ISNUMBER(SEARCH("-TK",UPPER(F807))),0,1))</f>
        <v/>
      </c>
      <c r="AF807" s="23" t="str">
        <f aca="false">IF(F807="","",IF(ISNUMBER(SEARCH("-LED",UPPER(F807))),1,0))</f>
        <v/>
      </c>
      <c r="AG807" s="24" t="n">
        <f aca="false">IF(Z807="",0,IFERROR(INDEX(Resep!$C$5:$C$7,MATCH(LEFT(Z807,3),Resep!$B$5:$B$7,0)),0))</f>
        <v>0</v>
      </c>
      <c r="AH807" s="24" t="n">
        <f aca="false">IF(AA807="",0,IFERROR(INDEX(Resep!$C$9:$C$13,MATCH(LEFT(AA807,3),Resep!$B$9:$B$13,0)),0))</f>
        <v>0</v>
      </c>
      <c r="AI807" s="24" t="n">
        <f aca="false">IF(AB807="",0,IFERROR(INDEX(Resep!$C$9:$C$13,MATCH(LEFT(AB807,3),Resep!$B$9:$B$13,0)),0))</f>
        <v>0</v>
      </c>
      <c r="AJ807" s="24" t="n">
        <f aca="false">IF(AC807="",0,IFERROR(INDEX(Resep!$C$9:$C$13,MATCH(LEFT(AC807,3),Resep!$B$9:$B$13,0)),0))</f>
        <v>0</v>
      </c>
      <c r="AK807" s="24" t="n">
        <f aca="false">IF(AD807="",0,IFERROR(INDEX(Resep!$C$15:$C$18,MATCH(LEFT(AD807,3),Resep!$B$15:$B$18,0)),0))</f>
        <v>0</v>
      </c>
      <c r="AL807" s="24" t="str">
        <f aca="false">IF(X807="","",AG807+AH807+AI807+AJ807+AK807)</f>
        <v/>
      </c>
      <c r="AM807" s="22" t="str">
        <f aca="false">IF(X807="","",AL807*(Pengaturan!$B$6+Pengaturan!$B$7)+Pengaturan!$B$8+AE807*Pengaturan!$B$9+AF807*Pengaturan!$B$10)</f>
        <v/>
      </c>
      <c r="AN807" s="22" t="str">
        <f aca="false">IF(X807="","",N(G807)-AM807)</f>
        <v/>
      </c>
      <c r="AO807" s="25" t="str">
        <f aca="false">IF(OR(X807="",N(G807)=0),"",AN807/G807)</f>
        <v/>
      </c>
    </row>
    <row r="808" customFormat="false" ht="15" hidden="false" customHeight="false" outlineLevel="0" collapsed="false">
      <c r="A808" s="19"/>
      <c r="B808" s="20"/>
      <c r="C808" s="19"/>
      <c r="D808" s="19"/>
      <c r="E808" s="19"/>
      <c r="F808" s="19"/>
      <c r="G808" s="21"/>
      <c r="H808" s="19"/>
      <c r="I808" s="21"/>
      <c r="J808" s="19"/>
      <c r="K808" s="20"/>
      <c r="L808" s="20"/>
      <c r="M808" s="19"/>
      <c r="N808" s="19"/>
      <c r="O808" s="20"/>
      <c r="P808" s="20"/>
      <c r="Q808" s="19"/>
      <c r="R808" s="22" t="str">
        <f aca="false">IF(A808="","",N(G808)+N(I808))</f>
        <v/>
      </c>
      <c r="S808" s="23" t="str">
        <f aca="false">IF(OR(K808="",O808=""),"",O808-K808)</f>
        <v/>
      </c>
      <c r="T808" s="23" t="str">
        <f aca="true">IF(AND(C808="Cetak",L808&lt;&gt;"",L808&lt;TODAY()),"YA","")</f>
        <v/>
      </c>
      <c r="U808" s="23" t="str">
        <f aca="false">IF(B808="","",TEXT(B808,"yyyy-mm"))</f>
        <v/>
      </c>
      <c r="V808" s="23" t="str">
        <f aca="false">IF(K808="","",TEXT(K808,"yyyy-mm"))</f>
        <v/>
      </c>
      <c r="W808" s="23" t="n">
        <f aca="false">IF(OR(C808="Cetak",C808="Dikirim",C808="Selesai"),1,0)</f>
        <v>0</v>
      </c>
      <c r="X808" s="23" t="str">
        <f aca="false">IF(F808="","",SUBSTITUTE(SUBSTITUTE(MID(UPPER(TRIM(F808)),4,99),"-LED",""),"-TK",""))</f>
        <v/>
      </c>
      <c r="Y808" s="23" t="str">
        <f aca="false">IF(X808="","",(LEN(X808)+1)/7)</f>
        <v/>
      </c>
      <c r="Z808" s="23" t="str">
        <f aca="false">IF(X808="","",LEFT(X808,6))</f>
        <v/>
      </c>
      <c r="AA808" s="23" t="str">
        <f aca="false">IF(X808="","",IF(Y808&gt;=3,MID(X808,8,6),""))</f>
        <v/>
      </c>
      <c r="AB808" s="23" t="str">
        <f aca="false">IF(X808="","",IF(Y808&gt;=4,MID(X808,15,6),""))</f>
        <v/>
      </c>
      <c r="AC808" s="23" t="str">
        <f aca="false">IF(X808="","",IF(Y808&gt;=5,MID(X808,22,6),""))</f>
        <v/>
      </c>
      <c r="AD808" s="23" t="str">
        <f aca="false">IF(X808="","",RIGHT(X808,6))</f>
        <v/>
      </c>
      <c r="AE808" s="23" t="str">
        <f aca="false">IF(F808="","",IF(ISNUMBER(SEARCH("-TK",UPPER(F808))),0,1))</f>
        <v/>
      </c>
      <c r="AF808" s="23" t="str">
        <f aca="false">IF(F808="","",IF(ISNUMBER(SEARCH("-LED",UPPER(F808))),1,0))</f>
        <v/>
      </c>
      <c r="AG808" s="24" t="n">
        <f aca="false">IF(Z808="",0,IFERROR(INDEX(Resep!$C$5:$C$7,MATCH(LEFT(Z808,3),Resep!$B$5:$B$7,0)),0))</f>
        <v>0</v>
      </c>
      <c r="AH808" s="24" t="n">
        <f aca="false">IF(AA808="",0,IFERROR(INDEX(Resep!$C$9:$C$13,MATCH(LEFT(AA808,3),Resep!$B$9:$B$13,0)),0))</f>
        <v>0</v>
      </c>
      <c r="AI808" s="24" t="n">
        <f aca="false">IF(AB808="",0,IFERROR(INDEX(Resep!$C$9:$C$13,MATCH(LEFT(AB808,3),Resep!$B$9:$B$13,0)),0))</f>
        <v>0</v>
      </c>
      <c r="AJ808" s="24" t="n">
        <f aca="false">IF(AC808="",0,IFERROR(INDEX(Resep!$C$9:$C$13,MATCH(LEFT(AC808,3),Resep!$B$9:$B$13,0)),0))</f>
        <v>0</v>
      </c>
      <c r="AK808" s="24" t="n">
        <f aca="false">IF(AD808="",0,IFERROR(INDEX(Resep!$C$15:$C$18,MATCH(LEFT(AD808,3),Resep!$B$15:$B$18,0)),0))</f>
        <v>0</v>
      </c>
      <c r="AL808" s="24" t="str">
        <f aca="false">IF(X808="","",AG808+AH808+AI808+AJ808+AK808)</f>
        <v/>
      </c>
      <c r="AM808" s="22" t="str">
        <f aca="false">IF(X808="","",AL808*(Pengaturan!$B$6+Pengaturan!$B$7)+Pengaturan!$B$8+AE808*Pengaturan!$B$9+AF808*Pengaturan!$B$10)</f>
        <v/>
      </c>
      <c r="AN808" s="22" t="str">
        <f aca="false">IF(X808="","",N(G808)-AM808)</f>
        <v/>
      </c>
      <c r="AO808" s="25" t="str">
        <f aca="false">IF(OR(X808="",N(G808)=0),"",AN808/G808)</f>
        <v/>
      </c>
    </row>
    <row r="809" customFormat="false" ht="15" hidden="false" customHeight="false" outlineLevel="0" collapsed="false">
      <c r="A809" s="19"/>
      <c r="B809" s="20"/>
      <c r="C809" s="19"/>
      <c r="D809" s="19"/>
      <c r="E809" s="19"/>
      <c r="F809" s="19"/>
      <c r="G809" s="21"/>
      <c r="H809" s="19"/>
      <c r="I809" s="21"/>
      <c r="J809" s="19"/>
      <c r="K809" s="20"/>
      <c r="L809" s="20"/>
      <c r="M809" s="19"/>
      <c r="N809" s="19"/>
      <c r="O809" s="20"/>
      <c r="P809" s="20"/>
      <c r="Q809" s="19"/>
      <c r="R809" s="22" t="str">
        <f aca="false">IF(A809="","",N(G809)+N(I809))</f>
        <v/>
      </c>
      <c r="S809" s="23" t="str">
        <f aca="false">IF(OR(K809="",O809=""),"",O809-K809)</f>
        <v/>
      </c>
      <c r="T809" s="23" t="str">
        <f aca="true">IF(AND(C809="Cetak",L809&lt;&gt;"",L809&lt;TODAY()),"YA","")</f>
        <v/>
      </c>
      <c r="U809" s="23" t="str">
        <f aca="false">IF(B809="","",TEXT(B809,"yyyy-mm"))</f>
        <v/>
      </c>
      <c r="V809" s="23" t="str">
        <f aca="false">IF(K809="","",TEXT(K809,"yyyy-mm"))</f>
        <v/>
      </c>
      <c r="W809" s="23" t="n">
        <f aca="false">IF(OR(C809="Cetak",C809="Dikirim",C809="Selesai"),1,0)</f>
        <v>0</v>
      </c>
      <c r="X809" s="23" t="str">
        <f aca="false">IF(F809="","",SUBSTITUTE(SUBSTITUTE(MID(UPPER(TRIM(F809)),4,99),"-LED",""),"-TK",""))</f>
        <v/>
      </c>
      <c r="Y809" s="23" t="str">
        <f aca="false">IF(X809="","",(LEN(X809)+1)/7)</f>
        <v/>
      </c>
      <c r="Z809" s="23" t="str">
        <f aca="false">IF(X809="","",LEFT(X809,6))</f>
        <v/>
      </c>
      <c r="AA809" s="23" t="str">
        <f aca="false">IF(X809="","",IF(Y809&gt;=3,MID(X809,8,6),""))</f>
        <v/>
      </c>
      <c r="AB809" s="23" t="str">
        <f aca="false">IF(X809="","",IF(Y809&gt;=4,MID(X809,15,6),""))</f>
        <v/>
      </c>
      <c r="AC809" s="23" t="str">
        <f aca="false">IF(X809="","",IF(Y809&gt;=5,MID(X809,22,6),""))</f>
        <v/>
      </c>
      <c r="AD809" s="23" t="str">
        <f aca="false">IF(X809="","",RIGHT(X809,6))</f>
        <v/>
      </c>
      <c r="AE809" s="23" t="str">
        <f aca="false">IF(F809="","",IF(ISNUMBER(SEARCH("-TK",UPPER(F809))),0,1))</f>
        <v/>
      </c>
      <c r="AF809" s="23" t="str">
        <f aca="false">IF(F809="","",IF(ISNUMBER(SEARCH("-LED",UPPER(F809))),1,0))</f>
        <v/>
      </c>
      <c r="AG809" s="24" t="n">
        <f aca="false">IF(Z809="",0,IFERROR(INDEX(Resep!$C$5:$C$7,MATCH(LEFT(Z809,3),Resep!$B$5:$B$7,0)),0))</f>
        <v>0</v>
      </c>
      <c r="AH809" s="24" t="n">
        <f aca="false">IF(AA809="",0,IFERROR(INDEX(Resep!$C$9:$C$13,MATCH(LEFT(AA809,3),Resep!$B$9:$B$13,0)),0))</f>
        <v>0</v>
      </c>
      <c r="AI809" s="24" t="n">
        <f aca="false">IF(AB809="",0,IFERROR(INDEX(Resep!$C$9:$C$13,MATCH(LEFT(AB809,3),Resep!$B$9:$B$13,0)),0))</f>
        <v>0</v>
      </c>
      <c r="AJ809" s="24" t="n">
        <f aca="false">IF(AC809="",0,IFERROR(INDEX(Resep!$C$9:$C$13,MATCH(LEFT(AC809,3),Resep!$B$9:$B$13,0)),0))</f>
        <v>0</v>
      </c>
      <c r="AK809" s="24" t="n">
        <f aca="false">IF(AD809="",0,IFERROR(INDEX(Resep!$C$15:$C$18,MATCH(LEFT(AD809,3),Resep!$B$15:$B$18,0)),0))</f>
        <v>0</v>
      </c>
      <c r="AL809" s="24" t="str">
        <f aca="false">IF(X809="","",AG809+AH809+AI809+AJ809+AK809)</f>
        <v/>
      </c>
      <c r="AM809" s="22" t="str">
        <f aca="false">IF(X809="","",AL809*(Pengaturan!$B$6+Pengaturan!$B$7)+Pengaturan!$B$8+AE809*Pengaturan!$B$9+AF809*Pengaturan!$B$10)</f>
        <v/>
      </c>
      <c r="AN809" s="22" t="str">
        <f aca="false">IF(X809="","",N(G809)-AM809)</f>
        <v/>
      </c>
      <c r="AO809" s="25" t="str">
        <f aca="false">IF(OR(X809="",N(G809)=0),"",AN809/G809)</f>
        <v/>
      </c>
    </row>
    <row r="810" customFormat="false" ht="15" hidden="false" customHeight="false" outlineLevel="0" collapsed="false">
      <c r="A810" s="19"/>
      <c r="B810" s="20"/>
      <c r="C810" s="19"/>
      <c r="D810" s="19"/>
      <c r="E810" s="19"/>
      <c r="F810" s="19"/>
      <c r="G810" s="21"/>
      <c r="H810" s="19"/>
      <c r="I810" s="21"/>
      <c r="J810" s="19"/>
      <c r="K810" s="20"/>
      <c r="L810" s="20"/>
      <c r="M810" s="19"/>
      <c r="N810" s="19"/>
      <c r="O810" s="20"/>
      <c r="P810" s="20"/>
      <c r="Q810" s="19"/>
      <c r="R810" s="22" t="str">
        <f aca="false">IF(A810="","",N(G810)+N(I810))</f>
        <v/>
      </c>
      <c r="S810" s="23" t="str">
        <f aca="false">IF(OR(K810="",O810=""),"",O810-K810)</f>
        <v/>
      </c>
      <c r="T810" s="23" t="str">
        <f aca="true">IF(AND(C810="Cetak",L810&lt;&gt;"",L810&lt;TODAY()),"YA","")</f>
        <v/>
      </c>
      <c r="U810" s="23" t="str">
        <f aca="false">IF(B810="","",TEXT(B810,"yyyy-mm"))</f>
        <v/>
      </c>
      <c r="V810" s="23" t="str">
        <f aca="false">IF(K810="","",TEXT(K810,"yyyy-mm"))</f>
        <v/>
      </c>
      <c r="W810" s="23" t="n">
        <f aca="false">IF(OR(C810="Cetak",C810="Dikirim",C810="Selesai"),1,0)</f>
        <v>0</v>
      </c>
      <c r="X810" s="23" t="str">
        <f aca="false">IF(F810="","",SUBSTITUTE(SUBSTITUTE(MID(UPPER(TRIM(F810)),4,99),"-LED",""),"-TK",""))</f>
        <v/>
      </c>
      <c r="Y810" s="23" t="str">
        <f aca="false">IF(X810="","",(LEN(X810)+1)/7)</f>
        <v/>
      </c>
      <c r="Z810" s="23" t="str">
        <f aca="false">IF(X810="","",LEFT(X810,6))</f>
        <v/>
      </c>
      <c r="AA810" s="23" t="str">
        <f aca="false">IF(X810="","",IF(Y810&gt;=3,MID(X810,8,6),""))</f>
        <v/>
      </c>
      <c r="AB810" s="23" t="str">
        <f aca="false">IF(X810="","",IF(Y810&gt;=4,MID(X810,15,6),""))</f>
        <v/>
      </c>
      <c r="AC810" s="23" t="str">
        <f aca="false">IF(X810="","",IF(Y810&gt;=5,MID(X810,22,6),""))</f>
        <v/>
      </c>
      <c r="AD810" s="23" t="str">
        <f aca="false">IF(X810="","",RIGHT(X810,6))</f>
        <v/>
      </c>
      <c r="AE810" s="23" t="str">
        <f aca="false">IF(F810="","",IF(ISNUMBER(SEARCH("-TK",UPPER(F810))),0,1))</f>
        <v/>
      </c>
      <c r="AF810" s="23" t="str">
        <f aca="false">IF(F810="","",IF(ISNUMBER(SEARCH("-LED",UPPER(F810))),1,0))</f>
        <v/>
      </c>
      <c r="AG810" s="24" t="n">
        <f aca="false">IF(Z810="",0,IFERROR(INDEX(Resep!$C$5:$C$7,MATCH(LEFT(Z810,3),Resep!$B$5:$B$7,0)),0))</f>
        <v>0</v>
      </c>
      <c r="AH810" s="24" t="n">
        <f aca="false">IF(AA810="",0,IFERROR(INDEX(Resep!$C$9:$C$13,MATCH(LEFT(AA810,3),Resep!$B$9:$B$13,0)),0))</f>
        <v>0</v>
      </c>
      <c r="AI810" s="24" t="n">
        <f aca="false">IF(AB810="",0,IFERROR(INDEX(Resep!$C$9:$C$13,MATCH(LEFT(AB810,3),Resep!$B$9:$B$13,0)),0))</f>
        <v>0</v>
      </c>
      <c r="AJ810" s="24" t="n">
        <f aca="false">IF(AC810="",0,IFERROR(INDEX(Resep!$C$9:$C$13,MATCH(LEFT(AC810,3),Resep!$B$9:$B$13,0)),0))</f>
        <v>0</v>
      </c>
      <c r="AK810" s="24" t="n">
        <f aca="false">IF(AD810="",0,IFERROR(INDEX(Resep!$C$15:$C$18,MATCH(LEFT(AD810,3),Resep!$B$15:$B$18,0)),0))</f>
        <v>0</v>
      </c>
      <c r="AL810" s="24" t="str">
        <f aca="false">IF(X810="","",AG810+AH810+AI810+AJ810+AK810)</f>
        <v/>
      </c>
      <c r="AM810" s="22" t="str">
        <f aca="false">IF(X810="","",AL810*(Pengaturan!$B$6+Pengaturan!$B$7)+Pengaturan!$B$8+AE810*Pengaturan!$B$9+AF810*Pengaturan!$B$10)</f>
        <v/>
      </c>
      <c r="AN810" s="22" t="str">
        <f aca="false">IF(X810="","",N(G810)-AM810)</f>
        <v/>
      </c>
      <c r="AO810" s="25" t="str">
        <f aca="false">IF(OR(X810="",N(G810)=0),"",AN810/G810)</f>
        <v/>
      </c>
    </row>
    <row r="811" customFormat="false" ht="15" hidden="false" customHeight="false" outlineLevel="0" collapsed="false">
      <c r="A811" s="19"/>
      <c r="B811" s="20"/>
      <c r="C811" s="19"/>
      <c r="D811" s="19"/>
      <c r="E811" s="19"/>
      <c r="F811" s="19"/>
      <c r="G811" s="21"/>
      <c r="H811" s="19"/>
      <c r="I811" s="21"/>
      <c r="J811" s="19"/>
      <c r="K811" s="20"/>
      <c r="L811" s="20"/>
      <c r="M811" s="19"/>
      <c r="N811" s="19"/>
      <c r="O811" s="20"/>
      <c r="P811" s="20"/>
      <c r="Q811" s="19"/>
      <c r="R811" s="22" t="str">
        <f aca="false">IF(A811="","",N(G811)+N(I811))</f>
        <v/>
      </c>
      <c r="S811" s="23" t="str">
        <f aca="false">IF(OR(K811="",O811=""),"",O811-K811)</f>
        <v/>
      </c>
      <c r="T811" s="23" t="str">
        <f aca="true">IF(AND(C811="Cetak",L811&lt;&gt;"",L811&lt;TODAY()),"YA","")</f>
        <v/>
      </c>
      <c r="U811" s="23" t="str">
        <f aca="false">IF(B811="","",TEXT(B811,"yyyy-mm"))</f>
        <v/>
      </c>
      <c r="V811" s="23" t="str">
        <f aca="false">IF(K811="","",TEXT(K811,"yyyy-mm"))</f>
        <v/>
      </c>
      <c r="W811" s="23" t="n">
        <f aca="false">IF(OR(C811="Cetak",C811="Dikirim",C811="Selesai"),1,0)</f>
        <v>0</v>
      </c>
      <c r="X811" s="23" t="str">
        <f aca="false">IF(F811="","",SUBSTITUTE(SUBSTITUTE(MID(UPPER(TRIM(F811)),4,99),"-LED",""),"-TK",""))</f>
        <v/>
      </c>
      <c r="Y811" s="23" t="str">
        <f aca="false">IF(X811="","",(LEN(X811)+1)/7)</f>
        <v/>
      </c>
      <c r="Z811" s="23" t="str">
        <f aca="false">IF(X811="","",LEFT(X811,6))</f>
        <v/>
      </c>
      <c r="AA811" s="23" t="str">
        <f aca="false">IF(X811="","",IF(Y811&gt;=3,MID(X811,8,6),""))</f>
        <v/>
      </c>
      <c r="AB811" s="23" t="str">
        <f aca="false">IF(X811="","",IF(Y811&gt;=4,MID(X811,15,6),""))</f>
        <v/>
      </c>
      <c r="AC811" s="23" t="str">
        <f aca="false">IF(X811="","",IF(Y811&gt;=5,MID(X811,22,6),""))</f>
        <v/>
      </c>
      <c r="AD811" s="23" t="str">
        <f aca="false">IF(X811="","",RIGHT(X811,6))</f>
        <v/>
      </c>
      <c r="AE811" s="23" t="str">
        <f aca="false">IF(F811="","",IF(ISNUMBER(SEARCH("-TK",UPPER(F811))),0,1))</f>
        <v/>
      </c>
      <c r="AF811" s="23" t="str">
        <f aca="false">IF(F811="","",IF(ISNUMBER(SEARCH("-LED",UPPER(F811))),1,0))</f>
        <v/>
      </c>
      <c r="AG811" s="24" t="n">
        <f aca="false">IF(Z811="",0,IFERROR(INDEX(Resep!$C$5:$C$7,MATCH(LEFT(Z811,3),Resep!$B$5:$B$7,0)),0))</f>
        <v>0</v>
      </c>
      <c r="AH811" s="24" t="n">
        <f aca="false">IF(AA811="",0,IFERROR(INDEX(Resep!$C$9:$C$13,MATCH(LEFT(AA811,3),Resep!$B$9:$B$13,0)),0))</f>
        <v>0</v>
      </c>
      <c r="AI811" s="24" t="n">
        <f aca="false">IF(AB811="",0,IFERROR(INDEX(Resep!$C$9:$C$13,MATCH(LEFT(AB811,3),Resep!$B$9:$B$13,0)),0))</f>
        <v>0</v>
      </c>
      <c r="AJ811" s="24" t="n">
        <f aca="false">IF(AC811="",0,IFERROR(INDEX(Resep!$C$9:$C$13,MATCH(LEFT(AC811,3),Resep!$B$9:$B$13,0)),0))</f>
        <v>0</v>
      </c>
      <c r="AK811" s="24" t="n">
        <f aca="false">IF(AD811="",0,IFERROR(INDEX(Resep!$C$15:$C$18,MATCH(LEFT(AD811,3),Resep!$B$15:$B$18,0)),0))</f>
        <v>0</v>
      </c>
      <c r="AL811" s="24" t="str">
        <f aca="false">IF(X811="","",AG811+AH811+AI811+AJ811+AK811)</f>
        <v/>
      </c>
      <c r="AM811" s="22" t="str">
        <f aca="false">IF(X811="","",AL811*(Pengaturan!$B$6+Pengaturan!$B$7)+Pengaturan!$B$8+AE811*Pengaturan!$B$9+AF811*Pengaturan!$B$10)</f>
        <v/>
      </c>
      <c r="AN811" s="22" t="str">
        <f aca="false">IF(X811="","",N(G811)-AM811)</f>
        <v/>
      </c>
      <c r="AO811" s="25" t="str">
        <f aca="false">IF(OR(X811="",N(G811)=0),"",AN811/G811)</f>
        <v/>
      </c>
    </row>
    <row r="812" customFormat="false" ht="15" hidden="false" customHeight="false" outlineLevel="0" collapsed="false">
      <c r="A812" s="19"/>
      <c r="B812" s="20"/>
      <c r="C812" s="19"/>
      <c r="D812" s="19"/>
      <c r="E812" s="19"/>
      <c r="F812" s="19"/>
      <c r="G812" s="21"/>
      <c r="H812" s="19"/>
      <c r="I812" s="21"/>
      <c r="J812" s="19"/>
      <c r="K812" s="20"/>
      <c r="L812" s="20"/>
      <c r="M812" s="19"/>
      <c r="N812" s="19"/>
      <c r="O812" s="20"/>
      <c r="P812" s="20"/>
      <c r="Q812" s="19"/>
      <c r="R812" s="22" t="str">
        <f aca="false">IF(A812="","",N(G812)+N(I812))</f>
        <v/>
      </c>
      <c r="S812" s="23" t="str">
        <f aca="false">IF(OR(K812="",O812=""),"",O812-K812)</f>
        <v/>
      </c>
      <c r="T812" s="23" t="str">
        <f aca="true">IF(AND(C812="Cetak",L812&lt;&gt;"",L812&lt;TODAY()),"YA","")</f>
        <v/>
      </c>
      <c r="U812" s="23" t="str">
        <f aca="false">IF(B812="","",TEXT(B812,"yyyy-mm"))</f>
        <v/>
      </c>
      <c r="V812" s="23" t="str">
        <f aca="false">IF(K812="","",TEXT(K812,"yyyy-mm"))</f>
        <v/>
      </c>
      <c r="W812" s="23" t="n">
        <f aca="false">IF(OR(C812="Cetak",C812="Dikirim",C812="Selesai"),1,0)</f>
        <v>0</v>
      </c>
      <c r="X812" s="23" t="str">
        <f aca="false">IF(F812="","",SUBSTITUTE(SUBSTITUTE(MID(UPPER(TRIM(F812)),4,99),"-LED",""),"-TK",""))</f>
        <v/>
      </c>
      <c r="Y812" s="23" t="str">
        <f aca="false">IF(X812="","",(LEN(X812)+1)/7)</f>
        <v/>
      </c>
      <c r="Z812" s="23" t="str">
        <f aca="false">IF(X812="","",LEFT(X812,6))</f>
        <v/>
      </c>
      <c r="AA812" s="23" t="str">
        <f aca="false">IF(X812="","",IF(Y812&gt;=3,MID(X812,8,6),""))</f>
        <v/>
      </c>
      <c r="AB812" s="23" t="str">
        <f aca="false">IF(X812="","",IF(Y812&gt;=4,MID(X812,15,6),""))</f>
        <v/>
      </c>
      <c r="AC812" s="23" t="str">
        <f aca="false">IF(X812="","",IF(Y812&gt;=5,MID(X812,22,6),""))</f>
        <v/>
      </c>
      <c r="AD812" s="23" t="str">
        <f aca="false">IF(X812="","",RIGHT(X812,6))</f>
        <v/>
      </c>
      <c r="AE812" s="23" t="str">
        <f aca="false">IF(F812="","",IF(ISNUMBER(SEARCH("-TK",UPPER(F812))),0,1))</f>
        <v/>
      </c>
      <c r="AF812" s="23" t="str">
        <f aca="false">IF(F812="","",IF(ISNUMBER(SEARCH("-LED",UPPER(F812))),1,0))</f>
        <v/>
      </c>
      <c r="AG812" s="24" t="n">
        <f aca="false">IF(Z812="",0,IFERROR(INDEX(Resep!$C$5:$C$7,MATCH(LEFT(Z812,3),Resep!$B$5:$B$7,0)),0))</f>
        <v>0</v>
      </c>
      <c r="AH812" s="24" t="n">
        <f aca="false">IF(AA812="",0,IFERROR(INDEX(Resep!$C$9:$C$13,MATCH(LEFT(AA812,3),Resep!$B$9:$B$13,0)),0))</f>
        <v>0</v>
      </c>
      <c r="AI812" s="24" t="n">
        <f aca="false">IF(AB812="",0,IFERROR(INDEX(Resep!$C$9:$C$13,MATCH(LEFT(AB812,3),Resep!$B$9:$B$13,0)),0))</f>
        <v>0</v>
      </c>
      <c r="AJ812" s="24" t="n">
        <f aca="false">IF(AC812="",0,IFERROR(INDEX(Resep!$C$9:$C$13,MATCH(LEFT(AC812,3),Resep!$B$9:$B$13,0)),0))</f>
        <v>0</v>
      </c>
      <c r="AK812" s="24" t="n">
        <f aca="false">IF(AD812="",0,IFERROR(INDEX(Resep!$C$15:$C$18,MATCH(LEFT(AD812,3),Resep!$B$15:$B$18,0)),0))</f>
        <v>0</v>
      </c>
      <c r="AL812" s="24" t="str">
        <f aca="false">IF(X812="","",AG812+AH812+AI812+AJ812+AK812)</f>
        <v/>
      </c>
      <c r="AM812" s="22" t="str">
        <f aca="false">IF(X812="","",AL812*(Pengaturan!$B$6+Pengaturan!$B$7)+Pengaturan!$B$8+AE812*Pengaturan!$B$9+AF812*Pengaturan!$B$10)</f>
        <v/>
      </c>
      <c r="AN812" s="22" t="str">
        <f aca="false">IF(X812="","",N(G812)-AM812)</f>
        <v/>
      </c>
      <c r="AO812" s="25" t="str">
        <f aca="false">IF(OR(X812="",N(G812)=0),"",AN812/G812)</f>
        <v/>
      </c>
    </row>
    <row r="813" customFormat="false" ht="15" hidden="false" customHeight="false" outlineLevel="0" collapsed="false">
      <c r="A813" s="19"/>
      <c r="B813" s="20"/>
      <c r="C813" s="19"/>
      <c r="D813" s="19"/>
      <c r="E813" s="19"/>
      <c r="F813" s="19"/>
      <c r="G813" s="21"/>
      <c r="H813" s="19"/>
      <c r="I813" s="21"/>
      <c r="J813" s="19"/>
      <c r="K813" s="20"/>
      <c r="L813" s="20"/>
      <c r="M813" s="19"/>
      <c r="N813" s="19"/>
      <c r="O813" s="20"/>
      <c r="P813" s="20"/>
      <c r="Q813" s="19"/>
      <c r="R813" s="22" t="str">
        <f aca="false">IF(A813="","",N(G813)+N(I813))</f>
        <v/>
      </c>
      <c r="S813" s="23" t="str">
        <f aca="false">IF(OR(K813="",O813=""),"",O813-K813)</f>
        <v/>
      </c>
      <c r="T813" s="23" t="str">
        <f aca="true">IF(AND(C813="Cetak",L813&lt;&gt;"",L813&lt;TODAY()),"YA","")</f>
        <v/>
      </c>
      <c r="U813" s="23" t="str">
        <f aca="false">IF(B813="","",TEXT(B813,"yyyy-mm"))</f>
        <v/>
      </c>
      <c r="V813" s="23" t="str">
        <f aca="false">IF(K813="","",TEXT(K813,"yyyy-mm"))</f>
        <v/>
      </c>
      <c r="W813" s="23" t="n">
        <f aca="false">IF(OR(C813="Cetak",C813="Dikirim",C813="Selesai"),1,0)</f>
        <v>0</v>
      </c>
      <c r="X813" s="23" t="str">
        <f aca="false">IF(F813="","",SUBSTITUTE(SUBSTITUTE(MID(UPPER(TRIM(F813)),4,99),"-LED",""),"-TK",""))</f>
        <v/>
      </c>
      <c r="Y813" s="23" t="str">
        <f aca="false">IF(X813="","",(LEN(X813)+1)/7)</f>
        <v/>
      </c>
      <c r="Z813" s="23" t="str">
        <f aca="false">IF(X813="","",LEFT(X813,6))</f>
        <v/>
      </c>
      <c r="AA813" s="23" t="str">
        <f aca="false">IF(X813="","",IF(Y813&gt;=3,MID(X813,8,6),""))</f>
        <v/>
      </c>
      <c r="AB813" s="23" t="str">
        <f aca="false">IF(X813="","",IF(Y813&gt;=4,MID(X813,15,6),""))</f>
        <v/>
      </c>
      <c r="AC813" s="23" t="str">
        <f aca="false">IF(X813="","",IF(Y813&gt;=5,MID(X813,22,6),""))</f>
        <v/>
      </c>
      <c r="AD813" s="23" t="str">
        <f aca="false">IF(X813="","",RIGHT(X813,6))</f>
        <v/>
      </c>
      <c r="AE813" s="23" t="str">
        <f aca="false">IF(F813="","",IF(ISNUMBER(SEARCH("-TK",UPPER(F813))),0,1))</f>
        <v/>
      </c>
      <c r="AF813" s="23" t="str">
        <f aca="false">IF(F813="","",IF(ISNUMBER(SEARCH("-LED",UPPER(F813))),1,0))</f>
        <v/>
      </c>
      <c r="AG813" s="24" t="n">
        <f aca="false">IF(Z813="",0,IFERROR(INDEX(Resep!$C$5:$C$7,MATCH(LEFT(Z813,3),Resep!$B$5:$B$7,0)),0))</f>
        <v>0</v>
      </c>
      <c r="AH813" s="24" t="n">
        <f aca="false">IF(AA813="",0,IFERROR(INDEX(Resep!$C$9:$C$13,MATCH(LEFT(AA813,3),Resep!$B$9:$B$13,0)),0))</f>
        <v>0</v>
      </c>
      <c r="AI813" s="24" t="n">
        <f aca="false">IF(AB813="",0,IFERROR(INDEX(Resep!$C$9:$C$13,MATCH(LEFT(AB813,3),Resep!$B$9:$B$13,0)),0))</f>
        <v>0</v>
      </c>
      <c r="AJ813" s="24" t="n">
        <f aca="false">IF(AC813="",0,IFERROR(INDEX(Resep!$C$9:$C$13,MATCH(LEFT(AC813,3),Resep!$B$9:$B$13,0)),0))</f>
        <v>0</v>
      </c>
      <c r="AK813" s="24" t="n">
        <f aca="false">IF(AD813="",0,IFERROR(INDEX(Resep!$C$15:$C$18,MATCH(LEFT(AD813,3),Resep!$B$15:$B$18,0)),0))</f>
        <v>0</v>
      </c>
      <c r="AL813" s="24" t="str">
        <f aca="false">IF(X813="","",AG813+AH813+AI813+AJ813+AK813)</f>
        <v/>
      </c>
      <c r="AM813" s="22" t="str">
        <f aca="false">IF(X813="","",AL813*(Pengaturan!$B$6+Pengaturan!$B$7)+Pengaturan!$B$8+AE813*Pengaturan!$B$9+AF813*Pengaturan!$B$10)</f>
        <v/>
      </c>
      <c r="AN813" s="22" t="str">
        <f aca="false">IF(X813="","",N(G813)-AM813)</f>
        <v/>
      </c>
      <c r="AO813" s="25" t="str">
        <f aca="false">IF(OR(X813="",N(G813)=0),"",AN813/G813)</f>
        <v/>
      </c>
    </row>
    <row r="814" customFormat="false" ht="15" hidden="false" customHeight="false" outlineLevel="0" collapsed="false">
      <c r="A814" s="19"/>
      <c r="B814" s="20"/>
      <c r="C814" s="19"/>
      <c r="D814" s="19"/>
      <c r="E814" s="19"/>
      <c r="F814" s="19"/>
      <c r="G814" s="21"/>
      <c r="H814" s="19"/>
      <c r="I814" s="21"/>
      <c r="J814" s="19"/>
      <c r="K814" s="20"/>
      <c r="L814" s="20"/>
      <c r="M814" s="19"/>
      <c r="N814" s="19"/>
      <c r="O814" s="20"/>
      <c r="P814" s="20"/>
      <c r="Q814" s="19"/>
      <c r="R814" s="22" t="str">
        <f aca="false">IF(A814="","",N(G814)+N(I814))</f>
        <v/>
      </c>
      <c r="S814" s="23" t="str">
        <f aca="false">IF(OR(K814="",O814=""),"",O814-K814)</f>
        <v/>
      </c>
      <c r="T814" s="23" t="str">
        <f aca="true">IF(AND(C814="Cetak",L814&lt;&gt;"",L814&lt;TODAY()),"YA","")</f>
        <v/>
      </c>
      <c r="U814" s="23" t="str">
        <f aca="false">IF(B814="","",TEXT(B814,"yyyy-mm"))</f>
        <v/>
      </c>
      <c r="V814" s="23" t="str">
        <f aca="false">IF(K814="","",TEXT(K814,"yyyy-mm"))</f>
        <v/>
      </c>
      <c r="W814" s="23" t="n">
        <f aca="false">IF(OR(C814="Cetak",C814="Dikirim",C814="Selesai"),1,0)</f>
        <v>0</v>
      </c>
      <c r="X814" s="23" t="str">
        <f aca="false">IF(F814="","",SUBSTITUTE(SUBSTITUTE(MID(UPPER(TRIM(F814)),4,99),"-LED",""),"-TK",""))</f>
        <v/>
      </c>
      <c r="Y814" s="23" t="str">
        <f aca="false">IF(X814="","",(LEN(X814)+1)/7)</f>
        <v/>
      </c>
      <c r="Z814" s="23" t="str">
        <f aca="false">IF(X814="","",LEFT(X814,6))</f>
        <v/>
      </c>
      <c r="AA814" s="23" t="str">
        <f aca="false">IF(X814="","",IF(Y814&gt;=3,MID(X814,8,6),""))</f>
        <v/>
      </c>
      <c r="AB814" s="23" t="str">
        <f aca="false">IF(X814="","",IF(Y814&gt;=4,MID(X814,15,6),""))</f>
        <v/>
      </c>
      <c r="AC814" s="23" t="str">
        <f aca="false">IF(X814="","",IF(Y814&gt;=5,MID(X814,22,6),""))</f>
        <v/>
      </c>
      <c r="AD814" s="23" t="str">
        <f aca="false">IF(X814="","",RIGHT(X814,6))</f>
        <v/>
      </c>
      <c r="AE814" s="23" t="str">
        <f aca="false">IF(F814="","",IF(ISNUMBER(SEARCH("-TK",UPPER(F814))),0,1))</f>
        <v/>
      </c>
      <c r="AF814" s="23" t="str">
        <f aca="false">IF(F814="","",IF(ISNUMBER(SEARCH("-LED",UPPER(F814))),1,0))</f>
        <v/>
      </c>
      <c r="AG814" s="24" t="n">
        <f aca="false">IF(Z814="",0,IFERROR(INDEX(Resep!$C$5:$C$7,MATCH(LEFT(Z814,3),Resep!$B$5:$B$7,0)),0))</f>
        <v>0</v>
      </c>
      <c r="AH814" s="24" t="n">
        <f aca="false">IF(AA814="",0,IFERROR(INDEX(Resep!$C$9:$C$13,MATCH(LEFT(AA814,3),Resep!$B$9:$B$13,0)),0))</f>
        <v>0</v>
      </c>
      <c r="AI814" s="24" t="n">
        <f aca="false">IF(AB814="",0,IFERROR(INDEX(Resep!$C$9:$C$13,MATCH(LEFT(AB814,3),Resep!$B$9:$B$13,0)),0))</f>
        <v>0</v>
      </c>
      <c r="AJ814" s="24" t="n">
        <f aca="false">IF(AC814="",0,IFERROR(INDEX(Resep!$C$9:$C$13,MATCH(LEFT(AC814,3),Resep!$B$9:$B$13,0)),0))</f>
        <v>0</v>
      </c>
      <c r="AK814" s="24" t="n">
        <f aca="false">IF(AD814="",0,IFERROR(INDEX(Resep!$C$15:$C$18,MATCH(LEFT(AD814,3),Resep!$B$15:$B$18,0)),0))</f>
        <v>0</v>
      </c>
      <c r="AL814" s="24" t="str">
        <f aca="false">IF(X814="","",AG814+AH814+AI814+AJ814+AK814)</f>
        <v/>
      </c>
      <c r="AM814" s="22" t="str">
        <f aca="false">IF(X814="","",AL814*(Pengaturan!$B$6+Pengaturan!$B$7)+Pengaturan!$B$8+AE814*Pengaturan!$B$9+AF814*Pengaturan!$B$10)</f>
        <v/>
      </c>
      <c r="AN814" s="22" t="str">
        <f aca="false">IF(X814="","",N(G814)-AM814)</f>
        <v/>
      </c>
      <c r="AO814" s="25" t="str">
        <f aca="false">IF(OR(X814="",N(G814)=0),"",AN814/G814)</f>
        <v/>
      </c>
    </row>
    <row r="815" customFormat="false" ht="15" hidden="false" customHeight="false" outlineLevel="0" collapsed="false">
      <c r="A815" s="19"/>
      <c r="B815" s="20"/>
      <c r="C815" s="19"/>
      <c r="D815" s="19"/>
      <c r="E815" s="19"/>
      <c r="F815" s="19"/>
      <c r="G815" s="21"/>
      <c r="H815" s="19"/>
      <c r="I815" s="21"/>
      <c r="J815" s="19"/>
      <c r="K815" s="20"/>
      <c r="L815" s="20"/>
      <c r="M815" s="19"/>
      <c r="N815" s="19"/>
      <c r="O815" s="20"/>
      <c r="P815" s="20"/>
      <c r="Q815" s="19"/>
      <c r="R815" s="22" t="str">
        <f aca="false">IF(A815="","",N(G815)+N(I815))</f>
        <v/>
      </c>
      <c r="S815" s="23" t="str">
        <f aca="false">IF(OR(K815="",O815=""),"",O815-K815)</f>
        <v/>
      </c>
      <c r="T815" s="23" t="str">
        <f aca="true">IF(AND(C815="Cetak",L815&lt;&gt;"",L815&lt;TODAY()),"YA","")</f>
        <v/>
      </c>
      <c r="U815" s="23" t="str">
        <f aca="false">IF(B815="","",TEXT(B815,"yyyy-mm"))</f>
        <v/>
      </c>
      <c r="V815" s="23" t="str">
        <f aca="false">IF(K815="","",TEXT(K815,"yyyy-mm"))</f>
        <v/>
      </c>
      <c r="W815" s="23" t="n">
        <f aca="false">IF(OR(C815="Cetak",C815="Dikirim",C815="Selesai"),1,0)</f>
        <v>0</v>
      </c>
      <c r="X815" s="23" t="str">
        <f aca="false">IF(F815="","",SUBSTITUTE(SUBSTITUTE(MID(UPPER(TRIM(F815)),4,99),"-LED",""),"-TK",""))</f>
        <v/>
      </c>
      <c r="Y815" s="23" t="str">
        <f aca="false">IF(X815="","",(LEN(X815)+1)/7)</f>
        <v/>
      </c>
      <c r="Z815" s="23" t="str">
        <f aca="false">IF(X815="","",LEFT(X815,6))</f>
        <v/>
      </c>
      <c r="AA815" s="23" t="str">
        <f aca="false">IF(X815="","",IF(Y815&gt;=3,MID(X815,8,6),""))</f>
        <v/>
      </c>
      <c r="AB815" s="23" t="str">
        <f aca="false">IF(X815="","",IF(Y815&gt;=4,MID(X815,15,6),""))</f>
        <v/>
      </c>
      <c r="AC815" s="23" t="str">
        <f aca="false">IF(X815="","",IF(Y815&gt;=5,MID(X815,22,6),""))</f>
        <v/>
      </c>
      <c r="AD815" s="23" t="str">
        <f aca="false">IF(X815="","",RIGHT(X815,6))</f>
        <v/>
      </c>
      <c r="AE815" s="23" t="str">
        <f aca="false">IF(F815="","",IF(ISNUMBER(SEARCH("-TK",UPPER(F815))),0,1))</f>
        <v/>
      </c>
      <c r="AF815" s="23" t="str">
        <f aca="false">IF(F815="","",IF(ISNUMBER(SEARCH("-LED",UPPER(F815))),1,0))</f>
        <v/>
      </c>
      <c r="AG815" s="24" t="n">
        <f aca="false">IF(Z815="",0,IFERROR(INDEX(Resep!$C$5:$C$7,MATCH(LEFT(Z815,3),Resep!$B$5:$B$7,0)),0))</f>
        <v>0</v>
      </c>
      <c r="AH815" s="24" t="n">
        <f aca="false">IF(AA815="",0,IFERROR(INDEX(Resep!$C$9:$C$13,MATCH(LEFT(AA815,3),Resep!$B$9:$B$13,0)),0))</f>
        <v>0</v>
      </c>
      <c r="AI815" s="24" t="n">
        <f aca="false">IF(AB815="",0,IFERROR(INDEX(Resep!$C$9:$C$13,MATCH(LEFT(AB815,3),Resep!$B$9:$B$13,0)),0))</f>
        <v>0</v>
      </c>
      <c r="AJ815" s="24" t="n">
        <f aca="false">IF(AC815="",0,IFERROR(INDEX(Resep!$C$9:$C$13,MATCH(LEFT(AC815,3),Resep!$B$9:$B$13,0)),0))</f>
        <v>0</v>
      </c>
      <c r="AK815" s="24" t="n">
        <f aca="false">IF(AD815="",0,IFERROR(INDEX(Resep!$C$15:$C$18,MATCH(LEFT(AD815,3),Resep!$B$15:$B$18,0)),0))</f>
        <v>0</v>
      </c>
      <c r="AL815" s="24" t="str">
        <f aca="false">IF(X815="","",AG815+AH815+AI815+AJ815+AK815)</f>
        <v/>
      </c>
      <c r="AM815" s="22" t="str">
        <f aca="false">IF(X815="","",AL815*(Pengaturan!$B$6+Pengaturan!$B$7)+Pengaturan!$B$8+AE815*Pengaturan!$B$9+AF815*Pengaturan!$B$10)</f>
        <v/>
      </c>
      <c r="AN815" s="22" t="str">
        <f aca="false">IF(X815="","",N(G815)-AM815)</f>
        <v/>
      </c>
      <c r="AO815" s="25" t="str">
        <f aca="false">IF(OR(X815="",N(G815)=0),"",AN815/G815)</f>
        <v/>
      </c>
    </row>
    <row r="816" customFormat="false" ht="15" hidden="false" customHeight="false" outlineLevel="0" collapsed="false">
      <c r="A816" s="19"/>
      <c r="B816" s="20"/>
      <c r="C816" s="19"/>
      <c r="D816" s="19"/>
      <c r="E816" s="19"/>
      <c r="F816" s="19"/>
      <c r="G816" s="21"/>
      <c r="H816" s="19"/>
      <c r="I816" s="21"/>
      <c r="J816" s="19"/>
      <c r="K816" s="20"/>
      <c r="L816" s="20"/>
      <c r="M816" s="19"/>
      <c r="N816" s="19"/>
      <c r="O816" s="20"/>
      <c r="P816" s="20"/>
      <c r="Q816" s="19"/>
      <c r="R816" s="22" t="str">
        <f aca="false">IF(A816="","",N(G816)+N(I816))</f>
        <v/>
      </c>
      <c r="S816" s="23" t="str">
        <f aca="false">IF(OR(K816="",O816=""),"",O816-K816)</f>
        <v/>
      </c>
      <c r="T816" s="23" t="str">
        <f aca="true">IF(AND(C816="Cetak",L816&lt;&gt;"",L816&lt;TODAY()),"YA","")</f>
        <v/>
      </c>
      <c r="U816" s="23" t="str">
        <f aca="false">IF(B816="","",TEXT(B816,"yyyy-mm"))</f>
        <v/>
      </c>
      <c r="V816" s="23" t="str">
        <f aca="false">IF(K816="","",TEXT(K816,"yyyy-mm"))</f>
        <v/>
      </c>
      <c r="W816" s="23" t="n">
        <f aca="false">IF(OR(C816="Cetak",C816="Dikirim",C816="Selesai"),1,0)</f>
        <v>0</v>
      </c>
      <c r="X816" s="23" t="str">
        <f aca="false">IF(F816="","",SUBSTITUTE(SUBSTITUTE(MID(UPPER(TRIM(F816)),4,99),"-LED",""),"-TK",""))</f>
        <v/>
      </c>
      <c r="Y816" s="23" t="str">
        <f aca="false">IF(X816="","",(LEN(X816)+1)/7)</f>
        <v/>
      </c>
      <c r="Z816" s="23" t="str">
        <f aca="false">IF(X816="","",LEFT(X816,6))</f>
        <v/>
      </c>
      <c r="AA816" s="23" t="str">
        <f aca="false">IF(X816="","",IF(Y816&gt;=3,MID(X816,8,6),""))</f>
        <v/>
      </c>
      <c r="AB816" s="23" t="str">
        <f aca="false">IF(X816="","",IF(Y816&gt;=4,MID(X816,15,6),""))</f>
        <v/>
      </c>
      <c r="AC816" s="23" t="str">
        <f aca="false">IF(X816="","",IF(Y816&gt;=5,MID(X816,22,6),""))</f>
        <v/>
      </c>
      <c r="AD816" s="23" t="str">
        <f aca="false">IF(X816="","",RIGHT(X816,6))</f>
        <v/>
      </c>
      <c r="AE816" s="23" t="str">
        <f aca="false">IF(F816="","",IF(ISNUMBER(SEARCH("-TK",UPPER(F816))),0,1))</f>
        <v/>
      </c>
      <c r="AF816" s="23" t="str">
        <f aca="false">IF(F816="","",IF(ISNUMBER(SEARCH("-LED",UPPER(F816))),1,0))</f>
        <v/>
      </c>
      <c r="AG816" s="24" t="n">
        <f aca="false">IF(Z816="",0,IFERROR(INDEX(Resep!$C$5:$C$7,MATCH(LEFT(Z816,3),Resep!$B$5:$B$7,0)),0))</f>
        <v>0</v>
      </c>
      <c r="AH816" s="24" t="n">
        <f aca="false">IF(AA816="",0,IFERROR(INDEX(Resep!$C$9:$C$13,MATCH(LEFT(AA816,3),Resep!$B$9:$B$13,0)),0))</f>
        <v>0</v>
      </c>
      <c r="AI816" s="24" t="n">
        <f aca="false">IF(AB816="",0,IFERROR(INDEX(Resep!$C$9:$C$13,MATCH(LEFT(AB816,3),Resep!$B$9:$B$13,0)),0))</f>
        <v>0</v>
      </c>
      <c r="AJ816" s="24" t="n">
        <f aca="false">IF(AC816="",0,IFERROR(INDEX(Resep!$C$9:$C$13,MATCH(LEFT(AC816,3),Resep!$B$9:$B$13,0)),0))</f>
        <v>0</v>
      </c>
      <c r="AK816" s="24" t="n">
        <f aca="false">IF(AD816="",0,IFERROR(INDEX(Resep!$C$15:$C$18,MATCH(LEFT(AD816,3),Resep!$B$15:$B$18,0)),0))</f>
        <v>0</v>
      </c>
      <c r="AL816" s="24" t="str">
        <f aca="false">IF(X816="","",AG816+AH816+AI816+AJ816+AK816)</f>
        <v/>
      </c>
      <c r="AM816" s="22" t="str">
        <f aca="false">IF(X816="","",AL816*(Pengaturan!$B$6+Pengaturan!$B$7)+Pengaturan!$B$8+AE816*Pengaturan!$B$9+AF816*Pengaturan!$B$10)</f>
        <v/>
      </c>
      <c r="AN816" s="22" t="str">
        <f aca="false">IF(X816="","",N(G816)-AM816)</f>
        <v/>
      </c>
      <c r="AO816" s="25" t="str">
        <f aca="false">IF(OR(X816="",N(G816)=0),"",AN816/G816)</f>
        <v/>
      </c>
    </row>
    <row r="817" customFormat="false" ht="15" hidden="false" customHeight="false" outlineLevel="0" collapsed="false">
      <c r="A817" s="19"/>
      <c r="B817" s="20"/>
      <c r="C817" s="19"/>
      <c r="D817" s="19"/>
      <c r="E817" s="19"/>
      <c r="F817" s="19"/>
      <c r="G817" s="21"/>
      <c r="H817" s="19"/>
      <c r="I817" s="21"/>
      <c r="J817" s="19"/>
      <c r="K817" s="20"/>
      <c r="L817" s="20"/>
      <c r="M817" s="19"/>
      <c r="N817" s="19"/>
      <c r="O817" s="20"/>
      <c r="P817" s="20"/>
      <c r="Q817" s="19"/>
      <c r="R817" s="22" t="str">
        <f aca="false">IF(A817="","",N(G817)+N(I817))</f>
        <v/>
      </c>
      <c r="S817" s="23" t="str">
        <f aca="false">IF(OR(K817="",O817=""),"",O817-K817)</f>
        <v/>
      </c>
      <c r="T817" s="23" t="str">
        <f aca="true">IF(AND(C817="Cetak",L817&lt;&gt;"",L817&lt;TODAY()),"YA","")</f>
        <v/>
      </c>
      <c r="U817" s="23" t="str">
        <f aca="false">IF(B817="","",TEXT(B817,"yyyy-mm"))</f>
        <v/>
      </c>
      <c r="V817" s="23" t="str">
        <f aca="false">IF(K817="","",TEXT(K817,"yyyy-mm"))</f>
        <v/>
      </c>
      <c r="W817" s="23" t="n">
        <f aca="false">IF(OR(C817="Cetak",C817="Dikirim",C817="Selesai"),1,0)</f>
        <v>0</v>
      </c>
      <c r="X817" s="23" t="str">
        <f aca="false">IF(F817="","",SUBSTITUTE(SUBSTITUTE(MID(UPPER(TRIM(F817)),4,99),"-LED",""),"-TK",""))</f>
        <v/>
      </c>
      <c r="Y817" s="23" t="str">
        <f aca="false">IF(X817="","",(LEN(X817)+1)/7)</f>
        <v/>
      </c>
      <c r="Z817" s="23" t="str">
        <f aca="false">IF(X817="","",LEFT(X817,6))</f>
        <v/>
      </c>
      <c r="AA817" s="23" t="str">
        <f aca="false">IF(X817="","",IF(Y817&gt;=3,MID(X817,8,6),""))</f>
        <v/>
      </c>
      <c r="AB817" s="23" t="str">
        <f aca="false">IF(X817="","",IF(Y817&gt;=4,MID(X817,15,6),""))</f>
        <v/>
      </c>
      <c r="AC817" s="23" t="str">
        <f aca="false">IF(X817="","",IF(Y817&gt;=5,MID(X817,22,6),""))</f>
        <v/>
      </c>
      <c r="AD817" s="23" t="str">
        <f aca="false">IF(X817="","",RIGHT(X817,6))</f>
        <v/>
      </c>
      <c r="AE817" s="23" t="str">
        <f aca="false">IF(F817="","",IF(ISNUMBER(SEARCH("-TK",UPPER(F817))),0,1))</f>
        <v/>
      </c>
      <c r="AF817" s="23" t="str">
        <f aca="false">IF(F817="","",IF(ISNUMBER(SEARCH("-LED",UPPER(F817))),1,0))</f>
        <v/>
      </c>
      <c r="AG817" s="24" t="n">
        <f aca="false">IF(Z817="",0,IFERROR(INDEX(Resep!$C$5:$C$7,MATCH(LEFT(Z817,3),Resep!$B$5:$B$7,0)),0))</f>
        <v>0</v>
      </c>
      <c r="AH817" s="24" t="n">
        <f aca="false">IF(AA817="",0,IFERROR(INDEX(Resep!$C$9:$C$13,MATCH(LEFT(AA817,3),Resep!$B$9:$B$13,0)),0))</f>
        <v>0</v>
      </c>
      <c r="AI817" s="24" t="n">
        <f aca="false">IF(AB817="",0,IFERROR(INDEX(Resep!$C$9:$C$13,MATCH(LEFT(AB817,3),Resep!$B$9:$B$13,0)),0))</f>
        <v>0</v>
      </c>
      <c r="AJ817" s="24" t="n">
        <f aca="false">IF(AC817="",0,IFERROR(INDEX(Resep!$C$9:$C$13,MATCH(LEFT(AC817,3),Resep!$B$9:$B$13,0)),0))</f>
        <v>0</v>
      </c>
      <c r="AK817" s="24" t="n">
        <f aca="false">IF(AD817="",0,IFERROR(INDEX(Resep!$C$15:$C$18,MATCH(LEFT(AD817,3),Resep!$B$15:$B$18,0)),0))</f>
        <v>0</v>
      </c>
      <c r="AL817" s="24" t="str">
        <f aca="false">IF(X817="","",AG817+AH817+AI817+AJ817+AK817)</f>
        <v/>
      </c>
      <c r="AM817" s="22" t="str">
        <f aca="false">IF(X817="","",AL817*(Pengaturan!$B$6+Pengaturan!$B$7)+Pengaturan!$B$8+AE817*Pengaturan!$B$9+AF817*Pengaturan!$B$10)</f>
        <v/>
      </c>
      <c r="AN817" s="22" t="str">
        <f aca="false">IF(X817="","",N(G817)-AM817)</f>
        <v/>
      </c>
      <c r="AO817" s="25" t="str">
        <f aca="false">IF(OR(X817="",N(G817)=0),"",AN817/G817)</f>
        <v/>
      </c>
    </row>
    <row r="818" customFormat="false" ht="15" hidden="false" customHeight="false" outlineLevel="0" collapsed="false">
      <c r="A818" s="19"/>
      <c r="B818" s="20"/>
      <c r="C818" s="19"/>
      <c r="D818" s="19"/>
      <c r="E818" s="19"/>
      <c r="F818" s="19"/>
      <c r="G818" s="21"/>
      <c r="H818" s="19"/>
      <c r="I818" s="21"/>
      <c r="J818" s="19"/>
      <c r="K818" s="20"/>
      <c r="L818" s="20"/>
      <c r="M818" s="19"/>
      <c r="N818" s="19"/>
      <c r="O818" s="20"/>
      <c r="P818" s="20"/>
      <c r="Q818" s="19"/>
      <c r="R818" s="22" t="str">
        <f aca="false">IF(A818="","",N(G818)+N(I818))</f>
        <v/>
      </c>
      <c r="S818" s="23" t="str">
        <f aca="false">IF(OR(K818="",O818=""),"",O818-K818)</f>
        <v/>
      </c>
      <c r="T818" s="23" t="str">
        <f aca="true">IF(AND(C818="Cetak",L818&lt;&gt;"",L818&lt;TODAY()),"YA","")</f>
        <v/>
      </c>
      <c r="U818" s="23" t="str">
        <f aca="false">IF(B818="","",TEXT(B818,"yyyy-mm"))</f>
        <v/>
      </c>
      <c r="V818" s="23" t="str">
        <f aca="false">IF(K818="","",TEXT(K818,"yyyy-mm"))</f>
        <v/>
      </c>
      <c r="W818" s="23" t="n">
        <f aca="false">IF(OR(C818="Cetak",C818="Dikirim",C818="Selesai"),1,0)</f>
        <v>0</v>
      </c>
      <c r="X818" s="23" t="str">
        <f aca="false">IF(F818="","",SUBSTITUTE(SUBSTITUTE(MID(UPPER(TRIM(F818)),4,99),"-LED",""),"-TK",""))</f>
        <v/>
      </c>
      <c r="Y818" s="23" t="str">
        <f aca="false">IF(X818="","",(LEN(X818)+1)/7)</f>
        <v/>
      </c>
      <c r="Z818" s="23" t="str">
        <f aca="false">IF(X818="","",LEFT(X818,6))</f>
        <v/>
      </c>
      <c r="AA818" s="23" t="str">
        <f aca="false">IF(X818="","",IF(Y818&gt;=3,MID(X818,8,6),""))</f>
        <v/>
      </c>
      <c r="AB818" s="23" t="str">
        <f aca="false">IF(X818="","",IF(Y818&gt;=4,MID(X818,15,6),""))</f>
        <v/>
      </c>
      <c r="AC818" s="23" t="str">
        <f aca="false">IF(X818="","",IF(Y818&gt;=5,MID(X818,22,6),""))</f>
        <v/>
      </c>
      <c r="AD818" s="23" t="str">
        <f aca="false">IF(X818="","",RIGHT(X818,6))</f>
        <v/>
      </c>
      <c r="AE818" s="23" t="str">
        <f aca="false">IF(F818="","",IF(ISNUMBER(SEARCH("-TK",UPPER(F818))),0,1))</f>
        <v/>
      </c>
      <c r="AF818" s="23" t="str">
        <f aca="false">IF(F818="","",IF(ISNUMBER(SEARCH("-LED",UPPER(F818))),1,0))</f>
        <v/>
      </c>
      <c r="AG818" s="24" t="n">
        <f aca="false">IF(Z818="",0,IFERROR(INDEX(Resep!$C$5:$C$7,MATCH(LEFT(Z818,3),Resep!$B$5:$B$7,0)),0))</f>
        <v>0</v>
      </c>
      <c r="AH818" s="24" t="n">
        <f aca="false">IF(AA818="",0,IFERROR(INDEX(Resep!$C$9:$C$13,MATCH(LEFT(AA818,3),Resep!$B$9:$B$13,0)),0))</f>
        <v>0</v>
      </c>
      <c r="AI818" s="24" t="n">
        <f aca="false">IF(AB818="",0,IFERROR(INDEX(Resep!$C$9:$C$13,MATCH(LEFT(AB818,3),Resep!$B$9:$B$13,0)),0))</f>
        <v>0</v>
      </c>
      <c r="AJ818" s="24" t="n">
        <f aca="false">IF(AC818="",0,IFERROR(INDEX(Resep!$C$9:$C$13,MATCH(LEFT(AC818,3),Resep!$B$9:$B$13,0)),0))</f>
        <v>0</v>
      </c>
      <c r="AK818" s="24" t="n">
        <f aca="false">IF(AD818="",0,IFERROR(INDEX(Resep!$C$15:$C$18,MATCH(LEFT(AD818,3),Resep!$B$15:$B$18,0)),0))</f>
        <v>0</v>
      </c>
      <c r="AL818" s="24" t="str">
        <f aca="false">IF(X818="","",AG818+AH818+AI818+AJ818+AK818)</f>
        <v/>
      </c>
      <c r="AM818" s="22" t="str">
        <f aca="false">IF(X818="","",AL818*(Pengaturan!$B$6+Pengaturan!$B$7)+Pengaturan!$B$8+AE818*Pengaturan!$B$9+AF818*Pengaturan!$B$10)</f>
        <v/>
      </c>
      <c r="AN818" s="22" t="str">
        <f aca="false">IF(X818="","",N(G818)-AM818)</f>
        <v/>
      </c>
      <c r="AO818" s="25" t="str">
        <f aca="false">IF(OR(X818="",N(G818)=0),"",AN818/G818)</f>
        <v/>
      </c>
    </row>
    <row r="819" customFormat="false" ht="15" hidden="false" customHeight="false" outlineLevel="0" collapsed="false">
      <c r="A819" s="19"/>
      <c r="B819" s="20"/>
      <c r="C819" s="19"/>
      <c r="D819" s="19"/>
      <c r="E819" s="19"/>
      <c r="F819" s="19"/>
      <c r="G819" s="21"/>
      <c r="H819" s="19"/>
      <c r="I819" s="21"/>
      <c r="J819" s="19"/>
      <c r="K819" s="20"/>
      <c r="L819" s="20"/>
      <c r="M819" s="19"/>
      <c r="N819" s="19"/>
      <c r="O819" s="20"/>
      <c r="P819" s="20"/>
      <c r="Q819" s="19"/>
      <c r="R819" s="22" t="str">
        <f aca="false">IF(A819="","",N(G819)+N(I819))</f>
        <v/>
      </c>
      <c r="S819" s="23" t="str">
        <f aca="false">IF(OR(K819="",O819=""),"",O819-K819)</f>
        <v/>
      </c>
      <c r="T819" s="23" t="str">
        <f aca="true">IF(AND(C819="Cetak",L819&lt;&gt;"",L819&lt;TODAY()),"YA","")</f>
        <v/>
      </c>
      <c r="U819" s="23" t="str">
        <f aca="false">IF(B819="","",TEXT(B819,"yyyy-mm"))</f>
        <v/>
      </c>
      <c r="V819" s="23" t="str">
        <f aca="false">IF(K819="","",TEXT(K819,"yyyy-mm"))</f>
        <v/>
      </c>
      <c r="W819" s="23" t="n">
        <f aca="false">IF(OR(C819="Cetak",C819="Dikirim",C819="Selesai"),1,0)</f>
        <v>0</v>
      </c>
      <c r="X819" s="23" t="str">
        <f aca="false">IF(F819="","",SUBSTITUTE(SUBSTITUTE(MID(UPPER(TRIM(F819)),4,99),"-LED",""),"-TK",""))</f>
        <v/>
      </c>
      <c r="Y819" s="23" t="str">
        <f aca="false">IF(X819="","",(LEN(X819)+1)/7)</f>
        <v/>
      </c>
      <c r="Z819" s="23" t="str">
        <f aca="false">IF(X819="","",LEFT(X819,6))</f>
        <v/>
      </c>
      <c r="AA819" s="23" t="str">
        <f aca="false">IF(X819="","",IF(Y819&gt;=3,MID(X819,8,6),""))</f>
        <v/>
      </c>
      <c r="AB819" s="23" t="str">
        <f aca="false">IF(X819="","",IF(Y819&gt;=4,MID(X819,15,6),""))</f>
        <v/>
      </c>
      <c r="AC819" s="23" t="str">
        <f aca="false">IF(X819="","",IF(Y819&gt;=5,MID(X819,22,6),""))</f>
        <v/>
      </c>
      <c r="AD819" s="23" t="str">
        <f aca="false">IF(X819="","",RIGHT(X819,6))</f>
        <v/>
      </c>
      <c r="AE819" s="23" t="str">
        <f aca="false">IF(F819="","",IF(ISNUMBER(SEARCH("-TK",UPPER(F819))),0,1))</f>
        <v/>
      </c>
      <c r="AF819" s="23" t="str">
        <f aca="false">IF(F819="","",IF(ISNUMBER(SEARCH("-LED",UPPER(F819))),1,0))</f>
        <v/>
      </c>
      <c r="AG819" s="24" t="n">
        <f aca="false">IF(Z819="",0,IFERROR(INDEX(Resep!$C$5:$C$7,MATCH(LEFT(Z819,3),Resep!$B$5:$B$7,0)),0))</f>
        <v>0</v>
      </c>
      <c r="AH819" s="24" t="n">
        <f aca="false">IF(AA819="",0,IFERROR(INDEX(Resep!$C$9:$C$13,MATCH(LEFT(AA819,3),Resep!$B$9:$B$13,0)),0))</f>
        <v>0</v>
      </c>
      <c r="AI819" s="24" t="n">
        <f aca="false">IF(AB819="",0,IFERROR(INDEX(Resep!$C$9:$C$13,MATCH(LEFT(AB819,3),Resep!$B$9:$B$13,0)),0))</f>
        <v>0</v>
      </c>
      <c r="AJ819" s="24" t="n">
        <f aca="false">IF(AC819="",0,IFERROR(INDEX(Resep!$C$9:$C$13,MATCH(LEFT(AC819,3),Resep!$B$9:$B$13,0)),0))</f>
        <v>0</v>
      </c>
      <c r="AK819" s="24" t="n">
        <f aca="false">IF(AD819="",0,IFERROR(INDEX(Resep!$C$15:$C$18,MATCH(LEFT(AD819,3),Resep!$B$15:$B$18,0)),0))</f>
        <v>0</v>
      </c>
      <c r="AL819" s="24" t="str">
        <f aca="false">IF(X819="","",AG819+AH819+AI819+AJ819+AK819)</f>
        <v/>
      </c>
      <c r="AM819" s="22" t="str">
        <f aca="false">IF(X819="","",AL819*(Pengaturan!$B$6+Pengaturan!$B$7)+Pengaturan!$B$8+AE819*Pengaturan!$B$9+AF819*Pengaturan!$B$10)</f>
        <v/>
      </c>
      <c r="AN819" s="22" t="str">
        <f aca="false">IF(X819="","",N(G819)-AM819)</f>
        <v/>
      </c>
      <c r="AO819" s="25" t="str">
        <f aca="false">IF(OR(X819="",N(G819)=0),"",AN819/G819)</f>
        <v/>
      </c>
    </row>
    <row r="820" customFormat="false" ht="15" hidden="false" customHeight="false" outlineLevel="0" collapsed="false">
      <c r="A820" s="19"/>
      <c r="B820" s="20"/>
      <c r="C820" s="19"/>
      <c r="D820" s="19"/>
      <c r="E820" s="19"/>
      <c r="F820" s="19"/>
      <c r="G820" s="21"/>
      <c r="H820" s="19"/>
      <c r="I820" s="21"/>
      <c r="J820" s="19"/>
      <c r="K820" s="20"/>
      <c r="L820" s="20"/>
      <c r="M820" s="19"/>
      <c r="N820" s="19"/>
      <c r="O820" s="20"/>
      <c r="P820" s="20"/>
      <c r="Q820" s="19"/>
      <c r="R820" s="22" t="str">
        <f aca="false">IF(A820="","",N(G820)+N(I820))</f>
        <v/>
      </c>
      <c r="S820" s="23" t="str">
        <f aca="false">IF(OR(K820="",O820=""),"",O820-K820)</f>
        <v/>
      </c>
      <c r="T820" s="23" t="str">
        <f aca="true">IF(AND(C820="Cetak",L820&lt;&gt;"",L820&lt;TODAY()),"YA","")</f>
        <v/>
      </c>
      <c r="U820" s="23" t="str">
        <f aca="false">IF(B820="","",TEXT(B820,"yyyy-mm"))</f>
        <v/>
      </c>
      <c r="V820" s="23" t="str">
        <f aca="false">IF(K820="","",TEXT(K820,"yyyy-mm"))</f>
        <v/>
      </c>
      <c r="W820" s="23" t="n">
        <f aca="false">IF(OR(C820="Cetak",C820="Dikirim",C820="Selesai"),1,0)</f>
        <v>0</v>
      </c>
      <c r="X820" s="23" t="str">
        <f aca="false">IF(F820="","",SUBSTITUTE(SUBSTITUTE(MID(UPPER(TRIM(F820)),4,99),"-LED",""),"-TK",""))</f>
        <v/>
      </c>
      <c r="Y820" s="23" t="str">
        <f aca="false">IF(X820="","",(LEN(X820)+1)/7)</f>
        <v/>
      </c>
      <c r="Z820" s="23" t="str">
        <f aca="false">IF(X820="","",LEFT(X820,6))</f>
        <v/>
      </c>
      <c r="AA820" s="23" t="str">
        <f aca="false">IF(X820="","",IF(Y820&gt;=3,MID(X820,8,6),""))</f>
        <v/>
      </c>
      <c r="AB820" s="23" t="str">
        <f aca="false">IF(X820="","",IF(Y820&gt;=4,MID(X820,15,6),""))</f>
        <v/>
      </c>
      <c r="AC820" s="23" t="str">
        <f aca="false">IF(X820="","",IF(Y820&gt;=5,MID(X820,22,6),""))</f>
        <v/>
      </c>
      <c r="AD820" s="23" t="str">
        <f aca="false">IF(X820="","",RIGHT(X820,6))</f>
        <v/>
      </c>
      <c r="AE820" s="23" t="str">
        <f aca="false">IF(F820="","",IF(ISNUMBER(SEARCH("-TK",UPPER(F820))),0,1))</f>
        <v/>
      </c>
      <c r="AF820" s="23" t="str">
        <f aca="false">IF(F820="","",IF(ISNUMBER(SEARCH("-LED",UPPER(F820))),1,0))</f>
        <v/>
      </c>
      <c r="AG820" s="24" t="n">
        <f aca="false">IF(Z820="",0,IFERROR(INDEX(Resep!$C$5:$C$7,MATCH(LEFT(Z820,3),Resep!$B$5:$B$7,0)),0))</f>
        <v>0</v>
      </c>
      <c r="AH820" s="24" t="n">
        <f aca="false">IF(AA820="",0,IFERROR(INDEX(Resep!$C$9:$C$13,MATCH(LEFT(AA820,3),Resep!$B$9:$B$13,0)),0))</f>
        <v>0</v>
      </c>
      <c r="AI820" s="24" t="n">
        <f aca="false">IF(AB820="",0,IFERROR(INDEX(Resep!$C$9:$C$13,MATCH(LEFT(AB820,3),Resep!$B$9:$B$13,0)),0))</f>
        <v>0</v>
      </c>
      <c r="AJ820" s="24" t="n">
        <f aca="false">IF(AC820="",0,IFERROR(INDEX(Resep!$C$9:$C$13,MATCH(LEFT(AC820,3),Resep!$B$9:$B$13,0)),0))</f>
        <v>0</v>
      </c>
      <c r="AK820" s="24" t="n">
        <f aca="false">IF(AD820="",0,IFERROR(INDEX(Resep!$C$15:$C$18,MATCH(LEFT(AD820,3),Resep!$B$15:$B$18,0)),0))</f>
        <v>0</v>
      </c>
      <c r="AL820" s="24" t="str">
        <f aca="false">IF(X820="","",AG820+AH820+AI820+AJ820+AK820)</f>
        <v/>
      </c>
      <c r="AM820" s="22" t="str">
        <f aca="false">IF(X820="","",AL820*(Pengaturan!$B$6+Pengaturan!$B$7)+Pengaturan!$B$8+AE820*Pengaturan!$B$9+AF820*Pengaturan!$B$10)</f>
        <v/>
      </c>
      <c r="AN820" s="22" t="str">
        <f aca="false">IF(X820="","",N(G820)-AM820)</f>
        <v/>
      </c>
      <c r="AO820" s="25" t="str">
        <f aca="false">IF(OR(X820="",N(G820)=0),"",AN820/G820)</f>
        <v/>
      </c>
    </row>
    <row r="821" customFormat="false" ht="15" hidden="false" customHeight="false" outlineLevel="0" collapsed="false">
      <c r="A821" s="19"/>
      <c r="B821" s="20"/>
      <c r="C821" s="19"/>
      <c r="D821" s="19"/>
      <c r="E821" s="19"/>
      <c r="F821" s="19"/>
      <c r="G821" s="21"/>
      <c r="H821" s="19"/>
      <c r="I821" s="21"/>
      <c r="J821" s="19"/>
      <c r="K821" s="20"/>
      <c r="L821" s="20"/>
      <c r="M821" s="19"/>
      <c r="N821" s="19"/>
      <c r="O821" s="20"/>
      <c r="P821" s="20"/>
      <c r="Q821" s="19"/>
      <c r="R821" s="22" t="str">
        <f aca="false">IF(A821="","",N(G821)+N(I821))</f>
        <v/>
      </c>
      <c r="S821" s="23" t="str">
        <f aca="false">IF(OR(K821="",O821=""),"",O821-K821)</f>
        <v/>
      </c>
      <c r="T821" s="23" t="str">
        <f aca="true">IF(AND(C821="Cetak",L821&lt;&gt;"",L821&lt;TODAY()),"YA","")</f>
        <v/>
      </c>
      <c r="U821" s="23" t="str">
        <f aca="false">IF(B821="","",TEXT(B821,"yyyy-mm"))</f>
        <v/>
      </c>
      <c r="V821" s="23" t="str">
        <f aca="false">IF(K821="","",TEXT(K821,"yyyy-mm"))</f>
        <v/>
      </c>
      <c r="W821" s="23" t="n">
        <f aca="false">IF(OR(C821="Cetak",C821="Dikirim",C821="Selesai"),1,0)</f>
        <v>0</v>
      </c>
      <c r="X821" s="23" t="str">
        <f aca="false">IF(F821="","",SUBSTITUTE(SUBSTITUTE(MID(UPPER(TRIM(F821)),4,99),"-LED",""),"-TK",""))</f>
        <v/>
      </c>
      <c r="Y821" s="23" t="str">
        <f aca="false">IF(X821="","",(LEN(X821)+1)/7)</f>
        <v/>
      </c>
      <c r="Z821" s="23" t="str">
        <f aca="false">IF(X821="","",LEFT(X821,6))</f>
        <v/>
      </c>
      <c r="AA821" s="23" t="str">
        <f aca="false">IF(X821="","",IF(Y821&gt;=3,MID(X821,8,6),""))</f>
        <v/>
      </c>
      <c r="AB821" s="23" t="str">
        <f aca="false">IF(X821="","",IF(Y821&gt;=4,MID(X821,15,6),""))</f>
        <v/>
      </c>
      <c r="AC821" s="23" t="str">
        <f aca="false">IF(X821="","",IF(Y821&gt;=5,MID(X821,22,6),""))</f>
        <v/>
      </c>
      <c r="AD821" s="23" t="str">
        <f aca="false">IF(X821="","",RIGHT(X821,6))</f>
        <v/>
      </c>
      <c r="AE821" s="23" t="str">
        <f aca="false">IF(F821="","",IF(ISNUMBER(SEARCH("-TK",UPPER(F821))),0,1))</f>
        <v/>
      </c>
      <c r="AF821" s="23" t="str">
        <f aca="false">IF(F821="","",IF(ISNUMBER(SEARCH("-LED",UPPER(F821))),1,0))</f>
        <v/>
      </c>
      <c r="AG821" s="24" t="n">
        <f aca="false">IF(Z821="",0,IFERROR(INDEX(Resep!$C$5:$C$7,MATCH(LEFT(Z821,3),Resep!$B$5:$B$7,0)),0))</f>
        <v>0</v>
      </c>
      <c r="AH821" s="24" t="n">
        <f aca="false">IF(AA821="",0,IFERROR(INDEX(Resep!$C$9:$C$13,MATCH(LEFT(AA821,3),Resep!$B$9:$B$13,0)),0))</f>
        <v>0</v>
      </c>
      <c r="AI821" s="24" t="n">
        <f aca="false">IF(AB821="",0,IFERROR(INDEX(Resep!$C$9:$C$13,MATCH(LEFT(AB821,3),Resep!$B$9:$B$13,0)),0))</f>
        <v>0</v>
      </c>
      <c r="AJ821" s="24" t="n">
        <f aca="false">IF(AC821="",0,IFERROR(INDEX(Resep!$C$9:$C$13,MATCH(LEFT(AC821,3),Resep!$B$9:$B$13,0)),0))</f>
        <v>0</v>
      </c>
      <c r="AK821" s="24" t="n">
        <f aca="false">IF(AD821="",0,IFERROR(INDEX(Resep!$C$15:$C$18,MATCH(LEFT(AD821,3),Resep!$B$15:$B$18,0)),0))</f>
        <v>0</v>
      </c>
      <c r="AL821" s="24" t="str">
        <f aca="false">IF(X821="","",AG821+AH821+AI821+AJ821+AK821)</f>
        <v/>
      </c>
      <c r="AM821" s="22" t="str">
        <f aca="false">IF(X821="","",AL821*(Pengaturan!$B$6+Pengaturan!$B$7)+Pengaturan!$B$8+AE821*Pengaturan!$B$9+AF821*Pengaturan!$B$10)</f>
        <v/>
      </c>
      <c r="AN821" s="22" t="str">
        <f aca="false">IF(X821="","",N(G821)-AM821)</f>
        <v/>
      </c>
      <c r="AO821" s="25" t="str">
        <f aca="false">IF(OR(X821="",N(G821)=0),"",AN821/G821)</f>
        <v/>
      </c>
    </row>
    <row r="822" customFormat="false" ht="15" hidden="false" customHeight="false" outlineLevel="0" collapsed="false">
      <c r="A822" s="19"/>
      <c r="B822" s="20"/>
      <c r="C822" s="19"/>
      <c r="D822" s="19"/>
      <c r="E822" s="19"/>
      <c r="F822" s="19"/>
      <c r="G822" s="21"/>
      <c r="H822" s="19"/>
      <c r="I822" s="21"/>
      <c r="J822" s="19"/>
      <c r="K822" s="20"/>
      <c r="L822" s="20"/>
      <c r="M822" s="19"/>
      <c r="N822" s="19"/>
      <c r="O822" s="20"/>
      <c r="P822" s="20"/>
      <c r="Q822" s="19"/>
      <c r="R822" s="22" t="str">
        <f aca="false">IF(A822="","",N(G822)+N(I822))</f>
        <v/>
      </c>
      <c r="S822" s="23" t="str">
        <f aca="false">IF(OR(K822="",O822=""),"",O822-K822)</f>
        <v/>
      </c>
      <c r="T822" s="23" t="str">
        <f aca="true">IF(AND(C822="Cetak",L822&lt;&gt;"",L822&lt;TODAY()),"YA","")</f>
        <v/>
      </c>
      <c r="U822" s="23" t="str">
        <f aca="false">IF(B822="","",TEXT(B822,"yyyy-mm"))</f>
        <v/>
      </c>
      <c r="V822" s="23" t="str">
        <f aca="false">IF(K822="","",TEXT(K822,"yyyy-mm"))</f>
        <v/>
      </c>
      <c r="W822" s="23" t="n">
        <f aca="false">IF(OR(C822="Cetak",C822="Dikirim",C822="Selesai"),1,0)</f>
        <v>0</v>
      </c>
      <c r="X822" s="23" t="str">
        <f aca="false">IF(F822="","",SUBSTITUTE(SUBSTITUTE(MID(UPPER(TRIM(F822)),4,99),"-LED",""),"-TK",""))</f>
        <v/>
      </c>
      <c r="Y822" s="23" t="str">
        <f aca="false">IF(X822="","",(LEN(X822)+1)/7)</f>
        <v/>
      </c>
      <c r="Z822" s="23" t="str">
        <f aca="false">IF(X822="","",LEFT(X822,6))</f>
        <v/>
      </c>
      <c r="AA822" s="23" t="str">
        <f aca="false">IF(X822="","",IF(Y822&gt;=3,MID(X822,8,6),""))</f>
        <v/>
      </c>
      <c r="AB822" s="23" t="str">
        <f aca="false">IF(X822="","",IF(Y822&gt;=4,MID(X822,15,6),""))</f>
        <v/>
      </c>
      <c r="AC822" s="23" t="str">
        <f aca="false">IF(X822="","",IF(Y822&gt;=5,MID(X822,22,6),""))</f>
        <v/>
      </c>
      <c r="AD822" s="23" t="str">
        <f aca="false">IF(X822="","",RIGHT(X822,6))</f>
        <v/>
      </c>
      <c r="AE822" s="23" t="str">
        <f aca="false">IF(F822="","",IF(ISNUMBER(SEARCH("-TK",UPPER(F822))),0,1))</f>
        <v/>
      </c>
      <c r="AF822" s="23" t="str">
        <f aca="false">IF(F822="","",IF(ISNUMBER(SEARCH("-LED",UPPER(F822))),1,0))</f>
        <v/>
      </c>
      <c r="AG822" s="24" t="n">
        <f aca="false">IF(Z822="",0,IFERROR(INDEX(Resep!$C$5:$C$7,MATCH(LEFT(Z822,3),Resep!$B$5:$B$7,0)),0))</f>
        <v>0</v>
      </c>
      <c r="AH822" s="24" t="n">
        <f aca="false">IF(AA822="",0,IFERROR(INDEX(Resep!$C$9:$C$13,MATCH(LEFT(AA822,3),Resep!$B$9:$B$13,0)),0))</f>
        <v>0</v>
      </c>
      <c r="AI822" s="24" t="n">
        <f aca="false">IF(AB822="",0,IFERROR(INDEX(Resep!$C$9:$C$13,MATCH(LEFT(AB822,3),Resep!$B$9:$B$13,0)),0))</f>
        <v>0</v>
      </c>
      <c r="AJ822" s="24" t="n">
        <f aca="false">IF(AC822="",0,IFERROR(INDEX(Resep!$C$9:$C$13,MATCH(LEFT(AC822,3),Resep!$B$9:$B$13,0)),0))</f>
        <v>0</v>
      </c>
      <c r="AK822" s="24" t="n">
        <f aca="false">IF(AD822="",0,IFERROR(INDEX(Resep!$C$15:$C$18,MATCH(LEFT(AD822,3),Resep!$B$15:$B$18,0)),0))</f>
        <v>0</v>
      </c>
      <c r="AL822" s="24" t="str">
        <f aca="false">IF(X822="","",AG822+AH822+AI822+AJ822+AK822)</f>
        <v/>
      </c>
      <c r="AM822" s="22" t="str">
        <f aca="false">IF(X822="","",AL822*(Pengaturan!$B$6+Pengaturan!$B$7)+Pengaturan!$B$8+AE822*Pengaturan!$B$9+AF822*Pengaturan!$B$10)</f>
        <v/>
      </c>
      <c r="AN822" s="22" t="str">
        <f aca="false">IF(X822="","",N(G822)-AM822)</f>
        <v/>
      </c>
      <c r="AO822" s="25" t="str">
        <f aca="false">IF(OR(X822="",N(G822)=0),"",AN822/G822)</f>
        <v/>
      </c>
    </row>
    <row r="823" customFormat="false" ht="15" hidden="false" customHeight="false" outlineLevel="0" collapsed="false">
      <c r="A823" s="19"/>
      <c r="B823" s="20"/>
      <c r="C823" s="19"/>
      <c r="D823" s="19"/>
      <c r="E823" s="19"/>
      <c r="F823" s="19"/>
      <c r="G823" s="21"/>
      <c r="H823" s="19"/>
      <c r="I823" s="21"/>
      <c r="J823" s="19"/>
      <c r="K823" s="20"/>
      <c r="L823" s="20"/>
      <c r="M823" s="19"/>
      <c r="N823" s="19"/>
      <c r="O823" s="20"/>
      <c r="P823" s="20"/>
      <c r="Q823" s="19"/>
      <c r="R823" s="22" t="str">
        <f aca="false">IF(A823="","",N(G823)+N(I823))</f>
        <v/>
      </c>
      <c r="S823" s="23" t="str">
        <f aca="false">IF(OR(K823="",O823=""),"",O823-K823)</f>
        <v/>
      </c>
      <c r="T823" s="23" t="str">
        <f aca="true">IF(AND(C823="Cetak",L823&lt;&gt;"",L823&lt;TODAY()),"YA","")</f>
        <v/>
      </c>
      <c r="U823" s="23" t="str">
        <f aca="false">IF(B823="","",TEXT(B823,"yyyy-mm"))</f>
        <v/>
      </c>
      <c r="V823" s="23" t="str">
        <f aca="false">IF(K823="","",TEXT(K823,"yyyy-mm"))</f>
        <v/>
      </c>
      <c r="W823" s="23" t="n">
        <f aca="false">IF(OR(C823="Cetak",C823="Dikirim",C823="Selesai"),1,0)</f>
        <v>0</v>
      </c>
      <c r="X823" s="23" t="str">
        <f aca="false">IF(F823="","",SUBSTITUTE(SUBSTITUTE(MID(UPPER(TRIM(F823)),4,99),"-LED",""),"-TK",""))</f>
        <v/>
      </c>
      <c r="Y823" s="23" t="str">
        <f aca="false">IF(X823="","",(LEN(X823)+1)/7)</f>
        <v/>
      </c>
      <c r="Z823" s="23" t="str">
        <f aca="false">IF(X823="","",LEFT(X823,6))</f>
        <v/>
      </c>
      <c r="AA823" s="23" t="str">
        <f aca="false">IF(X823="","",IF(Y823&gt;=3,MID(X823,8,6),""))</f>
        <v/>
      </c>
      <c r="AB823" s="23" t="str">
        <f aca="false">IF(X823="","",IF(Y823&gt;=4,MID(X823,15,6),""))</f>
        <v/>
      </c>
      <c r="AC823" s="23" t="str">
        <f aca="false">IF(X823="","",IF(Y823&gt;=5,MID(X823,22,6),""))</f>
        <v/>
      </c>
      <c r="AD823" s="23" t="str">
        <f aca="false">IF(X823="","",RIGHT(X823,6))</f>
        <v/>
      </c>
      <c r="AE823" s="23" t="str">
        <f aca="false">IF(F823="","",IF(ISNUMBER(SEARCH("-TK",UPPER(F823))),0,1))</f>
        <v/>
      </c>
      <c r="AF823" s="23" t="str">
        <f aca="false">IF(F823="","",IF(ISNUMBER(SEARCH("-LED",UPPER(F823))),1,0))</f>
        <v/>
      </c>
      <c r="AG823" s="24" t="n">
        <f aca="false">IF(Z823="",0,IFERROR(INDEX(Resep!$C$5:$C$7,MATCH(LEFT(Z823,3),Resep!$B$5:$B$7,0)),0))</f>
        <v>0</v>
      </c>
      <c r="AH823" s="24" t="n">
        <f aca="false">IF(AA823="",0,IFERROR(INDEX(Resep!$C$9:$C$13,MATCH(LEFT(AA823,3),Resep!$B$9:$B$13,0)),0))</f>
        <v>0</v>
      </c>
      <c r="AI823" s="24" t="n">
        <f aca="false">IF(AB823="",0,IFERROR(INDEX(Resep!$C$9:$C$13,MATCH(LEFT(AB823,3),Resep!$B$9:$B$13,0)),0))</f>
        <v>0</v>
      </c>
      <c r="AJ823" s="24" t="n">
        <f aca="false">IF(AC823="",0,IFERROR(INDEX(Resep!$C$9:$C$13,MATCH(LEFT(AC823,3),Resep!$B$9:$B$13,0)),0))</f>
        <v>0</v>
      </c>
      <c r="AK823" s="24" t="n">
        <f aca="false">IF(AD823="",0,IFERROR(INDEX(Resep!$C$15:$C$18,MATCH(LEFT(AD823,3),Resep!$B$15:$B$18,0)),0))</f>
        <v>0</v>
      </c>
      <c r="AL823" s="24" t="str">
        <f aca="false">IF(X823="","",AG823+AH823+AI823+AJ823+AK823)</f>
        <v/>
      </c>
      <c r="AM823" s="22" t="str">
        <f aca="false">IF(X823="","",AL823*(Pengaturan!$B$6+Pengaturan!$B$7)+Pengaturan!$B$8+AE823*Pengaturan!$B$9+AF823*Pengaturan!$B$10)</f>
        <v/>
      </c>
      <c r="AN823" s="22" t="str">
        <f aca="false">IF(X823="","",N(G823)-AM823)</f>
        <v/>
      </c>
      <c r="AO823" s="25" t="str">
        <f aca="false">IF(OR(X823="",N(G823)=0),"",AN823/G823)</f>
        <v/>
      </c>
    </row>
    <row r="824" customFormat="false" ht="15" hidden="false" customHeight="false" outlineLevel="0" collapsed="false">
      <c r="A824" s="19"/>
      <c r="B824" s="20"/>
      <c r="C824" s="19"/>
      <c r="D824" s="19"/>
      <c r="E824" s="19"/>
      <c r="F824" s="19"/>
      <c r="G824" s="21"/>
      <c r="H824" s="19"/>
      <c r="I824" s="21"/>
      <c r="J824" s="19"/>
      <c r="K824" s="20"/>
      <c r="L824" s="20"/>
      <c r="M824" s="19"/>
      <c r="N824" s="19"/>
      <c r="O824" s="20"/>
      <c r="P824" s="20"/>
      <c r="Q824" s="19"/>
      <c r="R824" s="22" t="str">
        <f aca="false">IF(A824="","",N(G824)+N(I824))</f>
        <v/>
      </c>
      <c r="S824" s="23" t="str">
        <f aca="false">IF(OR(K824="",O824=""),"",O824-K824)</f>
        <v/>
      </c>
      <c r="T824" s="23" t="str">
        <f aca="true">IF(AND(C824="Cetak",L824&lt;&gt;"",L824&lt;TODAY()),"YA","")</f>
        <v/>
      </c>
      <c r="U824" s="23" t="str">
        <f aca="false">IF(B824="","",TEXT(B824,"yyyy-mm"))</f>
        <v/>
      </c>
      <c r="V824" s="23" t="str">
        <f aca="false">IF(K824="","",TEXT(K824,"yyyy-mm"))</f>
        <v/>
      </c>
      <c r="W824" s="23" t="n">
        <f aca="false">IF(OR(C824="Cetak",C824="Dikirim",C824="Selesai"),1,0)</f>
        <v>0</v>
      </c>
      <c r="X824" s="23" t="str">
        <f aca="false">IF(F824="","",SUBSTITUTE(SUBSTITUTE(MID(UPPER(TRIM(F824)),4,99),"-LED",""),"-TK",""))</f>
        <v/>
      </c>
      <c r="Y824" s="23" t="str">
        <f aca="false">IF(X824="","",(LEN(X824)+1)/7)</f>
        <v/>
      </c>
      <c r="Z824" s="23" t="str">
        <f aca="false">IF(X824="","",LEFT(X824,6))</f>
        <v/>
      </c>
      <c r="AA824" s="23" t="str">
        <f aca="false">IF(X824="","",IF(Y824&gt;=3,MID(X824,8,6),""))</f>
        <v/>
      </c>
      <c r="AB824" s="23" t="str">
        <f aca="false">IF(X824="","",IF(Y824&gt;=4,MID(X824,15,6),""))</f>
        <v/>
      </c>
      <c r="AC824" s="23" t="str">
        <f aca="false">IF(X824="","",IF(Y824&gt;=5,MID(X824,22,6),""))</f>
        <v/>
      </c>
      <c r="AD824" s="23" t="str">
        <f aca="false">IF(X824="","",RIGHT(X824,6))</f>
        <v/>
      </c>
      <c r="AE824" s="23" t="str">
        <f aca="false">IF(F824="","",IF(ISNUMBER(SEARCH("-TK",UPPER(F824))),0,1))</f>
        <v/>
      </c>
      <c r="AF824" s="23" t="str">
        <f aca="false">IF(F824="","",IF(ISNUMBER(SEARCH("-LED",UPPER(F824))),1,0))</f>
        <v/>
      </c>
      <c r="AG824" s="24" t="n">
        <f aca="false">IF(Z824="",0,IFERROR(INDEX(Resep!$C$5:$C$7,MATCH(LEFT(Z824,3),Resep!$B$5:$B$7,0)),0))</f>
        <v>0</v>
      </c>
      <c r="AH824" s="24" t="n">
        <f aca="false">IF(AA824="",0,IFERROR(INDEX(Resep!$C$9:$C$13,MATCH(LEFT(AA824,3),Resep!$B$9:$B$13,0)),0))</f>
        <v>0</v>
      </c>
      <c r="AI824" s="24" t="n">
        <f aca="false">IF(AB824="",0,IFERROR(INDEX(Resep!$C$9:$C$13,MATCH(LEFT(AB824,3),Resep!$B$9:$B$13,0)),0))</f>
        <v>0</v>
      </c>
      <c r="AJ824" s="24" t="n">
        <f aca="false">IF(AC824="",0,IFERROR(INDEX(Resep!$C$9:$C$13,MATCH(LEFT(AC824,3),Resep!$B$9:$B$13,0)),0))</f>
        <v>0</v>
      </c>
      <c r="AK824" s="24" t="n">
        <f aca="false">IF(AD824="",0,IFERROR(INDEX(Resep!$C$15:$C$18,MATCH(LEFT(AD824,3),Resep!$B$15:$B$18,0)),0))</f>
        <v>0</v>
      </c>
      <c r="AL824" s="24" t="str">
        <f aca="false">IF(X824="","",AG824+AH824+AI824+AJ824+AK824)</f>
        <v/>
      </c>
      <c r="AM824" s="22" t="str">
        <f aca="false">IF(X824="","",AL824*(Pengaturan!$B$6+Pengaturan!$B$7)+Pengaturan!$B$8+AE824*Pengaturan!$B$9+AF824*Pengaturan!$B$10)</f>
        <v/>
      </c>
      <c r="AN824" s="22" t="str">
        <f aca="false">IF(X824="","",N(G824)-AM824)</f>
        <v/>
      </c>
      <c r="AO824" s="25" t="str">
        <f aca="false">IF(OR(X824="",N(G824)=0),"",AN824/G824)</f>
        <v/>
      </c>
    </row>
    <row r="825" customFormat="false" ht="15" hidden="false" customHeight="false" outlineLevel="0" collapsed="false">
      <c r="A825" s="19"/>
      <c r="B825" s="20"/>
      <c r="C825" s="19"/>
      <c r="D825" s="19"/>
      <c r="E825" s="19"/>
      <c r="F825" s="19"/>
      <c r="G825" s="21"/>
      <c r="H825" s="19"/>
      <c r="I825" s="21"/>
      <c r="J825" s="19"/>
      <c r="K825" s="20"/>
      <c r="L825" s="20"/>
      <c r="M825" s="19"/>
      <c r="N825" s="19"/>
      <c r="O825" s="20"/>
      <c r="P825" s="20"/>
      <c r="Q825" s="19"/>
      <c r="R825" s="22" t="str">
        <f aca="false">IF(A825="","",N(G825)+N(I825))</f>
        <v/>
      </c>
      <c r="S825" s="23" t="str">
        <f aca="false">IF(OR(K825="",O825=""),"",O825-K825)</f>
        <v/>
      </c>
      <c r="T825" s="23" t="str">
        <f aca="true">IF(AND(C825="Cetak",L825&lt;&gt;"",L825&lt;TODAY()),"YA","")</f>
        <v/>
      </c>
      <c r="U825" s="23" t="str">
        <f aca="false">IF(B825="","",TEXT(B825,"yyyy-mm"))</f>
        <v/>
      </c>
      <c r="V825" s="23" t="str">
        <f aca="false">IF(K825="","",TEXT(K825,"yyyy-mm"))</f>
        <v/>
      </c>
      <c r="W825" s="23" t="n">
        <f aca="false">IF(OR(C825="Cetak",C825="Dikirim",C825="Selesai"),1,0)</f>
        <v>0</v>
      </c>
      <c r="X825" s="23" t="str">
        <f aca="false">IF(F825="","",SUBSTITUTE(SUBSTITUTE(MID(UPPER(TRIM(F825)),4,99),"-LED",""),"-TK",""))</f>
        <v/>
      </c>
      <c r="Y825" s="23" t="str">
        <f aca="false">IF(X825="","",(LEN(X825)+1)/7)</f>
        <v/>
      </c>
      <c r="Z825" s="23" t="str">
        <f aca="false">IF(X825="","",LEFT(X825,6))</f>
        <v/>
      </c>
      <c r="AA825" s="23" t="str">
        <f aca="false">IF(X825="","",IF(Y825&gt;=3,MID(X825,8,6),""))</f>
        <v/>
      </c>
      <c r="AB825" s="23" t="str">
        <f aca="false">IF(X825="","",IF(Y825&gt;=4,MID(X825,15,6),""))</f>
        <v/>
      </c>
      <c r="AC825" s="23" t="str">
        <f aca="false">IF(X825="","",IF(Y825&gt;=5,MID(X825,22,6),""))</f>
        <v/>
      </c>
      <c r="AD825" s="23" t="str">
        <f aca="false">IF(X825="","",RIGHT(X825,6))</f>
        <v/>
      </c>
      <c r="AE825" s="23" t="str">
        <f aca="false">IF(F825="","",IF(ISNUMBER(SEARCH("-TK",UPPER(F825))),0,1))</f>
        <v/>
      </c>
      <c r="AF825" s="23" t="str">
        <f aca="false">IF(F825="","",IF(ISNUMBER(SEARCH("-LED",UPPER(F825))),1,0))</f>
        <v/>
      </c>
      <c r="AG825" s="24" t="n">
        <f aca="false">IF(Z825="",0,IFERROR(INDEX(Resep!$C$5:$C$7,MATCH(LEFT(Z825,3),Resep!$B$5:$B$7,0)),0))</f>
        <v>0</v>
      </c>
      <c r="AH825" s="24" t="n">
        <f aca="false">IF(AA825="",0,IFERROR(INDEX(Resep!$C$9:$C$13,MATCH(LEFT(AA825,3),Resep!$B$9:$B$13,0)),0))</f>
        <v>0</v>
      </c>
      <c r="AI825" s="24" t="n">
        <f aca="false">IF(AB825="",0,IFERROR(INDEX(Resep!$C$9:$C$13,MATCH(LEFT(AB825,3),Resep!$B$9:$B$13,0)),0))</f>
        <v>0</v>
      </c>
      <c r="AJ825" s="24" t="n">
        <f aca="false">IF(AC825="",0,IFERROR(INDEX(Resep!$C$9:$C$13,MATCH(LEFT(AC825,3),Resep!$B$9:$B$13,0)),0))</f>
        <v>0</v>
      </c>
      <c r="AK825" s="24" t="n">
        <f aca="false">IF(AD825="",0,IFERROR(INDEX(Resep!$C$15:$C$18,MATCH(LEFT(AD825,3),Resep!$B$15:$B$18,0)),0))</f>
        <v>0</v>
      </c>
      <c r="AL825" s="24" t="str">
        <f aca="false">IF(X825="","",AG825+AH825+AI825+AJ825+AK825)</f>
        <v/>
      </c>
      <c r="AM825" s="22" t="str">
        <f aca="false">IF(X825="","",AL825*(Pengaturan!$B$6+Pengaturan!$B$7)+Pengaturan!$B$8+AE825*Pengaturan!$B$9+AF825*Pengaturan!$B$10)</f>
        <v/>
      </c>
      <c r="AN825" s="22" t="str">
        <f aca="false">IF(X825="","",N(G825)-AM825)</f>
        <v/>
      </c>
      <c r="AO825" s="25" t="str">
        <f aca="false">IF(OR(X825="",N(G825)=0),"",AN825/G825)</f>
        <v/>
      </c>
    </row>
    <row r="826" customFormat="false" ht="15" hidden="false" customHeight="false" outlineLevel="0" collapsed="false">
      <c r="A826" s="19"/>
      <c r="B826" s="20"/>
      <c r="C826" s="19"/>
      <c r="D826" s="19"/>
      <c r="E826" s="19"/>
      <c r="F826" s="19"/>
      <c r="G826" s="21"/>
      <c r="H826" s="19"/>
      <c r="I826" s="21"/>
      <c r="J826" s="19"/>
      <c r="K826" s="20"/>
      <c r="L826" s="20"/>
      <c r="M826" s="19"/>
      <c r="N826" s="19"/>
      <c r="O826" s="20"/>
      <c r="P826" s="20"/>
      <c r="Q826" s="19"/>
      <c r="R826" s="22" t="str">
        <f aca="false">IF(A826="","",N(G826)+N(I826))</f>
        <v/>
      </c>
      <c r="S826" s="23" t="str">
        <f aca="false">IF(OR(K826="",O826=""),"",O826-K826)</f>
        <v/>
      </c>
      <c r="T826" s="23" t="str">
        <f aca="true">IF(AND(C826="Cetak",L826&lt;&gt;"",L826&lt;TODAY()),"YA","")</f>
        <v/>
      </c>
      <c r="U826" s="23" t="str">
        <f aca="false">IF(B826="","",TEXT(B826,"yyyy-mm"))</f>
        <v/>
      </c>
      <c r="V826" s="23" t="str">
        <f aca="false">IF(K826="","",TEXT(K826,"yyyy-mm"))</f>
        <v/>
      </c>
      <c r="W826" s="23" t="n">
        <f aca="false">IF(OR(C826="Cetak",C826="Dikirim",C826="Selesai"),1,0)</f>
        <v>0</v>
      </c>
      <c r="X826" s="23" t="str">
        <f aca="false">IF(F826="","",SUBSTITUTE(SUBSTITUTE(MID(UPPER(TRIM(F826)),4,99),"-LED",""),"-TK",""))</f>
        <v/>
      </c>
      <c r="Y826" s="23" t="str">
        <f aca="false">IF(X826="","",(LEN(X826)+1)/7)</f>
        <v/>
      </c>
      <c r="Z826" s="23" t="str">
        <f aca="false">IF(X826="","",LEFT(X826,6))</f>
        <v/>
      </c>
      <c r="AA826" s="23" t="str">
        <f aca="false">IF(X826="","",IF(Y826&gt;=3,MID(X826,8,6),""))</f>
        <v/>
      </c>
      <c r="AB826" s="23" t="str">
        <f aca="false">IF(X826="","",IF(Y826&gt;=4,MID(X826,15,6),""))</f>
        <v/>
      </c>
      <c r="AC826" s="23" t="str">
        <f aca="false">IF(X826="","",IF(Y826&gt;=5,MID(X826,22,6),""))</f>
        <v/>
      </c>
      <c r="AD826" s="23" t="str">
        <f aca="false">IF(X826="","",RIGHT(X826,6))</f>
        <v/>
      </c>
      <c r="AE826" s="23" t="str">
        <f aca="false">IF(F826="","",IF(ISNUMBER(SEARCH("-TK",UPPER(F826))),0,1))</f>
        <v/>
      </c>
      <c r="AF826" s="23" t="str">
        <f aca="false">IF(F826="","",IF(ISNUMBER(SEARCH("-LED",UPPER(F826))),1,0))</f>
        <v/>
      </c>
      <c r="AG826" s="24" t="n">
        <f aca="false">IF(Z826="",0,IFERROR(INDEX(Resep!$C$5:$C$7,MATCH(LEFT(Z826,3),Resep!$B$5:$B$7,0)),0))</f>
        <v>0</v>
      </c>
      <c r="AH826" s="24" t="n">
        <f aca="false">IF(AA826="",0,IFERROR(INDEX(Resep!$C$9:$C$13,MATCH(LEFT(AA826,3),Resep!$B$9:$B$13,0)),0))</f>
        <v>0</v>
      </c>
      <c r="AI826" s="24" t="n">
        <f aca="false">IF(AB826="",0,IFERROR(INDEX(Resep!$C$9:$C$13,MATCH(LEFT(AB826,3),Resep!$B$9:$B$13,0)),0))</f>
        <v>0</v>
      </c>
      <c r="AJ826" s="24" t="n">
        <f aca="false">IF(AC826="",0,IFERROR(INDEX(Resep!$C$9:$C$13,MATCH(LEFT(AC826,3),Resep!$B$9:$B$13,0)),0))</f>
        <v>0</v>
      </c>
      <c r="AK826" s="24" t="n">
        <f aca="false">IF(AD826="",0,IFERROR(INDEX(Resep!$C$15:$C$18,MATCH(LEFT(AD826,3),Resep!$B$15:$B$18,0)),0))</f>
        <v>0</v>
      </c>
      <c r="AL826" s="24" t="str">
        <f aca="false">IF(X826="","",AG826+AH826+AI826+AJ826+AK826)</f>
        <v/>
      </c>
      <c r="AM826" s="22" t="str">
        <f aca="false">IF(X826="","",AL826*(Pengaturan!$B$6+Pengaturan!$B$7)+Pengaturan!$B$8+AE826*Pengaturan!$B$9+AF826*Pengaturan!$B$10)</f>
        <v/>
      </c>
      <c r="AN826" s="22" t="str">
        <f aca="false">IF(X826="","",N(G826)-AM826)</f>
        <v/>
      </c>
      <c r="AO826" s="25" t="str">
        <f aca="false">IF(OR(X826="",N(G826)=0),"",AN826/G826)</f>
        <v/>
      </c>
    </row>
    <row r="827" customFormat="false" ht="15" hidden="false" customHeight="false" outlineLevel="0" collapsed="false">
      <c r="A827" s="19"/>
      <c r="B827" s="20"/>
      <c r="C827" s="19"/>
      <c r="D827" s="19"/>
      <c r="E827" s="19"/>
      <c r="F827" s="19"/>
      <c r="G827" s="21"/>
      <c r="H827" s="19"/>
      <c r="I827" s="21"/>
      <c r="J827" s="19"/>
      <c r="K827" s="20"/>
      <c r="L827" s="20"/>
      <c r="M827" s="19"/>
      <c r="N827" s="19"/>
      <c r="O827" s="20"/>
      <c r="P827" s="20"/>
      <c r="Q827" s="19"/>
      <c r="R827" s="22" t="str">
        <f aca="false">IF(A827="","",N(G827)+N(I827))</f>
        <v/>
      </c>
      <c r="S827" s="23" t="str">
        <f aca="false">IF(OR(K827="",O827=""),"",O827-K827)</f>
        <v/>
      </c>
      <c r="T827" s="23" t="str">
        <f aca="true">IF(AND(C827="Cetak",L827&lt;&gt;"",L827&lt;TODAY()),"YA","")</f>
        <v/>
      </c>
      <c r="U827" s="23" t="str">
        <f aca="false">IF(B827="","",TEXT(B827,"yyyy-mm"))</f>
        <v/>
      </c>
      <c r="V827" s="23" t="str">
        <f aca="false">IF(K827="","",TEXT(K827,"yyyy-mm"))</f>
        <v/>
      </c>
      <c r="W827" s="23" t="n">
        <f aca="false">IF(OR(C827="Cetak",C827="Dikirim",C827="Selesai"),1,0)</f>
        <v>0</v>
      </c>
      <c r="X827" s="23" t="str">
        <f aca="false">IF(F827="","",SUBSTITUTE(SUBSTITUTE(MID(UPPER(TRIM(F827)),4,99),"-LED",""),"-TK",""))</f>
        <v/>
      </c>
      <c r="Y827" s="23" t="str">
        <f aca="false">IF(X827="","",(LEN(X827)+1)/7)</f>
        <v/>
      </c>
      <c r="Z827" s="23" t="str">
        <f aca="false">IF(X827="","",LEFT(X827,6))</f>
        <v/>
      </c>
      <c r="AA827" s="23" t="str">
        <f aca="false">IF(X827="","",IF(Y827&gt;=3,MID(X827,8,6),""))</f>
        <v/>
      </c>
      <c r="AB827" s="23" t="str">
        <f aca="false">IF(X827="","",IF(Y827&gt;=4,MID(X827,15,6),""))</f>
        <v/>
      </c>
      <c r="AC827" s="23" t="str">
        <f aca="false">IF(X827="","",IF(Y827&gt;=5,MID(X827,22,6),""))</f>
        <v/>
      </c>
      <c r="AD827" s="23" t="str">
        <f aca="false">IF(X827="","",RIGHT(X827,6))</f>
        <v/>
      </c>
      <c r="AE827" s="23" t="str">
        <f aca="false">IF(F827="","",IF(ISNUMBER(SEARCH("-TK",UPPER(F827))),0,1))</f>
        <v/>
      </c>
      <c r="AF827" s="23" t="str">
        <f aca="false">IF(F827="","",IF(ISNUMBER(SEARCH("-LED",UPPER(F827))),1,0))</f>
        <v/>
      </c>
      <c r="AG827" s="24" t="n">
        <f aca="false">IF(Z827="",0,IFERROR(INDEX(Resep!$C$5:$C$7,MATCH(LEFT(Z827,3),Resep!$B$5:$B$7,0)),0))</f>
        <v>0</v>
      </c>
      <c r="AH827" s="24" t="n">
        <f aca="false">IF(AA827="",0,IFERROR(INDEX(Resep!$C$9:$C$13,MATCH(LEFT(AA827,3),Resep!$B$9:$B$13,0)),0))</f>
        <v>0</v>
      </c>
      <c r="AI827" s="24" t="n">
        <f aca="false">IF(AB827="",0,IFERROR(INDEX(Resep!$C$9:$C$13,MATCH(LEFT(AB827,3),Resep!$B$9:$B$13,0)),0))</f>
        <v>0</v>
      </c>
      <c r="AJ827" s="24" t="n">
        <f aca="false">IF(AC827="",0,IFERROR(INDEX(Resep!$C$9:$C$13,MATCH(LEFT(AC827,3),Resep!$B$9:$B$13,0)),0))</f>
        <v>0</v>
      </c>
      <c r="AK827" s="24" t="n">
        <f aca="false">IF(AD827="",0,IFERROR(INDEX(Resep!$C$15:$C$18,MATCH(LEFT(AD827,3),Resep!$B$15:$B$18,0)),0))</f>
        <v>0</v>
      </c>
      <c r="AL827" s="24" t="str">
        <f aca="false">IF(X827="","",AG827+AH827+AI827+AJ827+AK827)</f>
        <v/>
      </c>
      <c r="AM827" s="22" t="str">
        <f aca="false">IF(X827="","",AL827*(Pengaturan!$B$6+Pengaturan!$B$7)+Pengaturan!$B$8+AE827*Pengaturan!$B$9+AF827*Pengaturan!$B$10)</f>
        <v/>
      </c>
      <c r="AN827" s="22" t="str">
        <f aca="false">IF(X827="","",N(G827)-AM827)</f>
        <v/>
      </c>
      <c r="AO827" s="25" t="str">
        <f aca="false">IF(OR(X827="",N(G827)=0),"",AN827/G827)</f>
        <v/>
      </c>
    </row>
    <row r="828" customFormat="false" ht="15" hidden="false" customHeight="false" outlineLevel="0" collapsed="false">
      <c r="A828" s="19"/>
      <c r="B828" s="20"/>
      <c r="C828" s="19"/>
      <c r="D828" s="19"/>
      <c r="E828" s="19"/>
      <c r="F828" s="19"/>
      <c r="G828" s="21"/>
      <c r="H828" s="19"/>
      <c r="I828" s="21"/>
      <c r="J828" s="19"/>
      <c r="K828" s="20"/>
      <c r="L828" s="20"/>
      <c r="M828" s="19"/>
      <c r="N828" s="19"/>
      <c r="O828" s="20"/>
      <c r="P828" s="20"/>
      <c r="Q828" s="19"/>
      <c r="R828" s="22" t="str">
        <f aca="false">IF(A828="","",N(G828)+N(I828))</f>
        <v/>
      </c>
      <c r="S828" s="23" t="str">
        <f aca="false">IF(OR(K828="",O828=""),"",O828-K828)</f>
        <v/>
      </c>
      <c r="T828" s="23" t="str">
        <f aca="true">IF(AND(C828="Cetak",L828&lt;&gt;"",L828&lt;TODAY()),"YA","")</f>
        <v/>
      </c>
      <c r="U828" s="23" t="str">
        <f aca="false">IF(B828="","",TEXT(B828,"yyyy-mm"))</f>
        <v/>
      </c>
      <c r="V828" s="23" t="str">
        <f aca="false">IF(K828="","",TEXT(K828,"yyyy-mm"))</f>
        <v/>
      </c>
      <c r="W828" s="23" t="n">
        <f aca="false">IF(OR(C828="Cetak",C828="Dikirim",C828="Selesai"),1,0)</f>
        <v>0</v>
      </c>
      <c r="X828" s="23" t="str">
        <f aca="false">IF(F828="","",SUBSTITUTE(SUBSTITUTE(MID(UPPER(TRIM(F828)),4,99),"-LED",""),"-TK",""))</f>
        <v/>
      </c>
      <c r="Y828" s="23" t="str">
        <f aca="false">IF(X828="","",(LEN(X828)+1)/7)</f>
        <v/>
      </c>
      <c r="Z828" s="23" t="str">
        <f aca="false">IF(X828="","",LEFT(X828,6))</f>
        <v/>
      </c>
      <c r="AA828" s="23" t="str">
        <f aca="false">IF(X828="","",IF(Y828&gt;=3,MID(X828,8,6),""))</f>
        <v/>
      </c>
      <c r="AB828" s="23" t="str">
        <f aca="false">IF(X828="","",IF(Y828&gt;=4,MID(X828,15,6),""))</f>
        <v/>
      </c>
      <c r="AC828" s="23" t="str">
        <f aca="false">IF(X828="","",IF(Y828&gt;=5,MID(X828,22,6),""))</f>
        <v/>
      </c>
      <c r="AD828" s="23" t="str">
        <f aca="false">IF(X828="","",RIGHT(X828,6))</f>
        <v/>
      </c>
      <c r="AE828" s="23" t="str">
        <f aca="false">IF(F828="","",IF(ISNUMBER(SEARCH("-TK",UPPER(F828))),0,1))</f>
        <v/>
      </c>
      <c r="AF828" s="23" t="str">
        <f aca="false">IF(F828="","",IF(ISNUMBER(SEARCH("-LED",UPPER(F828))),1,0))</f>
        <v/>
      </c>
      <c r="AG828" s="24" t="n">
        <f aca="false">IF(Z828="",0,IFERROR(INDEX(Resep!$C$5:$C$7,MATCH(LEFT(Z828,3),Resep!$B$5:$B$7,0)),0))</f>
        <v>0</v>
      </c>
      <c r="AH828" s="24" t="n">
        <f aca="false">IF(AA828="",0,IFERROR(INDEX(Resep!$C$9:$C$13,MATCH(LEFT(AA828,3),Resep!$B$9:$B$13,0)),0))</f>
        <v>0</v>
      </c>
      <c r="AI828" s="24" t="n">
        <f aca="false">IF(AB828="",0,IFERROR(INDEX(Resep!$C$9:$C$13,MATCH(LEFT(AB828,3),Resep!$B$9:$B$13,0)),0))</f>
        <v>0</v>
      </c>
      <c r="AJ828" s="24" t="n">
        <f aca="false">IF(AC828="",0,IFERROR(INDEX(Resep!$C$9:$C$13,MATCH(LEFT(AC828,3),Resep!$B$9:$B$13,0)),0))</f>
        <v>0</v>
      </c>
      <c r="AK828" s="24" t="n">
        <f aca="false">IF(AD828="",0,IFERROR(INDEX(Resep!$C$15:$C$18,MATCH(LEFT(AD828,3),Resep!$B$15:$B$18,0)),0))</f>
        <v>0</v>
      </c>
      <c r="AL828" s="24" t="str">
        <f aca="false">IF(X828="","",AG828+AH828+AI828+AJ828+AK828)</f>
        <v/>
      </c>
      <c r="AM828" s="22" t="str">
        <f aca="false">IF(X828="","",AL828*(Pengaturan!$B$6+Pengaturan!$B$7)+Pengaturan!$B$8+AE828*Pengaturan!$B$9+AF828*Pengaturan!$B$10)</f>
        <v/>
      </c>
      <c r="AN828" s="22" t="str">
        <f aca="false">IF(X828="","",N(G828)-AM828)</f>
        <v/>
      </c>
      <c r="AO828" s="25" t="str">
        <f aca="false">IF(OR(X828="",N(G828)=0),"",AN828/G828)</f>
        <v/>
      </c>
    </row>
    <row r="829" customFormat="false" ht="15" hidden="false" customHeight="false" outlineLevel="0" collapsed="false">
      <c r="A829" s="19"/>
      <c r="B829" s="20"/>
      <c r="C829" s="19"/>
      <c r="D829" s="19"/>
      <c r="E829" s="19"/>
      <c r="F829" s="19"/>
      <c r="G829" s="21"/>
      <c r="H829" s="19"/>
      <c r="I829" s="21"/>
      <c r="J829" s="19"/>
      <c r="K829" s="20"/>
      <c r="L829" s="20"/>
      <c r="M829" s="19"/>
      <c r="N829" s="19"/>
      <c r="O829" s="20"/>
      <c r="P829" s="20"/>
      <c r="Q829" s="19"/>
      <c r="R829" s="22" t="str">
        <f aca="false">IF(A829="","",N(G829)+N(I829))</f>
        <v/>
      </c>
      <c r="S829" s="23" t="str">
        <f aca="false">IF(OR(K829="",O829=""),"",O829-K829)</f>
        <v/>
      </c>
      <c r="T829" s="23" t="str">
        <f aca="true">IF(AND(C829="Cetak",L829&lt;&gt;"",L829&lt;TODAY()),"YA","")</f>
        <v/>
      </c>
      <c r="U829" s="23" t="str">
        <f aca="false">IF(B829="","",TEXT(B829,"yyyy-mm"))</f>
        <v/>
      </c>
      <c r="V829" s="23" t="str">
        <f aca="false">IF(K829="","",TEXT(K829,"yyyy-mm"))</f>
        <v/>
      </c>
      <c r="W829" s="23" t="n">
        <f aca="false">IF(OR(C829="Cetak",C829="Dikirim",C829="Selesai"),1,0)</f>
        <v>0</v>
      </c>
      <c r="X829" s="23" t="str">
        <f aca="false">IF(F829="","",SUBSTITUTE(SUBSTITUTE(MID(UPPER(TRIM(F829)),4,99),"-LED",""),"-TK",""))</f>
        <v/>
      </c>
      <c r="Y829" s="23" t="str">
        <f aca="false">IF(X829="","",(LEN(X829)+1)/7)</f>
        <v/>
      </c>
      <c r="Z829" s="23" t="str">
        <f aca="false">IF(X829="","",LEFT(X829,6))</f>
        <v/>
      </c>
      <c r="AA829" s="23" t="str">
        <f aca="false">IF(X829="","",IF(Y829&gt;=3,MID(X829,8,6),""))</f>
        <v/>
      </c>
      <c r="AB829" s="23" t="str">
        <f aca="false">IF(X829="","",IF(Y829&gt;=4,MID(X829,15,6),""))</f>
        <v/>
      </c>
      <c r="AC829" s="23" t="str">
        <f aca="false">IF(X829="","",IF(Y829&gt;=5,MID(X829,22,6),""))</f>
        <v/>
      </c>
      <c r="AD829" s="23" t="str">
        <f aca="false">IF(X829="","",RIGHT(X829,6))</f>
        <v/>
      </c>
      <c r="AE829" s="23" t="str">
        <f aca="false">IF(F829="","",IF(ISNUMBER(SEARCH("-TK",UPPER(F829))),0,1))</f>
        <v/>
      </c>
      <c r="AF829" s="23" t="str">
        <f aca="false">IF(F829="","",IF(ISNUMBER(SEARCH("-LED",UPPER(F829))),1,0))</f>
        <v/>
      </c>
      <c r="AG829" s="24" t="n">
        <f aca="false">IF(Z829="",0,IFERROR(INDEX(Resep!$C$5:$C$7,MATCH(LEFT(Z829,3),Resep!$B$5:$B$7,0)),0))</f>
        <v>0</v>
      </c>
      <c r="AH829" s="24" t="n">
        <f aca="false">IF(AA829="",0,IFERROR(INDEX(Resep!$C$9:$C$13,MATCH(LEFT(AA829,3),Resep!$B$9:$B$13,0)),0))</f>
        <v>0</v>
      </c>
      <c r="AI829" s="24" t="n">
        <f aca="false">IF(AB829="",0,IFERROR(INDEX(Resep!$C$9:$C$13,MATCH(LEFT(AB829,3),Resep!$B$9:$B$13,0)),0))</f>
        <v>0</v>
      </c>
      <c r="AJ829" s="24" t="n">
        <f aca="false">IF(AC829="",0,IFERROR(INDEX(Resep!$C$9:$C$13,MATCH(LEFT(AC829,3),Resep!$B$9:$B$13,0)),0))</f>
        <v>0</v>
      </c>
      <c r="AK829" s="24" t="n">
        <f aca="false">IF(AD829="",0,IFERROR(INDEX(Resep!$C$15:$C$18,MATCH(LEFT(AD829,3),Resep!$B$15:$B$18,0)),0))</f>
        <v>0</v>
      </c>
      <c r="AL829" s="24" t="str">
        <f aca="false">IF(X829="","",AG829+AH829+AI829+AJ829+AK829)</f>
        <v/>
      </c>
      <c r="AM829" s="22" t="str">
        <f aca="false">IF(X829="","",AL829*(Pengaturan!$B$6+Pengaturan!$B$7)+Pengaturan!$B$8+AE829*Pengaturan!$B$9+AF829*Pengaturan!$B$10)</f>
        <v/>
      </c>
      <c r="AN829" s="22" t="str">
        <f aca="false">IF(X829="","",N(G829)-AM829)</f>
        <v/>
      </c>
      <c r="AO829" s="25" t="str">
        <f aca="false">IF(OR(X829="",N(G829)=0),"",AN829/G829)</f>
        <v/>
      </c>
    </row>
    <row r="830" customFormat="false" ht="15" hidden="false" customHeight="false" outlineLevel="0" collapsed="false">
      <c r="A830" s="19"/>
      <c r="B830" s="20"/>
      <c r="C830" s="19"/>
      <c r="D830" s="19"/>
      <c r="E830" s="19"/>
      <c r="F830" s="19"/>
      <c r="G830" s="21"/>
      <c r="H830" s="19"/>
      <c r="I830" s="21"/>
      <c r="J830" s="19"/>
      <c r="K830" s="20"/>
      <c r="L830" s="20"/>
      <c r="M830" s="19"/>
      <c r="N830" s="19"/>
      <c r="O830" s="20"/>
      <c r="P830" s="20"/>
      <c r="Q830" s="19"/>
      <c r="R830" s="22" t="str">
        <f aca="false">IF(A830="","",N(G830)+N(I830))</f>
        <v/>
      </c>
      <c r="S830" s="23" t="str">
        <f aca="false">IF(OR(K830="",O830=""),"",O830-K830)</f>
        <v/>
      </c>
      <c r="T830" s="23" t="str">
        <f aca="true">IF(AND(C830="Cetak",L830&lt;&gt;"",L830&lt;TODAY()),"YA","")</f>
        <v/>
      </c>
      <c r="U830" s="23" t="str">
        <f aca="false">IF(B830="","",TEXT(B830,"yyyy-mm"))</f>
        <v/>
      </c>
      <c r="V830" s="23" t="str">
        <f aca="false">IF(K830="","",TEXT(K830,"yyyy-mm"))</f>
        <v/>
      </c>
      <c r="W830" s="23" t="n">
        <f aca="false">IF(OR(C830="Cetak",C830="Dikirim",C830="Selesai"),1,0)</f>
        <v>0</v>
      </c>
      <c r="X830" s="23" t="str">
        <f aca="false">IF(F830="","",SUBSTITUTE(SUBSTITUTE(MID(UPPER(TRIM(F830)),4,99),"-LED",""),"-TK",""))</f>
        <v/>
      </c>
      <c r="Y830" s="23" t="str">
        <f aca="false">IF(X830="","",(LEN(X830)+1)/7)</f>
        <v/>
      </c>
      <c r="Z830" s="23" t="str">
        <f aca="false">IF(X830="","",LEFT(X830,6))</f>
        <v/>
      </c>
      <c r="AA830" s="23" t="str">
        <f aca="false">IF(X830="","",IF(Y830&gt;=3,MID(X830,8,6),""))</f>
        <v/>
      </c>
      <c r="AB830" s="23" t="str">
        <f aca="false">IF(X830="","",IF(Y830&gt;=4,MID(X830,15,6),""))</f>
        <v/>
      </c>
      <c r="AC830" s="23" t="str">
        <f aca="false">IF(X830="","",IF(Y830&gt;=5,MID(X830,22,6),""))</f>
        <v/>
      </c>
      <c r="AD830" s="23" t="str">
        <f aca="false">IF(X830="","",RIGHT(X830,6))</f>
        <v/>
      </c>
      <c r="AE830" s="23" t="str">
        <f aca="false">IF(F830="","",IF(ISNUMBER(SEARCH("-TK",UPPER(F830))),0,1))</f>
        <v/>
      </c>
      <c r="AF830" s="23" t="str">
        <f aca="false">IF(F830="","",IF(ISNUMBER(SEARCH("-LED",UPPER(F830))),1,0))</f>
        <v/>
      </c>
      <c r="AG830" s="24" t="n">
        <f aca="false">IF(Z830="",0,IFERROR(INDEX(Resep!$C$5:$C$7,MATCH(LEFT(Z830,3),Resep!$B$5:$B$7,0)),0))</f>
        <v>0</v>
      </c>
      <c r="AH830" s="24" t="n">
        <f aca="false">IF(AA830="",0,IFERROR(INDEX(Resep!$C$9:$C$13,MATCH(LEFT(AA830,3),Resep!$B$9:$B$13,0)),0))</f>
        <v>0</v>
      </c>
      <c r="AI830" s="24" t="n">
        <f aca="false">IF(AB830="",0,IFERROR(INDEX(Resep!$C$9:$C$13,MATCH(LEFT(AB830,3),Resep!$B$9:$B$13,0)),0))</f>
        <v>0</v>
      </c>
      <c r="AJ830" s="24" t="n">
        <f aca="false">IF(AC830="",0,IFERROR(INDEX(Resep!$C$9:$C$13,MATCH(LEFT(AC830,3),Resep!$B$9:$B$13,0)),0))</f>
        <v>0</v>
      </c>
      <c r="AK830" s="24" t="n">
        <f aca="false">IF(AD830="",0,IFERROR(INDEX(Resep!$C$15:$C$18,MATCH(LEFT(AD830,3),Resep!$B$15:$B$18,0)),0))</f>
        <v>0</v>
      </c>
      <c r="AL830" s="24" t="str">
        <f aca="false">IF(X830="","",AG830+AH830+AI830+AJ830+AK830)</f>
        <v/>
      </c>
      <c r="AM830" s="22" t="str">
        <f aca="false">IF(X830="","",AL830*(Pengaturan!$B$6+Pengaturan!$B$7)+Pengaturan!$B$8+AE830*Pengaturan!$B$9+AF830*Pengaturan!$B$10)</f>
        <v/>
      </c>
      <c r="AN830" s="22" t="str">
        <f aca="false">IF(X830="","",N(G830)-AM830)</f>
        <v/>
      </c>
      <c r="AO830" s="25" t="str">
        <f aca="false">IF(OR(X830="",N(G830)=0),"",AN830/G830)</f>
        <v/>
      </c>
    </row>
    <row r="831" customFormat="false" ht="15" hidden="false" customHeight="false" outlineLevel="0" collapsed="false">
      <c r="A831" s="19"/>
      <c r="B831" s="20"/>
      <c r="C831" s="19"/>
      <c r="D831" s="19"/>
      <c r="E831" s="19"/>
      <c r="F831" s="19"/>
      <c r="G831" s="21"/>
      <c r="H831" s="19"/>
      <c r="I831" s="21"/>
      <c r="J831" s="19"/>
      <c r="K831" s="20"/>
      <c r="L831" s="20"/>
      <c r="M831" s="19"/>
      <c r="N831" s="19"/>
      <c r="O831" s="20"/>
      <c r="P831" s="20"/>
      <c r="Q831" s="19"/>
      <c r="R831" s="22" t="str">
        <f aca="false">IF(A831="","",N(G831)+N(I831))</f>
        <v/>
      </c>
      <c r="S831" s="23" t="str">
        <f aca="false">IF(OR(K831="",O831=""),"",O831-K831)</f>
        <v/>
      </c>
      <c r="T831" s="23" t="str">
        <f aca="true">IF(AND(C831="Cetak",L831&lt;&gt;"",L831&lt;TODAY()),"YA","")</f>
        <v/>
      </c>
      <c r="U831" s="23" t="str">
        <f aca="false">IF(B831="","",TEXT(B831,"yyyy-mm"))</f>
        <v/>
      </c>
      <c r="V831" s="23" t="str">
        <f aca="false">IF(K831="","",TEXT(K831,"yyyy-mm"))</f>
        <v/>
      </c>
      <c r="W831" s="23" t="n">
        <f aca="false">IF(OR(C831="Cetak",C831="Dikirim",C831="Selesai"),1,0)</f>
        <v>0</v>
      </c>
      <c r="X831" s="23" t="str">
        <f aca="false">IF(F831="","",SUBSTITUTE(SUBSTITUTE(MID(UPPER(TRIM(F831)),4,99),"-LED",""),"-TK",""))</f>
        <v/>
      </c>
      <c r="Y831" s="23" t="str">
        <f aca="false">IF(X831="","",(LEN(X831)+1)/7)</f>
        <v/>
      </c>
      <c r="Z831" s="23" t="str">
        <f aca="false">IF(X831="","",LEFT(X831,6))</f>
        <v/>
      </c>
      <c r="AA831" s="23" t="str">
        <f aca="false">IF(X831="","",IF(Y831&gt;=3,MID(X831,8,6),""))</f>
        <v/>
      </c>
      <c r="AB831" s="23" t="str">
        <f aca="false">IF(X831="","",IF(Y831&gt;=4,MID(X831,15,6),""))</f>
        <v/>
      </c>
      <c r="AC831" s="23" t="str">
        <f aca="false">IF(X831="","",IF(Y831&gt;=5,MID(X831,22,6),""))</f>
        <v/>
      </c>
      <c r="AD831" s="23" t="str">
        <f aca="false">IF(X831="","",RIGHT(X831,6))</f>
        <v/>
      </c>
      <c r="AE831" s="23" t="str">
        <f aca="false">IF(F831="","",IF(ISNUMBER(SEARCH("-TK",UPPER(F831))),0,1))</f>
        <v/>
      </c>
      <c r="AF831" s="23" t="str">
        <f aca="false">IF(F831="","",IF(ISNUMBER(SEARCH("-LED",UPPER(F831))),1,0))</f>
        <v/>
      </c>
      <c r="AG831" s="24" t="n">
        <f aca="false">IF(Z831="",0,IFERROR(INDEX(Resep!$C$5:$C$7,MATCH(LEFT(Z831,3),Resep!$B$5:$B$7,0)),0))</f>
        <v>0</v>
      </c>
      <c r="AH831" s="24" t="n">
        <f aca="false">IF(AA831="",0,IFERROR(INDEX(Resep!$C$9:$C$13,MATCH(LEFT(AA831,3),Resep!$B$9:$B$13,0)),0))</f>
        <v>0</v>
      </c>
      <c r="AI831" s="24" t="n">
        <f aca="false">IF(AB831="",0,IFERROR(INDEX(Resep!$C$9:$C$13,MATCH(LEFT(AB831,3),Resep!$B$9:$B$13,0)),0))</f>
        <v>0</v>
      </c>
      <c r="AJ831" s="24" t="n">
        <f aca="false">IF(AC831="",0,IFERROR(INDEX(Resep!$C$9:$C$13,MATCH(LEFT(AC831,3),Resep!$B$9:$B$13,0)),0))</f>
        <v>0</v>
      </c>
      <c r="AK831" s="24" t="n">
        <f aca="false">IF(AD831="",0,IFERROR(INDEX(Resep!$C$15:$C$18,MATCH(LEFT(AD831,3),Resep!$B$15:$B$18,0)),0))</f>
        <v>0</v>
      </c>
      <c r="AL831" s="24" t="str">
        <f aca="false">IF(X831="","",AG831+AH831+AI831+AJ831+AK831)</f>
        <v/>
      </c>
      <c r="AM831" s="22" t="str">
        <f aca="false">IF(X831="","",AL831*(Pengaturan!$B$6+Pengaturan!$B$7)+Pengaturan!$B$8+AE831*Pengaturan!$B$9+AF831*Pengaturan!$B$10)</f>
        <v/>
      </c>
      <c r="AN831" s="22" t="str">
        <f aca="false">IF(X831="","",N(G831)-AM831)</f>
        <v/>
      </c>
      <c r="AO831" s="25" t="str">
        <f aca="false">IF(OR(X831="",N(G831)=0),"",AN831/G831)</f>
        <v/>
      </c>
    </row>
    <row r="832" customFormat="false" ht="15" hidden="false" customHeight="false" outlineLevel="0" collapsed="false">
      <c r="A832" s="19"/>
      <c r="B832" s="20"/>
      <c r="C832" s="19"/>
      <c r="D832" s="19"/>
      <c r="E832" s="19"/>
      <c r="F832" s="19"/>
      <c r="G832" s="21"/>
      <c r="H832" s="19"/>
      <c r="I832" s="21"/>
      <c r="J832" s="19"/>
      <c r="K832" s="20"/>
      <c r="L832" s="20"/>
      <c r="M832" s="19"/>
      <c r="N832" s="19"/>
      <c r="O832" s="20"/>
      <c r="P832" s="20"/>
      <c r="Q832" s="19"/>
      <c r="R832" s="22" t="str">
        <f aca="false">IF(A832="","",N(G832)+N(I832))</f>
        <v/>
      </c>
      <c r="S832" s="23" t="str">
        <f aca="false">IF(OR(K832="",O832=""),"",O832-K832)</f>
        <v/>
      </c>
      <c r="T832" s="23" t="str">
        <f aca="true">IF(AND(C832="Cetak",L832&lt;&gt;"",L832&lt;TODAY()),"YA","")</f>
        <v/>
      </c>
      <c r="U832" s="23" t="str">
        <f aca="false">IF(B832="","",TEXT(B832,"yyyy-mm"))</f>
        <v/>
      </c>
      <c r="V832" s="23" t="str">
        <f aca="false">IF(K832="","",TEXT(K832,"yyyy-mm"))</f>
        <v/>
      </c>
      <c r="W832" s="23" t="n">
        <f aca="false">IF(OR(C832="Cetak",C832="Dikirim",C832="Selesai"),1,0)</f>
        <v>0</v>
      </c>
      <c r="X832" s="23" t="str">
        <f aca="false">IF(F832="","",SUBSTITUTE(SUBSTITUTE(MID(UPPER(TRIM(F832)),4,99),"-LED",""),"-TK",""))</f>
        <v/>
      </c>
      <c r="Y832" s="23" t="str">
        <f aca="false">IF(X832="","",(LEN(X832)+1)/7)</f>
        <v/>
      </c>
      <c r="Z832" s="23" t="str">
        <f aca="false">IF(X832="","",LEFT(X832,6))</f>
        <v/>
      </c>
      <c r="AA832" s="23" t="str">
        <f aca="false">IF(X832="","",IF(Y832&gt;=3,MID(X832,8,6),""))</f>
        <v/>
      </c>
      <c r="AB832" s="23" t="str">
        <f aca="false">IF(X832="","",IF(Y832&gt;=4,MID(X832,15,6),""))</f>
        <v/>
      </c>
      <c r="AC832" s="23" t="str">
        <f aca="false">IF(X832="","",IF(Y832&gt;=5,MID(X832,22,6),""))</f>
        <v/>
      </c>
      <c r="AD832" s="23" t="str">
        <f aca="false">IF(X832="","",RIGHT(X832,6))</f>
        <v/>
      </c>
      <c r="AE832" s="23" t="str">
        <f aca="false">IF(F832="","",IF(ISNUMBER(SEARCH("-TK",UPPER(F832))),0,1))</f>
        <v/>
      </c>
      <c r="AF832" s="23" t="str">
        <f aca="false">IF(F832="","",IF(ISNUMBER(SEARCH("-LED",UPPER(F832))),1,0))</f>
        <v/>
      </c>
      <c r="AG832" s="24" t="n">
        <f aca="false">IF(Z832="",0,IFERROR(INDEX(Resep!$C$5:$C$7,MATCH(LEFT(Z832,3),Resep!$B$5:$B$7,0)),0))</f>
        <v>0</v>
      </c>
      <c r="AH832" s="24" t="n">
        <f aca="false">IF(AA832="",0,IFERROR(INDEX(Resep!$C$9:$C$13,MATCH(LEFT(AA832,3),Resep!$B$9:$B$13,0)),0))</f>
        <v>0</v>
      </c>
      <c r="AI832" s="24" t="n">
        <f aca="false">IF(AB832="",0,IFERROR(INDEX(Resep!$C$9:$C$13,MATCH(LEFT(AB832,3),Resep!$B$9:$B$13,0)),0))</f>
        <v>0</v>
      </c>
      <c r="AJ832" s="24" t="n">
        <f aca="false">IF(AC832="",0,IFERROR(INDEX(Resep!$C$9:$C$13,MATCH(LEFT(AC832,3),Resep!$B$9:$B$13,0)),0))</f>
        <v>0</v>
      </c>
      <c r="AK832" s="24" t="n">
        <f aca="false">IF(AD832="",0,IFERROR(INDEX(Resep!$C$15:$C$18,MATCH(LEFT(AD832,3),Resep!$B$15:$B$18,0)),0))</f>
        <v>0</v>
      </c>
      <c r="AL832" s="24" t="str">
        <f aca="false">IF(X832="","",AG832+AH832+AI832+AJ832+AK832)</f>
        <v/>
      </c>
      <c r="AM832" s="22" t="str">
        <f aca="false">IF(X832="","",AL832*(Pengaturan!$B$6+Pengaturan!$B$7)+Pengaturan!$B$8+AE832*Pengaturan!$B$9+AF832*Pengaturan!$B$10)</f>
        <v/>
      </c>
      <c r="AN832" s="22" t="str">
        <f aca="false">IF(X832="","",N(G832)-AM832)</f>
        <v/>
      </c>
      <c r="AO832" s="25" t="str">
        <f aca="false">IF(OR(X832="",N(G832)=0),"",AN832/G832)</f>
        <v/>
      </c>
    </row>
    <row r="833" customFormat="false" ht="15" hidden="false" customHeight="false" outlineLevel="0" collapsed="false">
      <c r="A833" s="19"/>
      <c r="B833" s="20"/>
      <c r="C833" s="19"/>
      <c r="D833" s="19"/>
      <c r="E833" s="19"/>
      <c r="F833" s="19"/>
      <c r="G833" s="21"/>
      <c r="H833" s="19"/>
      <c r="I833" s="21"/>
      <c r="J833" s="19"/>
      <c r="K833" s="20"/>
      <c r="L833" s="20"/>
      <c r="M833" s="19"/>
      <c r="N833" s="19"/>
      <c r="O833" s="20"/>
      <c r="P833" s="20"/>
      <c r="Q833" s="19"/>
      <c r="R833" s="22" t="str">
        <f aca="false">IF(A833="","",N(G833)+N(I833))</f>
        <v/>
      </c>
      <c r="S833" s="23" t="str">
        <f aca="false">IF(OR(K833="",O833=""),"",O833-K833)</f>
        <v/>
      </c>
      <c r="T833" s="23" t="str">
        <f aca="true">IF(AND(C833="Cetak",L833&lt;&gt;"",L833&lt;TODAY()),"YA","")</f>
        <v/>
      </c>
      <c r="U833" s="23" t="str">
        <f aca="false">IF(B833="","",TEXT(B833,"yyyy-mm"))</f>
        <v/>
      </c>
      <c r="V833" s="23" t="str">
        <f aca="false">IF(K833="","",TEXT(K833,"yyyy-mm"))</f>
        <v/>
      </c>
      <c r="W833" s="23" t="n">
        <f aca="false">IF(OR(C833="Cetak",C833="Dikirim",C833="Selesai"),1,0)</f>
        <v>0</v>
      </c>
      <c r="X833" s="23" t="str">
        <f aca="false">IF(F833="","",SUBSTITUTE(SUBSTITUTE(MID(UPPER(TRIM(F833)),4,99),"-LED",""),"-TK",""))</f>
        <v/>
      </c>
      <c r="Y833" s="23" t="str">
        <f aca="false">IF(X833="","",(LEN(X833)+1)/7)</f>
        <v/>
      </c>
      <c r="Z833" s="23" t="str">
        <f aca="false">IF(X833="","",LEFT(X833,6))</f>
        <v/>
      </c>
      <c r="AA833" s="23" t="str">
        <f aca="false">IF(X833="","",IF(Y833&gt;=3,MID(X833,8,6),""))</f>
        <v/>
      </c>
      <c r="AB833" s="23" t="str">
        <f aca="false">IF(X833="","",IF(Y833&gt;=4,MID(X833,15,6),""))</f>
        <v/>
      </c>
      <c r="AC833" s="23" t="str">
        <f aca="false">IF(X833="","",IF(Y833&gt;=5,MID(X833,22,6),""))</f>
        <v/>
      </c>
      <c r="AD833" s="23" t="str">
        <f aca="false">IF(X833="","",RIGHT(X833,6))</f>
        <v/>
      </c>
      <c r="AE833" s="23" t="str">
        <f aca="false">IF(F833="","",IF(ISNUMBER(SEARCH("-TK",UPPER(F833))),0,1))</f>
        <v/>
      </c>
      <c r="AF833" s="23" t="str">
        <f aca="false">IF(F833="","",IF(ISNUMBER(SEARCH("-LED",UPPER(F833))),1,0))</f>
        <v/>
      </c>
      <c r="AG833" s="24" t="n">
        <f aca="false">IF(Z833="",0,IFERROR(INDEX(Resep!$C$5:$C$7,MATCH(LEFT(Z833,3),Resep!$B$5:$B$7,0)),0))</f>
        <v>0</v>
      </c>
      <c r="AH833" s="24" t="n">
        <f aca="false">IF(AA833="",0,IFERROR(INDEX(Resep!$C$9:$C$13,MATCH(LEFT(AA833,3),Resep!$B$9:$B$13,0)),0))</f>
        <v>0</v>
      </c>
      <c r="AI833" s="24" t="n">
        <f aca="false">IF(AB833="",0,IFERROR(INDEX(Resep!$C$9:$C$13,MATCH(LEFT(AB833,3),Resep!$B$9:$B$13,0)),0))</f>
        <v>0</v>
      </c>
      <c r="AJ833" s="24" t="n">
        <f aca="false">IF(AC833="",0,IFERROR(INDEX(Resep!$C$9:$C$13,MATCH(LEFT(AC833,3),Resep!$B$9:$B$13,0)),0))</f>
        <v>0</v>
      </c>
      <c r="AK833" s="24" t="n">
        <f aca="false">IF(AD833="",0,IFERROR(INDEX(Resep!$C$15:$C$18,MATCH(LEFT(AD833,3),Resep!$B$15:$B$18,0)),0))</f>
        <v>0</v>
      </c>
      <c r="AL833" s="24" t="str">
        <f aca="false">IF(X833="","",AG833+AH833+AI833+AJ833+AK833)</f>
        <v/>
      </c>
      <c r="AM833" s="22" t="str">
        <f aca="false">IF(X833="","",AL833*(Pengaturan!$B$6+Pengaturan!$B$7)+Pengaturan!$B$8+AE833*Pengaturan!$B$9+AF833*Pengaturan!$B$10)</f>
        <v/>
      </c>
      <c r="AN833" s="22" t="str">
        <f aca="false">IF(X833="","",N(G833)-AM833)</f>
        <v/>
      </c>
      <c r="AO833" s="25" t="str">
        <f aca="false">IF(OR(X833="",N(G833)=0),"",AN833/G833)</f>
        <v/>
      </c>
    </row>
    <row r="834" customFormat="false" ht="15" hidden="false" customHeight="false" outlineLevel="0" collapsed="false">
      <c r="A834" s="19"/>
      <c r="B834" s="20"/>
      <c r="C834" s="19"/>
      <c r="D834" s="19"/>
      <c r="E834" s="19"/>
      <c r="F834" s="19"/>
      <c r="G834" s="21"/>
      <c r="H834" s="19"/>
      <c r="I834" s="21"/>
      <c r="J834" s="19"/>
      <c r="K834" s="20"/>
      <c r="L834" s="20"/>
      <c r="M834" s="19"/>
      <c r="N834" s="19"/>
      <c r="O834" s="20"/>
      <c r="P834" s="20"/>
      <c r="Q834" s="19"/>
      <c r="R834" s="22" t="str">
        <f aca="false">IF(A834="","",N(G834)+N(I834))</f>
        <v/>
      </c>
      <c r="S834" s="23" t="str">
        <f aca="false">IF(OR(K834="",O834=""),"",O834-K834)</f>
        <v/>
      </c>
      <c r="T834" s="23" t="str">
        <f aca="true">IF(AND(C834="Cetak",L834&lt;&gt;"",L834&lt;TODAY()),"YA","")</f>
        <v/>
      </c>
      <c r="U834" s="23" t="str">
        <f aca="false">IF(B834="","",TEXT(B834,"yyyy-mm"))</f>
        <v/>
      </c>
      <c r="V834" s="23" t="str">
        <f aca="false">IF(K834="","",TEXT(K834,"yyyy-mm"))</f>
        <v/>
      </c>
      <c r="W834" s="23" t="n">
        <f aca="false">IF(OR(C834="Cetak",C834="Dikirim",C834="Selesai"),1,0)</f>
        <v>0</v>
      </c>
      <c r="X834" s="23" t="str">
        <f aca="false">IF(F834="","",SUBSTITUTE(SUBSTITUTE(MID(UPPER(TRIM(F834)),4,99),"-LED",""),"-TK",""))</f>
        <v/>
      </c>
      <c r="Y834" s="23" t="str">
        <f aca="false">IF(X834="","",(LEN(X834)+1)/7)</f>
        <v/>
      </c>
      <c r="Z834" s="23" t="str">
        <f aca="false">IF(X834="","",LEFT(X834,6))</f>
        <v/>
      </c>
      <c r="AA834" s="23" t="str">
        <f aca="false">IF(X834="","",IF(Y834&gt;=3,MID(X834,8,6),""))</f>
        <v/>
      </c>
      <c r="AB834" s="23" t="str">
        <f aca="false">IF(X834="","",IF(Y834&gt;=4,MID(X834,15,6),""))</f>
        <v/>
      </c>
      <c r="AC834" s="23" t="str">
        <f aca="false">IF(X834="","",IF(Y834&gt;=5,MID(X834,22,6),""))</f>
        <v/>
      </c>
      <c r="AD834" s="23" t="str">
        <f aca="false">IF(X834="","",RIGHT(X834,6))</f>
        <v/>
      </c>
      <c r="AE834" s="23" t="str">
        <f aca="false">IF(F834="","",IF(ISNUMBER(SEARCH("-TK",UPPER(F834))),0,1))</f>
        <v/>
      </c>
      <c r="AF834" s="23" t="str">
        <f aca="false">IF(F834="","",IF(ISNUMBER(SEARCH("-LED",UPPER(F834))),1,0))</f>
        <v/>
      </c>
      <c r="AG834" s="24" t="n">
        <f aca="false">IF(Z834="",0,IFERROR(INDEX(Resep!$C$5:$C$7,MATCH(LEFT(Z834,3),Resep!$B$5:$B$7,0)),0))</f>
        <v>0</v>
      </c>
      <c r="AH834" s="24" t="n">
        <f aca="false">IF(AA834="",0,IFERROR(INDEX(Resep!$C$9:$C$13,MATCH(LEFT(AA834,3),Resep!$B$9:$B$13,0)),0))</f>
        <v>0</v>
      </c>
      <c r="AI834" s="24" t="n">
        <f aca="false">IF(AB834="",0,IFERROR(INDEX(Resep!$C$9:$C$13,MATCH(LEFT(AB834,3),Resep!$B$9:$B$13,0)),0))</f>
        <v>0</v>
      </c>
      <c r="AJ834" s="24" t="n">
        <f aca="false">IF(AC834="",0,IFERROR(INDEX(Resep!$C$9:$C$13,MATCH(LEFT(AC834,3),Resep!$B$9:$B$13,0)),0))</f>
        <v>0</v>
      </c>
      <c r="AK834" s="24" t="n">
        <f aca="false">IF(AD834="",0,IFERROR(INDEX(Resep!$C$15:$C$18,MATCH(LEFT(AD834,3),Resep!$B$15:$B$18,0)),0))</f>
        <v>0</v>
      </c>
      <c r="AL834" s="24" t="str">
        <f aca="false">IF(X834="","",AG834+AH834+AI834+AJ834+AK834)</f>
        <v/>
      </c>
      <c r="AM834" s="22" t="str">
        <f aca="false">IF(X834="","",AL834*(Pengaturan!$B$6+Pengaturan!$B$7)+Pengaturan!$B$8+AE834*Pengaturan!$B$9+AF834*Pengaturan!$B$10)</f>
        <v/>
      </c>
      <c r="AN834" s="22" t="str">
        <f aca="false">IF(X834="","",N(G834)-AM834)</f>
        <v/>
      </c>
      <c r="AO834" s="25" t="str">
        <f aca="false">IF(OR(X834="",N(G834)=0),"",AN834/G834)</f>
        <v/>
      </c>
    </row>
    <row r="835" customFormat="false" ht="15" hidden="false" customHeight="false" outlineLevel="0" collapsed="false">
      <c r="A835" s="19"/>
      <c r="B835" s="20"/>
      <c r="C835" s="19"/>
      <c r="D835" s="19"/>
      <c r="E835" s="19"/>
      <c r="F835" s="19"/>
      <c r="G835" s="21"/>
      <c r="H835" s="19"/>
      <c r="I835" s="21"/>
      <c r="J835" s="19"/>
      <c r="K835" s="20"/>
      <c r="L835" s="20"/>
      <c r="M835" s="19"/>
      <c r="N835" s="19"/>
      <c r="O835" s="20"/>
      <c r="P835" s="20"/>
      <c r="Q835" s="19"/>
      <c r="R835" s="22" t="str">
        <f aca="false">IF(A835="","",N(G835)+N(I835))</f>
        <v/>
      </c>
      <c r="S835" s="23" t="str">
        <f aca="false">IF(OR(K835="",O835=""),"",O835-K835)</f>
        <v/>
      </c>
      <c r="T835" s="23" t="str">
        <f aca="true">IF(AND(C835="Cetak",L835&lt;&gt;"",L835&lt;TODAY()),"YA","")</f>
        <v/>
      </c>
      <c r="U835" s="23" t="str">
        <f aca="false">IF(B835="","",TEXT(B835,"yyyy-mm"))</f>
        <v/>
      </c>
      <c r="V835" s="23" t="str">
        <f aca="false">IF(K835="","",TEXT(K835,"yyyy-mm"))</f>
        <v/>
      </c>
      <c r="W835" s="23" t="n">
        <f aca="false">IF(OR(C835="Cetak",C835="Dikirim",C835="Selesai"),1,0)</f>
        <v>0</v>
      </c>
      <c r="X835" s="23" t="str">
        <f aca="false">IF(F835="","",SUBSTITUTE(SUBSTITUTE(MID(UPPER(TRIM(F835)),4,99),"-LED",""),"-TK",""))</f>
        <v/>
      </c>
      <c r="Y835" s="23" t="str">
        <f aca="false">IF(X835="","",(LEN(X835)+1)/7)</f>
        <v/>
      </c>
      <c r="Z835" s="23" t="str">
        <f aca="false">IF(X835="","",LEFT(X835,6))</f>
        <v/>
      </c>
      <c r="AA835" s="23" t="str">
        <f aca="false">IF(X835="","",IF(Y835&gt;=3,MID(X835,8,6),""))</f>
        <v/>
      </c>
      <c r="AB835" s="23" t="str">
        <f aca="false">IF(X835="","",IF(Y835&gt;=4,MID(X835,15,6),""))</f>
        <v/>
      </c>
      <c r="AC835" s="23" t="str">
        <f aca="false">IF(X835="","",IF(Y835&gt;=5,MID(X835,22,6),""))</f>
        <v/>
      </c>
      <c r="AD835" s="23" t="str">
        <f aca="false">IF(X835="","",RIGHT(X835,6))</f>
        <v/>
      </c>
      <c r="AE835" s="23" t="str">
        <f aca="false">IF(F835="","",IF(ISNUMBER(SEARCH("-TK",UPPER(F835))),0,1))</f>
        <v/>
      </c>
      <c r="AF835" s="23" t="str">
        <f aca="false">IF(F835="","",IF(ISNUMBER(SEARCH("-LED",UPPER(F835))),1,0))</f>
        <v/>
      </c>
      <c r="AG835" s="24" t="n">
        <f aca="false">IF(Z835="",0,IFERROR(INDEX(Resep!$C$5:$C$7,MATCH(LEFT(Z835,3),Resep!$B$5:$B$7,0)),0))</f>
        <v>0</v>
      </c>
      <c r="AH835" s="24" t="n">
        <f aca="false">IF(AA835="",0,IFERROR(INDEX(Resep!$C$9:$C$13,MATCH(LEFT(AA835,3),Resep!$B$9:$B$13,0)),0))</f>
        <v>0</v>
      </c>
      <c r="AI835" s="24" t="n">
        <f aca="false">IF(AB835="",0,IFERROR(INDEX(Resep!$C$9:$C$13,MATCH(LEFT(AB835,3),Resep!$B$9:$B$13,0)),0))</f>
        <v>0</v>
      </c>
      <c r="AJ835" s="24" t="n">
        <f aca="false">IF(AC835="",0,IFERROR(INDEX(Resep!$C$9:$C$13,MATCH(LEFT(AC835,3),Resep!$B$9:$B$13,0)),0))</f>
        <v>0</v>
      </c>
      <c r="AK835" s="24" t="n">
        <f aca="false">IF(AD835="",0,IFERROR(INDEX(Resep!$C$15:$C$18,MATCH(LEFT(AD835,3),Resep!$B$15:$B$18,0)),0))</f>
        <v>0</v>
      </c>
      <c r="AL835" s="24" t="str">
        <f aca="false">IF(X835="","",AG835+AH835+AI835+AJ835+AK835)</f>
        <v/>
      </c>
      <c r="AM835" s="22" t="str">
        <f aca="false">IF(X835="","",AL835*(Pengaturan!$B$6+Pengaturan!$B$7)+Pengaturan!$B$8+AE835*Pengaturan!$B$9+AF835*Pengaturan!$B$10)</f>
        <v/>
      </c>
      <c r="AN835" s="22" t="str">
        <f aca="false">IF(X835="","",N(G835)-AM835)</f>
        <v/>
      </c>
      <c r="AO835" s="25" t="str">
        <f aca="false">IF(OR(X835="",N(G835)=0),"",AN835/G835)</f>
        <v/>
      </c>
    </row>
    <row r="836" customFormat="false" ht="15" hidden="false" customHeight="false" outlineLevel="0" collapsed="false">
      <c r="A836" s="19"/>
      <c r="B836" s="20"/>
      <c r="C836" s="19"/>
      <c r="D836" s="19"/>
      <c r="E836" s="19"/>
      <c r="F836" s="19"/>
      <c r="G836" s="21"/>
      <c r="H836" s="19"/>
      <c r="I836" s="21"/>
      <c r="J836" s="19"/>
      <c r="K836" s="20"/>
      <c r="L836" s="20"/>
      <c r="M836" s="19"/>
      <c r="N836" s="19"/>
      <c r="O836" s="20"/>
      <c r="P836" s="20"/>
      <c r="Q836" s="19"/>
      <c r="R836" s="22" t="str">
        <f aca="false">IF(A836="","",N(G836)+N(I836))</f>
        <v/>
      </c>
      <c r="S836" s="23" t="str">
        <f aca="false">IF(OR(K836="",O836=""),"",O836-K836)</f>
        <v/>
      </c>
      <c r="T836" s="23" t="str">
        <f aca="true">IF(AND(C836="Cetak",L836&lt;&gt;"",L836&lt;TODAY()),"YA","")</f>
        <v/>
      </c>
      <c r="U836" s="23" t="str">
        <f aca="false">IF(B836="","",TEXT(B836,"yyyy-mm"))</f>
        <v/>
      </c>
      <c r="V836" s="23" t="str">
        <f aca="false">IF(K836="","",TEXT(K836,"yyyy-mm"))</f>
        <v/>
      </c>
      <c r="W836" s="23" t="n">
        <f aca="false">IF(OR(C836="Cetak",C836="Dikirim",C836="Selesai"),1,0)</f>
        <v>0</v>
      </c>
      <c r="X836" s="23" t="str">
        <f aca="false">IF(F836="","",SUBSTITUTE(SUBSTITUTE(MID(UPPER(TRIM(F836)),4,99),"-LED",""),"-TK",""))</f>
        <v/>
      </c>
      <c r="Y836" s="23" t="str">
        <f aca="false">IF(X836="","",(LEN(X836)+1)/7)</f>
        <v/>
      </c>
      <c r="Z836" s="23" t="str">
        <f aca="false">IF(X836="","",LEFT(X836,6))</f>
        <v/>
      </c>
      <c r="AA836" s="23" t="str">
        <f aca="false">IF(X836="","",IF(Y836&gt;=3,MID(X836,8,6),""))</f>
        <v/>
      </c>
      <c r="AB836" s="23" t="str">
        <f aca="false">IF(X836="","",IF(Y836&gt;=4,MID(X836,15,6),""))</f>
        <v/>
      </c>
      <c r="AC836" s="23" t="str">
        <f aca="false">IF(X836="","",IF(Y836&gt;=5,MID(X836,22,6),""))</f>
        <v/>
      </c>
      <c r="AD836" s="23" t="str">
        <f aca="false">IF(X836="","",RIGHT(X836,6))</f>
        <v/>
      </c>
      <c r="AE836" s="23" t="str">
        <f aca="false">IF(F836="","",IF(ISNUMBER(SEARCH("-TK",UPPER(F836))),0,1))</f>
        <v/>
      </c>
      <c r="AF836" s="23" t="str">
        <f aca="false">IF(F836="","",IF(ISNUMBER(SEARCH("-LED",UPPER(F836))),1,0))</f>
        <v/>
      </c>
      <c r="AG836" s="24" t="n">
        <f aca="false">IF(Z836="",0,IFERROR(INDEX(Resep!$C$5:$C$7,MATCH(LEFT(Z836,3),Resep!$B$5:$B$7,0)),0))</f>
        <v>0</v>
      </c>
      <c r="AH836" s="24" t="n">
        <f aca="false">IF(AA836="",0,IFERROR(INDEX(Resep!$C$9:$C$13,MATCH(LEFT(AA836,3),Resep!$B$9:$B$13,0)),0))</f>
        <v>0</v>
      </c>
      <c r="AI836" s="24" t="n">
        <f aca="false">IF(AB836="",0,IFERROR(INDEX(Resep!$C$9:$C$13,MATCH(LEFT(AB836,3),Resep!$B$9:$B$13,0)),0))</f>
        <v>0</v>
      </c>
      <c r="AJ836" s="24" t="n">
        <f aca="false">IF(AC836="",0,IFERROR(INDEX(Resep!$C$9:$C$13,MATCH(LEFT(AC836,3),Resep!$B$9:$B$13,0)),0))</f>
        <v>0</v>
      </c>
      <c r="AK836" s="24" t="n">
        <f aca="false">IF(AD836="",0,IFERROR(INDEX(Resep!$C$15:$C$18,MATCH(LEFT(AD836,3),Resep!$B$15:$B$18,0)),0))</f>
        <v>0</v>
      </c>
      <c r="AL836" s="24" t="str">
        <f aca="false">IF(X836="","",AG836+AH836+AI836+AJ836+AK836)</f>
        <v/>
      </c>
      <c r="AM836" s="22" t="str">
        <f aca="false">IF(X836="","",AL836*(Pengaturan!$B$6+Pengaturan!$B$7)+Pengaturan!$B$8+AE836*Pengaturan!$B$9+AF836*Pengaturan!$B$10)</f>
        <v/>
      </c>
      <c r="AN836" s="22" t="str">
        <f aca="false">IF(X836="","",N(G836)-AM836)</f>
        <v/>
      </c>
      <c r="AO836" s="25" t="str">
        <f aca="false">IF(OR(X836="",N(G836)=0),"",AN836/G836)</f>
        <v/>
      </c>
    </row>
    <row r="837" customFormat="false" ht="15" hidden="false" customHeight="false" outlineLevel="0" collapsed="false">
      <c r="A837" s="19"/>
      <c r="B837" s="20"/>
      <c r="C837" s="19"/>
      <c r="D837" s="19"/>
      <c r="E837" s="19"/>
      <c r="F837" s="19"/>
      <c r="G837" s="21"/>
      <c r="H837" s="19"/>
      <c r="I837" s="21"/>
      <c r="J837" s="19"/>
      <c r="K837" s="20"/>
      <c r="L837" s="20"/>
      <c r="M837" s="19"/>
      <c r="N837" s="19"/>
      <c r="O837" s="20"/>
      <c r="P837" s="20"/>
      <c r="Q837" s="19"/>
      <c r="R837" s="22" t="str">
        <f aca="false">IF(A837="","",N(G837)+N(I837))</f>
        <v/>
      </c>
      <c r="S837" s="23" t="str">
        <f aca="false">IF(OR(K837="",O837=""),"",O837-K837)</f>
        <v/>
      </c>
      <c r="T837" s="23" t="str">
        <f aca="true">IF(AND(C837="Cetak",L837&lt;&gt;"",L837&lt;TODAY()),"YA","")</f>
        <v/>
      </c>
      <c r="U837" s="23" t="str">
        <f aca="false">IF(B837="","",TEXT(B837,"yyyy-mm"))</f>
        <v/>
      </c>
      <c r="V837" s="23" t="str">
        <f aca="false">IF(K837="","",TEXT(K837,"yyyy-mm"))</f>
        <v/>
      </c>
      <c r="W837" s="23" t="n">
        <f aca="false">IF(OR(C837="Cetak",C837="Dikirim",C837="Selesai"),1,0)</f>
        <v>0</v>
      </c>
      <c r="X837" s="23" t="str">
        <f aca="false">IF(F837="","",SUBSTITUTE(SUBSTITUTE(MID(UPPER(TRIM(F837)),4,99),"-LED",""),"-TK",""))</f>
        <v/>
      </c>
      <c r="Y837" s="23" t="str">
        <f aca="false">IF(X837="","",(LEN(X837)+1)/7)</f>
        <v/>
      </c>
      <c r="Z837" s="23" t="str">
        <f aca="false">IF(X837="","",LEFT(X837,6))</f>
        <v/>
      </c>
      <c r="AA837" s="23" t="str">
        <f aca="false">IF(X837="","",IF(Y837&gt;=3,MID(X837,8,6),""))</f>
        <v/>
      </c>
      <c r="AB837" s="23" t="str">
        <f aca="false">IF(X837="","",IF(Y837&gt;=4,MID(X837,15,6),""))</f>
        <v/>
      </c>
      <c r="AC837" s="23" t="str">
        <f aca="false">IF(X837="","",IF(Y837&gt;=5,MID(X837,22,6),""))</f>
        <v/>
      </c>
      <c r="AD837" s="23" t="str">
        <f aca="false">IF(X837="","",RIGHT(X837,6))</f>
        <v/>
      </c>
      <c r="AE837" s="23" t="str">
        <f aca="false">IF(F837="","",IF(ISNUMBER(SEARCH("-TK",UPPER(F837))),0,1))</f>
        <v/>
      </c>
      <c r="AF837" s="23" t="str">
        <f aca="false">IF(F837="","",IF(ISNUMBER(SEARCH("-LED",UPPER(F837))),1,0))</f>
        <v/>
      </c>
      <c r="AG837" s="24" t="n">
        <f aca="false">IF(Z837="",0,IFERROR(INDEX(Resep!$C$5:$C$7,MATCH(LEFT(Z837,3),Resep!$B$5:$B$7,0)),0))</f>
        <v>0</v>
      </c>
      <c r="AH837" s="24" t="n">
        <f aca="false">IF(AA837="",0,IFERROR(INDEX(Resep!$C$9:$C$13,MATCH(LEFT(AA837,3),Resep!$B$9:$B$13,0)),0))</f>
        <v>0</v>
      </c>
      <c r="AI837" s="24" t="n">
        <f aca="false">IF(AB837="",0,IFERROR(INDEX(Resep!$C$9:$C$13,MATCH(LEFT(AB837,3),Resep!$B$9:$B$13,0)),0))</f>
        <v>0</v>
      </c>
      <c r="AJ837" s="24" t="n">
        <f aca="false">IF(AC837="",0,IFERROR(INDEX(Resep!$C$9:$C$13,MATCH(LEFT(AC837,3),Resep!$B$9:$B$13,0)),0))</f>
        <v>0</v>
      </c>
      <c r="AK837" s="24" t="n">
        <f aca="false">IF(AD837="",0,IFERROR(INDEX(Resep!$C$15:$C$18,MATCH(LEFT(AD837,3),Resep!$B$15:$B$18,0)),0))</f>
        <v>0</v>
      </c>
      <c r="AL837" s="24" t="str">
        <f aca="false">IF(X837="","",AG837+AH837+AI837+AJ837+AK837)</f>
        <v/>
      </c>
      <c r="AM837" s="22" t="str">
        <f aca="false">IF(X837="","",AL837*(Pengaturan!$B$6+Pengaturan!$B$7)+Pengaturan!$B$8+AE837*Pengaturan!$B$9+AF837*Pengaturan!$B$10)</f>
        <v/>
      </c>
      <c r="AN837" s="22" t="str">
        <f aca="false">IF(X837="","",N(G837)-AM837)</f>
        <v/>
      </c>
      <c r="AO837" s="25" t="str">
        <f aca="false">IF(OR(X837="",N(G837)=0),"",AN837/G837)</f>
        <v/>
      </c>
    </row>
    <row r="838" customFormat="false" ht="15" hidden="false" customHeight="false" outlineLevel="0" collapsed="false">
      <c r="A838" s="19"/>
      <c r="B838" s="20"/>
      <c r="C838" s="19"/>
      <c r="D838" s="19"/>
      <c r="E838" s="19"/>
      <c r="F838" s="19"/>
      <c r="G838" s="21"/>
      <c r="H838" s="19"/>
      <c r="I838" s="21"/>
      <c r="J838" s="19"/>
      <c r="K838" s="20"/>
      <c r="L838" s="20"/>
      <c r="M838" s="19"/>
      <c r="N838" s="19"/>
      <c r="O838" s="20"/>
      <c r="P838" s="20"/>
      <c r="Q838" s="19"/>
      <c r="R838" s="22" t="str">
        <f aca="false">IF(A838="","",N(G838)+N(I838))</f>
        <v/>
      </c>
      <c r="S838" s="23" t="str">
        <f aca="false">IF(OR(K838="",O838=""),"",O838-K838)</f>
        <v/>
      </c>
      <c r="T838" s="23" t="str">
        <f aca="true">IF(AND(C838="Cetak",L838&lt;&gt;"",L838&lt;TODAY()),"YA","")</f>
        <v/>
      </c>
      <c r="U838" s="23" t="str">
        <f aca="false">IF(B838="","",TEXT(B838,"yyyy-mm"))</f>
        <v/>
      </c>
      <c r="V838" s="23" t="str">
        <f aca="false">IF(K838="","",TEXT(K838,"yyyy-mm"))</f>
        <v/>
      </c>
      <c r="W838" s="23" t="n">
        <f aca="false">IF(OR(C838="Cetak",C838="Dikirim",C838="Selesai"),1,0)</f>
        <v>0</v>
      </c>
      <c r="X838" s="23" t="str">
        <f aca="false">IF(F838="","",SUBSTITUTE(SUBSTITUTE(MID(UPPER(TRIM(F838)),4,99),"-LED",""),"-TK",""))</f>
        <v/>
      </c>
      <c r="Y838" s="23" t="str">
        <f aca="false">IF(X838="","",(LEN(X838)+1)/7)</f>
        <v/>
      </c>
      <c r="Z838" s="23" t="str">
        <f aca="false">IF(X838="","",LEFT(X838,6))</f>
        <v/>
      </c>
      <c r="AA838" s="23" t="str">
        <f aca="false">IF(X838="","",IF(Y838&gt;=3,MID(X838,8,6),""))</f>
        <v/>
      </c>
      <c r="AB838" s="23" t="str">
        <f aca="false">IF(X838="","",IF(Y838&gt;=4,MID(X838,15,6),""))</f>
        <v/>
      </c>
      <c r="AC838" s="23" t="str">
        <f aca="false">IF(X838="","",IF(Y838&gt;=5,MID(X838,22,6),""))</f>
        <v/>
      </c>
      <c r="AD838" s="23" t="str">
        <f aca="false">IF(X838="","",RIGHT(X838,6))</f>
        <v/>
      </c>
      <c r="AE838" s="23" t="str">
        <f aca="false">IF(F838="","",IF(ISNUMBER(SEARCH("-TK",UPPER(F838))),0,1))</f>
        <v/>
      </c>
      <c r="AF838" s="23" t="str">
        <f aca="false">IF(F838="","",IF(ISNUMBER(SEARCH("-LED",UPPER(F838))),1,0))</f>
        <v/>
      </c>
      <c r="AG838" s="24" t="n">
        <f aca="false">IF(Z838="",0,IFERROR(INDEX(Resep!$C$5:$C$7,MATCH(LEFT(Z838,3),Resep!$B$5:$B$7,0)),0))</f>
        <v>0</v>
      </c>
      <c r="AH838" s="24" t="n">
        <f aca="false">IF(AA838="",0,IFERROR(INDEX(Resep!$C$9:$C$13,MATCH(LEFT(AA838,3),Resep!$B$9:$B$13,0)),0))</f>
        <v>0</v>
      </c>
      <c r="AI838" s="24" t="n">
        <f aca="false">IF(AB838="",0,IFERROR(INDEX(Resep!$C$9:$C$13,MATCH(LEFT(AB838,3),Resep!$B$9:$B$13,0)),0))</f>
        <v>0</v>
      </c>
      <c r="AJ838" s="24" t="n">
        <f aca="false">IF(AC838="",0,IFERROR(INDEX(Resep!$C$9:$C$13,MATCH(LEFT(AC838,3),Resep!$B$9:$B$13,0)),0))</f>
        <v>0</v>
      </c>
      <c r="AK838" s="24" t="n">
        <f aca="false">IF(AD838="",0,IFERROR(INDEX(Resep!$C$15:$C$18,MATCH(LEFT(AD838,3),Resep!$B$15:$B$18,0)),0))</f>
        <v>0</v>
      </c>
      <c r="AL838" s="24" t="str">
        <f aca="false">IF(X838="","",AG838+AH838+AI838+AJ838+AK838)</f>
        <v/>
      </c>
      <c r="AM838" s="22" t="str">
        <f aca="false">IF(X838="","",AL838*(Pengaturan!$B$6+Pengaturan!$B$7)+Pengaturan!$B$8+AE838*Pengaturan!$B$9+AF838*Pengaturan!$B$10)</f>
        <v/>
      </c>
      <c r="AN838" s="22" t="str">
        <f aca="false">IF(X838="","",N(G838)-AM838)</f>
        <v/>
      </c>
      <c r="AO838" s="25" t="str">
        <f aca="false">IF(OR(X838="",N(G838)=0),"",AN838/G838)</f>
        <v/>
      </c>
    </row>
    <row r="839" customFormat="false" ht="15" hidden="false" customHeight="false" outlineLevel="0" collapsed="false">
      <c r="A839" s="19"/>
      <c r="B839" s="20"/>
      <c r="C839" s="19"/>
      <c r="D839" s="19"/>
      <c r="E839" s="19"/>
      <c r="F839" s="19"/>
      <c r="G839" s="21"/>
      <c r="H839" s="19"/>
      <c r="I839" s="21"/>
      <c r="J839" s="19"/>
      <c r="K839" s="20"/>
      <c r="L839" s="20"/>
      <c r="M839" s="19"/>
      <c r="N839" s="19"/>
      <c r="O839" s="20"/>
      <c r="P839" s="20"/>
      <c r="Q839" s="19"/>
      <c r="R839" s="22" t="str">
        <f aca="false">IF(A839="","",N(G839)+N(I839))</f>
        <v/>
      </c>
      <c r="S839" s="23" t="str">
        <f aca="false">IF(OR(K839="",O839=""),"",O839-K839)</f>
        <v/>
      </c>
      <c r="T839" s="23" t="str">
        <f aca="true">IF(AND(C839="Cetak",L839&lt;&gt;"",L839&lt;TODAY()),"YA","")</f>
        <v/>
      </c>
      <c r="U839" s="23" t="str">
        <f aca="false">IF(B839="","",TEXT(B839,"yyyy-mm"))</f>
        <v/>
      </c>
      <c r="V839" s="23" t="str">
        <f aca="false">IF(K839="","",TEXT(K839,"yyyy-mm"))</f>
        <v/>
      </c>
      <c r="W839" s="23" t="n">
        <f aca="false">IF(OR(C839="Cetak",C839="Dikirim",C839="Selesai"),1,0)</f>
        <v>0</v>
      </c>
      <c r="X839" s="23" t="str">
        <f aca="false">IF(F839="","",SUBSTITUTE(SUBSTITUTE(MID(UPPER(TRIM(F839)),4,99),"-LED",""),"-TK",""))</f>
        <v/>
      </c>
      <c r="Y839" s="23" t="str">
        <f aca="false">IF(X839="","",(LEN(X839)+1)/7)</f>
        <v/>
      </c>
      <c r="Z839" s="23" t="str">
        <f aca="false">IF(X839="","",LEFT(X839,6))</f>
        <v/>
      </c>
      <c r="AA839" s="23" t="str">
        <f aca="false">IF(X839="","",IF(Y839&gt;=3,MID(X839,8,6),""))</f>
        <v/>
      </c>
      <c r="AB839" s="23" t="str">
        <f aca="false">IF(X839="","",IF(Y839&gt;=4,MID(X839,15,6),""))</f>
        <v/>
      </c>
      <c r="AC839" s="23" t="str">
        <f aca="false">IF(X839="","",IF(Y839&gt;=5,MID(X839,22,6),""))</f>
        <v/>
      </c>
      <c r="AD839" s="23" t="str">
        <f aca="false">IF(X839="","",RIGHT(X839,6))</f>
        <v/>
      </c>
      <c r="AE839" s="23" t="str">
        <f aca="false">IF(F839="","",IF(ISNUMBER(SEARCH("-TK",UPPER(F839))),0,1))</f>
        <v/>
      </c>
      <c r="AF839" s="23" t="str">
        <f aca="false">IF(F839="","",IF(ISNUMBER(SEARCH("-LED",UPPER(F839))),1,0))</f>
        <v/>
      </c>
      <c r="AG839" s="24" t="n">
        <f aca="false">IF(Z839="",0,IFERROR(INDEX(Resep!$C$5:$C$7,MATCH(LEFT(Z839,3),Resep!$B$5:$B$7,0)),0))</f>
        <v>0</v>
      </c>
      <c r="AH839" s="24" t="n">
        <f aca="false">IF(AA839="",0,IFERROR(INDEX(Resep!$C$9:$C$13,MATCH(LEFT(AA839,3),Resep!$B$9:$B$13,0)),0))</f>
        <v>0</v>
      </c>
      <c r="AI839" s="24" t="n">
        <f aca="false">IF(AB839="",0,IFERROR(INDEX(Resep!$C$9:$C$13,MATCH(LEFT(AB839,3),Resep!$B$9:$B$13,0)),0))</f>
        <v>0</v>
      </c>
      <c r="AJ839" s="24" t="n">
        <f aca="false">IF(AC839="",0,IFERROR(INDEX(Resep!$C$9:$C$13,MATCH(LEFT(AC839,3),Resep!$B$9:$B$13,0)),0))</f>
        <v>0</v>
      </c>
      <c r="AK839" s="24" t="n">
        <f aca="false">IF(AD839="",0,IFERROR(INDEX(Resep!$C$15:$C$18,MATCH(LEFT(AD839,3),Resep!$B$15:$B$18,0)),0))</f>
        <v>0</v>
      </c>
      <c r="AL839" s="24" t="str">
        <f aca="false">IF(X839="","",AG839+AH839+AI839+AJ839+AK839)</f>
        <v/>
      </c>
      <c r="AM839" s="22" t="str">
        <f aca="false">IF(X839="","",AL839*(Pengaturan!$B$6+Pengaturan!$B$7)+Pengaturan!$B$8+AE839*Pengaturan!$B$9+AF839*Pengaturan!$B$10)</f>
        <v/>
      </c>
      <c r="AN839" s="22" t="str">
        <f aca="false">IF(X839="","",N(G839)-AM839)</f>
        <v/>
      </c>
      <c r="AO839" s="25" t="str">
        <f aca="false">IF(OR(X839="",N(G839)=0),"",AN839/G839)</f>
        <v/>
      </c>
    </row>
    <row r="840" customFormat="false" ht="15" hidden="false" customHeight="false" outlineLevel="0" collapsed="false">
      <c r="A840" s="19"/>
      <c r="B840" s="20"/>
      <c r="C840" s="19"/>
      <c r="D840" s="19"/>
      <c r="E840" s="19"/>
      <c r="F840" s="19"/>
      <c r="G840" s="21"/>
      <c r="H840" s="19"/>
      <c r="I840" s="21"/>
      <c r="J840" s="19"/>
      <c r="K840" s="20"/>
      <c r="L840" s="20"/>
      <c r="M840" s="19"/>
      <c r="N840" s="19"/>
      <c r="O840" s="20"/>
      <c r="P840" s="20"/>
      <c r="Q840" s="19"/>
      <c r="R840" s="22" t="str">
        <f aca="false">IF(A840="","",N(G840)+N(I840))</f>
        <v/>
      </c>
      <c r="S840" s="23" t="str">
        <f aca="false">IF(OR(K840="",O840=""),"",O840-K840)</f>
        <v/>
      </c>
      <c r="T840" s="23" t="str">
        <f aca="true">IF(AND(C840="Cetak",L840&lt;&gt;"",L840&lt;TODAY()),"YA","")</f>
        <v/>
      </c>
      <c r="U840" s="23" t="str">
        <f aca="false">IF(B840="","",TEXT(B840,"yyyy-mm"))</f>
        <v/>
      </c>
      <c r="V840" s="23" t="str">
        <f aca="false">IF(K840="","",TEXT(K840,"yyyy-mm"))</f>
        <v/>
      </c>
      <c r="W840" s="23" t="n">
        <f aca="false">IF(OR(C840="Cetak",C840="Dikirim",C840="Selesai"),1,0)</f>
        <v>0</v>
      </c>
      <c r="X840" s="23" t="str">
        <f aca="false">IF(F840="","",SUBSTITUTE(SUBSTITUTE(MID(UPPER(TRIM(F840)),4,99),"-LED",""),"-TK",""))</f>
        <v/>
      </c>
      <c r="Y840" s="23" t="str">
        <f aca="false">IF(X840="","",(LEN(X840)+1)/7)</f>
        <v/>
      </c>
      <c r="Z840" s="23" t="str">
        <f aca="false">IF(X840="","",LEFT(X840,6))</f>
        <v/>
      </c>
      <c r="AA840" s="23" t="str">
        <f aca="false">IF(X840="","",IF(Y840&gt;=3,MID(X840,8,6),""))</f>
        <v/>
      </c>
      <c r="AB840" s="23" t="str">
        <f aca="false">IF(X840="","",IF(Y840&gt;=4,MID(X840,15,6),""))</f>
        <v/>
      </c>
      <c r="AC840" s="23" t="str">
        <f aca="false">IF(X840="","",IF(Y840&gt;=5,MID(X840,22,6),""))</f>
        <v/>
      </c>
      <c r="AD840" s="23" t="str">
        <f aca="false">IF(X840="","",RIGHT(X840,6))</f>
        <v/>
      </c>
      <c r="AE840" s="23" t="str">
        <f aca="false">IF(F840="","",IF(ISNUMBER(SEARCH("-TK",UPPER(F840))),0,1))</f>
        <v/>
      </c>
      <c r="AF840" s="23" t="str">
        <f aca="false">IF(F840="","",IF(ISNUMBER(SEARCH("-LED",UPPER(F840))),1,0))</f>
        <v/>
      </c>
      <c r="AG840" s="24" t="n">
        <f aca="false">IF(Z840="",0,IFERROR(INDEX(Resep!$C$5:$C$7,MATCH(LEFT(Z840,3),Resep!$B$5:$B$7,0)),0))</f>
        <v>0</v>
      </c>
      <c r="AH840" s="24" t="n">
        <f aca="false">IF(AA840="",0,IFERROR(INDEX(Resep!$C$9:$C$13,MATCH(LEFT(AA840,3),Resep!$B$9:$B$13,0)),0))</f>
        <v>0</v>
      </c>
      <c r="AI840" s="24" t="n">
        <f aca="false">IF(AB840="",0,IFERROR(INDEX(Resep!$C$9:$C$13,MATCH(LEFT(AB840,3),Resep!$B$9:$B$13,0)),0))</f>
        <v>0</v>
      </c>
      <c r="AJ840" s="24" t="n">
        <f aca="false">IF(AC840="",0,IFERROR(INDEX(Resep!$C$9:$C$13,MATCH(LEFT(AC840,3),Resep!$B$9:$B$13,0)),0))</f>
        <v>0</v>
      </c>
      <c r="AK840" s="24" t="n">
        <f aca="false">IF(AD840="",0,IFERROR(INDEX(Resep!$C$15:$C$18,MATCH(LEFT(AD840,3),Resep!$B$15:$B$18,0)),0))</f>
        <v>0</v>
      </c>
      <c r="AL840" s="24" t="str">
        <f aca="false">IF(X840="","",AG840+AH840+AI840+AJ840+AK840)</f>
        <v/>
      </c>
      <c r="AM840" s="22" t="str">
        <f aca="false">IF(X840="","",AL840*(Pengaturan!$B$6+Pengaturan!$B$7)+Pengaturan!$B$8+AE840*Pengaturan!$B$9+AF840*Pengaturan!$B$10)</f>
        <v/>
      </c>
      <c r="AN840" s="22" t="str">
        <f aca="false">IF(X840="","",N(G840)-AM840)</f>
        <v/>
      </c>
      <c r="AO840" s="25" t="str">
        <f aca="false">IF(OR(X840="",N(G840)=0),"",AN840/G840)</f>
        <v/>
      </c>
    </row>
    <row r="841" customFormat="false" ht="15" hidden="false" customHeight="false" outlineLevel="0" collapsed="false">
      <c r="A841" s="19"/>
      <c r="B841" s="20"/>
      <c r="C841" s="19"/>
      <c r="D841" s="19"/>
      <c r="E841" s="19"/>
      <c r="F841" s="19"/>
      <c r="G841" s="21"/>
      <c r="H841" s="19"/>
      <c r="I841" s="21"/>
      <c r="J841" s="19"/>
      <c r="K841" s="20"/>
      <c r="L841" s="20"/>
      <c r="M841" s="19"/>
      <c r="N841" s="19"/>
      <c r="O841" s="20"/>
      <c r="P841" s="20"/>
      <c r="Q841" s="19"/>
      <c r="R841" s="22" t="str">
        <f aca="false">IF(A841="","",N(G841)+N(I841))</f>
        <v/>
      </c>
      <c r="S841" s="23" t="str">
        <f aca="false">IF(OR(K841="",O841=""),"",O841-K841)</f>
        <v/>
      </c>
      <c r="T841" s="23" t="str">
        <f aca="true">IF(AND(C841="Cetak",L841&lt;&gt;"",L841&lt;TODAY()),"YA","")</f>
        <v/>
      </c>
      <c r="U841" s="23" t="str">
        <f aca="false">IF(B841="","",TEXT(B841,"yyyy-mm"))</f>
        <v/>
      </c>
      <c r="V841" s="23" t="str">
        <f aca="false">IF(K841="","",TEXT(K841,"yyyy-mm"))</f>
        <v/>
      </c>
      <c r="W841" s="23" t="n">
        <f aca="false">IF(OR(C841="Cetak",C841="Dikirim",C841="Selesai"),1,0)</f>
        <v>0</v>
      </c>
      <c r="X841" s="23" t="str">
        <f aca="false">IF(F841="","",SUBSTITUTE(SUBSTITUTE(MID(UPPER(TRIM(F841)),4,99),"-LED",""),"-TK",""))</f>
        <v/>
      </c>
      <c r="Y841" s="23" t="str">
        <f aca="false">IF(X841="","",(LEN(X841)+1)/7)</f>
        <v/>
      </c>
      <c r="Z841" s="23" t="str">
        <f aca="false">IF(X841="","",LEFT(X841,6))</f>
        <v/>
      </c>
      <c r="AA841" s="23" t="str">
        <f aca="false">IF(X841="","",IF(Y841&gt;=3,MID(X841,8,6),""))</f>
        <v/>
      </c>
      <c r="AB841" s="23" t="str">
        <f aca="false">IF(X841="","",IF(Y841&gt;=4,MID(X841,15,6),""))</f>
        <v/>
      </c>
      <c r="AC841" s="23" t="str">
        <f aca="false">IF(X841="","",IF(Y841&gt;=5,MID(X841,22,6),""))</f>
        <v/>
      </c>
      <c r="AD841" s="23" t="str">
        <f aca="false">IF(X841="","",RIGHT(X841,6))</f>
        <v/>
      </c>
      <c r="AE841" s="23" t="str">
        <f aca="false">IF(F841="","",IF(ISNUMBER(SEARCH("-TK",UPPER(F841))),0,1))</f>
        <v/>
      </c>
      <c r="AF841" s="23" t="str">
        <f aca="false">IF(F841="","",IF(ISNUMBER(SEARCH("-LED",UPPER(F841))),1,0))</f>
        <v/>
      </c>
      <c r="AG841" s="24" t="n">
        <f aca="false">IF(Z841="",0,IFERROR(INDEX(Resep!$C$5:$C$7,MATCH(LEFT(Z841,3),Resep!$B$5:$B$7,0)),0))</f>
        <v>0</v>
      </c>
      <c r="AH841" s="24" t="n">
        <f aca="false">IF(AA841="",0,IFERROR(INDEX(Resep!$C$9:$C$13,MATCH(LEFT(AA841,3),Resep!$B$9:$B$13,0)),0))</f>
        <v>0</v>
      </c>
      <c r="AI841" s="24" t="n">
        <f aca="false">IF(AB841="",0,IFERROR(INDEX(Resep!$C$9:$C$13,MATCH(LEFT(AB841,3),Resep!$B$9:$B$13,0)),0))</f>
        <v>0</v>
      </c>
      <c r="AJ841" s="24" t="n">
        <f aca="false">IF(AC841="",0,IFERROR(INDEX(Resep!$C$9:$C$13,MATCH(LEFT(AC841,3),Resep!$B$9:$B$13,0)),0))</f>
        <v>0</v>
      </c>
      <c r="AK841" s="24" t="n">
        <f aca="false">IF(AD841="",0,IFERROR(INDEX(Resep!$C$15:$C$18,MATCH(LEFT(AD841,3),Resep!$B$15:$B$18,0)),0))</f>
        <v>0</v>
      </c>
      <c r="AL841" s="24" t="str">
        <f aca="false">IF(X841="","",AG841+AH841+AI841+AJ841+AK841)</f>
        <v/>
      </c>
      <c r="AM841" s="22" t="str">
        <f aca="false">IF(X841="","",AL841*(Pengaturan!$B$6+Pengaturan!$B$7)+Pengaturan!$B$8+AE841*Pengaturan!$B$9+AF841*Pengaturan!$B$10)</f>
        <v/>
      </c>
      <c r="AN841" s="22" t="str">
        <f aca="false">IF(X841="","",N(G841)-AM841)</f>
        <v/>
      </c>
      <c r="AO841" s="25" t="str">
        <f aca="false">IF(OR(X841="",N(G841)=0),"",AN841/G841)</f>
        <v/>
      </c>
    </row>
    <row r="842" customFormat="false" ht="15" hidden="false" customHeight="false" outlineLevel="0" collapsed="false">
      <c r="A842" s="19"/>
      <c r="B842" s="20"/>
      <c r="C842" s="19"/>
      <c r="D842" s="19"/>
      <c r="E842" s="19"/>
      <c r="F842" s="19"/>
      <c r="G842" s="21"/>
      <c r="H842" s="19"/>
      <c r="I842" s="21"/>
      <c r="J842" s="19"/>
      <c r="K842" s="20"/>
      <c r="L842" s="20"/>
      <c r="M842" s="19"/>
      <c r="N842" s="19"/>
      <c r="O842" s="20"/>
      <c r="P842" s="20"/>
      <c r="Q842" s="19"/>
      <c r="R842" s="22" t="str">
        <f aca="false">IF(A842="","",N(G842)+N(I842))</f>
        <v/>
      </c>
      <c r="S842" s="23" t="str">
        <f aca="false">IF(OR(K842="",O842=""),"",O842-K842)</f>
        <v/>
      </c>
      <c r="T842" s="23" t="str">
        <f aca="true">IF(AND(C842="Cetak",L842&lt;&gt;"",L842&lt;TODAY()),"YA","")</f>
        <v/>
      </c>
      <c r="U842" s="23" t="str">
        <f aca="false">IF(B842="","",TEXT(B842,"yyyy-mm"))</f>
        <v/>
      </c>
      <c r="V842" s="23" t="str">
        <f aca="false">IF(K842="","",TEXT(K842,"yyyy-mm"))</f>
        <v/>
      </c>
      <c r="W842" s="23" t="n">
        <f aca="false">IF(OR(C842="Cetak",C842="Dikirim",C842="Selesai"),1,0)</f>
        <v>0</v>
      </c>
      <c r="X842" s="23" t="str">
        <f aca="false">IF(F842="","",SUBSTITUTE(SUBSTITUTE(MID(UPPER(TRIM(F842)),4,99),"-LED",""),"-TK",""))</f>
        <v/>
      </c>
      <c r="Y842" s="23" t="str">
        <f aca="false">IF(X842="","",(LEN(X842)+1)/7)</f>
        <v/>
      </c>
      <c r="Z842" s="23" t="str">
        <f aca="false">IF(X842="","",LEFT(X842,6))</f>
        <v/>
      </c>
      <c r="AA842" s="23" t="str">
        <f aca="false">IF(X842="","",IF(Y842&gt;=3,MID(X842,8,6),""))</f>
        <v/>
      </c>
      <c r="AB842" s="23" t="str">
        <f aca="false">IF(X842="","",IF(Y842&gt;=4,MID(X842,15,6),""))</f>
        <v/>
      </c>
      <c r="AC842" s="23" t="str">
        <f aca="false">IF(X842="","",IF(Y842&gt;=5,MID(X842,22,6),""))</f>
        <v/>
      </c>
      <c r="AD842" s="23" t="str">
        <f aca="false">IF(X842="","",RIGHT(X842,6))</f>
        <v/>
      </c>
      <c r="AE842" s="23" t="str">
        <f aca="false">IF(F842="","",IF(ISNUMBER(SEARCH("-TK",UPPER(F842))),0,1))</f>
        <v/>
      </c>
      <c r="AF842" s="23" t="str">
        <f aca="false">IF(F842="","",IF(ISNUMBER(SEARCH("-LED",UPPER(F842))),1,0))</f>
        <v/>
      </c>
      <c r="AG842" s="24" t="n">
        <f aca="false">IF(Z842="",0,IFERROR(INDEX(Resep!$C$5:$C$7,MATCH(LEFT(Z842,3),Resep!$B$5:$B$7,0)),0))</f>
        <v>0</v>
      </c>
      <c r="AH842" s="24" t="n">
        <f aca="false">IF(AA842="",0,IFERROR(INDEX(Resep!$C$9:$C$13,MATCH(LEFT(AA842,3),Resep!$B$9:$B$13,0)),0))</f>
        <v>0</v>
      </c>
      <c r="AI842" s="24" t="n">
        <f aca="false">IF(AB842="",0,IFERROR(INDEX(Resep!$C$9:$C$13,MATCH(LEFT(AB842,3),Resep!$B$9:$B$13,0)),0))</f>
        <v>0</v>
      </c>
      <c r="AJ842" s="24" t="n">
        <f aca="false">IF(AC842="",0,IFERROR(INDEX(Resep!$C$9:$C$13,MATCH(LEFT(AC842,3),Resep!$B$9:$B$13,0)),0))</f>
        <v>0</v>
      </c>
      <c r="AK842" s="24" t="n">
        <f aca="false">IF(AD842="",0,IFERROR(INDEX(Resep!$C$15:$C$18,MATCH(LEFT(AD842,3),Resep!$B$15:$B$18,0)),0))</f>
        <v>0</v>
      </c>
      <c r="AL842" s="24" t="str">
        <f aca="false">IF(X842="","",AG842+AH842+AI842+AJ842+AK842)</f>
        <v/>
      </c>
      <c r="AM842" s="22" t="str">
        <f aca="false">IF(X842="","",AL842*(Pengaturan!$B$6+Pengaturan!$B$7)+Pengaturan!$B$8+AE842*Pengaturan!$B$9+AF842*Pengaturan!$B$10)</f>
        <v/>
      </c>
      <c r="AN842" s="22" t="str">
        <f aca="false">IF(X842="","",N(G842)-AM842)</f>
        <v/>
      </c>
      <c r="AO842" s="25" t="str">
        <f aca="false">IF(OR(X842="",N(G842)=0),"",AN842/G842)</f>
        <v/>
      </c>
    </row>
    <row r="843" customFormat="false" ht="15" hidden="false" customHeight="false" outlineLevel="0" collapsed="false">
      <c r="A843" s="19"/>
      <c r="B843" s="20"/>
      <c r="C843" s="19"/>
      <c r="D843" s="19"/>
      <c r="E843" s="19"/>
      <c r="F843" s="19"/>
      <c r="G843" s="21"/>
      <c r="H843" s="19"/>
      <c r="I843" s="21"/>
      <c r="J843" s="19"/>
      <c r="K843" s="20"/>
      <c r="L843" s="20"/>
      <c r="M843" s="19"/>
      <c r="N843" s="19"/>
      <c r="O843" s="20"/>
      <c r="P843" s="20"/>
      <c r="Q843" s="19"/>
      <c r="R843" s="22" t="str">
        <f aca="false">IF(A843="","",N(G843)+N(I843))</f>
        <v/>
      </c>
      <c r="S843" s="23" t="str">
        <f aca="false">IF(OR(K843="",O843=""),"",O843-K843)</f>
        <v/>
      </c>
      <c r="T843" s="23" t="str">
        <f aca="true">IF(AND(C843="Cetak",L843&lt;&gt;"",L843&lt;TODAY()),"YA","")</f>
        <v/>
      </c>
      <c r="U843" s="23" t="str">
        <f aca="false">IF(B843="","",TEXT(B843,"yyyy-mm"))</f>
        <v/>
      </c>
      <c r="V843" s="23" t="str">
        <f aca="false">IF(K843="","",TEXT(K843,"yyyy-mm"))</f>
        <v/>
      </c>
      <c r="W843" s="23" t="n">
        <f aca="false">IF(OR(C843="Cetak",C843="Dikirim",C843="Selesai"),1,0)</f>
        <v>0</v>
      </c>
      <c r="X843" s="23" t="str">
        <f aca="false">IF(F843="","",SUBSTITUTE(SUBSTITUTE(MID(UPPER(TRIM(F843)),4,99),"-LED",""),"-TK",""))</f>
        <v/>
      </c>
      <c r="Y843" s="23" t="str">
        <f aca="false">IF(X843="","",(LEN(X843)+1)/7)</f>
        <v/>
      </c>
      <c r="Z843" s="23" t="str">
        <f aca="false">IF(X843="","",LEFT(X843,6))</f>
        <v/>
      </c>
      <c r="AA843" s="23" t="str">
        <f aca="false">IF(X843="","",IF(Y843&gt;=3,MID(X843,8,6),""))</f>
        <v/>
      </c>
      <c r="AB843" s="23" t="str">
        <f aca="false">IF(X843="","",IF(Y843&gt;=4,MID(X843,15,6),""))</f>
        <v/>
      </c>
      <c r="AC843" s="23" t="str">
        <f aca="false">IF(X843="","",IF(Y843&gt;=5,MID(X843,22,6),""))</f>
        <v/>
      </c>
      <c r="AD843" s="23" t="str">
        <f aca="false">IF(X843="","",RIGHT(X843,6))</f>
        <v/>
      </c>
      <c r="AE843" s="23" t="str">
        <f aca="false">IF(F843="","",IF(ISNUMBER(SEARCH("-TK",UPPER(F843))),0,1))</f>
        <v/>
      </c>
      <c r="AF843" s="23" t="str">
        <f aca="false">IF(F843="","",IF(ISNUMBER(SEARCH("-LED",UPPER(F843))),1,0))</f>
        <v/>
      </c>
      <c r="AG843" s="24" t="n">
        <f aca="false">IF(Z843="",0,IFERROR(INDEX(Resep!$C$5:$C$7,MATCH(LEFT(Z843,3),Resep!$B$5:$B$7,0)),0))</f>
        <v>0</v>
      </c>
      <c r="AH843" s="24" t="n">
        <f aca="false">IF(AA843="",0,IFERROR(INDEX(Resep!$C$9:$C$13,MATCH(LEFT(AA843,3),Resep!$B$9:$B$13,0)),0))</f>
        <v>0</v>
      </c>
      <c r="AI843" s="24" t="n">
        <f aca="false">IF(AB843="",0,IFERROR(INDEX(Resep!$C$9:$C$13,MATCH(LEFT(AB843,3),Resep!$B$9:$B$13,0)),0))</f>
        <v>0</v>
      </c>
      <c r="AJ843" s="24" t="n">
        <f aca="false">IF(AC843="",0,IFERROR(INDEX(Resep!$C$9:$C$13,MATCH(LEFT(AC843,3),Resep!$B$9:$B$13,0)),0))</f>
        <v>0</v>
      </c>
      <c r="AK843" s="24" t="n">
        <f aca="false">IF(AD843="",0,IFERROR(INDEX(Resep!$C$15:$C$18,MATCH(LEFT(AD843,3),Resep!$B$15:$B$18,0)),0))</f>
        <v>0</v>
      </c>
      <c r="AL843" s="24" t="str">
        <f aca="false">IF(X843="","",AG843+AH843+AI843+AJ843+AK843)</f>
        <v/>
      </c>
      <c r="AM843" s="22" t="str">
        <f aca="false">IF(X843="","",AL843*(Pengaturan!$B$6+Pengaturan!$B$7)+Pengaturan!$B$8+AE843*Pengaturan!$B$9+AF843*Pengaturan!$B$10)</f>
        <v/>
      </c>
      <c r="AN843" s="22" t="str">
        <f aca="false">IF(X843="","",N(G843)-AM843)</f>
        <v/>
      </c>
      <c r="AO843" s="25" t="str">
        <f aca="false">IF(OR(X843="",N(G843)=0),"",AN843/G843)</f>
        <v/>
      </c>
    </row>
    <row r="844" customFormat="false" ht="15" hidden="false" customHeight="false" outlineLevel="0" collapsed="false">
      <c r="A844" s="19"/>
      <c r="B844" s="20"/>
      <c r="C844" s="19"/>
      <c r="D844" s="19"/>
      <c r="E844" s="19"/>
      <c r="F844" s="19"/>
      <c r="G844" s="21"/>
      <c r="H844" s="19"/>
      <c r="I844" s="21"/>
      <c r="J844" s="19"/>
      <c r="K844" s="20"/>
      <c r="L844" s="20"/>
      <c r="M844" s="19"/>
      <c r="N844" s="19"/>
      <c r="O844" s="20"/>
      <c r="P844" s="20"/>
      <c r="Q844" s="19"/>
      <c r="R844" s="22" t="str">
        <f aca="false">IF(A844="","",N(G844)+N(I844))</f>
        <v/>
      </c>
      <c r="S844" s="23" t="str">
        <f aca="false">IF(OR(K844="",O844=""),"",O844-K844)</f>
        <v/>
      </c>
      <c r="T844" s="23" t="str">
        <f aca="true">IF(AND(C844="Cetak",L844&lt;&gt;"",L844&lt;TODAY()),"YA","")</f>
        <v/>
      </c>
      <c r="U844" s="23" t="str">
        <f aca="false">IF(B844="","",TEXT(B844,"yyyy-mm"))</f>
        <v/>
      </c>
      <c r="V844" s="23" t="str">
        <f aca="false">IF(K844="","",TEXT(K844,"yyyy-mm"))</f>
        <v/>
      </c>
      <c r="W844" s="23" t="n">
        <f aca="false">IF(OR(C844="Cetak",C844="Dikirim",C844="Selesai"),1,0)</f>
        <v>0</v>
      </c>
      <c r="X844" s="23" t="str">
        <f aca="false">IF(F844="","",SUBSTITUTE(SUBSTITUTE(MID(UPPER(TRIM(F844)),4,99),"-LED",""),"-TK",""))</f>
        <v/>
      </c>
      <c r="Y844" s="23" t="str">
        <f aca="false">IF(X844="","",(LEN(X844)+1)/7)</f>
        <v/>
      </c>
      <c r="Z844" s="23" t="str">
        <f aca="false">IF(X844="","",LEFT(X844,6))</f>
        <v/>
      </c>
      <c r="AA844" s="23" t="str">
        <f aca="false">IF(X844="","",IF(Y844&gt;=3,MID(X844,8,6),""))</f>
        <v/>
      </c>
      <c r="AB844" s="23" t="str">
        <f aca="false">IF(X844="","",IF(Y844&gt;=4,MID(X844,15,6),""))</f>
        <v/>
      </c>
      <c r="AC844" s="23" t="str">
        <f aca="false">IF(X844="","",IF(Y844&gt;=5,MID(X844,22,6),""))</f>
        <v/>
      </c>
      <c r="AD844" s="23" t="str">
        <f aca="false">IF(X844="","",RIGHT(X844,6))</f>
        <v/>
      </c>
      <c r="AE844" s="23" t="str">
        <f aca="false">IF(F844="","",IF(ISNUMBER(SEARCH("-TK",UPPER(F844))),0,1))</f>
        <v/>
      </c>
      <c r="AF844" s="23" t="str">
        <f aca="false">IF(F844="","",IF(ISNUMBER(SEARCH("-LED",UPPER(F844))),1,0))</f>
        <v/>
      </c>
      <c r="AG844" s="24" t="n">
        <f aca="false">IF(Z844="",0,IFERROR(INDEX(Resep!$C$5:$C$7,MATCH(LEFT(Z844,3),Resep!$B$5:$B$7,0)),0))</f>
        <v>0</v>
      </c>
      <c r="AH844" s="24" t="n">
        <f aca="false">IF(AA844="",0,IFERROR(INDEX(Resep!$C$9:$C$13,MATCH(LEFT(AA844,3),Resep!$B$9:$B$13,0)),0))</f>
        <v>0</v>
      </c>
      <c r="AI844" s="24" t="n">
        <f aca="false">IF(AB844="",0,IFERROR(INDEX(Resep!$C$9:$C$13,MATCH(LEFT(AB844,3),Resep!$B$9:$B$13,0)),0))</f>
        <v>0</v>
      </c>
      <c r="AJ844" s="24" t="n">
        <f aca="false">IF(AC844="",0,IFERROR(INDEX(Resep!$C$9:$C$13,MATCH(LEFT(AC844,3),Resep!$B$9:$B$13,0)),0))</f>
        <v>0</v>
      </c>
      <c r="AK844" s="24" t="n">
        <f aca="false">IF(AD844="",0,IFERROR(INDEX(Resep!$C$15:$C$18,MATCH(LEFT(AD844,3),Resep!$B$15:$B$18,0)),0))</f>
        <v>0</v>
      </c>
      <c r="AL844" s="24" t="str">
        <f aca="false">IF(X844="","",AG844+AH844+AI844+AJ844+AK844)</f>
        <v/>
      </c>
      <c r="AM844" s="22" t="str">
        <f aca="false">IF(X844="","",AL844*(Pengaturan!$B$6+Pengaturan!$B$7)+Pengaturan!$B$8+AE844*Pengaturan!$B$9+AF844*Pengaturan!$B$10)</f>
        <v/>
      </c>
      <c r="AN844" s="22" t="str">
        <f aca="false">IF(X844="","",N(G844)-AM844)</f>
        <v/>
      </c>
      <c r="AO844" s="25" t="str">
        <f aca="false">IF(OR(X844="",N(G844)=0),"",AN844/G844)</f>
        <v/>
      </c>
    </row>
    <row r="845" customFormat="false" ht="15" hidden="false" customHeight="false" outlineLevel="0" collapsed="false">
      <c r="A845" s="19"/>
      <c r="B845" s="20"/>
      <c r="C845" s="19"/>
      <c r="D845" s="19"/>
      <c r="E845" s="19"/>
      <c r="F845" s="19"/>
      <c r="G845" s="21"/>
      <c r="H845" s="19"/>
      <c r="I845" s="21"/>
      <c r="J845" s="19"/>
      <c r="K845" s="20"/>
      <c r="L845" s="20"/>
      <c r="M845" s="19"/>
      <c r="N845" s="19"/>
      <c r="O845" s="20"/>
      <c r="P845" s="20"/>
      <c r="Q845" s="19"/>
      <c r="R845" s="22" t="str">
        <f aca="false">IF(A845="","",N(G845)+N(I845))</f>
        <v/>
      </c>
      <c r="S845" s="23" t="str">
        <f aca="false">IF(OR(K845="",O845=""),"",O845-K845)</f>
        <v/>
      </c>
      <c r="T845" s="23" t="str">
        <f aca="true">IF(AND(C845="Cetak",L845&lt;&gt;"",L845&lt;TODAY()),"YA","")</f>
        <v/>
      </c>
      <c r="U845" s="23" t="str">
        <f aca="false">IF(B845="","",TEXT(B845,"yyyy-mm"))</f>
        <v/>
      </c>
      <c r="V845" s="23" t="str">
        <f aca="false">IF(K845="","",TEXT(K845,"yyyy-mm"))</f>
        <v/>
      </c>
      <c r="W845" s="23" t="n">
        <f aca="false">IF(OR(C845="Cetak",C845="Dikirim",C845="Selesai"),1,0)</f>
        <v>0</v>
      </c>
      <c r="X845" s="23" t="str">
        <f aca="false">IF(F845="","",SUBSTITUTE(SUBSTITUTE(MID(UPPER(TRIM(F845)),4,99),"-LED",""),"-TK",""))</f>
        <v/>
      </c>
      <c r="Y845" s="23" t="str">
        <f aca="false">IF(X845="","",(LEN(X845)+1)/7)</f>
        <v/>
      </c>
      <c r="Z845" s="23" t="str">
        <f aca="false">IF(X845="","",LEFT(X845,6))</f>
        <v/>
      </c>
      <c r="AA845" s="23" t="str">
        <f aca="false">IF(X845="","",IF(Y845&gt;=3,MID(X845,8,6),""))</f>
        <v/>
      </c>
      <c r="AB845" s="23" t="str">
        <f aca="false">IF(X845="","",IF(Y845&gt;=4,MID(X845,15,6),""))</f>
        <v/>
      </c>
      <c r="AC845" s="23" t="str">
        <f aca="false">IF(X845="","",IF(Y845&gt;=5,MID(X845,22,6),""))</f>
        <v/>
      </c>
      <c r="AD845" s="23" t="str">
        <f aca="false">IF(X845="","",RIGHT(X845,6))</f>
        <v/>
      </c>
      <c r="AE845" s="23" t="str">
        <f aca="false">IF(F845="","",IF(ISNUMBER(SEARCH("-TK",UPPER(F845))),0,1))</f>
        <v/>
      </c>
      <c r="AF845" s="23" t="str">
        <f aca="false">IF(F845="","",IF(ISNUMBER(SEARCH("-LED",UPPER(F845))),1,0))</f>
        <v/>
      </c>
      <c r="AG845" s="24" t="n">
        <f aca="false">IF(Z845="",0,IFERROR(INDEX(Resep!$C$5:$C$7,MATCH(LEFT(Z845,3),Resep!$B$5:$B$7,0)),0))</f>
        <v>0</v>
      </c>
      <c r="AH845" s="24" t="n">
        <f aca="false">IF(AA845="",0,IFERROR(INDEX(Resep!$C$9:$C$13,MATCH(LEFT(AA845,3),Resep!$B$9:$B$13,0)),0))</f>
        <v>0</v>
      </c>
      <c r="AI845" s="24" t="n">
        <f aca="false">IF(AB845="",0,IFERROR(INDEX(Resep!$C$9:$C$13,MATCH(LEFT(AB845,3),Resep!$B$9:$B$13,0)),0))</f>
        <v>0</v>
      </c>
      <c r="AJ845" s="24" t="n">
        <f aca="false">IF(AC845="",0,IFERROR(INDEX(Resep!$C$9:$C$13,MATCH(LEFT(AC845,3),Resep!$B$9:$B$13,0)),0))</f>
        <v>0</v>
      </c>
      <c r="AK845" s="24" t="n">
        <f aca="false">IF(AD845="",0,IFERROR(INDEX(Resep!$C$15:$C$18,MATCH(LEFT(AD845,3),Resep!$B$15:$B$18,0)),0))</f>
        <v>0</v>
      </c>
      <c r="AL845" s="24" t="str">
        <f aca="false">IF(X845="","",AG845+AH845+AI845+AJ845+AK845)</f>
        <v/>
      </c>
      <c r="AM845" s="22" t="str">
        <f aca="false">IF(X845="","",AL845*(Pengaturan!$B$6+Pengaturan!$B$7)+Pengaturan!$B$8+AE845*Pengaturan!$B$9+AF845*Pengaturan!$B$10)</f>
        <v/>
      </c>
      <c r="AN845" s="22" t="str">
        <f aca="false">IF(X845="","",N(G845)-AM845)</f>
        <v/>
      </c>
      <c r="AO845" s="25" t="str">
        <f aca="false">IF(OR(X845="",N(G845)=0),"",AN845/G845)</f>
        <v/>
      </c>
    </row>
    <row r="846" customFormat="false" ht="15" hidden="false" customHeight="false" outlineLevel="0" collapsed="false">
      <c r="A846" s="19"/>
      <c r="B846" s="20"/>
      <c r="C846" s="19"/>
      <c r="D846" s="19"/>
      <c r="E846" s="19"/>
      <c r="F846" s="19"/>
      <c r="G846" s="21"/>
      <c r="H846" s="19"/>
      <c r="I846" s="21"/>
      <c r="J846" s="19"/>
      <c r="K846" s="20"/>
      <c r="L846" s="20"/>
      <c r="M846" s="19"/>
      <c r="N846" s="19"/>
      <c r="O846" s="20"/>
      <c r="P846" s="20"/>
      <c r="Q846" s="19"/>
      <c r="R846" s="22" t="str">
        <f aca="false">IF(A846="","",N(G846)+N(I846))</f>
        <v/>
      </c>
      <c r="S846" s="23" t="str">
        <f aca="false">IF(OR(K846="",O846=""),"",O846-K846)</f>
        <v/>
      </c>
      <c r="T846" s="23" t="str">
        <f aca="true">IF(AND(C846="Cetak",L846&lt;&gt;"",L846&lt;TODAY()),"YA","")</f>
        <v/>
      </c>
      <c r="U846" s="23" t="str">
        <f aca="false">IF(B846="","",TEXT(B846,"yyyy-mm"))</f>
        <v/>
      </c>
      <c r="V846" s="23" t="str">
        <f aca="false">IF(K846="","",TEXT(K846,"yyyy-mm"))</f>
        <v/>
      </c>
      <c r="W846" s="23" t="n">
        <f aca="false">IF(OR(C846="Cetak",C846="Dikirim",C846="Selesai"),1,0)</f>
        <v>0</v>
      </c>
      <c r="X846" s="23" t="str">
        <f aca="false">IF(F846="","",SUBSTITUTE(SUBSTITUTE(MID(UPPER(TRIM(F846)),4,99),"-LED",""),"-TK",""))</f>
        <v/>
      </c>
      <c r="Y846" s="23" t="str">
        <f aca="false">IF(X846="","",(LEN(X846)+1)/7)</f>
        <v/>
      </c>
      <c r="Z846" s="23" t="str">
        <f aca="false">IF(X846="","",LEFT(X846,6))</f>
        <v/>
      </c>
      <c r="AA846" s="23" t="str">
        <f aca="false">IF(X846="","",IF(Y846&gt;=3,MID(X846,8,6),""))</f>
        <v/>
      </c>
      <c r="AB846" s="23" t="str">
        <f aca="false">IF(X846="","",IF(Y846&gt;=4,MID(X846,15,6),""))</f>
        <v/>
      </c>
      <c r="AC846" s="23" t="str">
        <f aca="false">IF(X846="","",IF(Y846&gt;=5,MID(X846,22,6),""))</f>
        <v/>
      </c>
      <c r="AD846" s="23" t="str">
        <f aca="false">IF(X846="","",RIGHT(X846,6))</f>
        <v/>
      </c>
      <c r="AE846" s="23" t="str">
        <f aca="false">IF(F846="","",IF(ISNUMBER(SEARCH("-TK",UPPER(F846))),0,1))</f>
        <v/>
      </c>
      <c r="AF846" s="23" t="str">
        <f aca="false">IF(F846="","",IF(ISNUMBER(SEARCH("-LED",UPPER(F846))),1,0))</f>
        <v/>
      </c>
      <c r="AG846" s="24" t="n">
        <f aca="false">IF(Z846="",0,IFERROR(INDEX(Resep!$C$5:$C$7,MATCH(LEFT(Z846,3),Resep!$B$5:$B$7,0)),0))</f>
        <v>0</v>
      </c>
      <c r="AH846" s="24" t="n">
        <f aca="false">IF(AA846="",0,IFERROR(INDEX(Resep!$C$9:$C$13,MATCH(LEFT(AA846,3),Resep!$B$9:$B$13,0)),0))</f>
        <v>0</v>
      </c>
      <c r="AI846" s="24" t="n">
        <f aca="false">IF(AB846="",0,IFERROR(INDEX(Resep!$C$9:$C$13,MATCH(LEFT(AB846,3),Resep!$B$9:$B$13,0)),0))</f>
        <v>0</v>
      </c>
      <c r="AJ846" s="24" t="n">
        <f aca="false">IF(AC846="",0,IFERROR(INDEX(Resep!$C$9:$C$13,MATCH(LEFT(AC846,3),Resep!$B$9:$B$13,0)),0))</f>
        <v>0</v>
      </c>
      <c r="AK846" s="24" t="n">
        <f aca="false">IF(AD846="",0,IFERROR(INDEX(Resep!$C$15:$C$18,MATCH(LEFT(AD846,3),Resep!$B$15:$B$18,0)),0))</f>
        <v>0</v>
      </c>
      <c r="AL846" s="24" t="str">
        <f aca="false">IF(X846="","",AG846+AH846+AI846+AJ846+AK846)</f>
        <v/>
      </c>
      <c r="AM846" s="22" t="str">
        <f aca="false">IF(X846="","",AL846*(Pengaturan!$B$6+Pengaturan!$B$7)+Pengaturan!$B$8+AE846*Pengaturan!$B$9+AF846*Pengaturan!$B$10)</f>
        <v/>
      </c>
      <c r="AN846" s="22" t="str">
        <f aca="false">IF(X846="","",N(G846)-AM846)</f>
        <v/>
      </c>
      <c r="AO846" s="25" t="str">
        <f aca="false">IF(OR(X846="",N(G846)=0),"",AN846/G846)</f>
        <v/>
      </c>
    </row>
    <row r="847" customFormat="false" ht="15" hidden="false" customHeight="false" outlineLevel="0" collapsed="false">
      <c r="A847" s="19"/>
      <c r="B847" s="20"/>
      <c r="C847" s="19"/>
      <c r="D847" s="19"/>
      <c r="E847" s="19"/>
      <c r="F847" s="19"/>
      <c r="G847" s="21"/>
      <c r="H847" s="19"/>
      <c r="I847" s="21"/>
      <c r="J847" s="19"/>
      <c r="K847" s="20"/>
      <c r="L847" s="20"/>
      <c r="M847" s="19"/>
      <c r="N847" s="19"/>
      <c r="O847" s="20"/>
      <c r="P847" s="20"/>
      <c r="Q847" s="19"/>
      <c r="R847" s="22" t="str">
        <f aca="false">IF(A847="","",N(G847)+N(I847))</f>
        <v/>
      </c>
      <c r="S847" s="23" t="str">
        <f aca="false">IF(OR(K847="",O847=""),"",O847-K847)</f>
        <v/>
      </c>
      <c r="T847" s="23" t="str">
        <f aca="true">IF(AND(C847="Cetak",L847&lt;&gt;"",L847&lt;TODAY()),"YA","")</f>
        <v/>
      </c>
      <c r="U847" s="23" t="str">
        <f aca="false">IF(B847="","",TEXT(B847,"yyyy-mm"))</f>
        <v/>
      </c>
      <c r="V847" s="23" t="str">
        <f aca="false">IF(K847="","",TEXT(K847,"yyyy-mm"))</f>
        <v/>
      </c>
      <c r="W847" s="23" t="n">
        <f aca="false">IF(OR(C847="Cetak",C847="Dikirim",C847="Selesai"),1,0)</f>
        <v>0</v>
      </c>
      <c r="X847" s="23" t="str">
        <f aca="false">IF(F847="","",SUBSTITUTE(SUBSTITUTE(MID(UPPER(TRIM(F847)),4,99),"-LED",""),"-TK",""))</f>
        <v/>
      </c>
      <c r="Y847" s="23" t="str">
        <f aca="false">IF(X847="","",(LEN(X847)+1)/7)</f>
        <v/>
      </c>
      <c r="Z847" s="23" t="str">
        <f aca="false">IF(X847="","",LEFT(X847,6))</f>
        <v/>
      </c>
      <c r="AA847" s="23" t="str">
        <f aca="false">IF(X847="","",IF(Y847&gt;=3,MID(X847,8,6),""))</f>
        <v/>
      </c>
      <c r="AB847" s="23" t="str">
        <f aca="false">IF(X847="","",IF(Y847&gt;=4,MID(X847,15,6),""))</f>
        <v/>
      </c>
      <c r="AC847" s="23" t="str">
        <f aca="false">IF(X847="","",IF(Y847&gt;=5,MID(X847,22,6),""))</f>
        <v/>
      </c>
      <c r="AD847" s="23" t="str">
        <f aca="false">IF(X847="","",RIGHT(X847,6))</f>
        <v/>
      </c>
      <c r="AE847" s="23" t="str">
        <f aca="false">IF(F847="","",IF(ISNUMBER(SEARCH("-TK",UPPER(F847))),0,1))</f>
        <v/>
      </c>
      <c r="AF847" s="23" t="str">
        <f aca="false">IF(F847="","",IF(ISNUMBER(SEARCH("-LED",UPPER(F847))),1,0))</f>
        <v/>
      </c>
      <c r="AG847" s="24" t="n">
        <f aca="false">IF(Z847="",0,IFERROR(INDEX(Resep!$C$5:$C$7,MATCH(LEFT(Z847,3),Resep!$B$5:$B$7,0)),0))</f>
        <v>0</v>
      </c>
      <c r="AH847" s="24" t="n">
        <f aca="false">IF(AA847="",0,IFERROR(INDEX(Resep!$C$9:$C$13,MATCH(LEFT(AA847,3),Resep!$B$9:$B$13,0)),0))</f>
        <v>0</v>
      </c>
      <c r="AI847" s="24" t="n">
        <f aca="false">IF(AB847="",0,IFERROR(INDEX(Resep!$C$9:$C$13,MATCH(LEFT(AB847,3),Resep!$B$9:$B$13,0)),0))</f>
        <v>0</v>
      </c>
      <c r="AJ847" s="24" t="n">
        <f aca="false">IF(AC847="",0,IFERROR(INDEX(Resep!$C$9:$C$13,MATCH(LEFT(AC847,3),Resep!$B$9:$B$13,0)),0))</f>
        <v>0</v>
      </c>
      <c r="AK847" s="24" t="n">
        <f aca="false">IF(AD847="",0,IFERROR(INDEX(Resep!$C$15:$C$18,MATCH(LEFT(AD847,3),Resep!$B$15:$B$18,0)),0))</f>
        <v>0</v>
      </c>
      <c r="AL847" s="24" t="str">
        <f aca="false">IF(X847="","",AG847+AH847+AI847+AJ847+AK847)</f>
        <v/>
      </c>
      <c r="AM847" s="22" t="str">
        <f aca="false">IF(X847="","",AL847*(Pengaturan!$B$6+Pengaturan!$B$7)+Pengaturan!$B$8+AE847*Pengaturan!$B$9+AF847*Pengaturan!$B$10)</f>
        <v/>
      </c>
      <c r="AN847" s="22" t="str">
        <f aca="false">IF(X847="","",N(G847)-AM847)</f>
        <v/>
      </c>
      <c r="AO847" s="25" t="str">
        <f aca="false">IF(OR(X847="",N(G847)=0),"",AN847/G847)</f>
        <v/>
      </c>
    </row>
    <row r="848" customFormat="false" ht="15" hidden="false" customHeight="false" outlineLevel="0" collapsed="false">
      <c r="A848" s="19"/>
      <c r="B848" s="20"/>
      <c r="C848" s="19"/>
      <c r="D848" s="19"/>
      <c r="E848" s="19"/>
      <c r="F848" s="19"/>
      <c r="G848" s="21"/>
      <c r="H848" s="19"/>
      <c r="I848" s="21"/>
      <c r="J848" s="19"/>
      <c r="K848" s="20"/>
      <c r="L848" s="20"/>
      <c r="M848" s="19"/>
      <c r="N848" s="19"/>
      <c r="O848" s="20"/>
      <c r="P848" s="20"/>
      <c r="Q848" s="19"/>
      <c r="R848" s="22" t="str">
        <f aca="false">IF(A848="","",N(G848)+N(I848))</f>
        <v/>
      </c>
      <c r="S848" s="23" t="str">
        <f aca="false">IF(OR(K848="",O848=""),"",O848-K848)</f>
        <v/>
      </c>
      <c r="T848" s="23" t="str">
        <f aca="true">IF(AND(C848="Cetak",L848&lt;&gt;"",L848&lt;TODAY()),"YA","")</f>
        <v/>
      </c>
      <c r="U848" s="23" t="str">
        <f aca="false">IF(B848="","",TEXT(B848,"yyyy-mm"))</f>
        <v/>
      </c>
      <c r="V848" s="23" t="str">
        <f aca="false">IF(K848="","",TEXT(K848,"yyyy-mm"))</f>
        <v/>
      </c>
      <c r="W848" s="23" t="n">
        <f aca="false">IF(OR(C848="Cetak",C848="Dikirim",C848="Selesai"),1,0)</f>
        <v>0</v>
      </c>
      <c r="X848" s="23" t="str">
        <f aca="false">IF(F848="","",SUBSTITUTE(SUBSTITUTE(MID(UPPER(TRIM(F848)),4,99),"-LED",""),"-TK",""))</f>
        <v/>
      </c>
      <c r="Y848" s="23" t="str">
        <f aca="false">IF(X848="","",(LEN(X848)+1)/7)</f>
        <v/>
      </c>
      <c r="Z848" s="23" t="str">
        <f aca="false">IF(X848="","",LEFT(X848,6))</f>
        <v/>
      </c>
      <c r="AA848" s="23" t="str">
        <f aca="false">IF(X848="","",IF(Y848&gt;=3,MID(X848,8,6),""))</f>
        <v/>
      </c>
      <c r="AB848" s="23" t="str">
        <f aca="false">IF(X848="","",IF(Y848&gt;=4,MID(X848,15,6),""))</f>
        <v/>
      </c>
      <c r="AC848" s="23" t="str">
        <f aca="false">IF(X848="","",IF(Y848&gt;=5,MID(X848,22,6),""))</f>
        <v/>
      </c>
      <c r="AD848" s="23" t="str">
        <f aca="false">IF(X848="","",RIGHT(X848,6))</f>
        <v/>
      </c>
      <c r="AE848" s="23" t="str">
        <f aca="false">IF(F848="","",IF(ISNUMBER(SEARCH("-TK",UPPER(F848))),0,1))</f>
        <v/>
      </c>
      <c r="AF848" s="23" t="str">
        <f aca="false">IF(F848="","",IF(ISNUMBER(SEARCH("-LED",UPPER(F848))),1,0))</f>
        <v/>
      </c>
      <c r="AG848" s="24" t="n">
        <f aca="false">IF(Z848="",0,IFERROR(INDEX(Resep!$C$5:$C$7,MATCH(LEFT(Z848,3),Resep!$B$5:$B$7,0)),0))</f>
        <v>0</v>
      </c>
      <c r="AH848" s="24" t="n">
        <f aca="false">IF(AA848="",0,IFERROR(INDEX(Resep!$C$9:$C$13,MATCH(LEFT(AA848,3),Resep!$B$9:$B$13,0)),0))</f>
        <v>0</v>
      </c>
      <c r="AI848" s="24" t="n">
        <f aca="false">IF(AB848="",0,IFERROR(INDEX(Resep!$C$9:$C$13,MATCH(LEFT(AB848,3),Resep!$B$9:$B$13,0)),0))</f>
        <v>0</v>
      </c>
      <c r="AJ848" s="24" t="n">
        <f aca="false">IF(AC848="",0,IFERROR(INDEX(Resep!$C$9:$C$13,MATCH(LEFT(AC848,3),Resep!$B$9:$B$13,0)),0))</f>
        <v>0</v>
      </c>
      <c r="AK848" s="24" t="n">
        <f aca="false">IF(AD848="",0,IFERROR(INDEX(Resep!$C$15:$C$18,MATCH(LEFT(AD848,3),Resep!$B$15:$B$18,0)),0))</f>
        <v>0</v>
      </c>
      <c r="AL848" s="24" t="str">
        <f aca="false">IF(X848="","",AG848+AH848+AI848+AJ848+AK848)</f>
        <v/>
      </c>
      <c r="AM848" s="22" t="str">
        <f aca="false">IF(X848="","",AL848*(Pengaturan!$B$6+Pengaturan!$B$7)+Pengaturan!$B$8+AE848*Pengaturan!$B$9+AF848*Pengaturan!$B$10)</f>
        <v/>
      </c>
      <c r="AN848" s="22" t="str">
        <f aca="false">IF(X848="","",N(G848)-AM848)</f>
        <v/>
      </c>
      <c r="AO848" s="25" t="str">
        <f aca="false">IF(OR(X848="",N(G848)=0),"",AN848/G848)</f>
        <v/>
      </c>
    </row>
    <row r="849" customFormat="false" ht="15" hidden="false" customHeight="false" outlineLevel="0" collapsed="false">
      <c r="A849" s="19"/>
      <c r="B849" s="20"/>
      <c r="C849" s="19"/>
      <c r="D849" s="19"/>
      <c r="E849" s="19"/>
      <c r="F849" s="19"/>
      <c r="G849" s="21"/>
      <c r="H849" s="19"/>
      <c r="I849" s="21"/>
      <c r="J849" s="19"/>
      <c r="K849" s="20"/>
      <c r="L849" s="20"/>
      <c r="M849" s="19"/>
      <c r="N849" s="19"/>
      <c r="O849" s="20"/>
      <c r="P849" s="20"/>
      <c r="Q849" s="19"/>
      <c r="R849" s="22" t="str">
        <f aca="false">IF(A849="","",N(G849)+N(I849))</f>
        <v/>
      </c>
      <c r="S849" s="23" t="str">
        <f aca="false">IF(OR(K849="",O849=""),"",O849-K849)</f>
        <v/>
      </c>
      <c r="T849" s="23" t="str">
        <f aca="true">IF(AND(C849="Cetak",L849&lt;&gt;"",L849&lt;TODAY()),"YA","")</f>
        <v/>
      </c>
      <c r="U849" s="23" t="str">
        <f aca="false">IF(B849="","",TEXT(B849,"yyyy-mm"))</f>
        <v/>
      </c>
      <c r="V849" s="23" t="str">
        <f aca="false">IF(K849="","",TEXT(K849,"yyyy-mm"))</f>
        <v/>
      </c>
      <c r="W849" s="23" t="n">
        <f aca="false">IF(OR(C849="Cetak",C849="Dikirim",C849="Selesai"),1,0)</f>
        <v>0</v>
      </c>
      <c r="X849" s="23" t="str">
        <f aca="false">IF(F849="","",SUBSTITUTE(SUBSTITUTE(MID(UPPER(TRIM(F849)),4,99),"-LED",""),"-TK",""))</f>
        <v/>
      </c>
      <c r="Y849" s="23" t="str">
        <f aca="false">IF(X849="","",(LEN(X849)+1)/7)</f>
        <v/>
      </c>
      <c r="Z849" s="23" t="str">
        <f aca="false">IF(X849="","",LEFT(X849,6))</f>
        <v/>
      </c>
      <c r="AA849" s="23" t="str">
        <f aca="false">IF(X849="","",IF(Y849&gt;=3,MID(X849,8,6),""))</f>
        <v/>
      </c>
      <c r="AB849" s="23" t="str">
        <f aca="false">IF(X849="","",IF(Y849&gt;=4,MID(X849,15,6),""))</f>
        <v/>
      </c>
      <c r="AC849" s="23" t="str">
        <f aca="false">IF(X849="","",IF(Y849&gt;=5,MID(X849,22,6),""))</f>
        <v/>
      </c>
      <c r="AD849" s="23" t="str">
        <f aca="false">IF(X849="","",RIGHT(X849,6))</f>
        <v/>
      </c>
      <c r="AE849" s="23" t="str">
        <f aca="false">IF(F849="","",IF(ISNUMBER(SEARCH("-TK",UPPER(F849))),0,1))</f>
        <v/>
      </c>
      <c r="AF849" s="23" t="str">
        <f aca="false">IF(F849="","",IF(ISNUMBER(SEARCH("-LED",UPPER(F849))),1,0))</f>
        <v/>
      </c>
      <c r="AG849" s="24" t="n">
        <f aca="false">IF(Z849="",0,IFERROR(INDEX(Resep!$C$5:$C$7,MATCH(LEFT(Z849,3),Resep!$B$5:$B$7,0)),0))</f>
        <v>0</v>
      </c>
      <c r="AH849" s="24" t="n">
        <f aca="false">IF(AA849="",0,IFERROR(INDEX(Resep!$C$9:$C$13,MATCH(LEFT(AA849,3),Resep!$B$9:$B$13,0)),0))</f>
        <v>0</v>
      </c>
      <c r="AI849" s="24" t="n">
        <f aca="false">IF(AB849="",0,IFERROR(INDEX(Resep!$C$9:$C$13,MATCH(LEFT(AB849,3),Resep!$B$9:$B$13,0)),0))</f>
        <v>0</v>
      </c>
      <c r="AJ849" s="24" t="n">
        <f aca="false">IF(AC849="",0,IFERROR(INDEX(Resep!$C$9:$C$13,MATCH(LEFT(AC849,3),Resep!$B$9:$B$13,0)),0))</f>
        <v>0</v>
      </c>
      <c r="AK849" s="24" t="n">
        <f aca="false">IF(AD849="",0,IFERROR(INDEX(Resep!$C$15:$C$18,MATCH(LEFT(AD849,3),Resep!$B$15:$B$18,0)),0))</f>
        <v>0</v>
      </c>
      <c r="AL849" s="24" t="str">
        <f aca="false">IF(X849="","",AG849+AH849+AI849+AJ849+AK849)</f>
        <v/>
      </c>
      <c r="AM849" s="22" t="str">
        <f aca="false">IF(X849="","",AL849*(Pengaturan!$B$6+Pengaturan!$B$7)+Pengaturan!$B$8+AE849*Pengaturan!$B$9+AF849*Pengaturan!$B$10)</f>
        <v/>
      </c>
      <c r="AN849" s="22" t="str">
        <f aca="false">IF(X849="","",N(G849)-AM849)</f>
        <v/>
      </c>
      <c r="AO849" s="25" t="str">
        <f aca="false">IF(OR(X849="",N(G849)=0),"",AN849/G849)</f>
        <v/>
      </c>
    </row>
    <row r="850" customFormat="false" ht="15" hidden="false" customHeight="false" outlineLevel="0" collapsed="false">
      <c r="A850" s="19"/>
      <c r="B850" s="20"/>
      <c r="C850" s="19"/>
      <c r="D850" s="19"/>
      <c r="E850" s="19"/>
      <c r="F850" s="19"/>
      <c r="G850" s="21"/>
      <c r="H850" s="19"/>
      <c r="I850" s="21"/>
      <c r="J850" s="19"/>
      <c r="K850" s="20"/>
      <c r="L850" s="20"/>
      <c r="M850" s="19"/>
      <c r="N850" s="19"/>
      <c r="O850" s="20"/>
      <c r="P850" s="20"/>
      <c r="Q850" s="19"/>
      <c r="R850" s="22" t="str">
        <f aca="false">IF(A850="","",N(G850)+N(I850))</f>
        <v/>
      </c>
      <c r="S850" s="23" t="str">
        <f aca="false">IF(OR(K850="",O850=""),"",O850-K850)</f>
        <v/>
      </c>
      <c r="T850" s="23" t="str">
        <f aca="true">IF(AND(C850="Cetak",L850&lt;&gt;"",L850&lt;TODAY()),"YA","")</f>
        <v/>
      </c>
      <c r="U850" s="23" t="str">
        <f aca="false">IF(B850="","",TEXT(B850,"yyyy-mm"))</f>
        <v/>
      </c>
      <c r="V850" s="23" t="str">
        <f aca="false">IF(K850="","",TEXT(K850,"yyyy-mm"))</f>
        <v/>
      </c>
      <c r="W850" s="23" t="n">
        <f aca="false">IF(OR(C850="Cetak",C850="Dikirim",C850="Selesai"),1,0)</f>
        <v>0</v>
      </c>
      <c r="X850" s="23" t="str">
        <f aca="false">IF(F850="","",SUBSTITUTE(SUBSTITUTE(MID(UPPER(TRIM(F850)),4,99),"-LED",""),"-TK",""))</f>
        <v/>
      </c>
      <c r="Y850" s="23" t="str">
        <f aca="false">IF(X850="","",(LEN(X850)+1)/7)</f>
        <v/>
      </c>
      <c r="Z850" s="23" t="str">
        <f aca="false">IF(X850="","",LEFT(X850,6))</f>
        <v/>
      </c>
      <c r="AA850" s="23" t="str">
        <f aca="false">IF(X850="","",IF(Y850&gt;=3,MID(X850,8,6),""))</f>
        <v/>
      </c>
      <c r="AB850" s="23" t="str">
        <f aca="false">IF(X850="","",IF(Y850&gt;=4,MID(X850,15,6),""))</f>
        <v/>
      </c>
      <c r="AC850" s="23" t="str">
        <f aca="false">IF(X850="","",IF(Y850&gt;=5,MID(X850,22,6),""))</f>
        <v/>
      </c>
      <c r="AD850" s="23" t="str">
        <f aca="false">IF(X850="","",RIGHT(X850,6))</f>
        <v/>
      </c>
      <c r="AE850" s="23" t="str">
        <f aca="false">IF(F850="","",IF(ISNUMBER(SEARCH("-TK",UPPER(F850))),0,1))</f>
        <v/>
      </c>
      <c r="AF850" s="23" t="str">
        <f aca="false">IF(F850="","",IF(ISNUMBER(SEARCH("-LED",UPPER(F850))),1,0))</f>
        <v/>
      </c>
      <c r="AG850" s="24" t="n">
        <f aca="false">IF(Z850="",0,IFERROR(INDEX(Resep!$C$5:$C$7,MATCH(LEFT(Z850,3),Resep!$B$5:$B$7,0)),0))</f>
        <v>0</v>
      </c>
      <c r="AH850" s="24" t="n">
        <f aca="false">IF(AA850="",0,IFERROR(INDEX(Resep!$C$9:$C$13,MATCH(LEFT(AA850,3),Resep!$B$9:$B$13,0)),0))</f>
        <v>0</v>
      </c>
      <c r="AI850" s="24" t="n">
        <f aca="false">IF(AB850="",0,IFERROR(INDEX(Resep!$C$9:$C$13,MATCH(LEFT(AB850,3),Resep!$B$9:$B$13,0)),0))</f>
        <v>0</v>
      </c>
      <c r="AJ850" s="24" t="n">
        <f aca="false">IF(AC850="",0,IFERROR(INDEX(Resep!$C$9:$C$13,MATCH(LEFT(AC850,3),Resep!$B$9:$B$13,0)),0))</f>
        <v>0</v>
      </c>
      <c r="AK850" s="24" t="n">
        <f aca="false">IF(AD850="",0,IFERROR(INDEX(Resep!$C$15:$C$18,MATCH(LEFT(AD850,3),Resep!$B$15:$B$18,0)),0))</f>
        <v>0</v>
      </c>
      <c r="AL850" s="24" t="str">
        <f aca="false">IF(X850="","",AG850+AH850+AI850+AJ850+AK850)</f>
        <v/>
      </c>
      <c r="AM850" s="22" t="str">
        <f aca="false">IF(X850="","",AL850*(Pengaturan!$B$6+Pengaturan!$B$7)+Pengaturan!$B$8+AE850*Pengaturan!$B$9+AF850*Pengaturan!$B$10)</f>
        <v/>
      </c>
      <c r="AN850" s="22" t="str">
        <f aca="false">IF(X850="","",N(G850)-AM850)</f>
        <v/>
      </c>
      <c r="AO850" s="25" t="str">
        <f aca="false">IF(OR(X850="",N(G850)=0),"",AN850/G850)</f>
        <v/>
      </c>
    </row>
    <row r="851" customFormat="false" ht="15" hidden="false" customHeight="false" outlineLevel="0" collapsed="false">
      <c r="A851" s="19"/>
      <c r="B851" s="20"/>
      <c r="C851" s="19"/>
      <c r="D851" s="19"/>
      <c r="E851" s="19"/>
      <c r="F851" s="19"/>
      <c r="G851" s="21"/>
      <c r="H851" s="19"/>
      <c r="I851" s="21"/>
      <c r="J851" s="19"/>
      <c r="K851" s="20"/>
      <c r="L851" s="20"/>
      <c r="M851" s="19"/>
      <c r="N851" s="19"/>
      <c r="O851" s="20"/>
      <c r="P851" s="20"/>
      <c r="Q851" s="19"/>
      <c r="R851" s="22" t="str">
        <f aca="false">IF(A851="","",N(G851)+N(I851))</f>
        <v/>
      </c>
      <c r="S851" s="23" t="str">
        <f aca="false">IF(OR(K851="",O851=""),"",O851-K851)</f>
        <v/>
      </c>
      <c r="T851" s="23" t="str">
        <f aca="true">IF(AND(C851="Cetak",L851&lt;&gt;"",L851&lt;TODAY()),"YA","")</f>
        <v/>
      </c>
      <c r="U851" s="23" t="str">
        <f aca="false">IF(B851="","",TEXT(B851,"yyyy-mm"))</f>
        <v/>
      </c>
      <c r="V851" s="23" t="str">
        <f aca="false">IF(K851="","",TEXT(K851,"yyyy-mm"))</f>
        <v/>
      </c>
      <c r="W851" s="23" t="n">
        <f aca="false">IF(OR(C851="Cetak",C851="Dikirim",C851="Selesai"),1,0)</f>
        <v>0</v>
      </c>
      <c r="X851" s="23" t="str">
        <f aca="false">IF(F851="","",SUBSTITUTE(SUBSTITUTE(MID(UPPER(TRIM(F851)),4,99),"-LED",""),"-TK",""))</f>
        <v/>
      </c>
      <c r="Y851" s="23" t="str">
        <f aca="false">IF(X851="","",(LEN(X851)+1)/7)</f>
        <v/>
      </c>
      <c r="Z851" s="23" t="str">
        <f aca="false">IF(X851="","",LEFT(X851,6))</f>
        <v/>
      </c>
      <c r="AA851" s="23" t="str">
        <f aca="false">IF(X851="","",IF(Y851&gt;=3,MID(X851,8,6),""))</f>
        <v/>
      </c>
      <c r="AB851" s="23" t="str">
        <f aca="false">IF(X851="","",IF(Y851&gt;=4,MID(X851,15,6),""))</f>
        <v/>
      </c>
      <c r="AC851" s="23" t="str">
        <f aca="false">IF(X851="","",IF(Y851&gt;=5,MID(X851,22,6),""))</f>
        <v/>
      </c>
      <c r="AD851" s="23" t="str">
        <f aca="false">IF(X851="","",RIGHT(X851,6))</f>
        <v/>
      </c>
      <c r="AE851" s="23" t="str">
        <f aca="false">IF(F851="","",IF(ISNUMBER(SEARCH("-TK",UPPER(F851))),0,1))</f>
        <v/>
      </c>
      <c r="AF851" s="23" t="str">
        <f aca="false">IF(F851="","",IF(ISNUMBER(SEARCH("-LED",UPPER(F851))),1,0))</f>
        <v/>
      </c>
      <c r="AG851" s="24" t="n">
        <f aca="false">IF(Z851="",0,IFERROR(INDEX(Resep!$C$5:$C$7,MATCH(LEFT(Z851,3),Resep!$B$5:$B$7,0)),0))</f>
        <v>0</v>
      </c>
      <c r="AH851" s="24" t="n">
        <f aca="false">IF(AA851="",0,IFERROR(INDEX(Resep!$C$9:$C$13,MATCH(LEFT(AA851,3),Resep!$B$9:$B$13,0)),0))</f>
        <v>0</v>
      </c>
      <c r="AI851" s="24" t="n">
        <f aca="false">IF(AB851="",0,IFERROR(INDEX(Resep!$C$9:$C$13,MATCH(LEFT(AB851,3),Resep!$B$9:$B$13,0)),0))</f>
        <v>0</v>
      </c>
      <c r="AJ851" s="24" t="n">
        <f aca="false">IF(AC851="",0,IFERROR(INDEX(Resep!$C$9:$C$13,MATCH(LEFT(AC851,3),Resep!$B$9:$B$13,0)),0))</f>
        <v>0</v>
      </c>
      <c r="AK851" s="24" t="n">
        <f aca="false">IF(AD851="",0,IFERROR(INDEX(Resep!$C$15:$C$18,MATCH(LEFT(AD851,3),Resep!$B$15:$B$18,0)),0))</f>
        <v>0</v>
      </c>
      <c r="AL851" s="24" t="str">
        <f aca="false">IF(X851="","",AG851+AH851+AI851+AJ851+AK851)</f>
        <v/>
      </c>
      <c r="AM851" s="22" t="str">
        <f aca="false">IF(X851="","",AL851*(Pengaturan!$B$6+Pengaturan!$B$7)+Pengaturan!$B$8+AE851*Pengaturan!$B$9+AF851*Pengaturan!$B$10)</f>
        <v/>
      </c>
      <c r="AN851" s="22" t="str">
        <f aca="false">IF(X851="","",N(G851)-AM851)</f>
        <v/>
      </c>
      <c r="AO851" s="25" t="str">
        <f aca="false">IF(OR(X851="",N(G851)=0),"",AN851/G851)</f>
        <v/>
      </c>
    </row>
    <row r="852" customFormat="false" ht="15" hidden="false" customHeight="false" outlineLevel="0" collapsed="false">
      <c r="A852" s="19"/>
      <c r="B852" s="20"/>
      <c r="C852" s="19"/>
      <c r="D852" s="19"/>
      <c r="E852" s="19"/>
      <c r="F852" s="19"/>
      <c r="G852" s="21"/>
      <c r="H852" s="19"/>
      <c r="I852" s="21"/>
      <c r="J852" s="19"/>
      <c r="K852" s="20"/>
      <c r="L852" s="20"/>
      <c r="M852" s="19"/>
      <c r="N852" s="19"/>
      <c r="O852" s="20"/>
      <c r="P852" s="20"/>
      <c r="Q852" s="19"/>
      <c r="R852" s="22" t="str">
        <f aca="false">IF(A852="","",N(G852)+N(I852))</f>
        <v/>
      </c>
      <c r="S852" s="23" t="str">
        <f aca="false">IF(OR(K852="",O852=""),"",O852-K852)</f>
        <v/>
      </c>
      <c r="T852" s="23" t="str">
        <f aca="true">IF(AND(C852="Cetak",L852&lt;&gt;"",L852&lt;TODAY()),"YA","")</f>
        <v/>
      </c>
      <c r="U852" s="23" t="str">
        <f aca="false">IF(B852="","",TEXT(B852,"yyyy-mm"))</f>
        <v/>
      </c>
      <c r="V852" s="23" t="str">
        <f aca="false">IF(K852="","",TEXT(K852,"yyyy-mm"))</f>
        <v/>
      </c>
      <c r="W852" s="23" t="n">
        <f aca="false">IF(OR(C852="Cetak",C852="Dikirim",C852="Selesai"),1,0)</f>
        <v>0</v>
      </c>
      <c r="X852" s="23" t="str">
        <f aca="false">IF(F852="","",SUBSTITUTE(SUBSTITUTE(MID(UPPER(TRIM(F852)),4,99),"-LED",""),"-TK",""))</f>
        <v/>
      </c>
      <c r="Y852" s="23" t="str">
        <f aca="false">IF(X852="","",(LEN(X852)+1)/7)</f>
        <v/>
      </c>
      <c r="Z852" s="23" t="str">
        <f aca="false">IF(X852="","",LEFT(X852,6))</f>
        <v/>
      </c>
      <c r="AA852" s="23" t="str">
        <f aca="false">IF(X852="","",IF(Y852&gt;=3,MID(X852,8,6),""))</f>
        <v/>
      </c>
      <c r="AB852" s="23" t="str">
        <f aca="false">IF(X852="","",IF(Y852&gt;=4,MID(X852,15,6),""))</f>
        <v/>
      </c>
      <c r="AC852" s="23" t="str">
        <f aca="false">IF(X852="","",IF(Y852&gt;=5,MID(X852,22,6),""))</f>
        <v/>
      </c>
      <c r="AD852" s="23" t="str">
        <f aca="false">IF(X852="","",RIGHT(X852,6))</f>
        <v/>
      </c>
      <c r="AE852" s="23" t="str">
        <f aca="false">IF(F852="","",IF(ISNUMBER(SEARCH("-TK",UPPER(F852))),0,1))</f>
        <v/>
      </c>
      <c r="AF852" s="23" t="str">
        <f aca="false">IF(F852="","",IF(ISNUMBER(SEARCH("-LED",UPPER(F852))),1,0))</f>
        <v/>
      </c>
      <c r="AG852" s="24" t="n">
        <f aca="false">IF(Z852="",0,IFERROR(INDEX(Resep!$C$5:$C$7,MATCH(LEFT(Z852,3),Resep!$B$5:$B$7,0)),0))</f>
        <v>0</v>
      </c>
      <c r="AH852" s="24" t="n">
        <f aca="false">IF(AA852="",0,IFERROR(INDEX(Resep!$C$9:$C$13,MATCH(LEFT(AA852,3),Resep!$B$9:$B$13,0)),0))</f>
        <v>0</v>
      </c>
      <c r="AI852" s="24" t="n">
        <f aca="false">IF(AB852="",0,IFERROR(INDEX(Resep!$C$9:$C$13,MATCH(LEFT(AB852,3),Resep!$B$9:$B$13,0)),0))</f>
        <v>0</v>
      </c>
      <c r="AJ852" s="24" t="n">
        <f aca="false">IF(AC852="",0,IFERROR(INDEX(Resep!$C$9:$C$13,MATCH(LEFT(AC852,3),Resep!$B$9:$B$13,0)),0))</f>
        <v>0</v>
      </c>
      <c r="AK852" s="24" t="n">
        <f aca="false">IF(AD852="",0,IFERROR(INDEX(Resep!$C$15:$C$18,MATCH(LEFT(AD852,3),Resep!$B$15:$B$18,0)),0))</f>
        <v>0</v>
      </c>
      <c r="AL852" s="24" t="str">
        <f aca="false">IF(X852="","",AG852+AH852+AI852+AJ852+AK852)</f>
        <v/>
      </c>
      <c r="AM852" s="22" t="str">
        <f aca="false">IF(X852="","",AL852*(Pengaturan!$B$6+Pengaturan!$B$7)+Pengaturan!$B$8+AE852*Pengaturan!$B$9+AF852*Pengaturan!$B$10)</f>
        <v/>
      </c>
      <c r="AN852" s="22" t="str">
        <f aca="false">IF(X852="","",N(G852)-AM852)</f>
        <v/>
      </c>
      <c r="AO852" s="25" t="str">
        <f aca="false">IF(OR(X852="",N(G852)=0),"",AN852/G852)</f>
        <v/>
      </c>
    </row>
    <row r="853" customFormat="false" ht="15" hidden="false" customHeight="false" outlineLevel="0" collapsed="false">
      <c r="A853" s="19"/>
      <c r="B853" s="20"/>
      <c r="C853" s="19"/>
      <c r="D853" s="19"/>
      <c r="E853" s="19"/>
      <c r="F853" s="19"/>
      <c r="G853" s="21"/>
      <c r="H853" s="19"/>
      <c r="I853" s="21"/>
      <c r="J853" s="19"/>
      <c r="K853" s="20"/>
      <c r="L853" s="20"/>
      <c r="M853" s="19"/>
      <c r="N853" s="19"/>
      <c r="O853" s="20"/>
      <c r="P853" s="20"/>
      <c r="Q853" s="19"/>
      <c r="R853" s="22" t="str">
        <f aca="false">IF(A853="","",N(G853)+N(I853))</f>
        <v/>
      </c>
      <c r="S853" s="23" t="str">
        <f aca="false">IF(OR(K853="",O853=""),"",O853-K853)</f>
        <v/>
      </c>
      <c r="T853" s="23" t="str">
        <f aca="true">IF(AND(C853="Cetak",L853&lt;&gt;"",L853&lt;TODAY()),"YA","")</f>
        <v/>
      </c>
      <c r="U853" s="23" t="str">
        <f aca="false">IF(B853="","",TEXT(B853,"yyyy-mm"))</f>
        <v/>
      </c>
      <c r="V853" s="23" t="str">
        <f aca="false">IF(K853="","",TEXT(K853,"yyyy-mm"))</f>
        <v/>
      </c>
      <c r="W853" s="23" t="n">
        <f aca="false">IF(OR(C853="Cetak",C853="Dikirim",C853="Selesai"),1,0)</f>
        <v>0</v>
      </c>
      <c r="X853" s="23" t="str">
        <f aca="false">IF(F853="","",SUBSTITUTE(SUBSTITUTE(MID(UPPER(TRIM(F853)),4,99),"-LED",""),"-TK",""))</f>
        <v/>
      </c>
      <c r="Y853" s="23" t="str">
        <f aca="false">IF(X853="","",(LEN(X853)+1)/7)</f>
        <v/>
      </c>
      <c r="Z853" s="23" t="str">
        <f aca="false">IF(X853="","",LEFT(X853,6))</f>
        <v/>
      </c>
      <c r="AA853" s="23" t="str">
        <f aca="false">IF(X853="","",IF(Y853&gt;=3,MID(X853,8,6),""))</f>
        <v/>
      </c>
      <c r="AB853" s="23" t="str">
        <f aca="false">IF(X853="","",IF(Y853&gt;=4,MID(X853,15,6),""))</f>
        <v/>
      </c>
      <c r="AC853" s="23" t="str">
        <f aca="false">IF(X853="","",IF(Y853&gt;=5,MID(X853,22,6),""))</f>
        <v/>
      </c>
      <c r="AD853" s="23" t="str">
        <f aca="false">IF(X853="","",RIGHT(X853,6))</f>
        <v/>
      </c>
      <c r="AE853" s="23" t="str">
        <f aca="false">IF(F853="","",IF(ISNUMBER(SEARCH("-TK",UPPER(F853))),0,1))</f>
        <v/>
      </c>
      <c r="AF853" s="23" t="str">
        <f aca="false">IF(F853="","",IF(ISNUMBER(SEARCH("-LED",UPPER(F853))),1,0))</f>
        <v/>
      </c>
      <c r="AG853" s="24" t="n">
        <f aca="false">IF(Z853="",0,IFERROR(INDEX(Resep!$C$5:$C$7,MATCH(LEFT(Z853,3),Resep!$B$5:$B$7,0)),0))</f>
        <v>0</v>
      </c>
      <c r="AH853" s="24" t="n">
        <f aca="false">IF(AA853="",0,IFERROR(INDEX(Resep!$C$9:$C$13,MATCH(LEFT(AA853,3),Resep!$B$9:$B$13,0)),0))</f>
        <v>0</v>
      </c>
      <c r="AI853" s="24" t="n">
        <f aca="false">IF(AB853="",0,IFERROR(INDEX(Resep!$C$9:$C$13,MATCH(LEFT(AB853,3),Resep!$B$9:$B$13,0)),0))</f>
        <v>0</v>
      </c>
      <c r="AJ853" s="24" t="n">
        <f aca="false">IF(AC853="",0,IFERROR(INDEX(Resep!$C$9:$C$13,MATCH(LEFT(AC853,3),Resep!$B$9:$B$13,0)),0))</f>
        <v>0</v>
      </c>
      <c r="AK853" s="24" t="n">
        <f aca="false">IF(AD853="",0,IFERROR(INDEX(Resep!$C$15:$C$18,MATCH(LEFT(AD853,3),Resep!$B$15:$B$18,0)),0))</f>
        <v>0</v>
      </c>
      <c r="AL853" s="24" t="str">
        <f aca="false">IF(X853="","",AG853+AH853+AI853+AJ853+AK853)</f>
        <v/>
      </c>
      <c r="AM853" s="22" t="str">
        <f aca="false">IF(X853="","",AL853*(Pengaturan!$B$6+Pengaturan!$B$7)+Pengaturan!$B$8+AE853*Pengaturan!$B$9+AF853*Pengaturan!$B$10)</f>
        <v/>
      </c>
      <c r="AN853" s="22" t="str">
        <f aca="false">IF(X853="","",N(G853)-AM853)</f>
        <v/>
      </c>
      <c r="AO853" s="25" t="str">
        <f aca="false">IF(OR(X853="",N(G853)=0),"",AN853/G853)</f>
        <v/>
      </c>
    </row>
    <row r="854" customFormat="false" ht="15" hidden="false" customHeight="false" outlineLevel="0" collapsed="false">
      <c r="A854" s="19"/>
      <c r="B854" s="20"/>
      <c r="C854" s="19"/>
      <c r="D854" s="19"/>
      <c r="E854" s="19"/>
      <c r="F854" s="19"/>
      <c r="G854" s="21"/>
      <c r="H854" s="19"/>
      <c r="I854" s="21"/>
      <c r="J854" s="19"/>
      <c r="K854" s="20"/>
      <c r="L854" s="20"/>
      <c r="M854" s="19"/>
      <c r="N854" s="19"/>
      <c r="O854" s="20"/>
      <c r="P854" s="20"/>
      <c r="Q854" s="19"/>
      <c r="R854" s="22" t="str">
        <f aca="false">IF(A854="","",N(G854)+N(I854))</f>
        <v/>
      </c>
      <c r="S854" s="23" t="str">
        <f aca="false">IF(OR(K854="",O854=""),"",O854-K854)</f>
        <v/>
      </c>
      <c r="T854" s="23" t="str">
        <f aca="true">IF(AND(C854="Cetak",L854&lt;&gt;"",L854&lt;TODAY()),"YA","")</f>
        <v/>
      </c>
      <c r="U854" s="23" t="str">
        <f aca="false">IF(B854="","",TEXT(B854,"yyyy-mm"))</f>
        <v/>
      </c>
      <c r="V854" s="23" t="str">
        <f aca="false">IF(K854="","",TEXT(K854,"yyyy-mm"))</f>
        <v/>
      </c>
      <c r="W854" s="23" t="n">
        <f aca="false">IF(OR(C854="Cetak",C854="Dikirim",C854="Selesai"),1,0)</f>
        <v>0</v>
      </c>
      <c r="X854" s="23" t="str">
        <f aca="false">IF(F854="","",SUBSTITUTE(SUBSTITUTE(MID(UPPER(TRIM(F854)),4,99),"-LED",""),"-TK",""))</f>
        <v/>
      </c>
      <c r="Y854" s="23" t="str">
        <f aca="false">IF(X854="","",(LEN(X854)+1)/7)</f>
        <v/>
      </c>
      <c r="Z854" s="23" t="str">
        <f aca="false">IF(X854="","",LEFT(X854,6))</f>
        <v/>
      </c>
      <c r="AA854" s="23" t="str">
        <f aca="false">IF(X854="","",IF(Y854&gt;=3,MID(X854,8,6),""))</f>
        <v/>
      </c>
      <c r="AB854" s="23" t="str">
        <f aca="false">IF(X854="","",IF(Y854&gt;=4,MID(X854,15,6),""))</f>
        <v/>
      </c>
      <c r="AC854" s="23" t="str">
        <f aca="false">IF(X854="","",IF(Y854&gt;=5,MID(X854,22,6),""))</f>
        <v/>
      </c>
      <c r="AD854" s="23" t="str">
        <f aca="false">IF(X854="","",RIGHT(X854,6))</f>
        <v/>
      </c>
      <c r="AE854" s="23" t="str">
        <f aca="false">IF(F854="","",IF(ISNUMBER(SEARCH("-TK",UPPER(F854))),0,1))</f>
        <v/>
      </c>
      <c r="AF854" s="23" t="str">
        <f aca="false">IF(F854="","",IF(ISNUMBER(SEARCH("-LED",UPPER(F854))),1,0))</f>
        <v/>
      </c>
      <c r="AG854" s="24" t="n">
        <f aca="false">IF(Z854="",0,IFERROR(INDEX(Resep!$C$5:$C$7,MATCH(LEFT(Z854,3),Resep!$B$5:$B$7,0)),0))</f>
        <v>0</v>
      </c>
      <c r="AH854" s="24" t="n">
        <f aca="false">IF(AA854="",0,IFERROR(INDEX(Resep!$C$9:$C$13,MATCH(LEFT(AA854,3),Resep!$B$9:$B$13,0)),0))</f>
        <v>0</v>
      </c>
      <c r="AI854" s="24" t="n">
        <f aca="false">IF(AB854="",0,IFERROR(INDEX(Resep!$C$9:$C$13,MATCH(LEFT(AB854,3),Resep!$B$9:$B$13,0)),0))</f>
        <v>0</v>
      </c>
      <c r="AJ854" s="24" t="n">
        <f aca="false">IF(AC854="",0,IFERROR(INDEX(Resep!$C$9:$C$13,MATCH(LEFT(AC854,3),Resep!$B$9:$B$13,0)),0))</f>
        <v>0</v>
      </c>
      <c r="AK854" s="24" t="n">
        <f aca="false">IF(AD854="",0,IFERROR(INDEX(Resep!$C$15:$C$18,MATCH(LEFT(AD854,3),Resep!$B$15:$B$18,0)),0))</f>
        <v>0</v>
      </c>
      <c r="AL854" s="24" t="str">
        <f aca="false">IF(X854="","",AG854+AH854+AI854+AJ854+AK854)</f>
        <v/>
      </c>
      <c r="AM854" s="22" t="str">
        <f aca="false">IF(X854="","",AL854*(Pengaturan!$B$6+Pengaturan!$B$7)+Pengaturan!$B$8+AE854*Pengaturan!$B$9+AF854*Pengaturan!$B$10)</f>
        <v/>
      </c>
      <c r="AN854" s="22" t="str">
        <f aca="false">IF(X854="","",N(G854)-AM854)</f>
        <v/>
      </c>
      <c r="AO854" s="25" t="str">
        <f aca="false">IF(OR(X854="",N(G854)=0),"",AN854/G854)</f>
        <v/>
      </c>
    </row>
    <row r="855" customFormat="false" ht="15" hidden="false" customHeight="false" outlineLevel="0" collapsed="false">
      <c r="A855" s="19"/>
      <c r="B855" s="20"/>
      <c r="C855" s="19"/>
      <c r="D855" s="19"/>
      <c r="E855" s="19"/>
      <c r="F855" s="19"/>
      <c r="G855" s="21"/>
      <c r="H855" s="19"/>
      <c r="I855" s="21"/>
      <c r="J855" s="19"/>
      <c r="K855" s="20"/>
      <c r="L855" s="20"/>
      <c r="M855" s="19"/>
      <c r="N855" s="19"/>
      <c r="O855" s="20"/>
      <c r="P855" s="20"/>
      <c r="Q855" s="19"/>
      <c r="R855" s="22" t="str">
        <f aca="false">IF(A855="","",N(G855)+N(I855))</f>
        <v/>
      </c>
      <c r="S855" s="23" t="str">
        <f aca="false">IF(OR(K855="",O855=""),"",O855-K855)</f>
        <v/>
      </c>
      <c r="T855" s="23" t="str">
        <f aca="true">IF(AND(C855="Cetak",L855&lt;&gt;"",L855&lt;TODAY()),"YA","")</f>
        <v/>
      </c>
      <c r="U855" s="23" t="str">
        <f aca="false">IF(B855="","",TEXT(B855,"yyyy-mm"))</f>
        <v/>
      </c>
      <c r="V855" s="23" t="str">
        <f aca="false">IF(K855="","",TEXT(K855,"yyyy-mm"))</f>
        <v/>
      </c>
      <c r="W855" s="23" t="n">
        <f aca="false">IF(OR(C855="Cetak",C855="Dikirim",C855="Selesai"),1,0)</f>
        <v>0</v>
      </c>
      <c r="X855" s="23" t="str">
        <f aca="false">IF(F855="","",SUBSTITUTE(SUBSTITUTE(MID(UPPER(TRIM(F855)),4,99),"-LED",""),"-TK",""))</f>
        <v/>
      </c>
      <c r="Y855" s="23" t="str">
        <f aca="false">IF(X855="","",(LEN(X855)+1)/7)</f>
        <v/>
      </c>
      <c r="Z855" s="23" t="str">
        <f aca="false">IF(X855="","",LEFT(X855,6))</f>
        <v/>
      </c>
      <c r="AA855" s="23" t="str">
        <f aca="false">IF(X855="","",IF(Y855&gt;=3,MID(X855,8,6),""))</f>
        <v/>
      </c>
      <c r="AB855" s="23" t="str">
        <f aca="false">IF(X855="","",IF(Y855&gt;=4,MID(X855,15,6),""))</f>
        <v/>
      </c>
      <c r="AC855" s="23" t="str">
        <f aca="false">IF(X855="","",IF(Y855&gt;=5,MID(X855,22,6),""))</f>
        <v/>
      </c>
      <c r="AD855" s="23" t="str">
        <f aca="false">IF(X855="","",RIGHT(X855,6))</f>
        <v/>
      </c>
      <c r="AE855" s="23" t="str">
        <f aca="false">IF(F855="","",IF(ISNUMBER(SEARCH("-TK",UPPER(F855))),0,1))</f>
        <v/>
      </c>
      <c r="AF855" s="23" t="str">
        <f aca="false">IF(F855="","",IF(ISNUMBER(SEARCH("-LED",UPPER(F855))),1,0))</f>
        <v/>
      </c>
      <c r="AG855" s="24" t="n">
        <f aca="false">IF(Z855="",0,IFERROR(INDEX(Resep!$C$5:$C$7,MATCH(LEFT(Z855,3),Resep!$B$5:$B$7,0)),0))</f>
        <v>0</v>
      </c>
      <c r="AH855" s="24" t="n">
        <f aca="false">IF(AA855="",0,IFERROR(INDEX(Resep!$C$9:$C$13,MATCH(LEFT(AA855,3),Resep!$B$9:$B$13,0)),0))</f>
        <v>0</v>
      </c>
      <c r="AI855" s="24" t="n">
        <f aca="false">IF(AB855="",0,IFERROR(INDEX(Resep!$C$9:$C$13,MATCH(LEFT(AB855,3),Resep!$B$9:$B$13,0)),0))</f>
        <v>0</v>
      </c>
      <c r="AJ855" s="24" t="n">
        <f aca="false">IF(AC855="",0,IFERROR(INDEX(Resep!$C$9:$C$13,MATCH(LEFT(AC855,3),Resep!$B$9:$B$13,0)),0))</f>
        <v>0</v>
      </c>
      <c r="AK855" s="24" t="n">
        <f aca="false">IF(AD855="",0,IFERROR(INDEX(Resep!$C$15:$C$18,MATCH(LEFT(AD855,3),Resep!$B$15:$B$18,0)),0))</f>
        <v>0</v>
      </c>
      <c r="AL855" s="24" t="str">
        <f aca="false">IF(X855="","",AG855+AH855+AI855+AJ855+AK855)</f>
        <v/>
      </c>
      <c r="AM855" s="22" t="str">
        <f aca="false">IF(X855="","",AL855*(Pengaturan!$B$6+Pengaturan!$B$7)+Pengaturan!$B$8+AE855*Pengaturan!$B$9+AF855*Pengaturan!$B$10)</f>
        <v/>
      </c>
      <c r="AN855" s="22" t="str">
        <f aca="false">IF(X855="","",N(G855)-AM855)</f>
        <v/>
      </c>
      <c r="AO855" s="25" t="str">
        <f aca="false">IF(OR(X855="",N(G855)=0),"",AN855/G855)</f>
        <v/>
      </c>
    </row>
    <row r="856" customFormat="false" ht="15" hidden="false" customHeight="false" outlineLevel="0" collapsed="false">
      <c r="A856" s="19"/>
      <c r="B856" s="20"/>
      <c r="C856" s="19"/>
      <c r="D856" s="19"/>
      <c r="E856" s="19"/>
      <c r="F856" s="19"/>
      <c r="G856" s="21"/>
      <c r="H856" s="19"/>
      <c r="I856" s="21"/>
      <c r="J856" s="19"/>
      <c r="K856" s="20"/>
      <c r="L856" s="20"/>
      <c r="M856" s="19"/>
      <c r="N856" s="19"/>
      <c r="O856" s="20"/>
      <c r="P856" s="20"/>
      <c r="Q856" s="19"/>
      <c r="R856" s="22" t="str">
        <f aca="false">IF(A856="","",N(G856)+N(I856))</f>
        <v/>
      </c>
      <c r="S856" s="23" t="str">
        <f aca="false">IF(OR(K856="",O856=""),"",O856-K856)</f>
        <v/>
      </c>
      <c r="T856" s="23" t="str">
        <f aca="true">IF(AND(C856="Cetak",L856&lt;&gt;"",L856&lt;TODAY()),"YA","")</f>
        <v/>
      </c>
      <c r="U856" s="23" t="str">
        <f aca="false">IF(B856="","",TEXT(B856,"yyyy-mm"))</f>
        <v/>
      </c>
      <c r="V856" s="23" t="str">
        <f aca="false">IF(K856="","",TEXT(K856,"yyyy-mm"))</f>
        <v/>
      </c>
      <c r="W856" s="23" t="n">
        <f aca="false">IF(OR(C856="Cetak",C856="Dikirim",C856="Selesai"),1,0)</f>
        <v>0</v>
      </c>
      <c r="X856" s="23" t="str">
        <f aca="false">IF(F856="","",SUBSTITUTE(SUBSTITUTE(MID(UPPER(TRIM(F856)),4,99),"-LED",""),"-TK",""))</f>
        <v/>
      </c>
      <c r="Y856" s="23" t="str">
        <f aca="false">IF(X856="","",(LEN(X856)+1)/7)</f>
        <v/>
      </c>
      <c r="Z856" s="23" t="str">
        <f aca="false">IF(X856="","",LEFT(X856,6))</f>
        <v/>
      </c>
      <c r="AA856" s="23" t="str">
        <f aca="false">IF(X856="","",IF(Y856&gt;=3,MID(X856,8,6),""))</f>
        <v/>
      </c>
      <c r="AB856" s="23" t="str">
        <f aca="false">IF(X856="","",IF(Y856&gt;=4,MID(X856,15,6),""))</f>
        <v/>
      </c>
      <c r="AC856" s="23" t="str">
        <f aca="false">IF(X856="","",IF(Y856&gt;=5,MID(X856,22,6),""))</f>
        <v/>
      </c>
      <c r="AD856" s="23" t="str">
        <f aca="false">IF(X856="","",RIGHT(X856,6))</f>
        <v/>
      </c>
      <c r="AE856" s="23" t="str">
        <f aca="false">IF(F856="","",IF(ISNUMBER(SEARCH("-TK",UPPER(F856))),0,1))</f>
        <v/>
      </c>
      <c r="AF856" s="23" t="str">
        <f aca="false">IF(F856="","",IF(ISNUMBER(SEARCH("-LED",UPPER(F856))),1,0))</f>
        <v/>
      </c>
      <c r="AG856" s="24" t="n">
        <f aca="false">IF(Z856="",0,IFERROR(INDEX(Resep!$C$5:$C$7,MATCH(LEFT(Z856,3),Resep!$B$5:$B$7,0)),0))</f>
        <v>0</v>
      </c>
      <c r="AH856" s="24" t="n">
        <f aca="false">IF(AA856="",0,IFERROR(INDEX(Resep!$C$9:$C$13,MATCH(LEFT(AA856,3),Resep!$B$9:$B$13,0)),0))</f>
        <v>0</v>
      </c>
      <c r="AI856" s="24" t="n">
        <f aca="false">IF(AB856="",0,IFERROR(INDEX(Resep!$C$9:$C$13,MATCH(LEFT(AB856,3),Resep!$B$9:$B$13,0)),0))</f>
        <v>0</v>
      </c>
      <c r="AJ856" s="24" t="n">
        <f aca="false">IF(AC856="",0,IFERROR(INDEX(Resep!$C$9:$C$13,MATCH(LEFT(AC856,3),Resep!$B$9:$B$13,0)),0))</f>
        <v>0</v>
      </c>
      <c r="AK856" s="24" t="n">
        <f aca="false">IF(AD856="",0,IFERROR(INDEX(Resep!$C$15:$C$18,MATCH(LEFT(AD856,3),Resep!$B$15:$B$18,0)),0))</f>
        <v>0</v>
      </c>
      <c r="AL856" s="24" t="str">
        <f aca="false">IF(X856="","",AG856+AH856+AI856+AJ856+AK856)</f>
        <v/>
      </c>
      <c r="AM856" s="22" t="str">
        <f aca="false">IF(X856="","",AL856*(Pengaturan!$B$6+Pengaturan!$B$7)+Pengaturan!$B$8+AE856*Pengaturan!$B$9+AF856*Pengaturan!$B$10)</f>
        <v/>
      </c>
      <c r="AN856" s="22" t="str">
        <f aca="false">IF(X856="","",N(G856)-AM856)</f>
        <v/>
      </c>
      <c r="AO856" s="25" t="str">
        <f aca="false">IF(OR(X856="",N(G856)=0),"",AN856/G856)</f>
        <v/>
      </c>
    </row>
    <row r="857" customFormat="false" ht="15" hidden="false" customHeight="false" outlineLevel="0" collapsed="false">
      <c r="A857" s="19"/>
      <c r="B857" s="20"/>
      <c r="C857" s="19"/>
      <c r="D857" s="19"/>
      <c r="E857" s="19"/>
      <c r="F857" s="19"/>
      <c r="G857" s="21"/>
      <c r="H857" s="19"/>
      <c r="I857" s="21"/>
      <c r="J857" s="19"/>
      <c r="K857" s="20"/>
      <c r="L857" s="20"/>
      <c r="M857" s="19"/>
      <c r="N857" s="19"/>
      <c r="O857" s="20"/>
      <c r="P857" s="20"/>
      <c r="Q857" s="19"/>
      <c r="R857" s="22" t="str">
        <f aca="false">IF(A857="","",N(G857)+N(I857))</f>
        <v/>
      </c>
      <c r="S857" s="23" t="str">
        <f aca="false">IF(OR(K857="",O857=""),"",O857-K857)</f>
        <v/>
      </c>
      <c r="T857" s="23" t="str">
        <f aca="true">IF(AND(C857="Cetak",L857&lt;&gt;"",L857&lt;TODAY()),"YA","")</f>
        <v/>
      </c>
      <c r="U857" s="23" t="str">
        <f aca="false">IF(B857="","",TEXT(B857,"yyyy-mm"))</f>
        <v/>
      </c>
      <c r="V857" s="23" t="str">
        <f aca="false">IF(K857="","",TEXT(K857,"yyyy-mm"))</f>
        <v/>
      </c>
      <c r="W857" s="23" t="n">
        <f aca="false">IF(OR(C857="Cetak",C857="Dikirim",C857="Selesai"),1,0)</f>
        <v>0</v>
      </c>
      <c r="X857" s="23" t="str">
        <f aca="false">IF(F857="","",SUBSTITUTE(SUBSTITUTE(MID(UPPER(TRIM(F857)),4,99),"-LED",""),"-TK",""))</f>
        <v/>
      </c>
      <c r="Y857" s="23" t="str">
        <f aca="false">IF(X857="","",(LEN(X857)+1)/7)</f>
        <v/>
      </c>
      <c r="Z857" s="23" t="str">
        <f aca="false">IF(X857="","",LEFT(X857,6))</f>
        <v/>
      </c>
      <c r="AA857" s="23" t="str">
        <f aca="false">IF(X857="","",IF(Y857&gt;=3,MID(X857,8,6),""))</f>
        <v/>
      </c>
      <c r="AB857" s="23" t="str">
        <f aca="false">IF(X857="","",IF(Y857&gt;=4,MID(X857,15,6),""))</f>
        <v/>
      </c>
      <c r="AC857" s="23" t="str">
        <f aca="false">IF(X857="","",IF(Y857&gt;=5,MID(X857,22,6),""))</f>
        <v/>
      </c>
      <c r="AD857" s="23" t="str">
        <f aca="false">IF(X857="","",RIGHT(X857,6))</f>
        <v/>
      </c>
      <c r="AE857" s="23" t="str">
        <f aca="false">IF(F857="","",IF(ISNUMBER(SEARCH("-TK",UPPER(F857))),0,1))</f>
        <v/>
      </c>
      <c r="AF857" s="23" t="str">
        <f aca="false">IF(F857="","",IF(ISNUMBER(SEARCH("-LED",UPPER(F857))),1,0))</f>
        <v/>
      </c>
      <c r="AG857" s="24" t="n">
        <f aca="false">IF(Z857="",0,IFERROR(INDEX(Resep!$C$5:$C$7,MATCH(LEFT(Z857,3),Resep!$B$5:$B$7,0)),0))</f>
        <v>0</v>
      </c>
      <c r="AH857" s="24" t="n">
        <f aca="false">IF(AA857="",0,IFERROR(INDEX(Resep!$C$9:$C$13,MATCH(LEFT(AA857,3),Resep!$B$9:$B$13,0)),0))</f>
        <v>0</v>
      </c>
      <c r="AI857" s="24" t="n">
        <f aca="false">IF(AB857="",0,IFERROR(INDEX(Resep!$C$9:$C$13,MATCH(LEFT(AB857,3),Resep!$B$9:$B$13,0)),0))</f>
        <v>0</v>
      </c>
      <c r="AJ857" s="24" t="n">
        <f aca="false">IF(AC857="",0,IFERROR(INDEX(Resep!$C$9:$C$13,MATCH(LEFT(AC857,3),Resep!$B$9:$B$13,0)),0))</f>
        <v>0</v>
      </c>
      <c r="AK857" s="24" t="n">
        <f aca="false">IF(AD857="",0,IFERROR(INDEX(Resep!$C$15:$C$18,MATCH(LEFT(AD857,3),Resep!$B$15:$B$18,0)),0))</f>
        <v>0</v>
      </c>
      <c r="AL857" s="24" t="str">
        <f aca="false">IF(X857="","",AG857+AH857+AI857+AJ857+AK857)</f>
        <v/>
      </c>
      <c r="AM857" s="22" t="str">
        <f aca="false">IF(X857="","",AL857*(Pengaturan!$B$6+Pengaturan!$B$7)+Pengaturan!$B$8+AE857*Pengaturan!$B$9+AF857*Pengaturan!$B$10)</f>
        <v/>
      </c>
      <c r="AN857" s="22" t="str">
        <f aca="false">IF(X857="","",N(G857)-AM857)</f>
        <v/>
      </c>
      <c r="AO857" s="25" t="str">
        <f aca="false">IF(OR(X857="",N(G857)=0),"",AN857/G857)</f>
        <v/>
      </c>
    </row>
    <row r="858" customFormat="false" ht="15" hidden="false" customHeight="false" outlineLevel="0" collapsed="false">
      <c r="A858" s="19"/>
      <c r="B858" s="20"/>
      <c r="C858" s="19"/>
      <c r="D858" s="19"/>
      <c r="E858" s="19"/>
      <c r="F858" s="19"/>
      <c r="G858" s="21"/>
      <c r="H858" s="19"/>
      <c r="I858" s="21"/>
      <c r="J858" s="19"/>
      <c r="K858" s="20"/>
      <c r="L858" s="20"/>
      <c r="M858" s="19"/>
      <c r="N858" s="19"/>
      <c r="O858" s="20"/>
      <c r="P858" s="20"/>
      <c r="Q858" s="19"/>
      <c r="R858" s="22" t="str">
        <f aca="false">IF(A858="","",N(G858)+N(I858))</f>
        <v/>
      </c>
      <c r="S858" s="23" t="str">
        <f aca="false">IF(OR(K858="",O858=""),"",O858-K858)</f>
        <v/>
      </c>
      <c r="T858" s="23" t="str">
        <f aca="true">IF(AND(C858="Cetak",L858&lt;&gt;"",L858&lt;TODAY()),"YA","")</f>
        <v/>
      </c>
      <c r="U858" s="23" t="str">
        <f aca="false">IF(B858="","",TEXT(B858,"yyyy-mm"))</f>
        <v/>
      </c>
      <c r="V858" s="23" t="str">
        <f aca="false">IF(K858="","",TEXT(K858,"yyyy-mm"))</f>
        <v/>
      </c>
      <c r="W858" s="23" t="n">
        <f aca="false">IF(OR(C858="Cetak",C858="Dikirim",C858="Selesai"),1,0)</f>
        <v>0</v>
      </c>
      <c r="X858" s="23" t="str">
        <f aca="false">IF(F858="","",SUBSTITUTE(SUBSTITUTE(MID(UPPER(TRIM(F858)),4,99),"-LED",""),"-TK",""))</f>
        <v/>
      </c>
      <c r="Y858" s="23" t="str">
        <f aca="false">IF(X858="","",(LEN(X858)+1)/7)</f>
        <v/>
      </c>
      <c r="Z858" s="23" t="str">
        <f aca="false">IF(X858="","",LEFT(X858,6))</f>
        <v/>
      </c>
      <c r="AA858" s="23" t="str">
        <f aca="false">IF(X858="","",IF(Y858&gt;=3,MID(X858,8,6),""))</f>
        <v/>
      </c>
      <c r="AB858" s="23" t="str">
        <f aca="false">IF(X858="","",IF(Y858&gt;=4,MID(X858,15,6),""))</f>
        <v/>
      </c>
      <c r="AC858" s="23" t="str">
        <f aca="false">IF(X858="","",IF(Y858&gt;=5,MID(X858,22,6),""))</f>
        <v/>
      </c>
      <c r="AD858" s="23" t="str">
        <f aca="false">IF(X858="","",RIGHT(X858,6))</f>
        <v/>
      </c>
      <c r="AE858" s="23" t="str">
        <f aca="false">IF(F858="","",IF(ISNUMBER(SEARCH("-TK",UPPER(F858))),0,1))</f>
        <v/>
      </c>
      <c r="AF858" s="23" t="str">
        <f aca="false">IF(F858="","",IF(ISNUMBER(SEARCH("-LED",UPPER(F858))),1,0))</f>
        <v/>
      </c>
      <c r="AG858" s="24" t="n">
        <f aca="false">IF(Z858="",0,IFERROR(INDEX(Resep!$C$5:$C$7,MATCH(LEFT(Z858,3),Resep!$B$5:$B$7,0)),0))</f>
        <v>0</v>
      </c>
      <c r="AH858" s="24" t="n">
        <f aca="false">IF(AA858="",0,IFERROR(INDEX(Resep!$C$9:$C$13,MATCH(LEFT(AA858,3),Resep!$B$9:$B$13,0)),0))</f>
        <v>0</v>
      </c>
      <c r="AI858" s="24" t="n">
        <f aca="false">IF(AB858="",0,IFERROR(INDEX(Resep!$C$9:$C$13,MATCH(LEFT(AB858,3),Resep!$B$9:$B$13,0)),0))</f>
        <v>0</v>
      </c>
      <c r="AJ858" s="24" t="n">
        <f aca="false">IF(AC858="",0,IFERROR(INDEX(Resep!$C$9:$C$13,MATCH(LEFT(AC858,3),Resep!$B$9:$B$13,0)),0))</f>
        <v>0</v>
      </c>
      <c r="AK858" s="24" t="n">
        <f aca="false">IF(AD858="",0,IFERROR(INDEX(Resep!$C$15:$C$18,MATCH(LEFT(AD858,3),Resep!$B$15:$B$18,0)),0))</f>
        <v>0</v>
      </c>
      <c r="AL858" s="24" t="str">
        <f aca="false">IF(X858="","",AG858+AH858+AI858+AJ858+AK858)</f>
        <v/>
      </c>
      <c r="AM858" s="22" t="str">
        <f aca="false">IF(X858="","",AL858*(Pengaturan!$B$6+Pengaturan!$B$7)+Pengaturan!$B$8+AE858*Pengaturan!$B$9+AF858*Pengaturan!$B$10)</f>
        <v/>
      </c>
      <c r="AN858" s="22" t="str">
        <f aca="false">IF(X858="","",N(G858)-AM858)</f>
        <v/>
      </c>
      <c r="AO858" s="25" t="str">
        <f aca="false">IF(OR(X858="",N(G858)=0),"",AN858/G858)</f>
        <v/>
      </c>
    </row>
    <row r="859" customFormat="false" ht="15" hidden="false" customHeight="false" outlineLevel="0" collapsed="false">
      <c r="A859" s="19"/>
      <c r="B859" s="20"/>
      <c r="C859" s="19"/>
      <c r="D859" s="19"/>
      <c r="E859" s="19"/>
      <c r="F859" s="19"/>
      <c r="G859" s="21"/>
      <c r="H859" s="19"/>
      <c r="I859" s="21"/>
      <c r="J859" s="19"/>
      <c r="K859" s="20"/>
      <c r="L859" s="20"/>
      <c r="M859" s="19"/>
      <c r="N859" s="19"/>
      <c r="O859" s="20"/>
      <c r="P859" s="20"/>
      <c r="Q859" s="19"/>
      <c r="R859" s="22" t="str">
        <f aca="false">IF(A859="","",N(G859)+N(I859))</f>
        <v/>
      </c>
      <c r="S859" s="23" t="str">
        <f aca="false">IF(OR(K859="",O859=""),"",O859-K859)</f>
        <v/>
      </c>
      <c r="T859" s="23" t="str">
        <f aca="true">IF(AND(C859="Cetak",L859&lt;&gt;"",L859&lt;TODAY()),"YA","")</f>
        <v/>
      </c>
      <c r="U859" s="23" t="str">
        <f aca="false">IF(B859="","",TEXT(B859,"yyyy-mm"))</f>
        <v/>
      </c>
      <c r="V859" s="23" t="str">
        <f aca="false">IF(K859="","",TEXT(K859,"yyyy-mm"))</f>
        <v/>
      </c>
      <c r="W859" s="23" t="n">
        <f aca="false">IF(OR(C859="Cetak",C859="Dikirim",C859="Selesai"),1,0)</f>
        <v>0</v>
      </c>
      <c r="X859" s="23" t="str">
        <f aca="false">IF(F859="","",SUBSTITUTE(SUBSTITUTE(MID(UPPER(TRIM(F859)),4,99),"-LED",""),"-TK",""))</f>
        <v/>
      </c>
      <c r="Y859" s="23" t="str">
        <f aca="false">IF(X859="","",(LEN(X859)+1)/7)</f>
        <v/>
      </c>
      <c r="Z859" s="23" t="str">
        <f aca="false">IF(X859="","",LEFT(X859,6))</f>
        <v/>
      </c>
      <c r="AA859" s="23" t="str">
        <f aca="false">IF(X859="","",IF(Y859&gt;=3,MID(X859,8,6),""))</f>
        <v/>
      </c>
      <c r="AB859" s="23" t="str">
        <f aca="false">IF(X859="","",IF(Y859&gt;=4,MID(X859,15,6),""))</f>
        <v/>
      </c>
      <c r="AC859" s="23" t="str">
        <f aca="false">IF(X859="","",IF(Y859&gt;=5,MID(X859,22,6),""))</f>
        <v/>
      </c>
      <c r="AD859" s="23" t="str">
        <f aca="false">IF(X859="","",RIGHT(X859,6))</f>
        <v/>
      </c>
      <c r="AE859" s="23" t="str">
        <f aca="false">IF(F859="","",IF(ISNUMBER(SEARCH("-TK",UPPER(F859))),0,1))</f>
        <v/>
      </c>
      <c r="AF859" s="23" t="str">
        <f aca="false">IF(F859="","",IF(ISNUMBER(SEARCH("-LED",UPPER(F859))),1,0))</f>
        <v/>
      </c>
      <c r="AG859" s="24" t="n">
        <f aca="false">IF(Z859="",0,IFERROR(INDEX(Resep!$C$5:$C$7,MATCH(LEFT(Z859,3),Resep!$B$5:$B$7,0)),0))</f>
        <v>0</v>
      </c>
      <c r="AH859" s="24" t="n">
        <f aca="false">IF(AA859="",0,IFERROR(INDEX(Resep!$C$9:$C$13,MATCH(LEFT(AA859,3),Resep!$B$9:$B$13,0)),0))</f>
        <v>0</v>
      </c>
      <c r="AI859" s="24" t="n">
        <f aca="false">IF(AB859="",0,IFERROR(INDEX(Resep!$C$9:$C$13,MATCH(LEFT(AB859,3),Resep!$B$9:$B$13,0)),0))</f>
        <v>0</v>
      </c>
      <c r="AJ859" s="24" t="n">
        <f aca="false">IF(AC859="",0,IFERROR(INDEX(Resep!$C$9:$C$13,MATCH(LEFT(AC859,3),Resep!$B$9:$B$13,0)),0))</f>
        <v>0</v>
      </c>
      <c r="AK859" s="24" t="n">
        <f aca="false">IF(AD859="",0,IFERROR(INDEX(Resep!$C$15:$C$18,MATCH(LEFT(AD859,3),Resep!$B$15:$B$18,0)),0))</f>
        <v>0</v>
      </c>
      <c r="AL859" s="24" t="str">
        <f aca="false">IF(X859="","",AG859+AH859+AI859+AJ859+AK859)</f>
        <v/>
      </c>
      <c r="AM859" s="22" t="str">
        <f aca="false">IF(X859="","",AL859*(Pengaturan!$B$6+Pengaturan!$B$7)+Pengaturan!$B$8+AE859*Pengaturan!$B$9+AF859*Pengaturan!$B$10)</f>
        <v/>
      </c>
      <c r="AN859" s="22" t="str">
        <f aca="false">IF(X859="","",N(G859)-AM859)</f>
        <v/>
      </c>
      <c r="AO859" s="25" t="str">
        <f aca="false">IF(OR(X859="",N(G859)=0),"",AN859/G859)</f>
        <v/>
      </c>
    </row>
    <row r="860" customFormat="false" ht="15" hidden="false" customHeight="false" outlineLevel="0" collapsed="false">
      <c r="A860" s="19"/>
      <c r="B860" s="20"/>
      <c r="C860" s="19"/>
      <c r="D860" s="19"/>
      <c r="E860" s="19"/>
      <c r="F860" s="19"/>
      <c r="G860" s="21"/>
      <c r="H860" s="19"/>
      <c r="I860" s="21"/>
      <c r="J860" s="19"/>
      <c r="K860" s="20"/>
      <c r="L860" s="20"/>
      <c r="M860" s="19"/>
      <c r="N860" s="19"/>
      <c r="O860" s="20"/>
      <c r="P860" s="20"/>
      <c r="Q860" s="19"/>
      <c r="R860" s="22" t="str">
        <f aca="false">IF(A860="","",N(G860)+N(I860))</f>
        <v/>
      </c>
      <c r="S860" s="23" t="str">
        <f aca="false">IF(OR(K860="",O860=""),"",O860-K860)</f>
        <v/>
      </c>
      <c r="T860" s="23" t="str">
        <f aca="true">IF(AND(C860="Cetak",L860&lt;&gt;"",L860&lt;TODAY()),"YA","")</f>
        <v/>
      </c>
      <c r="U860" s="23" t="str">
        <f aca="false">IF(B860="","",TEXT(B860,"yyyy-mm"))</f>
        <v/>
      </c>
      <c r="V860" s="23" t="str">
        <f aca="false">IF(K860="","",TEXT(K860,"yyyy-mm"))</f>
        <v/>
      </c>
      <c r="W860" s="23" t="n">
        <f aca="false">IF(OR(C860="Cetak",C860="Dikirim",C860="Selesai"),1,0)</f>
        <v>0</v>
      </c>
      <c r="X860" s="23" t="str">
        <f aca="false">IF(F860="","",SUBSTITUTE(SUBSTITUTE(MID(UPPER(TRIM(F860)),4,99),"-LED",""),"-TK",""))</f>
        <v/>
      </c>
      <c r="Y860" s="23" t="str">
        <f aca="false">IF(X860="","",(LEN(X860)+1)/7)</f>
        <v/>
      </c>
      <c r="Z860" s="23" t="str">
        <f aca="false">IF(X860="","",LEFT(X860,6))</f>
        <v/>
      </c>
      <c r="AA860" s="23" t="str">
        <f aca="false">IF(X860="","",IF(Y860&gt;=3,MID(X860,8,6),""))</f>
        <v/>
      </c>
      <c r="AB860" s="23" t="str">
        <f aca="false">IF(X860="","",IF(Y860&gt;=4,MID(X860,15,6),""))</f>
        <v/>
      </c>
      <c r="AC860" s="23" t="str">
        <f aca="false">IF(X860="","",IF(Y860&gt;=5,MID(X860,22,6),""))</f>
        <v/>
      </c>
      <c r="AD860" s="23" t="str">
        <f aca="false">IF(X860="","",RIGHT(X860,6))</f>
        <v/>
      </c>
      <c r="AE860" s="23" t="str">
        <f aca="false">IF(F860="","",IF(ISNUMBER(SEARCH("-TK",UPPER(F860))),0,1))</f>
        <v/>
      </c>
      <c r="AF860" s="23" t="str">
        <f aca="false">IF(F860="","",IF(ISNUMBER(SEARCH("-LED",UPPER(F860))),1,0))</f>
        <v/>
      </c>
      <c r="AG860" s="24" t="n">
        <f aca="false">IF(Z860="",0,IFERROR(INDEX(Resep!$C$5:$C$7,MATCH(LEFT(Z860,3),Resep!$B$5:$B$7,0)),0))</f>
        <v>0</v>
      </c>
      <c r="AH860" s="24" t="n">
        <f aca="false">IF(AA860="",0,IFERROR(INDEX(Resep!$C$9:$C$13,MATCH(LEFT(AA860,3),Resep!$B$9:$B$13,0)),0))</f>
        <v>0</v>
      </c>
      <c r="AI860" s="24" t="n">
        <f aca="false">IF(AB860="",0,IFERROR(INDEX(Resep!$C$9:$C$13,MATCH(LEFT(AB860,3),Resep!$B$9:$B$13,0)),0))</f>
        <v>0</v>
      </c>
      <c r="AJ860" s="24" t="n">
        <f aca="false">IF(AC860="",0,IFERROR(INDEX(Resep!$C$9:$C$13,MATCH(LEFT(AC860,3),Resep!$B$9:$B$13,0)),0))</f>
        <v>0</v>
      </c>
      <c r="AK860" s="24" t="n">
        <f aca="false">IF(AD860="",0,IFERROR(INDEX(Resep!$C$15:$C$18,MATCH(LEFT(AD860,3),Resep!$B$15:$B$18,0)),0))</f>
        <v>0</v>
      </c>
      <c r="AL860" s="24" t="str">
        <f aca="false">IF(X860="","",AG860+AH860+AI860+AJ860+AK860)</f>
        <v/>
      </c>
      <c r="AM860" s="22" t="str">
        <f aca="false">IF(X860="","",AL860*(Pengaturan!$B$6+Pengaturan!$B$7)+Pengaturan!$B$8+AE860*Pengaturan!$B$9+AF860*Pengaturan!$B$10)</f>
        <v/>
      </c>
      <c r="AN860" s="22" t="str">
        <f aca="false">IF(X860="","",N(G860)-AM860)</f>
        <v/>
      </c>
      <c r="AO860" s="25" t="str">
        <f aca="false">IF(OR(X860="",N(G860)=0),"",AN860/G860)</f>
        <v/>
      </c>
    </row>
    <row r="861" customFormat="false" ht="15" hidden="false" customHeight="false" outlineLevel="0" collapsed="false">
      <c r="A861" s="19"/>
      <c r="B861" s="20"/>
      <c r="C861" s="19"/>
      <c r="D861" s="19"/>
      <c r="E861" s="19"/>
      <c r="F861" s="19"/>
      <c r="G861" s="21"/>
      <c r="H861" s="19"/>
      <c r="I861" s="21"/>
      <c r="J861" s="19"/>
      <c r="K861" s="20"/>
      <c r="L861" s="20"/>
      <c r="M861" s="19"/>
      <c r="N861" s="19"/>
      <c r="O861" s="20"/>
      <c r="P861" s="20"/>
      <c r="Q861" s="19"/>
      <c r="R861" s="22" t="str">
        <f aca="false">IF(A861="","",N(G861)+N(I861))</f>
        <v/>
      </c>
      <c r="S861" s="23" t="str">
        <f aca="false">IF(OR(K861="",O861=""),"",O861-K861)</f>
        <v/>
      </c>
      <c r="T861" s="23" t="str">
        <f aca="true">IF(AND(C861="Cetak",L861&lt;&gt;"",L861&lt;TODAY()),"YA","")</f>
        <v/>
      </c>
      <c r="U861" s="23" t="str">
        <f aca="false">IF(B861="","",TEXT(B861,"yyyy-mm"))</f>
        <v/>
      </c>
      <c r="V861" s="23" t="str">
        <f aca="false">IF(K861="","",TEXT(K861,"yyyy-mm"))</f>
        <v/>
      </c>
      <c r="W861" s="23" t="n">
        <f aca="false">IF(OR(C861="Cetak",C861="Dikirim",C861="Selesai"),1,0)</f>
        <v>0</v>
      </c>
      <c r="X861" s="23" t="str">
        <f aca="false">IF(F861="","",SUBSTITUTE(SUBSTITUTE(MID(UPPER(TRIM(F861)),4,99),"-LED",""),"-TK",""))</f>
        <v/>
      </c>
      <c r="Y861" s="23" t="str">
        <f aca="false">IF(X861="","",(LEN(X861)+1)/7)</f>
        <v/>
      </c>
      <c r="Z861" s="23" t="str">
        <f aca="false">IF(X861="","",LEFT(X861,6))</f>
        <v/>
      </c>
      <c r="AA861" s="23" t="str">
        <f aca="false">IF(X861="","",IF(Y861&gt;=3,MID(X861,8,6),""))</f>
        <v/>
      </c>
      <c r="AB861" s="23" t="str">
        <f aca="false">IF(X861="","",IF(Y861&gt;=4,MID(X861,15,6),""))</f>
        <v/>
      </c>
      <c r="AC861" s="23" t="str">
        <f aca="false">IF(X861="","",IF(Y861&gt;=5,MID(X861,22,6),""))</f>
        <v/>
      </c>
      <c r="AD861" s="23" t="str">
        <f aca="false">IF(X861="","",RIGHT(X861,6))</f>
        <v/>
      </c>
      <c r="AE861" s="23" t="str">
        <f aca="false">IF(F861="","",IF(ISNUMBER(SEARCH("-TK",UPPER(F861))),0,1))</f>
        <v/>
      </c>
      <c r="AF861" s="23" t="str">
        <f aca="false">IF(F861="","",IF(ISNUMBER(SEARCH("-LED",UPPER(F861))),1,0))</f>
        <v/>
      </c>
      <c r="AG861" s="24" t="n">
        <f aca="false">IF(Z861="",0,IFERROR(INDEX(Resep!$C$5:$C$7,MATCH(LEFT(Z861,3),Resep!$B$5:$B$7,0)),0))</f>
        <v>0</v>
      </c>
      <c r="AH861" s="24" t="n">
        <f aca="false">IF(AA861="",0,IFERROR(INDEX(Resep!$C$9:$C$13,MATCH(LEFT(AA861,3),Resep!$B$9:$B$13,0)),0))</f>
        <v>0</v>
      </c>
      <c r="AI861" s="24" t="n">
        <f aca="false">IF(AB861="",0,IFERROR(INDEX(Resep!$C$9:$C$13,MATCH(LEFT(AB861,3),Resep!$B$9:$B$13,0)),0))</f>
        <v>0</v>
      </c>
      <c r="AJ861" s="24" t="n">
        <f aca="false">IF(AC861="",0,IFERROR(INDEX(Resep!$C$9:$C$13,MATCH(LEFT(AC861,3),Resep!$B$9:$B$13,0)),0))</f>
        <v>0</v>
      </c>
      <c r="AK861" s="24" t="n">
        <f aca="false">IF(AD861="",0,IFERROR(INDEX(Resep!$C$15:$C$18,MATCH(LEFT(AD861,3),Resep!$B$15:$B$18,0)),0))</f>
        <v>0</v>
      </c>
      <c r="AL861" s="24" t="str">
        <f aca="false">IF(X861="","",AG861+AH861+AI861+AJ861+AK861)</f>
        <v/>
      </c>
      <c r="AM861" s="22" t="str">
        <f aca="false">IF(X861="","",AL861*(Pengaturan!$B$6+Pengaturan!$B$7)+Pengaturan!$B$8+AE861*Pengaturan!$B$9+AF861*Pengaturan!$B$10)</f>
        <v/>
      </c>
      <c r="AN861" s="22" t="str">
        <f aca="false">IF(X861="","",N(G861)-AM861)</f>
        <v/>
      </c>
      <c r="AO861" s="25" t="str">
        <f aca="false">IF(OR(X861="",N(G861)=0),"",AN861/G861)</f>
        <v/>
      </c>
    </row>
    <row r="862" customFormat="false" ht="15" hidden="false" customHeight="false" outlineLevel="0" collapsed="false">
      <c r="A862" s="19"/>
      <c r="B862" s="20"/>
      <c r="C862" s="19"/>
      <c r="D862" s="19"/>
      <c r="E862" s="19"/>
      <c r="F862" s="19"/>
      <c r="G862" s="21"/>
      <c r="H862" s="19"/>
      <c r="I862" s="21"/>
      <c r="J862" s="19"/>
      <c r="K862" s="20"/>
      <c r="L862" s="20"/>
      <c r="M862" s="19"/>
      <c r="N862" s="19"/>
      <c r="O862" s="20"/>
      <c r="P862" s="20"/>
      <c r="Q862" s="19"/>
      <c r="R862" s="22" t="str">
        <f aca="false">IF(A862="","",N(G862)+N(I862))</f>
        <v/>
      </c>
      <c r="S862" s="23" t="str">
        <f aca="false">IF(OR(K862="",O862=""),"",O862-K862)</f>
        <v/>
      </c>
      <c r="T862" s="23" t="str">
        <f aca="true">IF(AND(C862="Cetak",L862&lt;&gt;"",L862&lt;TODAY()),"YA","")</f>
        <v/>
      </c>
      <c r="U862" s="23" t="str">
        <f aca="false">IF(B862="","",TEXT(B862,"yyyy-mm"))</f>
        <v/>
      </c>
      <c r="V862" s="23" t="str">
        <f aca="false">IF(K862="","",TEXT(K862,"yyyy-mm"))</f>
        <v/>
      </c>
      <c r="W862" s="23" t="n">
        <f aca="false">IF(OR(C862="Cetak",C862="Dikirim",C862="Selesai"),1,0)</f>
        <v>0</v>
      </c>
      <c r="X862" s="23" t="str">
        <f aca="false">IF(F862="","",SUBSTITUTE(SUBSTITUTE(MID(UPPER(TRIM(F862)),4,99),"-LED",""),"-TK",""))</f>
        <v/>
      </c>
      <c r="Y862" s="23" t="str">
        <f aca="false">IF(X862="","",(LEN(X862)+1)/7)</f>
        <v/>
      </c>
      <c r="Z862" s="23" t="str">
        <f aca="false">IF(X862="","",LEFT(X862,6))</f>
        <v/>
      </c>
      <c r="AA862" s="23" t="str">
        <f aca="false">IF(X862="","",IF(Y862&gt;=3,MID(X862,8,6),""))</f>
        <v/>
      </c>
      <c r="AB862" s="23" t="str">
        <f aca="false">IF(X862="","",IF(Y862&gt;=4,MID(X862,15,6),""))</f>
        <v/>
      </c>
      <c r="AC862" s="23" t="str">
        <f aca="false">IF(X862="","",IF(Y862&gt;=5,MID(X862,22,6),""))</f>
        <v/>
      </c>
      <c r="AD862" s="23" t="str">
        <f aca="false">IF(X862="","",RIGHT(X862,6))</f>
        <v/>
      </c>
      <c r="AE862" s="23" t="str">
        <f aca="false">IF(F862="","",IF(ISNUMBER(SEARCH("-TK",UPPER(F862))),0,1))</f>
        <v/>
      </c>
      <c r="AF862" s="23" t="str">
        <f aca="false">IF(F862="","",IF(ISNUMBER(SEARCH("-LED",UPPER(F862))),1,0))</f>
        <v/>
      </c>
      <c r="AG862" s="24" t="n">
        <f aca="false">IF(Z862="",0,IFERROR(INDEX(Resep!$C$5:$C$7,MATCH(LEFT(Z862,3),Resep!$B$5:$B$7,0)),0))</f>
        <v>0</v>
      </c>
      <c r="AH862" s="24" t="n">
        <f aca="false">IF(AA862="",0,IFERROR(INDEX(Resep!$C$9:$C$13,MATCH(LEFT(AA862,3),Resep!$B$9:$B$13,0)),0))</f>
        <v>0</v>
      </c>
      <c r="AI862" s="24" t="n">
        <f aca="false">IF(AB862="",0,IFERROR(INDEX(Resep!$C$9:$C$13,MATCH(LEFT(AB862,3),Resep!$B$9:$B$13,0)),0))</f>
        <v>0</v>
      </c>
      <c r="AJ862" s="24" t="n">
        <f aca="false">IF(AC862="",0,IFERROR(INDEX(Resep!$C$9:$C$13,MATCH(LEFT(AC862,3),Resep!$B$9:$B$13,0)),0))</f>
        <v>0</v>
      </c>
      <c r="AK862" s="24" t="n">
        <f aca="false">IF(AD862="",0,IFERROR(INDEX(Resep!$C$15:$C$18,MATCH(LEFT(AD862,3),Resep!$B$15:$B$18,0)),0))</f>
        <v>0</v>
      </c>
      <c r="AL862" s="24" t="str">
        <f aca="false">IF(X862="","",AG862+AH862+AI862+AJ862+AK862)</f>
        <v/>
      </c>
      <c r="AM862" s="22" t="str">
        <f aca="false">IF(X862="","",AL862*(Pengaturan!$B$6+Pengaturan!$B$7)+Pengaturan!$B$8+AE862*Pengaturan!$B$9+AF862*Pengaturan!$B$10)</f>
        <v/>
      </c>
      <c r="AN862" s="22" t="str">
        <f aca="false">IF(X862="","",N(G862)-AM862)</f>
        <v/>
      </c>
      <c r="AO862" s="25" t="str">
        <f aca="false">IF(OR(X862="",N(G862)=0),"",AN862/G862)</f>
        <v/>
      </c>
    </row>
    <row r="863" customFormat="false" ht="15" hidden="false" customHeight="false" outlineLevel="0" collapsed="false">
      <c r="A863" s="19"/>
      <c r="B863" s="20"/>
      <c r="C863" s="19"/>
      <c r="D863" s="19"/>
      <c r="E863" s="19"/>
      <c r="F863" s="19"/>
      <c r="G863" s="21"/>
      <c r="H863" s="19"/>
      <c r="I863" s="21"/>
      <c r="J863" s="19"/>
      <c r="K863" s="20"/>
      <c r="L863" s="20"/>
      <c r="M863" s="19"/>
      <c r="N863" s="19"/>
      <c r="O863" s="20"/>
      <c r="P863" s="20"/>
      <c r="Q863" s="19"/>
      <c r="R863" s="22" t="str">
        <f aca="false">IF(A863="","",N(G863)+N(I863))</f>
        <v/>
      </c>
      <c r="S863" s="23" t="str">
        <f aca="false">IF(OR(K863="",O863=""),"",O863-K863)</f>
        <v/>
      </c>
      <c r="T863" s="23" t="str">
        <f aca="true">IF(AND(C863="Cetak",L863&lt;&gt;"",L863&lt;TODAY()),"YA","")</f>
        <v/>
      </c>
      <c r="U863" s="23" t="str">
        <f aca="false">IF(B863="","",TEXT(B863,"yyyy-mm"))</f>
        <v/>
      </c>
      <c r="V863" s="23" t="str">
        <f aca="false">IF(K863="","",TEXT(K863,"yyyy-mm"))</f>
        <v/>
      </c>
      <c r="W863" s="23" t="n">
        <f aca="false">IF(OR(C863="Cetak",C863="Dikirim",C863="Selesai"),1,0)</f>
        <v>0</v>
      </c>
      <c r="X863" s="23" t="str">
        <f aca="false">IF(F863="","",SUBSTITUTE(SUBSTITUTE(MID(UPPER(TRIM(F863)),4,99),"-LED",""),"-TK",""))</f>
        <v/>
      </c>
      <c r="Y863" s="23" t="str">
        <f aca="false">IF(X863="","",(LEN(X863)+1)/7)</f>
        <v/>
      </c>
      <c r="Z863" s="23" t="str">
        <f aca="false">IF(X863="","",LEFT(X863,6))</f>
        <v/>
      </c>
      <c r="AA863" s="23" t="str">
        <f aca="false">IF(X863="","",IF(Y863&gt;=3,MID(X863,8,6),""))</f>
        <v/>
      </c>
      <c r="AB863" s="23" t="str">
        <f aca="false">IF(X863="","",IF(Y863&gt;=4,MID(X863,15,6),""))</f>
        <v/>
      </c>
      <c r="AC863" s="23" t="str">
        <f aca="false">IF(X863="","",IF(Y863&gt;=5,MID(X863,22,6),""))</f>
        <v/>
      </c>
      <c r="AD863" s="23" t="str">
        <f aca="false">IF(X863="","",RIGHT(X863,6))</f>
        <v/>
      </c>
      <c r="AE863" s="23" t="str">
        <f aca="false">IF(F863="","",IF(ISNUMBER(SEARCH("-TK",UPPER(F863))),0,1))</f>
        <v/>
      </c>
      <c r="AF863" s="23" t="str">
        <f aca="false">IF(F863="","",IF(ISNUMBER(SEARCH("-LED",UPPER(F863))),1,0))</f>
        <v/>
      </c>
      <c r="AG863" s="24" t="n">
        <f aca="false">IF(Z863="",0,IFERROR(INDEX(Resep!$C$5:$C$7,MATCH(LEFT(Z863,3),Resep!$B$5:$B$7,0)),0))</f>
        <v>0</v>
      </c>
      <c r="AH863" s="24" t="n">
        <f aca="false">IF(AA863="",0,IFERROR(INDEX(Resep!$C$9:$C$13,MATCH(LEFT(AA863,3),Resep!$B$9:$B$13,0)),0))</f>
        <v>0</v>
      </c>
      <c r="AI863" s="24" t="n">
        <f aca="false">IF(AB863="",0,IFERROR(INDEX(Resep!$C$9:$C$13,MATCH(LEFT(AB863,3),Resep!$B$9:$B$13,0)),0))</f>
        <v>0</v>
      </c>
      <c r="AJ863" s="24" t="n">
        <f aca="false">IF(AC863="",0,IFERROR(INDEX(Resep!$C$9:$C$13,MATCH(LEFT(AC863,3),Resep!$B$9:$B$13,0)),0))</f>
        <v>0</v>
      </c>
      <c r="AK863" s="24" t="n">
        <f aca="false">IF(AD863="",0,IFERROR(INDEX(Resep!$C$15:$C$18,MATCH(LEFT(AD863,3),Resep!$B$15:$B$18,0)),0))</f>
        <v>0</v>
      </c>
      <c r="AL863" s="24" t="str">
        <f aca="false">IF(X863="","",AG863+AH863+AI863+AJ863+AK863)</f>
        <v/>
      </c>
      <c r="AM863" s="22" t="str">
        <f aca="false">IF(X863="","",AL863*(Pengaturan!$B$6+Pengaturan!$B$7)+Pengaturan!$B$8+AE863*Pengaturan!$B$9+AF863*Pengaturan!$B$10)</f>
        <v/>
      </c>
      <c r="AN863" s="22" t="str">
        <f aca="false">IF(X863="","",N(G863)-AM863)</f>
        <v/>
      </c>
      <c r="AO863" s="25" t="str">
        <f aca="false">IF(OR(X863="",N(G863)=0),"",AN863/G863)</f>
        <v/>
      </c>
    </row>
    <row r="864" customFormat="false" ht="15" hidden="false" customHeight="false" outlineLevel="0" collapsed="false">
      <c r="A864" s="19"/>
      <c r="B864" s="20"/>
      <c r="C864" s="19"/>
      <c r="D864" s="19"/>
      <c r="E864" s="19"/>
      <c r="F864" s="19"/>
      <c r="G864" s="21"/>
      <c r="H864" s="19"/>
      <c r="I864" s="21"/>
      <c r="J864" s="19"/>
      <c r="K864" s="20"/>
      <c r="L864" s="20"/>
      <c r="M864" s="19"/>
      <c r="N864" s="19"/>
      <c r="O864" s="20"/>
      <c r="P864" s="20"/>
      <c r="Q864" s="19"/>
      <c r="R864" s="22" t="str">
        <f aca="false">IF(A864="","",N(G864)+N(I864))</f>
        <v/>
      </c>
      <c r="S864" s="23" t="str">
        <f aca="false">IF(OR(K864="",O864=""),"",O864-K864)</f>
        <v/>
      </c>
      <c r="T864" s="23" t="str">
        <f aca="true">IF(AND(C864="Cetak",L864&lt;&gt;"",L864&lt;TODAY()),"YA","")</f>
        <v/>
      </c>
      <c r="U864" s="23" t="str">
        <f aca="false">IF(B864="","",TEXT(B864,"yyyy-mm"))</f>
        <v/>
      </c>
      <c r="V864" s="23" t="str">
        <f aca="false">IF(K864="","",TEXT(K864,"yyyy-mm"))</f>
        <v/>
      </c>
      <c r="W864" s="23" t="n">
        <f aca="false">IF(OR(C864="Cetak",C864="Dikirim",C864="Selesai"),1,0)</f>
        <v>0</v>
      </c>
      <c r="X864" s="23" t="str">
        <f aca="false">IF(F864="","",SUBSTITUTE(SUBSTITUTE(MID(UPPER(TRIM(F864)),4,99),"-LED",""),"-TK",""))</f>
        <v/>
      </c>
      <c r="Y864" s="23" t="str">
        <f aca="false">IF(X864="","",(LEN(X864)+1)/7)</f>
        <v/>
      </c>
      <c r="Z864" s="23" t="str">
        <f aca="false">IF(X864="","",LEFT(X864,6))</f>
        <v/>
      </c>
      <c r="AA864" s="23" t="str">
        <f aca="false">IF(X864="","",IF(Y864&gt;=3,MID(X864,8,6),""))</f>
        <v/>
      </c>
      <c r="AB864" s="23" t="str">
        <f aca="false">IF(X864="","",IF(Y864&gt;=4,MID(X864,15,6),""))</f>
        <v/>
      </c>
      <c r="AC864" s="23" t="str">
        <f aca="false">IF(X864="","",IF(Y864&gt;=5,MID(X864,22,6),""))</f>
        <v/>
      </c>
      <c r="AD864" s="23" t="str">
        <f aca="false">IF(X864="","",RIGHT(X864,6))</f>
        <v/>
      </c>
      <c r="AE864" s="23" t="str">
        <f aca="false">IF(F864="","",IF(ISNUMBER(SEARCH("-TK",UPPER(F864))),0,1))</f>
        <v/>
      </c>
      <c r="AF864" s="23" t="str">
        <f aca="false">IF(F864="","",IF(ISNUMBER(SEARCH("-LED",UPPER(F864))),1,0))</f>
        <v/>
      </c>
      <c r="AG864" s="24" t="n">
        <f aca="false">IF(Z864="",0,IFERROR(INDEX(Resep!$C$5:$C$7,MATCH(LEFT(Z864,3),Resep!$B$5:$B$7,0)),0))</f>
        <v>0</v>
      </c>
      <c r="AH864" s="24" t="n">
        <f aca="false">IF(AA864="",0,IFERROR(INDEX(Resep!$C$9:$C$13,MATCH(LEFT(AA864,3),Resep!$B$9:$B$13,0)),0))</f>
        <v>0</v>
      </c>
      <c r="AI864" s="24" t="n">
        <f aca="false">IF(AB864="",0,IFERROR(INDEX(Resep!$C$9:$C$13,MATCH(LEFT(AB864,3),Resep!$B$9:$B$13,0)),0))</f>
        <v>0</v>
      </c>
      <c r="AJ864" s="24" t="n">
        <f aca="false">IF(AC864="",0,IFERROR(INDEX(Resep!$C$9:$C$13,MATCH(LEFT(AC864,3),Resep!$B$9:$B$13,0)),0))</f>
        <v>0</v>
      </c>
      <c r="AK864" s="24" t="n">
        <f aca="false">IF(AD864="",0,IFERROR(INDEX(Resep!$C$15:$C$18,MATCH(LEFT(AD864,3),Resep!$B$15:$B$18,0)),0))</f>
        <v>0</v>
      </c>
      <c r="AL864" s="24" t="str">
        <f aca="false">IF(X864="","",AG864+AH864+AI864+AJ864+AK864)</f>
        <v/>
      </c>
      <c r="AM864" s="22" t="str">
        <f aca="false">IF(X864="","",AL864*(Pengaturan!$B$6+Pengaturan!$B$7)+Pengaturan!$B$8+AE864*Pengaturan!$B$9+AF864*Pengaturan!$B$10)</f>
        <v/>
      </c>
      <c r="AN864" s="22" t="str">
        <f aca="false">IF(X864="","",N(G864)-AM864)</f>
        <v/>
      </c>
      <c r="AO864" s="25" t="str">
        <f aca="false">IF(OR(X864="",N(G864)=0),"",AN864/G864)</f>
        <v/>
      </c>
    </row>
    <row r="865" customFormat="false" ht="15" hidden="false" customHeight="false" outlineLevel="0" collapsed="false">
      <c r="A865" s="19"/>
      <c r="B865" s="20"/>
      <c r="C865" s="19"/>
      <c r="D865" s="19"/>
      <c r="E865" s="19"/>
      <c r="F865" s="19"/>
      <c r="G865" s="21"/>
      <c r="H865" s="19"/>
      <c r="I865" s="21"/>
      <c r="J865" s="19"/>
      <c r="K865" s="20"/>
      <c r="L865" s="20"/>
      <c r="M865" s="19"/>
      <c r="N865" s="19"/>
      <c r="O865" s="20"/>
      <c r="P865" s="20"/>
      <c r="Q865" s="19"/>
      <c r="R865" s="22" t="str">
        <f aca="false">IF(A865="","",N(G865)+N(I865))</f>
        <v/>
      </c>
      <c r="S865" s="23" t="str">
        <f aca="false">IF(OR(K865="",O865=""),"",O865-K865)</f>
        <v/>
      </c>
      <c r="T865" s="23" t="str">
        <f aca="true">IF(AND(C865="Cetak",L865&lt;&gt;"",L865&lt;TODAY()),"YA","")</f>
        <v/>
      </c>
      <c r="U865" s="23" t="str">
        <f aca="false">IF(B865="","",TEXT(B865,"yyyy-mm"))</f>
        <v/>
      </c>
      <c r="V865" s="23" t="str">
        <f aca="false">IF(K865="","",TEXT(K865,"yyyy-mm"))</f>
        <v/>
      </c>
      <c r="W865" s="23" t="n">
        <f aca="false">IF(OR(C865="Cetak",C865="Dikirim",C865="Selesai"),1,0)</f>
        <v>0</v>
      </c>
      <c r="X865" s="23" t="str">
        <f aca="false">IF(F865="","",SUBSTITUTE(SUBSTITUTE(MID(UPPER(TRIM(F865)),4,99),"-LED",""),"-TK",""))</f>
        <v/>
      </c>
      <c r="Y865" s="23" t="str">
        <f aca="false">IF(X865="","",(LEN(X865)+1)/7)</f>
        <v/>
      </c>
      <c r="Z865" s="23" t="str">
        <f aca="false">IF(X865="","",LEFT(X865,6))</f>
        <v/>
      </c>
      <c r="AA865" s="23" t="str">
        <f aca="false">IF(X865="","",IF(Y865&gt;=3,MID(X865,8,6),""))</f>
        <v/>
      </c>
      <c r="AB865" s="23" t="str">
        <f aca="false">IF(X865="","",IF(Y865&gt;=4,MID(X865,15,6),""))</f>
        <v/>
      </c>
      <c r="AC865" s="23" t="str">
        <f aca="false">IF(X865="","",IF(Y865&gt;=5,MID(X865,22,6),""))</f>
        <v/>
      </c>
      <c r="AD865" s="23" t="str">
        <f aca="false">IF(X865="","",RIGHT(X865,6))</f>
        <v/>
      </c>
      <c r="AE865" s="23" t="str">
        <f aca="false">IF(F865="","",IF(ISNUMBER(SEARCH("-TK",UPPER(F865))),0,1))</f>
        <v/>
      </c>
      <c r="AF865" s="23" t="str">
        <f aca="false">IF(F865="","",IF(ISNUMBER(SEARCH("-LED",UPPER(F865))),1,0))</f>
        <v/>
      </c>
      <c r="AG865" s="24" t="n">
        <f aca="false">IF(Z865="",0,IFERROR(INDEX(Resep!$C$5:$C$7,MATCH(LEFT(Z865,3),Resep!$B$5:$B$7,0)),0))</f>
        <v>0</v>
      </c>
      <c r="AH865" s="24" t="n">
        <f aca="false">IF(AA865="",0,IFERROR(INDEX(Resep!$C$9:$C$13,MATCH(LEFT(AA865,3),Resep!$B$9:$B$13,0)),0))</f>
        <v>0</v>
      </c>
      <c r="AI865" s="24" t="n">
        <f aca="false">IF(AB865="",0,IFERROR(INDEX(Resep!$C$9:$C$13,MATCH(LEFT(AB865,3),Resep!$B$9:$B$13,0)),0))</f>
        <v>0</v>
      </c>
      <c r="AJ865" s="24" t="n">
        <f aca="false">IF(AC865="",0,IFERROR(INDEX(Resep!$C$9:$C$13,MATCH(LEFT(AC865,3),Resep!$B$9:$B$13,0)),0))</f>
        <v>0</v>
      </c>
      <c r="AK865" s="24" t="n">
        <f aca="false">IF(AD865="",0,IFERROR(INDEX(Resep!$C$15:$C$18,MATCH(LEFT(AD865,3),Resep!$B$15:$B$18,0)),0))</f>
        <v>0</v>
      </c>
      <c r="AL865" s="24" t="str">
        <f aca="false">IF(X865="","",AG865+AH865+AI865+AJ865+AK865)</f>
        <v/>
      </c>
      <c r="AM865" s="22" t="str">
        <f aca="false">IF(X865="","",AL865*(Pengaturan!$B$6+Pengaturan!$B$7)+Pengaturan!$B$8+AE865*Pengaturan!$B$9+AF865*Pengaturan!$B$10)</f>
        <v/>
      </c>
      <c r="AN865" s="22" t="str">
        <f aca="false">IF(X865="","",N(G865)-AM865)</f>
        <v/>
      </c>
      <c r="AO865" s="25" t="str">
        <f aca="false">IF(OR(X865="",N(G865)=0),"",AN865/G865)</f>
        <v/>
      </c>
    </row>
    <row r="866" customFormat="false" ht="15" hidden="false" customHeight="false" outlineLevel="0" collapsed="false">
      <c r="A866" s="19"/>
      <c r="B866" s="20"/>
      <c r="C866" s="19"/>
      <c r="D866" s="19"/>
      <c r="E866" s="19"/>
      <c r="F866" s="19"/>
      <c r="G866" s="21"/>
      <c r="H866" s="19"/>
      <c r="I866" s="21"/>
      <c r="J866" s="19"/>
      <c r="K866" s="20"/>
      <c r="L866" s="20"/>
      <c r="M866" s="19"/>
      <c r="N866" s="19"/>
      <c r="O866" s="20"/>
      <c r="P866" s="20"/>
      <c r="Q866" s="19"/>
      <c r="R866" s="22" t="str">
        <f aca="false">IF(A866="","",N(G866)+N(I866))</f>
        <v/>
      </c>
      <c r="S866" s="23" t="str">
        <f aca="false">IF(OR(K866="",O866=""),"",O866-K866)</f>
        <v/>
      </c>
      <c r="T866" s="23" t="str">
        <f aca="true">IF(AND(C866="Cetak",L866&lt;&gt;"",L866&lt;TODAY()),"YA","")</f>
        <v/>
      </c>
      <c r="U866" s="23" t="str">
        <f aca="false">IF(B866="","",TEXT(B866,"yyyy-mm"))</f>
        <v/>
      </c>
      <c r="V866" s="23" t="str">
        <f aca="false">IF(K866="","",TEXT(K866,"yyyy-mm"))</f>
        <v/>
      </c>
      <c r="W866" s="23" t="n">
        <f aca="false">IF(OR(C866="Cetak",C866="Dikirim",C866="Selesai"),1,0)</f>
        <v>0</v>
      </c>
      <c r="X866" s="23" t="str">
        <f aca="false">IF(F866="","",SUBSTITUTE(SUBSTITUTE(MID(UPPER(TRIM(F866)),4,99),"-LED",""),"-TK",""))</f>
        <v/>
      </c>
      <c r="Y866" s="23" t="str">
        <f aca="false">IF(X866="","",(LEN(X866)+1)/7)</f>
        <v/>
      </c>
      <c r="Z866" s="23" t="str">
        <f aca="false">IF(X866="","",LEFT(X866,6))</f>
        <v/>
      </c>
      <c r="AA866" s="23" t="str">
        <f aca="false">IF(X866="","",IF(Y866&gt;=3,MID(X866,8,6),""))</f>
        <v/>
      </c>
      <c r="AB866" s="23" t="str">
        <f aca="false">IF(X866="","",IF(Y866&gt;=4,MID(X866,15,6),""))</f>
        <v/>
      </c>
      <c r="AC866" s="23" t="str">
        <f aca="false">IF(X866="","",IF(Y866&gt;=5,MID(X866,22,6),""))</f>
        <v/>
      </c>
      <c r="AD866" s="23" t="str">
        <f aca="false">IF(X866="","",RIGHT(X866,6))</f>
        <v/>
      </c>
      <c r="AE866" s="23" t="str">
        <f aca="false">IF(F866="","",IF(ISNUMBER(SEARCH("-TK",UPPER(F866))),0,1))</f>
        <v/>
      </c>
      <c r="AF866" s="23" t="str">
        <f aca="false">IF(F866="","",IF(ISNUMBER(SEARCH("-LED",UPPER(F866))),1,0))</f>
        <v/>
      </c>
      <c r="AG866" s="24" t="n">
        <f aca="false">IF(Z866="",0,IFERROR(INDEX(Resep!$C$5:$C$7,MATCH(LEFT(Z866,3),Resep!$B$5:$B$7,0)),0))</f>
        <v>0</v>
      </c>
      <c r="AH866" s="24" t="n">
        <f aca="false">IF(AA866="",0,IFERROR(INDEX(Resep!$C$9:$C$13,MATCH(LEFT(AA866,3),Resep!$B$9:$B$13,0)),0))</f>
        <v>0</v>
      </c>
      <c r="AI866" s="24" t="n">
        <f aca="false">IF(AB866="",0,IFERROR(INDEX(Resep!$C$9:$C$13,MATCH(LEFT(AB866,3),Resep!$B$9:$B$13,0)),0))</f>
        <v>0</v>
      </c>
      <c r="AJ866" s="24" t="n">
        <f aca="false">IF(AC866="",0,IFERROR(INDEX(Resep!$C$9:$C$13,MATCH(LEFT(AC866,3),Resep!$B$9:$B$13,0)),0))</f>
        <v>0</v>
      </c>
      <c r="AK866" s="24" t="n">
        <f aca="false">IF(AD866="",0,IFERROR(INDEX(Resep!$C$15:$C$18,MATCH(LEFT(AD866,3),Resep!$B$15:$B$18,0)),0))</f>
        <v>0</v>
      </c>
      <c r="AL866" s="24" t="str">
        <f aca="false">IF(X866="","",AG866+AH866+AI866+AJ866+AK866)</f>
        <v/>
      </c>
      <c r="AM866" s="22" t="str">
        <f aca="false">IF(X866="","",AL866*(Pengaturan!$B$6+Pengaturan!$B$7)+Pengaturan!$B$8+AE866*Pengaturan!$B$9+AF866*Pengaturan!$B$10)</f>
        <v/>
      </c>
      <c r="AN866" s="22" t="str">
        <f aca="false">IF(X866="","",N(G866)-AM866)</f>
        <v/>
      </c>
      <c r="AO866" s="25" t="str">
        <f aca="false">IF(OR(X866="",N(G866)=0),"",AN866/G866)</f>
        <v/>
      </c>
    </row>
    <row r="867" customFormat="false" ht="15" hidden="false" customHeight="false" outlineLevel="0" collapsed="false">
      <c r="A867" s="19"/>
      <c r="B867" s="20"/>
      <c r="C867" s="19"/>
      <c r="D867" s="19"/>
      <c r="E867" s="19"/>
      <c r="F867" s="19"/>
      <c r="G867" s="21"/>
      <c r="H867" s="19"/>
      <c r="I867" s="21"/>
      <c r="J867" s="19"/>
      <c r="K867" s="20"/>
      <c r="L867" s="20"/>
      <c r="M867" s="19"/>
      <c r="N867" s="19"/>
      <c r="O867" s="20"/>
      <c r="P867" s="20"/>
      <c r="Q867" s="19"/>
      <c r="R867" s="22" t="str">
        <f aca="false">IF(A867="","",N(G867)+N(I867))</f>
        <v/>
      </c>
      <c r="S867" s="23" t="str">
        <f aca="false">IF(OR(K867="",O867=""),"",O867-K867)</f>
        <v/>
      </c>
      <c r="T867" s="23" t="str">
        <f aca="true">IF(AND(C867="Cetak",L867&lt;&gt;"",L867&lt;TODAY()),"YA","")</f>
        <v/>
      </c>
      <c r="U867" s="23" t="str">
        <f aca="false">IF(B867="","",TEXT(B867,"yyyy-mm"))</f>
        <v/>
      </c>
      <c r="V867" s="23" t="str">
        <f aca="false">IF(K867="","",TEXT(K867,"yyyy-mm"))</f>
        <v/>
      </c>
      <c r="W867" s="23" t="n">
        <f aca="false">IF(OR(C867="Cetak",C867="Dikirim",C867="Selesai"),1,0)</f>
        <v>0</v>
      </c>
      <c r="X867" s="23" t="str">
        <f aca="false">IF(F867="","",SUBSTITUTE(SUBSTITUTE(MID(UPPER(TRIM(F867)),4,99),"-LED",""),"-TK",""))</f>
        <v/>
      </c>
      <c r="Y867" s="23" t="str">
        <f aca="false">IF(X867="","",(LEN(X867)+1)/7)</f>
        <v/>
      </c>
      <c r="Z867" s="23" t="str">
        <f aca="false">IF(X867="","",LEFT(X867,6))</f>
        <v/>
      </c>
      <c r="AA867" s="23" t="str">
        <f aca="false">IF(X867="","",IF(Y867&gt;=3,MID(X867,8,6),""))</f>
        <v/>
      </c>
      <c r="AB867" s="23" t="str">
        <f aca="false">IF(X867="","",IF(Y867&gt;=4,MID(X867,15,6),""))</f>
        <v/>
      </c>
      <c r="AC867" s="23" t="str">
        <f aca="false">IF(X867="","",IF(Y867&gt;=5,MID(X867,22,6),""))</f>
        <v/>
      </c>
      <c r="AD867" s="23" t="str">
        <f aca="false">IF(X867="","",RIGHT(X867,6))</f>
        <v/>
      </c>
      <c r="AE867" s="23" t="str">
        <f aca="false">IF(F867="","",IF(ISNUMBER(SEARCH("-TK",UPPER(F867))),0,1))</f>
        <v/>
      </c>
      <c r="AF867" s="23" t="str">
        <f aca="false">IF(F867="","",IF(ISNUMBER(SEARCH("-LED",UPPER(F867))),1,0))</f>
        <v/>
      </c>
      <c r="AG867" s="24" t="n">
        <f aca="false">IF(Z867="",0,IFERROR(INDEX(Resep!$C$5:$C$7,MATCH(LEFT(Z867,3),Resep!$B$5:$B$7,0)),0))</f>
        <v>0</v>
      </c>
      <c r="AH867" s="24" t="n">
        <f aca="false">IF(AA867="",0,IFERROR(INDEX(Resep!$C$9:$C$13,MATCH(LEFT(AA867,3),Resep!$B$9:$B$13,0)),0))</f>
        <v>0</v>
      </c>
      <c r="AI867" s="24" t="n">
        <f aca="false">IF(AB867="",0,IFERROR(INDEX(Resep!$C$9:$C$13,MATCH(LEFT(AB867,3),Resep!$B$9:$B$13,0)),0))</f>
        <v>0</v>
      </c>
      <c r="AJ867" s="24" t="n">
        <f aca="false">IF(AC867="",0,IFERROR(INDEX(Resep!$C$9:$C$13,MATCH(LEFT(AC867,3),Resep!$B$9:$B$13,0)),0))</f>
        <v>0</v>
      </c>
      <c r="AK867" s="24" t="n">
        <f aca="false">IF(AD867="",0,IFERROR(INDEX(Resep!$C$15:$C$18,MATCH(LEFT(AD867,3),Resep!$B$15:$B$18,0)),0))</f>
        <v>0</v>
      </c>
      <c r="AL867" s="24" t="str">
        <f aca="false">IF(X867="","",AG867+AH867+AI867+AJ867+AK867)</f>
        <v/>
      </c>
      <c r="AM867" s="22" t="str">
        <f aca="false">IF(X867="","",AL867*(Pengaturan!$B$6+Pengaturan!$B$7)+Pengaturan!$B$8+AE867*Pengaturan!$B$9+AF867*Pengaturan!$B$10)</f>
        <v/>
      </c>
      <c r="AN867" s="22" t="str">
        <f aca="false">IF(X867="","",N(G867)-AM867)</f>
        <v/>
      </c>
      <c r="AO867" s="25" t="str">
        <f aca="false">IF(OR(X867="",N(G867)=0),"",AN867/G867)</f>
        <v/>
      </c>
    </row>
    <row r="868" customFormat="false" ht="15" hidden="false" customHeight="false" outlineLevel="0" collapsed="false">
      <c r="A868" s="19"/>
      <c r="B868" s="20"/>
      <c r="C868" s="19"/>
      <c r="D868" s="19"/>
      <c r="E868" s="19"/>
      <c r="F868" s="19"/>
      <c r="G868" s="21"/>
      <c r="H868" s="19"/>
      <c r="I868" s="21"/>
      <c r="J868" s="19"/>
      <c r="K868" s="20"/>
      <c r="L868" s="20"/>
      <c r="M868" s="19"/>
      <c r="N868" s="19"/>
      <c r="O868" s="20"/>
      <c r="P868" s="20"/>
      <c r="Q868" s="19"/>
      <c r="R868" s="22" t="str">
        <f aca="false">IF(A868="","",N(G868)+N(I868))</f>
        <v/>
      </c>
      <c r="S868" s="23" t="str">
        <f aca="false">IF(OR(K868="",O868=""),"",O868-K868)</f>
        <v/>
      </c>
      <c r="T868" s="23" t="str">
        <f aca="true">IF(AND(C868="Cetak",L868&lt;&gt;"",L868&lt;TODAY()),"YA","")</f>
        <v/>
      </c>
      <c r="U868" s="23" t="str">
        <f aca="false">IF(B868="","",TEXT(B868,"yyyy-mm"))</f>
        <v/>
      </c>
      <c r="V868" s="23" t="str">
        <f aca="false">IF(K868="","",TEXT(K868,"yyyy-mm"))</f>
        <v/>
      </c>
      <c r="W868" s="23" t="n">
        <f aca="false">IF(OR(C868="Cetak",C868="Dikirim",C868="Selesai"),1,0)</f>
        <v>0</v>
      </c>
      <c r="X868" s="23" t="str">
        <f aca="false">IF(F868="","",SUBSTITUTE(SUBSTITUTE(MID(UPPER(TRIM(F868)),4,99),"-LED",""),"-TK",""))</f>
        <v/>
      </c>
      <c r="Y868" s="23" t="str">
        <f aca="false">IF(X868="","",(LEN(X868)+1)/7)</f>
        <v/>
      </c>
      <c r="Z868" s="23" t="str">
        <f aca="false">IF(X868="","",LEFT(X868,6))</f>
        <v/>
      </c>
      <c r="AA868" s="23" t="str">
        <f aca="false">IF(X868="","",IF(Y868&gt;=3,MID(X868,8,6),""))</f>
        <v/>
      </c>
      <c r="AB868" s="23" t="str">
        <f aca="false">IF(X868="","",IF(Y868&gt;=4,MID(X868,15,6),""))</f>
        <v/>
      </c>
      <c r="AC868" s="23" t="str">
        <f aca="false">IF(X868="","",IF(Y868&gt;=5,MID(X868,22,6),""))</f>
        <v/>
      </c>
      <c r="AD868" s="23" t="str">
        <f aca="false">IF(X868="","",RIGHT(X868,6))</f>
        <v/>
      </c>
      <c r="AE868" s="23" t="str">
        <f aca="false">IF(F868="","",IF(ISNUMBER(SEARCH("-TK",UPPER(F868))),0,1))</f>
        <v/>
      </c>
      <c r="AF868" s="23" t="str">
        <f aca="false">IF(F868="","",IF(ISNUMBER(SEARCH("-LED",UPPER(F868))),1,0))</f>
        <v/>
      </c>
      <c r="AG868" s="24" t="n">
        <f aca="false">IF(Z868="",0,IFERROR(INDEX(Resep!$C$5:$C$7,MATCH(LEFT(Z868,3),Resep!$B$5:$B$7,0)),0))</f>
        <v>0</v>
      </c>
      <c r="AH868" s="24" t="n">
        <f aca="false">IF(AA868="",0,IFERROR(INDEX(Resep!$C$9:$C$13,MATCH(LEFT(AA868,3),Resep!$B$9:$B$13,0)),0))</f>
        <v>0</v>
      </c>
      <c r="AI868" s="24" t="n">
        <f aca="false">IF(AB868="",0,IFERROR(INDEX(Resep!$C$9:$C$13,MATCH(LEFT(AB868,3),Resep!$B$9:$B$13,0)),0))</f>
        <v>0</v>
      </c>
      <c r="AJ868" s="24" t="n">
        <f aca="false">IF(AC868="",0,IFERROR(INDEX(Resep!$C$9:$C$13,MATCH(LEFT(AC868,3),Resep!$B$9:$B$13,0)),0))</f>
        <v>0</v>
      </c>
      <c r="AK868" s="24" t="n">
        <f aca="false">IF(AD868="",0,IFERROR(INDEX(Resep!$C$15:$C$18,MATCH(LEFT(AD868,3),Resep!$B$15:$B$18,0)),0))</f>
        <v>0</v>
      </c>
      <c r="AL868" s="24" t="str">
        <f aca="false">IF(X868="","",AG868+AH868+AI868+AJ868+AK868)</f>
        <v/>
      </c>
      <c r="AM868" s="22" t="str">
        <f aca="false">IF(X868="","",AL868*(Pengaturan!$B$6+Pengaturan!$B$7)+Pengaturan!$B$8+AE868*Pengaturan!$B$9+AF868*Pengaturan!$B$10)</f>
        <v/>
      </c>
      <c r="AN868" s="22" t="str">
        <f aca="false">IF(X868="","",N(G868)-AM868)</f>
        <v/>
      </c>
      <c r="AO868" s="25" t="str">
        <f aca="false">IF(OR(X868="",N(G868)=0),"",AN868/G868)</f>
        <v/>
      </c>
    </row>
    <row r="869" customFormat="false" ht="15" hidden="false" customHeight="false" outlineLevel="0" collapsed="false">
      <c r="A869" s="19"/>
      <c r="B869" s="20"/>
      <c r="C869" s="19"/>
      <c r="D869" s="19"/>
      <c r="E869" s="19"/>
      <c r="F869" s="19"/>
      <c r="G869" s="21"/>
      <c r="H869" s="19"/>
      <c r="I869" s="21"/>
      <c r="J869" s="19"/>
      <c r="K869" s="20"/>
      <c r="L869" s="20"/>
      <c r="M869" s="19"/>
      <c r="N869" s="19"/>
      <c r="O869" s="20"/>
      <c r="P869" s="20"/>
      <c r="Q869" s="19"/>
      <c r="R869" s="22" t="str">
        <f aca="false">IF(A869="","",N(G869)+N(I869))</f>
        <v/>
      </c>
      <c r="S869" s="23" t="str">
        <f aca="false">IF(OR(K869="",O869=""),"",O869-K869)</f>
        <v/>
      </c>
      <c r="T869" s="23" t="str">
        <f aca="true">IF(AND(C869="Cetak",L869&lt;&gt;"",L869&lt;TODAY()),"YA","")</f>
        <v/>
      </c>
      <c r="U869" s="23" t="str">
        <f aca="false">IF(B869="","",TEXT(B869,"yyyy-mm"))</f>
        <v/>
      </c>
      <c r="V869" s="23" t="str">
        <f aca="false">IF(K869="","",TEXT(K869,"yyyy-mm"))</f>
        <v/>
      </c>
      <c r="W869" s="23" t="n">
        <f aca="false">IF(OR(C869="Cetak",C869="Dikirim",C869="Selesai"),1,0)</f>
        <v>0</v>
      </c>
      <c r="X869" s="23" t="str">
        <f aca="false">IF(F869="","",SUBSTITUTE(SUBSTITUTE(MID(UPPER(TRIM(F869)),4,99),"-LED",""),"-TK",""))</f>
        <v/>
      </c>
      <c r="Y869" s="23" t="str">
        <f aca="false">IF(X869="","",(LEN(X869)+1)/7)</f>
        <v/>
      </c>
      <c r="Z869" s="23" t="str">
        <f aca="false">IF(X869="","",LEFT(X869,6))</f>
        <v/>
      </c>
      <c r="AA869" s="23" t="str">
        <f aca="false">IF(X869="","",IF(Y869&gt;=3,MID(X869,8,6),""))</f>
        <v/>
      </c>
      <c r="AB869" s="23" t="str">
        <f aca="false">IF(X869="","",IF(Y869&gt;=4,MID(X869,15,6),""))</f>
        <v/>
      </c>
      <c r="AC869" s="23" t="str">
        <f aca="false">IF(X869="","",IF(Y869&gt;=5,MID(X869,22,6),""))</f>
        <v/>
      </c>
      <c r="AD869" s="23" t="str">
        <f aca="false">IF(X869="","",RIGHT(X869,6))</f>
        <v/>
      </c>
      <c r="AE869" s="23" t="str">
        <f aca="false">IF(F869="","",IF(ISNUMBER(SEARCH("-TK",UPPER(F869))),0,1))</f>
        <v/>
      </c>
      <c r="AF869" s="23" t="str">
        <f aca="false">IF(F869="","",IF(ISNUMBER(SEARCH("-LED",UPPER(F869))),1,0))</f>
        <v/>
      </c>
      <c r="AG869" s="24" t="n">
        <f aca="false">IF(Z869="",0,IFERROR(INDEX(Resep!$C$5:$C$7,MATCH(LEFT(Z869,3),Resep!$B$5:$B$7,0)),0))</f>
        <v>0</v>
      </c>
      <c r="AH869" s="24" t="n">
        <f aca="false">IF(AA869="",0,IFERROR(INDEX(Resep!$C$9:$C$13,MATCH(LEFT(AA869,3),Resep!$B$9:$B$13,0)),0))</f>
        <v>0</v>
      </c>
      <c r="AI869" s="24" t="n">
        <f aca="false">IF(AB869="",0,IFERROR(INDEX(Resep!$C$9:$C$13,MATCH(LEFT(AB869,3),Resep!$B$9:$B$13,0)),0))</f>
        <v>0</v>
      </c>
      <c r="AJ869" s="24" t="n">
        <f aca="false">IF(AC869="",0,IFERROR(INDEX(Resep!$C$9:$C$13,MATCH(LEFT(AC869,3),Resep!$B$9:$B$13,0)),0))</f>
        <v>0</v>
      </c>
      <c r="AK869" s="24" t="n">
        <f aca="false">IF(AD869="",0,IFERROR(INDEX(Resep!$C$15:$C$18,MATCH(LEFT(AD869,3),Resep!$B$15:$B$18,0)),0))</f>
        <v>0</v>
      </c>
      <c r="AL869" s="24" t="str">
        <f aca="false">IF(X869="","",AG869+AH869+AI869+AJ869+AK869)</f>
        <v/>
      </c>
      <c r="AM869" s="22" t="str">
        <f aca="false">IF(X869="","",AL869*(Pengaturan!$B$6+Pengaturan!$B$7)+Pengaturan!$B$8+AE869*Pengaturan!$B$9+AF869*Pengaturan!$B$10)</f>
        <v/>
      </c>
      <c r="AN869" s="22" t="str">
        <f aca="false">IF(X869="","",N(G869)-AM869)</f>
        <v/>
      </c>
      <c r="AO869" s="25" t="str">
        <f aca="false">IF(OR(X869="",N(G869)=0),"",AN869/G869)</f>
        <v/>
      </c>
    </row>
    <row r="870" customFormat="false" ht="15" hidden="false" customHeight="false" outlineLevel="0" collapsed="false">
      <c r="A870" s="19"/>
      <c r="B870" s="20"/>
      <c r="C870" s="19"/>
      <c r="D870" s="19"/>
      <c r="E870" s="19"/>
      <c r="F870" s="19"/>
      <c r="G870" s="21"/>
      <c r="H870" s="19"/>
      <c r="I870" s="21"/>
      <c r="J870" s="19"/>
      <c r="K870" s="20"/>
      <c r="L870" s="20"/>
      <c r="M870" s="19"/>
      <c r="N870" s="19"/>
      <c r="O870" s="20"/>
      <c r="P870" s="20"/>
      <c r="Q870" s="19"/>
      <c r="R870" s="22" t="str">
        <f aca="false">IF(A870="","",N(G870)+N(I870))</f>
        <v/>
      </c>
      <c r="S870" s="23" t="str">
        <f aca="false">IF(OR(K870="",O870=""),"",O870-K870)</f>
        <v/>
      </c>
      <c r="T870" s="23" t="str">
        <f aca="true">IF(AND(C870="Cetak",L870&lt;&gt;"",L870&lt;TODAY()),"YA","")</f>
        <v/>
      </c>
      <c r="U870" s="23" t="str">
        <f aca="false">IF(B870="","",TEXT(B870,"yyyy-mm"))</f>
        <v/>
      </c>
      <c r="V870" s="23" t="str">
        <f aca="false">IF(K870="","",TEXT(K870,"yyyy-mm"))</f>
        <v/>
      </c>
      <c r="W870" s="23" t="n">
        <f aca="false">IF(OR(C870="Cetak",C870="Dikirim",C870="Selesai"),1,0)</f>
        <v>0</v>
      </c>
      <c r="X870" s="23" t="str">
        <f aca="false">IF(F870="","",SUBSTITUTE(SUBSTITUTE(MID(UPPER(TRIM(F870)),4,99),"-LED",""),"-TK",""))</f>
        <v/>
      </c>
      <c r="Y870" s="23" t="str">
        <f aca="false">IF(X870="","",(LEN(X870)+1)/7)</f>
        <v/>
      </c>
      <c r="Z870" s="23" t="str">
        <f aca="false">IF(X870="","",LEFT(X870,6))</f>
        <v/>
      </c>
      <c r="AA870" s="23" t="str">
        <f aca="false">IF(X870="","",IF(Y870&gt;=3,MID(X870,8,6),""))</f>
        <v/>
      </c>
      <c r="AB870" s="23" t="str">
        <f aca="false">IF(X870="","",IF(Y870&gt;=4,MID(X870,15,6),""))</f>
        <v/>
      </c>
      <c r="AC870" s="23" t="str">
        <f aca="false">IF(X870="","",IF(Y870&gt;=5,MID(X870,22,6),""))</f>
        <v/>
      </c>
      <c r="AD870" s="23" t="str">
        <f aca="false">IF(X870="","",RIGHT(X870,6))</f>
        <v/>
      </c>
      <c r="AE870" s="23" t="str">
        <f aca="false">IF(F870="","",IF(ISNUMBER(SEARCH("-TK",UPPER(F870))),0,1))</f>
        <v/>
      </c>
      <c r="AF870" s="23" t="str">
        <f aca="false">IF(F870="","",IF(ISNUMBER(SEARCH("-LED",UPPER(F870))),1,0))</f>
        <v/>
      </c>
      <c r="AG870" s="24" t="n">
        <f aca="false">IF(Z870="",0,IFERROR(INDEX(Resep!$C$5:$C$7,MATCH(LEFT(Z870,3),Resep!$B$5:$B$7,0)),0))</f>
        <v>0</v>
      </c>
      <c r="AH870" s="24" t="n">
        <f aca="false">IF(AA870="",0,IFERROR(INDEX(Resep!$C$9:$C$13,MATCH(LEFT(AA870,3),Resep!$B$9:$B$13,0)),0))</f>
        <v>0</v>
      </c>
      <c r="AI870" s="24" t="n">
        <f aca="false">IF(AB870="",0,IFERROR(INDEX(Resep!$C$9:$C$13,MATCH(LEFT(AB870,3),Resep!$B$9:$B$13,0)),0))</f>
        <v>0</v>
      </c>
      <c r="AJ870" s="24" t="n">
        <f aca="false">IF(AC870="",0,IFERROR(INDEX(Resep!$C$9:$C$13,MATCH(LEFT(AC870,3),Resep!$B$9:$B$13,0)),0))</f>
        <v>0</v>
      </c>
      <c r="AK870" s="24" t="n">
        <f aca="false">IF(AD870="",0,IFERROR(INDEX(Resep!$C$15:$C$18,MATCH(LEFT(AD870,3),Resep!$B$15:$B$18,0)),0))</f>
        <v>0</v>
      </c>
      <c r="AL870" s="24" t="str">
        <f aca="false">IF(X870="","",AG870+AH870+AI870+AJ870+AK870)</f>
        <v/>
      </c>
      <c r="AM870" s="22" t="str">
        <f aca="false">IF(X870="","",AL870*(Pengaturan!$B$6+Pengaturan!$B$7)+Pengaturan!$B$8+AE870*Pengaturan!$B$9+AF870*Pengaturan!$B$10)</f>
        <v/>
      </c>
      <c r="AN870" s="22" t="str">
        <f aca="false">IF(X870="","",N(G870)-AM870)</f>
        <v/>
      </c>
      <c r="AO870" s="25" t="str">
        <f aca="false">IF(OR(X870="",N(G870)=0),"",AN870/G870)</f>
        <v/>
      </c>
    </row>
    <row r="871" customFormat="false" ht="15" hidden="false" customHeight="false" outlineLevel="0" collapsed="false">
      <c r="A871" s="19"/>
      <c r="B871" s="20"/>
      <c r="C871" s="19"/>
      <c r="D871" s="19"/>
      <c r="E871" s="19"/>
      <c r="F871" s="19"/>
      <c r="G871" s="21"/>
      <c r="H871" s="19"/>
      <c r="I871" s="21"/>
      <c r="J871" s="19"/>
      <c r="K871" s="20"/>
      <c r="L871" s="20"/>
      <c r="M871" s="19"/>
      <c r="N871" s="19"/>
      <c r="O871" s="20"/>
      <c r="P871" s="20"/>
      <c r="Q871" s="19"/>
      <c r="R871" s="22" t="str">
        <f aca="false">IF(A871="","",N(G871)+N(I871))</f>
        <v/>
      </c>
      <c r="S871" s="23" t="str">
        <f aca="false">IF(OR(K871="",O871=""),"",O871-K871)</f>
        <v/>
      </c>
      <c r="T871" s="23" t="str">
        <f aca="true">IF(AND(C871="Cetak",L871&lt;&gt;"",L871&lt;TODAY()),"YA","")</f>
        <v/>
      </c>
      <c r="U871" s="23" t="str">
        <f aca="false">IF(B871="","",TEXT(B871,"yyyy-mm"))</f>
        <v/>
      </c>
      <c r="V871" s="23" t="str">
        <f aca="false">IF(K871="","",TEXT(K871,"yyyy-mm"))</f>
        <v/>
      </c>
      <c r="W871" s="23" t="n">
        <f aca="false">IF(OR(C871="Cetak",C871="Dikirim",C871="Selesai"),1,0)</f>
        <v>0</v>
      </c>
      <c r="X871" s="23" t="str">
        <f aca="false">IF(F871="","",SUBSTITUTE(SUBSTITUTE(MID(UPPER(TRIM(F871)),4,99),"-LED",""),"-TK",""))</f>
        <v/>
      </c>
      <c r="Y871" s="23" t="str">
        <f aca="false">IF(X871="","",(LEN(X871)+1)/7)</f>
        <v/>
      </c>
      <c r="Z871" s="23" t="str">
        <f aca="false">IF(X871="","",LEFT(X871,6))</f>
        <v/>
      </c>
      <c r="AA871" s="23" t="str">
        <f aca="false">IF(X871="","",IF(Y871&gt;=3,MID(X871,8,6),""))</f>
        <v/>
      </c>
      <c r="AB871" s="23" t="str">
        <f aca="false">IF(X871="","",IF(Y871&gt;=4,MID(X871,15,6),""))</f>
        <v/>
      </c>
      <c r="AC871" s="23" t="str">
        <f aca="false">IF(X871="","",IF(Y871&gt;=5,MID(X871,22,6),""))</f>
        <v/>
      </c>
      <c r="AD871" s="23" t="str">
        <f aca="false">IF(X871="","",RIGHT(X871,6))</f>
        <v/>
      </c>
      <c r="AE871" s="23" t="str">
        <f aca="false">IF(F871="","",IF(ISNUMBER(SEARCH("-TK",UPPER(F871))),0,1))</f>
        <v/>
      </c>
      <c r="AF871" s="23" t="str">
        <f aca="false">IF(F871="","",IF(ISNUMBER(SEARCH("-LED",UPPER(F871))),1,0))</f>
        <v/>
      </c>
      <c r="AG871" s="24" t="n">
        <f aca="false">IF(Z871="",0,IFERROR(INDEX(Resep!$C$5:$C$7,MATCH(LEFT(Z871,3),Resep!$B$5:$B$7,0)),0))</f>
        <v>0</v>
      </c>
      <c r="AH871" s="24" t="n">
        <f aca="false">IF(AA871="",0,IFERROR(INDEX(Resep!$C$9:$C$13,MATCH(LEFT(AA871,3),Resep!$B$9:$B$13,0)),0))</f>
        <v>0</v>
      </c>
      <c r="AI871" s="24" t="n">
        <f aca="false">IF(AB871="",0,IFERROR(INDEX(Resep!$C$9:$C$13,MATCH(LEFT(AB871,3),Resep!$B$9:$B$13,0)),0))</f>
        <v>0</v>
      </c>
      <c r="AJ871" s="24" t="n">
        <f aca="false">IF(AC871="",0,IFERROR(INDEX(Resep!$C$9:$C$13,MATCH(LEFT(AC871,3),Resep!$B$9:$B$13,0)),0))</f>
        <v>0</v>
      </c>
      <c r="AK871" s="24" t="n">
        <f aca="false">IF(AD871="",0,IFERROR(INDEX(Resep!$C$15:$C$18,MATCH(LEFT(AD871,3),Resep!$B$15:$B$18,0)),0))</f>
        <v>0</v>
      </c>
      <c r="AL871" s="24" t="str">
        <f aca="false">IF(X871="","",AG871+AH871+AI871+AJ871+AK871)</f>
        <v/>
      </c>
      <c r="AM871" s="22" t="str">
        <f aca="false">IF(X871="","",AL871*(Pengaturan!$B$6+Pengaturan!$B$7)+Pengaturan!$B$8+AE871*Pengaturan!$B$9+AF871*Pengaturan!$B$10)</f>
        <v/>
      </c>
      <c r="AN871" s="22" t="str">
        <f aca="false">IF(X871="","",N(G871)-AM871)</f>
        <v/>
      </c>
      <c r="AO871" s="25" t="str">
        <f aca="false">IF(OR(X871="",N(G871)=0),"",AN871/G871)</f>
        <v/>
      </c>
    </row>
    <row r="872" customFormat="false" ht="15" hidden="false" customHeight="false" outlineLevel="0" collapsed="false">
      <c r="A872" s="19"/>
      <c r="B872" s="20"/>
      <c r="C872" s="19"/>
      <c r="D872" s="19"/>
      <c r="E872" s="19"/>
      <c r="F872" s="19"/>
      <c r="G872" s="21"/>
      <c r="H872" s="19"/>
      <c r="I872" s="21"/>
      <c r="J872" s="19"/>
      <c r="K872" s="20"/>
      <c r="L872" s="20"/>
      <c r="M872" s="19"/>
      <c r="N872" s="19"/>
      <c r="O872" s="20"/>
      <c r="P872" s="20"/>
      <c r="Q872" s="19"/>
      <c r="R872" s="22" t="str">
        <f aca="false">IF(A872="","",N(G872)+N(I872))</f>
        <v/>
      </c>
      <c r="S872" s="23" t="str">
        <f aca="false">IF(OR(K872="",O872=""),"",O872-K872)</f>
        <v/>
      </c>
      <c r="T872" s="23" t="str">
        <f aca="true">IF(AND(C872="Cetak",L872&lt;&gt;"",L872&lt;TODAY()),"YA","")</f>
        <v/>
      </c>
      <c r="U872" s="23" t="str">
        <f aca="false">IF(B872="","",TEXT(B872,"yyyy-mm"))</f>
        <v/>
      </c>
      <c r="V872" s="23" t="str">
        <f aca="false">IF(K872="","",TEXT(K872,"yyyy-mm"))</f>
        <v/>
      </c>
      <c r="W872" s="23" t="n">
        <f aca="false">IF(OR(C872="Cetak",C872="Dikirim",C872="Selesai"),1,0)</f>
        <v>0</v>
      </c>
      <c r="X872" s="23" t="str">
        <f aca="false">IF(F872="","",SUBSTITUTE(SUBSTITUTE(MID(UPPER(TRIM(F872)),4,99),"-LED",""),"-TK",""))</f>
        <v/>
      </c>
      <c r="Y872" s="23" t="str">
        <f aca="false">IF(X872="","",(LEN(X872)+1)/7)</f>
        <v/>
      </c>
      <c r="Z872" s="23" t="str">
        <f aca="false">IF(X872="","",LEFT(X872,6))</f>
        <v/>
      </c>
      <c r="AA872" s="23" t="str">
        <f aca="false">IF(X872="","",IF(Y872&gt;=3,MID(X872,8,6),""))</f>
        <v/>
      </c>
      <c r="AB872" s="23" t="str">
        <f aca="false">IF(X872="","",IF(Y872&gt;=4,MID(X872,15,6),""))</f>
        <v/>
      </c>
      <c r="AC872" s="23" t="str">
        <f aca="false">IF(X872="","",IF(Y872&gt;=5,MID(X872,22,6),""))</f>
        <v/>
      </c>
      <c r="AD872" s="23" t="str">
        <f aca="false">IF(X872="","",RIGHT(X872,6))</f>
        <v/>
      </c>
      <c r="AE872" s="23" t="str">
        <f aca="false">IF(F872="","",IF(ISNUMBER(SEARCH("-TK",UPPER(F872))),0,1))</f>
        <v/>
      </c>
      <c r="AF872" s="23" t="str">
        <f aca="false">IF(F872="","",IF(ISNUMBER(SEARCH("-LED",UPPER(F872))),1,0))</f>
        <v/>
      </c>
      <c r="AG872" s="24" t="n">
        <f aca="false">IF(Z872="",0,IFERROR(INDEX(Resep!$C$5:$C$7,MATCH(LEFT(Z872,3),Resep!$B$5:$B$7,0)),0))</f>
        <v>0</v>
      </c>
      <c r="AH872" s="24" t="n">
        <f aca="false">IF(AA872="",0,IFERROR(INDEX(Resep!$C$9:$C$13,MATCH(LEFT(AA872,3),Resep!$B$9:$B$13,0)),0))</f>
        <v>0</v>
      </c>
      <c r="AI872" s="24" t="n">
        <f aca="false">IF(AB872="",0,IFERROR(INDEX(Resep!$C$9:$C$13,MATCH(LEFT(AB872,3),Resep!$B$9:$B$13,0)),0))</f>
        <v>0</v>
      </c>
      <c r="AJ872" s="24" t="n">
        <f aca="false">IF(AC872="",0,IFERROR(INDEX(Resep!$C$9:$C$13,MATCH(LEFT(AC872,3),Resep!$B$9:$B$13,0)),0))</f>
        <v>0</v>
      </c>
      <c r="AK872" s="24" t="n">
        <f aca="false">IF(AD872="",0,IFERROR(INDEX(Resep!$C$15:$C$18,MATCH(LEFT(AD872,3),Resep!$B$15:$B$18,0)),0))</f>
        <v>0</v>
      </c>
      <c r="AL872" s="24" t="str">
        <f aca="false">IF(X872="","",AG872+AH872+AI872+AJ872+AK872)</f>
        <v/>
      </c>
      <c r="AM872" s="22" t="str">
        <f aca="false">IF(X872="","",AL872*(Pengaturan!$B$6+Pengaturan!$B$7)+Pengaturan!$B$8+AE872*Pengaturan!$B$9+AF872*Pengaturan!$B$10)</f>
        <v/>
      </c>
      <c r="AN872" s="22" t="str">
        <f aca="false">IF(X872="","",N(G872)-AM872)</f>
        <v/>
      </c>
      <c r="AO872" s="25" t="str">
        <f aca="false">IF(OR(X872="",N(G872)=0),"",AN872/G872)</f>
        <v/>
      </c>
    </row>
    <row r="873" customFormat="false" ht="15" hidden="false" customHeight="false" outlineLevel="0" collapsed="false">
      <c r="A873" s="19"/>
      <c r="B873" s="20"/>
      <c r="C873" s="19"/>
      <c r="D873" s="19"/>
      <c r="E873" s="19"/>
      <c r="F873" s="19"/>
      <c r="G873" s="21"/>
      <c r="H873" s="19"/>
      <c r="I873" s="21"/>
      <c r="J873" s="19"/>
      <c r="K873" s="20"/>
      <c r="L873" s="20"/>
      <c r="M873" s="19"/>
      <c r="N873" s="19"/>
      <c r="O873" s="20"/>
      <c r="P873" s="20"/>
      <c r="Q873" s="19"/>
      <c r="R873" s="22" t="str">
        <f aca="false">IF(A873="","",N(G873)+N(I873))</f>
        <v/>
      </c>
      <c r="S873" s="23" t="str">
        <f aca="false">IF(OR(K873="",O873=""),"",O873-K873)</f>
        <v/>
      </c>
      <c r="T873" s="23" t="str">
        <f aca="true">IF(AND(C873="Cetak",L873&lt;&gt;"",L873&lt;TODAY()),"YA","")</f>
        <v/>
      </c>
      <c r="U873" s="23" t="str">
        <f aca="false">IF(B873="","",TEXT(B873,"yyyy-mm"))</f>
        <v/>
      </c>
      <c r="V873" s="23" t="str">
        <f aca="false">IF(K873="","",TEXT(K873,"yyyy-mm"))</f>
        <v/>
      </c>
      <c r="W873" s="23" t="n">
        <f aca="false">IF(OR(C873="Cetak",C873="Dikirim",C873="Selesai"),1,0)</f>
        <v>0</v>
      </c>
      <c r="X873" s="23" t="str">
        <f aca="false">IF(F873="","",SUBSTITUTE(SUBSTITUTE(MID(UPPER(TRIM(F873)),4,99),"-LED",""),"-TK",""))</f>
        <v/>
      </c>
      <c r="Y873" s="23" t="str">
        <f aca="false">IF(X873="","",(LEN(X873)+1)/7)</f>
        <v/>
      </c>
      <c r="Z873" s="23" t="str">
        <f aca="false">IF(X873="","",LEFT(X873,6))</f>
        <v/>
      </c>
      <c r="AA873" s="23" t="str">
        <f aca="false">IF(X873="","",IF(Y873&gt;=3,MID(X873,8,6),""))</f>
        <v/>
      </c>
      <c r="AB873" s="23" t="str">
        <f aca="false">IF(X873="","",IF(Y873&gt;=4,MID(X873,15,6),""))</f>
        <v/>
      </c>
      <c r="AC873" s="23" t="str">
        <f aca="false">IF(X873="","",IF(Y873&gt;=5,MID(X873,22,6),""))</f>
        <v/>
      </c>
      <c r="AD873" s="23" t="str">
        <f aca="false">IF(X873="","",RIGHT(X873,6))</f>
        <v/>
      </c>
      <c r="AE873" s="23" t="str">
        <f aca="false">IF(F873="","",IF(ISNUMBER(SEARCH("-TK",UPPER(F873))),0,1))</f>
        <v/>
      </c>
      <c r="AF873" s="23" t="str">
        <f aca="false">IF(F873="","",IF(ISNUMBER(SEARCH("-LED",UPPER(F873))),1,0))</f>
        <v/>
      </c>
      <c r="AG873" s="24" t="n">
        <f aca="false">IF(Z873="",0,IFERROR(INDEX(Resep!$C$5:$C$7,MATCH(LEFT(Z873,3),Resep!$B$5:$B$7,0)),0))</f>
        <v>0</v>
      </c>
      <c r="AH873" s="24" t="n">
        <f aca="false">IF(AA873="",0,IFERROR(INDEX(Resep!$C$9:$C$13,MATCH(LEFT(AA873,3),Resep!$B$9:$B$13,0)),0))</f>
        <v>0</v>
      </c>
      <c r="AI873" s="24" t="n">
        <f aca="false">IF(AB873="",0,IFERROR(INDEX(Resep!$C$9:$C$13,MATCH(LEFT(AB873,3),Resep!$B$9:$B$13,0)),0))</f>
        <v>0</v>
      </c>
      <c r="AJ873" s="24" t="n">
        <f aca="false">IF(AC873="",0,IFERROR(INDEX(Resep!$C$9:$C$13,MATCH(LEFT(AC873,3),Resep!$B$9:$B$13,0)),0))</f>
        <v>0</v>
      </c>
      <c r="AK873" s="24" t="n">
        <f aca="false">IF(AD873="",0,IFERROR(INDEX(Resep!$C$15:$C$18,MATCH(LEFT(AD873,3),Resep!$B$15:$B$18,0)),0))</f>
        <v>0</v>
      </c>
      <c r="AL873" s="24" t="str">
        <f aca="false">IF(X873="","",AG873+AH873+AI873+AJ873+AK873)</f>
        <v/>
      </c>
      <c r="AM873" s="22" t="str">
        <f aca="false">IF(X873="","",AL873*(Pengaturan!$B$6+Pengaturan!$B$7)+Pengaturan!$B$8+AE873*Pengaturan!$B$9+AF873*Pengaturan!$B$10)</f>
        <v/>
      </c>
      <c r="AN873" s="22" t="str">
        <f aca="false">IF(X873="","",N(G873)-AM873)</f>
        <v/>
      </c>
      <c r="AO873" s="25" t="str">
        <f aca="false">IF(OR(X873="",N(G873)=0),"",AN873/G873)</f>
        <v/>
      </c>
    </row>
    <row r="874" customFormat="false" ht="15" hidden="false" customHeight="false" outlineLevel="0" collapsed="false">
      <c r="A874" s="19"/>
      <c r="B874" s="20"/>
      <c r="C874" s="19"/>
      <c r="D874" s="19"/>
      <c r="E874" s="19"/>
      <c r="F874" s="19"/>
      <c r="G874" s="21"/>
      <c r="H874" s="19"/>
      <c r="I874" s="21"/>
      <c r="J874" s="19"/>
      <c r="K874" s="20"/>
      <c r="L874" s="20"/>
      <c r="M874" s="19"/>
      <c r="N874" s="19"/>
      <c r="O874" s="20"/>
      <c r="P874" s="20"/>
      <c r="Q874" s="19"/>
      <c r="R874" s="22" t="str">
        <f aca="false">IF(A874="","",N(G874)+N(I874))</f>
        <v/>
      </c>
      <c r="S874" s="23" t="str">
        <f aca="false">IF(OR(K874="",O874=""),"",O874-K874)</f>
        <v/>
      </c>
      <c r="T874" s="23" t="str">
        <f aca="true">IF(AND(C874="Cetak",L874&lt;&gt;"",L874&lt;TODAY()),"YA","")</f>
        <v/>
      </c>
      <c r="U874" s="23" t="str">
        <f aca="false">IF(B874="","",TEXT(B874,"yyyy-mm"))</f>
        <v/>
      </c>
      <c r="V874" s="23" t="str">
        <f aca="false">IF(K874="","",TEXT(K874,"yyyy-mm"))</f>
        <v/>
      </c>
      <c r="W874" s="23" t="n">
        <f aca="false">IF(OR(C874="Cetak",C874="Dikirim",C874="Selesai"),1,0)</f>
        <v>0</v>
      </c>
      <c r="X874" s="23" t="str">
        <f aca="false">IF(F874="","",SUBSTITUTE(SUBSTITUTE(MID(UPPER(TRIM(F874)),4,99),"-LED",""),"-TK",""))</f>
        <v/>
      </c>
      <c r="Y874" s="23" t="str">
        <f aca="false">IF(X874="","",(LEN(X874)+1)/7)</f>
        <v/>
      </c>
      <c r="Z874" s="23" t="str">
        <f aca="false">IF(X874="","",LEFT(X874,6))</f>
        <v/>
      </c>
      <c r="AA874" s="23" t="str">
        <f aca="false">IF(X874="","",IF(Y874&gt;=3,MID(X874,8,6),""))</f>
        <v/>
      </c>
      <c r="AB874" s="23" t="str">
        <f aca="false">IF(X874="","",IF(Y874&gt;=4,MID(X874,15,6),""))</f>
        <v/>
      </c>
      <c r="AC874" s="23" t="str">
        <f aca="false">IF(X874="","",IF(Y874&gt;=5,MID(X874,22,6),""))</f>
        <v/>
      </c>
      <c r="AD874" s="23" t="str">
        <f aca="false">IF(X874="","",RIGHT(X874,6))</f>
        <v/>
      </c>
      <c r="AE874" s="23" t="str">
        <f aca="false">IF(F874="","",IF(ISNUMBER(SEARCH("-TK",UPPER(F874))),0,1))</f>
        <v/>
      </c>
      <c r="AF874" s="23" t="str">
        <f aca="false">IF(F874="","",IF(ISNUMBER(SEARCH("-LED",UPPER(F874))),1,0))</f>
        <v/>
      </c>
      <c r="AG874" s="24" t="n">
        <f aca="false">IF(Z874="",0,IFERROR(INDEX(Resep!$C$5:$C$7,MATCH(LEFT(Z874,3),Resep!$B$5:$B$7,0)),0))</f>
        <v>0</v>
      </c>
      <c r="AH874" s="24" t="n">
        <f aca="false">IF(AA874="",0,IFERROR(INDEX(Resep!$C$9:$C$13,MATCH(LEFT(AA874,3),Resep!$B$9:$B$13,0)),0))</f>
        <v>0</v>
      </c>
      <c r="AI874" s="24" t="n">
        <f aca="false">IF(AB874="",0,IFERROR(INDEX(Resep!$C$9:$C$13,MATCH(LEFT(AB874,3),Resep!$B$9:$B$13,0)),0))</f>
        <v>0</v>
      </c>
      <c r="AJ874" s="24" t="n">
        <f aca="false">IF(AC874="",0,IFERROR(INDEX(Resep!$C$9:$C$13,MATCH(LEFT(AC874,3),Resep!$B$9:$B$13,0)),0))</f>
        <v>0</v>
      </c>
      <c r="AK874" s="24" t="n">
        <f aca="false">IF(AD874="",0,IFERROR(INDEX(Resep!$C$15:$C$18,MATCH(LEFT(AD874,3),Resep!$B$15:$B$18,0)),0))</f>
        <v>0</v>
      </c>
      <c r="AL874" s="24" t="str">
        <f aca="false">IF(X874="","",AG874+AH874+AI874+AJ874+AK874)</f>
        <v/>
      </c>
      <c r="AM874" s="22" t="str">
        <f aca="false">IF(X874="","",AL874*(Pengaturan!$B$6+Pengaturan!$B$7)+Pengaturan!$B$8+AE874*Pengaturan!$B$9+AF874*Pengaturan!$B$10)</f>
        <v/>
      </c>
      <c r="AN874" s="22" t="str">
        <f aca="false">IF(X874="","",N(G874)-AM874)</f>
        <v/>
      </c>
      <c r="AO874" s="25" t="str">
        <f aca="false">IF(OR(X874="",N(G874)=0),"",AN874/G874)</f>
        <v/>
      </c>
    </row>
    <row r="875" customFormat="false" ht="15" hidden="false" customHeight="false" outlineLevel="0" collapsed="false">
      <c r="A875" s="19"/>
      <c r="B875" s="20"/>
      <c r="C875" s="19"/>
      <c r="D875" s="19"/>
      <c r="E875" s="19"/>
      <c r="F875" s="19"/>
      <c r="G875" s="21"/>
      <c r="H875" s="19"/>
      <c r="I875" s="21"/>
      <c r="J875" s="19"/>
      <c r="K875" s="20"/>
      <c r="L875" s="20"/>
      <c r="M875" s="19"/>
      <c r="N875" s="19"/>
      <c r="O875" s="20"/>
      <c r="P875" s="20"/>
      <c r="Q875" s="19"/>
      <c r="R875" s="22" t="str">
        <f aca="false">IF(A875="","",N(G875)+N(I875))</f>
        <v/>
      </c>
      <c r="S875" s="23" t="str">
        <f aca="false">IF(OR(K875="",O875=""),"",O875-K875)</f>
        <v/>
      </c>
      <c r="T875" s="23" t="str">
        <f aca="true">IF(AND(C875="Cetak",L875&lt;&gt;"",L875&lt;TODAY()),"YA","")</f>
        <v/>
      </c>
      <c r="U875" s="23" t="str">
        <f aca="false">IF(B875="","",TEXT(B875,"yyyy-mm"))</f>
        <v/>
      </c>
      <c r="V875" s="23" t="str">
        <f aca="false">IF(K875="","",TEXT(K875,"yyyy-mm"))</f>
        <v/>
      </c>
      <c r="W875" s="23" t="n">
        <f aca="false">IF(OR(C875="Cetak",C875="Dikirim",C875="Selesai"),1,0)</f>
        <v>0</v>
      </c>
      <c r="X875" s="23" t="str">
        <f aca="false">IF(F875="","",SUBSTITUTE(SUBSTITUTE(MID(UPPER(TRIM(F875)),4,99),"-LED",""),"-TK",""))</f>
        <v/>
      </c>
      <c r="Y875" s="23" t="str">
        <f aca="false">IF(X875="","",(LEN(X875)+1)/7)</f>
        <v/>
      </c>
      <c r="Z875" s="23" t="str">
        <f aca="false">IF(X875="","",LEFT(X875,6))</f>
        <v/>
      </c>
      <c r="AA875" s="23" t="str">
        <f aca="false">IF(X875="","",IF(Y875&gt;=3,MID(X875,8,6),""))</f>
        <v/>
      </c>
      <c r="AB875" s="23" t="str">
        <f aca="false">IF(X875="","",IF(Y875&gt;=4,MID(X875,15,6),""))</f>
        <v/>
      </c>
      <c r="AC875" s="23" t="str">
        <f aca="false">IF(X875="","",IF(Y875&gt;=5,MID(X875,22,6),""))</f>
        <v/>
      </c>
      <c r="AD875" s="23" t="str">
        <f aca="false">IF(X875="","",RIGHT(X875,6))</f>
        <v/>
      </c>
      <c r="AE875" s="23" t="str">
        <f aca="false">IF(F875="","",IF(ISNUMBER(SEARCH("-TK",UPPER(F875))),0,1))</f>
        <v/>
      </c>
      <c r="AF875" s="23" t="str">
        <f aca="false">IF(F875="","",IF(ISNUMBER(SEARCH("-LED",UPPER(F875))),1,0))</f>
        <v/>
      </c>
      <c r="AG875" s="24" t="n">
        <f aca="false">IF(Z875="",0,IFERROR(INDEX(Resep!$C$5:$C$7,MATCH(LEFT(Z875,3),Resep!$B$5:$B$7,0)),0))</f>
        <v>0</v>
      </c>
      <c r="AH875" s="24" t="n">
        <f aca="false">IF(AA875="",0,IFERROR(INDEX(Resep!$C$9:$C$13,MATCH(LEFT(AA875,3),Resep!$B$9:$B$13,0)),0))</f>
        <v>0</v>
      </c>
      <c r="AI875" s="24" t="n">
        <f aca="false">IF(AB875="",0,IFERROR(INDEX(Resep!$C$9:$C$13,MATCH(LEFT(AB875,3),Resep!$B$9:$B$13,0)),0))</f>
        <v>0</v>
      </c>
      <c r="AJ875" s="24" t="n">
        <f aca="false">IF(AC875="",0,IFERROR(INDEX(Resep!$C$9:$C$13,MATCH(LEFT(AC875,3),Resep!$B$9:$B$13,0)),0))</f>
        <v>0</v>
      </c>
      <c r="AK875" s="24" t="n">
        <f aca="false">IF(AD875="",0,IFERROR(INDEX(Resep!$C$15:$C$18,MATCH(LEFT(AD875,3),Resep!$B$15:$B$18,0)),0))</f>
        <v>0</v>
      </c>
      <c r="AL875" s="24" t="str">
        <f aca="false">IF(X875="","",AG875+AH875+AI875+AJ875+AK875)</f>
        <v/>
      </c>
      <c r="AM875" s="22" t="str">
        <f aca="false">IF(X875="","",AL875*(Pengaturan!$B$6+Pengaturan!$B$7)+Pengaturan!$B$8+AE875*Pengaturan!$B$9+AF875*Pengaturan!$B$10)</f>
        <v/>
      </c>
      <c r="AN875" s="22" t="str">
        <f aca="false">IF(X875="","",N(G875)-AM875)</f>
        <v/>
      </c>
      <c r="AO875" s="25" t="str">
        <f aca="false">IF(OR(X875="",N(G875)=0),"",AN875/G875)</f>
        <v/>
      </c>
    </row>
    <row r="876" customFormat="false" ht="15" hidden="false" customHeight="false" outlineLevel="0" collapsed="false">
      <c r="A876" s="19"/>
      <c r="B876" s="20"/>
      <c r="C876" s="19"/>
      <c r="D876" s="19"/>
      <c r="E876" s="19"/>
      <c r="F876" s="19"/>
      <c r="G876" s="21"/>
      <c r="H876" s="19"/>
      <c r="I876" s="21"/>
      <c r="J876" s="19"/>
      <c r="K876" s="20"/>
      <c r="L876" s="20"/>
      <c r="M876" s="19"/>
      <c r="N876" s="19"/>
      <c r="O876" s="20"/>
      <c r="P876" s="20"/>
      <c r="Q876" s="19"/>
      <c r="R876" s="22" t="str">
        <f aca="false">IF(A876="","",N(G876)+N(I876))</f>
        <v/>
      </c>
      <c r="S876" s="23" t="str">
        <f aca="false">IF(OR(K876="",O876=""),"",O876-K876)</f>
        <v/>
      </c>
      <c r="T876" s="23" t="str">
        <f aca="true">IF(AND(C876="Cetak",L876&lt;&gt;"",L876&lt;TODAY()),"YA","")</f>
        <v/>
      </c>
      <c r="U876" s="23" t="str">
        <f aca="false">IF(B876="","",TEXT(B876,"yyyy-mm"))</f>
        <v/>
      </c>
      <c r="V876" s="23" t="str">
        <f aca="false">IF(K876="","",TEXT(K876,"yyyy-mm"))</f>
        <v/>
      </c>
      <c r="W876" s="23" t="n">
        <f aca="false">IF(OR(C876="Cetak",C876="Dikirim",C876="Selesai"),1,0)</f>
        <v>0</v>
      </c>
      <c r="X876" s="23" t="str">
        <f aca="false">IF(F876="","",SUBSTITUTE(SUBSTITUTE(MID(UPPER(TRIM(F876)),4,99),"-LED",""),"-TK",""))</f>
        <v/>
      </c>
      <c r="Y876" s="23" t="str">
        <f aca="false">IF(X876="","",(LEN(X876)+1)/7)</f>
        <v/>
      </c>
      <c r="Z876" s="23" t="str">
        <f aca="false">IF(X876="","",LEFT(X876,6))</f>
        <v/>
      </c>
      <c r="AA876" s="23" t="str">
        <f aca="false">IF(X876="","",IF(Y876&gt;=3,MID(X876,8,6),""))</f>
        <v/>
      </c>
      <c r="AB876" s="23" t="str">
        <f aca="false">IF(X876="","",IF(Y876&gt;=4,MID(X876,15,6),""))</f>
        <v/>
      </c>
      <c r="AC876" s="23" t="str">
        <f aca="false">IF(X876="","",IF(Y876&gt;=5,MID(X876,22,6),""))</f>
        <v/>
      </c>
      <c r="AD876" s="23" t="str">
        <f aca="false">IF(X876="","",RIGHT(X876,6))</f>
        <v/>
      </c>
      <c r="AE876" s="23" t="str">
        <f aca="false">IF(F876="","",IF(ISNUMBER(SEARCH("-TK",UPPER(F876))),0,1))</f>
        <v/>
      </c>
      <c r="AF876" s="23" t="str">
        <f aca="false">IF(F876="","",IF(ISNUMBER(SEARCH("-LED",UPPER(F876))),1,0))</f>
        <v/>
      </c>
      <c r="AG876" s="24" t="n">
        <f aca="false">IF(Z876="",0,IFERROR(INDEX(Resep!$C$5:$C$7,MATCH(LEFT(Z876,3),Resep!$B$5:$B$7,0)),0))</f>
        <v>0</v>
      </c>
      <c r="AH876" s="24" t="n">
        <f aca="false">IF(AA876="",0,IFERROR(INDEX(Resep!$C$9:$C$13,MATCH(LEFT(AA876,3),Resep!$B$9:$B$13,0)),0))</f>
        <v>0</v>
      </c>
      <c r="AI876" s="24" t="n">
        <f aca="false">IF(AB876="",0,IFERROR(INDEX(Resep!$C$9:$C$13,MATCH(LEFT(AB876,3),Resep!$B$9:$B$13,0)),0))</f>
        <v>0</v>
      </c>
      <c r="AJ876" s="24" t="n">
        <f aca="false">IF(AC876="",0,IFERROR(INDEX(Resep!$C$9:$C$13,MATCH(LEFT(AC876,3),Resep!$B$9:$B$13,0)),0))</f>
        <v>0</v>
      </c>
      <c r="AK876" s="24" t="n">
        <f aca="false">IF(AD876="",0,IFERROR(INDEX(Resep!$C$15:$C$18,MATCH(LEFT(AD876,3),Resep!$B$15:$B$18,0)),0))</f>
        <v>0</v>
      </c>
      <c r="AL876" s="24" t="str">
        <f aca="false">IF(X876="","",AG876+AH876+AI876+AJ876+AK876)</f>
        <v/>
      </c>
      <c r="AM876" s="22" t="str">
        <f aca="false">IF(X876="","",AL876*(Pengaturan!$B$6+Pengaturan!$B$7)+Pengaturan!$B$8+AE876*Pengaturan!$B$9+AF876*Pengaturan!$B$10)</f>
        <v/>
      </c>
      <c r="AN876" s="22" t="str">
        <f aca="false">IF(X876="","",N(G876)-AM876)</f>
        <v/>
      </c>
      <c r="AO876" s="25" t="str">
        <f aca="false">IF(OR(X876="",N(G876)=0),"",AN876/G876)</f>
        <v/>
      </c>
    </row>
    <row r="877" customFormat="false" ht="15" hidden="false" customHeight="false" outlineLevel="0" collapsed="false">
      <c r="A877" s="19"/>
      <c r="B877" s="20"/>
      <c r="C877" s="19"/>
      <c r="D877" s="19"/>
      <c r="E877" s="19"/>
      <c r="F877" s="19"/>
      <c r="G877" s="21"/>
      <c r="H877" s="19"/>
      <c r="I877" s="21"/>
      <c r="J877" s="19"/>
      <c r="K877" s="20"/>
      <c r="L877" s="20"/>
      <c r="M877" s="19"/>
      <c r="N877" s="19"/>
      <c r="O877" s="20"/>
      <c r="P877" s="20"/>
      <c r="Q877" s="19"/>
      <c r="R877" s="22" t="str">
        <f aca="false">IF(A877="","",N(G877)+N(I877))</f>
        <v/>
      </c>
      <c r="S877" s="23" t="str">
        <f aca="false">IF(OR(K877="",O877=""),"",O877-K877)</f>
        <v/>
      </c>
      <c r="T877" s="23" t="str">
        <f aca="true">IF(AND(C877="Cetak",L877&lt;&gt;"",L877&lt;TODAY()),"YA","")</f>
        <v/>
      </c>
      <c r="U877" s="23" t="str">
        <f aca="false">IF(B877="","",TEXT(B877,"yyyy-mm"))</f>
        <v/>
      </c>
      <c r="V877" s="23" t="str">
        <f aca="false">IF(K877="","",TEXT(K877,"yyyy-mm"))</f>
        <v/>
      </c>
      <c r="W877" s="23" t="n">
        <f aca="false">IF(OR(C877="Cetak",C877="Dikirim",C877="Selesai"),1,0)</f>
        <v>0</v>
      </c>
      <c r="X877" s="23" t="str">
        <f aca="false">IF(F877="","",SUBSTITUTE(SUBSTITUTE(MID(UPPER(TRIM(F877)),4,99),"-LED",""),"-TK",""))</f>
        <v/>
      </c>
      <c r="Y877" s="23" t="str">
        <f aca="false">IF(X877="","",(LEN(X877)+1)/7)</f>
        <v/>
      </c>
      <c r="Z877" s="23" t="str">
        <f aca="false">IF(X877="","",LEFT(X877,6))</f>
        <v/>
      </c>
      <c r="AA877" s="23" t="str">
        <f aca="false">IF(X877="","",IF(Y877&gt;=3,MID(X877,8,6),""))</f>
        <v/>
      </c>
      <c r="AB877" s="23" t="str">
        <f aca="false">IF(X877="","",IF(Y877&gt;=4,MID(X877,15,6),""))</f>
        <v/>
      </c>
      <c r="AC877" s="23" t="str">
        <f aca="false">IF(X877="","",IF(Y877&gt;=5,MID(X877,22,6),""))</f>
        <v/>
      </c>
      <c r="AD877" s="23" t="str">
        <f aca="false">IF(X877="","",RIGHT(X877,6))</f>
        <v/>
      </c>
      <c r="AE877" s="23" t="str">
        <f aca="false">IF(F877="","",IF(ISNUMBER(SEARCH("-TK",UPPER(F877))),0,1))</f>
        <v/>
      </c>
      <c r="AF877" s="23" t="str">
        <f aca="false">IF(F877="","",IF(ISNUMBER(SEARCH("-LED",UPPER(F877))),1,0))</f>
        <v/>
      </c>
      <c r="AG877" s="24" t="n">
        <f aca="false">IF(Z877="",0,IFERROR(INDEX(Resep!$C$5:$C$7,MATCH(LEFT(Z877,3),Resep!$B$5:$B$7,0)),0))</f>
        <v>0</v>
      </c>
      <c r="AH877" s="24" t="n">
        <f aca="false">IF(AA877="",0,IFERROR(INDEX(Resep!$C$9:$C$13,MATCH(LEFT(AA877,3),Resep!$B$9:$B$13,0)),0))</f>
        <v>0</v>
      </c>
      <c r="AI877" s="24" t="n">
        <f aca="false">IF(AB877="",0,IFERROR(INDEX(Resep!$C$9:$C$13,MATCH(LEFT(AB877,3),Resep!$B$9:$B$13,0)),0))</f>
        <v>0</v>
      </c>
      <c r="AJ877" s="24" t="n">
        <f aca="false">IF(AC877="",0,IFERROR(INDEX(Resep!$C$9:$C$13,MATCH(LEFT(AC877,3),Resep!$B$9:$B$13,0)),0))</f>
        <v>0</v>
      </c>
      <c r="AK877" s="24" t="n">
        <f aca="false">IF(AD877="",0,IFERROR(INDEX(Resep!$C$15:$C$18,MATCH(LEFT(AD877,3),Resep!$B$15:$B$18,0)),0))</f>
        <v>0</v>
      </c>
      <c r="AL877" s="24" t="str">
        <f aca="false">IF(X877="","",AG877+AH877+AI877+AJ877+AK877)</f>
        <v/>
      </c>
      <c r="AM877" s="22" t="str">
        <f aca="false">IF(X877="","",AL877*(Pengaturan!$B$6+Pengaturan!$B$7)+Pengaturan!$B$8+AE877*Pengaturan!$B$9+AF877*Pengaturan!$B$10)</f>
        <v/>
      </c>
      <c r="AN877" s="22" t="str">
        <f aca="false">IF(X877="","",N(G877)-AM877)</f>
        <v/>
      </c>
      <c r="AO877" s="25" t="str">
        <f aca="false">IF(OR(X877="",N(G877)=0),"",AN877/G877)</f>
        <v/>
      </c>
    </row>
    <row r="878" customFormat="false" ht="15" hidden="false" customHeight="false" outlineLevel="0" collapsed="false">
      <c r="A878" s="19"/>
      <c r="B878" s="20"/>
      <c r="C878" s="19"/>
      <c r="D878" s="19"/>
      <c r="E878" s="19"/>
      <c r="F878" s="19"/>
      <c r="G878" s="21"/>
      <c r="H878" s="19"/>
      <c r="I878" s="21"/>
      <c r="J878" s="19"/>
      <c r="K878" s="20"/>
      <c r="L878" s="20"/>
      <c r="M878" s="19"/>
      <c r="N878" s="19"/>
      <c r="O878" s="20"/>
      <c r="P878" s="20"/>
      <c r="Q878" s="19"/>
      <c r="R878" s="22" t="str">
        <f aca="false">IF(A878="","",N(G878)+N(I878))</f>
        <v/>
      </c>
      <c r="S878" s="23" t="str">
        <f aca="false">IF(OR(K878="",O878=""),"",O878-K878)</f>
        <v/>
      </c>
      <c r="T878" s="23" t="str">
        <f aca="true">IF(AND(C878="Cetak",L878&lt;&gt;"",L878&lt;TODAY()),"YA","")</f>
        <v/>
      </c>
      <c r="U878" s="23" t="str">
        <f aca="false">IF(B878="","",TEXT(B878,"yyyy-mm"))</f>
        <v/>
      </c>
      <c r="V878" s="23" t="str">
        <f aca="false">IF(K878="","",TEXT(K878,"yyyy-mm"))</f>
        <v/>
      </c>
      <c r="W878" s="23" t="n">
        <f aca="false">IF(OR(C878="Cetak",C878="Dikirim",C878="Selesai"),1,0)</f>
        <v>0</v>
      </c>
      <c r="X878" s="23" t="str">
        <f aca="false">IF(F878="","",SUBSTITUTE(SUBSTITUTE(MID(UPPER(TRIM(F878)),4,99),"-LED",""),"-TK",""))</f>
        <v/>
      </c>
      <c r="Y878" s="23" t="str">
        <f aca="false">IF(X878="","",(LEN(X878)+1)/7)</f>
        <v/>
      </c>
      <c r="Z878" s="23" t="str">
        <f aca="false">IF(X878="","",LEFT(X878,6))</f>
        <v/>
      </c>
      <c r="AA878" s="23" t="str">
        <f aca="false">IF(X878="","",IF(Y878&gt;=3,MID(X878,8,6),""))</f>
        <v/>
      </c>
      <c r="AB878" s="23" t="str">
        <f aca="false">IF(X878="","",IF(Y878&gt;=4,MID(X878,15,6),""))</f>
        <v/>
      </c>
      <c r="AC878" s="23" t="str">
        <f aca="false">IF(X878="","",IF(Y878&gt;=5,MID(X878,22,6),""))</f>
        <v/>
      </c>
      <c r="AD878" s="23" t="str">
        <f aca="false">IF(X878="","",RIGHT(X878,6))</f>
        <v/>
      </c>
      <c r="AE878" s="23" t="str">
        <f aca="false">IF(F878="","",IF(ISNUMBER(SEARCH("-TK",UPPER(F878))),0,1))</f>
        <v/>
      </c>
      <c r="AF878" s="23" t="str">
        <f aca="false">IF(F878="","",IF(ISNUMBER(SEARCH("-LED",UPPER(F878))),1,0))</f>
        <v/>
      </c>
      <c r="AG878" s="24" t="n">
        <f aca="false">IF(Z878="",0,IFERROR(INDEX(Resep!$C$5:$C$7,MATCH(LEFT(Z878,3),Resep!$B$5:$B$7,0)),0))</f>
        <v>0</v>
      </c>
      <c r="AH878" s="24" t="n">
        <f aca="false">IF(AA878="",0,IFERROR(INDEX(Resep!$C$9:$C$13,MATCH(LEFT(AA878,3),Resep!$B$9:$B$13,0)),0))</f>
        <v>0</v>
      </c>
      <c r="AI878" s="24" t="n">
        <f aca="false">IF(AB878="",0,IFERROR(INDEX(Resep!$C$9:$C$13,MATCH(LEFT(AB878,3),Resep!$B$9:$B$13,0)),0))</f>
        <v>0</v>
      </c>
      <c r="AJ878" s="24" t="n">
        <f aca="false">IF(AC878="",0,IFERROR(INDEX(Resep!$C$9:$C$13,MATCH(LEFT(AC878,3),Resep!$B$9:$B$13,0)),0))</f>
        <v>0</v>
      </c>
      <c r="AK878" s="24" t="n">
        <f aca="false">IF(AD878="",0,IFERROR(INDEX(Resep!$C$15:$C$18,MATCH(LEFT(AD878,3),Resep!$B$15:$B$18,0)),0))</f>
        <v>0</v>
      </c>
      <c r="AL878" s="24" t="str">
        <f aca="false">IF(X878="","",AG878+AH878+AI878+AJ878+AK878)</f>
        <v/>
      </c>
      <c r="AM878" s="22" t="str">
        <f aca="false">IF(X878="","",AL878*(Pengaturan!$B$6+Pengaturan!$B$7)+Pengaturan!$B$8+AE878*Pengaturan!$B$9+AF878*Pengaturan!$B$10)</f>
        <v/>
      </c>
      <c r="AN878" s="22" t="str">
        <f aca="false">IF(X878="","",N(G878)-AM878)</f>
        <v/>
      </c>
      <c r="AO878" s="25" t="str">
        <f aca="false">IF(OR(X878="",N(G878)=0),"",AN878/G878)</f>
        <v/>
      </c>
    </row>
    <row r="879" customFormat="false" ht="15" hidden="false" customHeight="false" outlineLevel="0" collapsed="false">
      <c r="A879" s="19"/>
      <c r="B879" s="20"/>
      <c r="C879" s="19"/>
      <c r="D879" s="19"/>
      <c r="E879" s="19"/>
      <c r="F879" s="19"/>
      <c r="G879" s="21"/>
      <c r="H879" s="19"/>
      <c r="I879" s="21"/>
      <c r="J879" s="19"/>
      <c r="K879" s="20"/>
      <c r="L879" s="20"/>
      <c r="M879" s="19"/>
      <c r="N879" s="19"/>
      <c r="O879" s="20"/>
      <c r="P879" s="20"/>
      <c r="Q879" s="19"/>
      <c r="R879" s="22" t="str">
        <f aca="false">IF(A879="","",N(G879)+N(I879))</f>
        <v/>
      </c>
      <c r="S879" s="23" t="str">
        <f aca="false">IF(OR(K879="",O879=""),"",O879-K879)</f>
        <v/>
      </c>
      <c r="T879" s="23" t="str">
        <f aca="true">IF(AND(C879="Cetak",L879&lt;&gt;"",L879&lt;TODAY()),"YA","")</f>
        <v/>
      </c>
      <c r="U879" s="23" t="str">
        <f aca="false">IF(B879="","",TEXT(B879,"yyyy-mm"))</f>
        <v/>
      </c>
      <c r="V879" s="23" t="str">
        <f aca="false">IF(K879="","",TEXT(K879,"yyyy-mm"))</f>
        <v/>
      </c>
      <c r="W879" s="23" t="n">
        <f aca="false">IF(OR(C879="Cetak",C879="Dikirim",C879="Selesai"),1,0)</f>
        <v>0</v>
      </c>
      <c r="X879" s="23" t="str">
        <f aca="false">IF(F879="","",SUBSTITUTE(SUBSTITUTE(MID(UPPER(TRIM(F879)),4,99),"-LED",""),"-TK",""))</f>
        <v/>
      </c>
      <c r="Y879" s="23" t="str">
        <f aca="false">IF(X879="","",(LEN(X879)+1)/7)</f>
        <v/>
      </c>
      <c r="Z879" s="23" t="str">
        <f aca="false">IF(X879="","",LEFT(X879,6))</f>
        <v/>
      </c>
      <c r="AA879" s="23" t="str">
        <f aca="false">IF(X879="","",IF(Y879&gt;=3,MID(X879,8,6),""))</f>
        <v/>
      </c>
      <c r="AB879" s="23" t="str">
        <f aca="false">IF(X879="","",IF(Y879&gt;=4,MID(X879,15,6),""))</f>
        <v/>
      </c>
      <c r="AC879" s="23" t="str">
        <f aca="false">IF(X879="","",IF(Y879&gt;=5,MID(X879,22,6),""))</f>
        <v/>
      </c>
      <c r="AD879" s="23" t="str">
        <f aca="false">IF(X879="","",RIGHT(X879,6))</f>
        <v/>
      </c>
      <c r="AE879" s="23" t="str">
        <f aca="false">IF(F879="","",IF(ISNUMBER(SEARCH("-TK",UPPER(F879))),0,1))</f>
        <v/>
      </c>
      <c r="AF879" s="23" t="str">
        <f aca="false">IF(F879="","",IF(ISNUMBER(SEARCH("-LED",UPPER(F879))),1,0))</f>
        <v/>
      </c>
      <c r="AG879" s="24" t="n">
        <f aca="false">IF(Z879="",0,IFERROR(INDEX(Resep!$C$5:$C$7,MATCH(LEFT(Z879,3),Resep!$B$5:$B$7,0)),0))</f>
        <v>0</v>
      </c>
      <c r="AH879" s="24" t="n">
        <f aca="false">IF(AA879="",0,IFERROR(INDEX(Resep!$C$9:$C$13,MATCH(LEFT(AA879,3),Resep!$B$9:$B$13,0)),0))</f>
        <v>0</v>
      </c>
      <c r="AI879" s="24" t="n">
        <f aca="false">IF(AB879="",0,IFERROR(INDEX(Resep!$C$9:$C$13,MATCH(LEFT(AB879,3),Resep!$B$9:$B$13,0)),0))</f>
        <v>0</v>
      </c>
      <c r="AJ879" s="24" t="n">
        <f aca="false">IF(AC879="",0,IFERROR(INDEX(Resep!$C$9:$C$13,MATCH(LEFT(AC879,3),Resep!$B$9:$B$13,0)),0))</f>
        <v>0</v>
      </c>
      <c r="AK879" s="24" t="n">
        <f aca="false">IF(AD879="",0,IFERROR(INDEX(Resep!$C$15:$C$18,MATCH(LEFT(AD879,3),Resep!$B$15:$B$18,0)),0))</f>
        <v>0</v>
      </c>
      <c r="AL879" s="24" t="str">
        <f aca="false">IF(X879="","",AG879+AH879+AI879+AJ879+AK879)</f>
        <v/>
      </c>
      <c r="AM879" s="22" t="str">
        <f aca="false">IF(X879="","",AL879*(Pengaturan!$B$6+Pengaturan!$B$7)+Pengaturan!$B$8+AE879*Pengaturan!$B$9+AF879*Pengaturan!$B$10)</f>
        <v/>
      </c>
      <c r="AN879" s="22" t="str">
        <f aca="false">IF(X879="","",N(G879)-AM879)</f>
        <v/>
      </c>
      <c r="AO879" s="25" t="str">
        <f aca="false">IF(OR(X879="",N(G879)=0),"",AN879/G879)</f>
        <v/>
      </c>
    </row>
    <row r="880" customFormat="false" ht="15" hidden="false" customHeight="false" outlineLevel="0" collapsed="false">
      <c r="A880" s="19"/>
      <c r="B880" s="20"/>
      <c r="C880" s="19"/>
      <c r="D880" s="19"/>
      <c r="E880" s="19"/>
      <c r="F880" s="19"/>
      <c r="G880" s="21"/>
      <c r="H880" s="19"/>
      <c r="I880" s="21"/>
      <c r="J880" s="19"/>
      <c r="K880" s="20"/>
      <c r="L880" s="20"/>
      <c r="M880" s="19"/>
      <c r="N880" s="19"/>
      <c r="O880" s="20"/>
      <c r="P880" s="20"/>
      <c r="Q880" s="19"/>
      <c r="R880" s="22" t="str">
        <f aca="false">IF(A880="","",N(G880)+N(I880))</f>
        <v/>
      </c>
      <c r="S880" s="23" t="str">
        <f aca="false">IF(OR(K880="",O880=""),"",O880-K880)</f>
        <v/>
      </c>
      <c r="T880" s="23" t="str">
        <f aca="true">IF(AND(C880="Cetak",L880&lt;&gt;"",L880&lt;TODAY()),"YA","")</f>
        <v/>
      </c>
      <c r="U880" s="23" t="str">
        <f aca="false">IF(B880="","",TEXT(B880,"yyyy-mm"))</f>
        <v/>
      </c>
      <c r="V880" s="23" t="str">
        <f aca="false">IF(K880="","",TEXT(K880,"yyyy-mm"))</f>
        <v/>
      </c>
      <c r="W880" s="23" t="n">
        <f aca="false">IF(OR(C880="Cetak",C880="Dikirim",C880="Selesai"),1,0)</f>
        <v>0</v>
      </c>
      <c r="X880" s="23" t="str">
        <f aca="false">IF(F880="","",SUBSTITUTE(SUBSTITUTE(MID(UPPER(TRIM(F880)),4,99),"-LED",""),"-TK",""))</f>
        <v/>
      </c>
      <c r="Y880" s="23" t="str">
        <f aca="false">IF(X880="","",(LEN(X880)+1)/7)</f>
        <v/>
      </c>
      <c r="Z880" s="23" t="str">
        <f aca="false">IF(X880="","",LEFT(X880,6))</f>
        <v/>
      </c>
      <c r="AA880" s="23" t="str">
        <f aca="false">IF(X880="","",IF(Y880&gt;=3,MID(X880,8,6),""))</f>
        <v/>
      </c>
      <c r="AB880" s="23" t="str">
        <f aca="false">IF(X880="","",IF(Y880&gt;=4,MID(X880,15,6),""))</f>
        <v/>
      </c>
      <c r="AC880" s="23" t="str">
        <f aca="false">IF(X880="","",IF(Y880&gt;=5,MID(X880,22,6),""))</f>
        <v/>
      </c>
      <c r="AD880" s="23" t="str">
        <f aca="false">IF(X880="","",RIGHT(X880,6))</f>
        <v/>
      </c>
      <c r="AE880" s="23" t="str">
        <f aca="false">IF(F880="","",IF(ISNUMBER(SEARCH("-TK",UPPER(F880))),0,1))</f>
        <v/>
      </c>
      <c r="AF880" s="23" t="str">
        <f aca="false">IF(F880="","",IF(ISNUMBER(SEARCH("-LED",UPPER(F880))),1,0))</f>
        <v/>
      </c>
      <c r="AG880" s="24" t="n">
        <f aca="false">IF(Z880="",0,IFERROR(INDEX(Resep!$C$5:$C$7,MATCH(LEFT(Z880,3),Resep!$B$5:$B$7,0)),0))</f>
        <v>0</v>
      </c>
      <c r="AH880" s="24" t="n">
        <f aca="false">IF(AA880="",0,IFERROR(INDEX(Resep!$C$9:$C$13,MATCH(LEFT(AA880,3),Resep!$B$9:$B$13,0)),0))</f>
        <v>0</v>
      </c>
      <c r="AI880" s="24" t="n">
        <f aca="false">IF(AB880="",0,IFERROR(INDEX(Resep!$C$9:$C$13,MATCH(LEFT(AB880,3),Resep!$B$9:$B$13,0)),0))</f>
        <v>0</v>
      </c>
      <c r="AJ880" s="24" t="n">
        <f aca="false">IF(AC880="",0,IFERROR(INDEX(Resep!$C$9:$C$13,MATCH(LEFT(AC880,3),Resep!$B$9:$B$13,0)),0))</f>
        <v>0</v>
      </c>
      <c r="AK880" s="24" t="n">
        <f aca="false">IF(AD880="",0,IFERROR(INDEX(Resep!$C$15:$C$18,MATCH(LEFT(AD880,3),Resep!$B$15:$B$18,0)),0))</f>
        <v>0</v>
      </c>
      <c r="AL880" s="24" t="str">
        <f aca="false">IF(X880="","",AG880+AH880+AI880+AJ880+AK880)</f>
        <v/>
      </c>
      <c r="AM880" s="22" t="str">
        <f aca="false">IF(X880="","",AL880*(Pengaturan!$B$6+Pengaturan!$B$7)+Pengaturan!$B$8+AE880*Pengaturan!$B$9+AF880*Pengaturan!$B$10)</f>
        <v/>
      </c>
      <c r="AN880" s="22" t="str">
        <f aca="false">IF(X880="","",N(G880)-AM880)</f>
        <v/>
      </c>
      <c r="AO880" s="25" t="str">
        <f aca="false">IF(OR(X880="",N(G880)=0),"",AN880/G880)</f>
        <v/>
      </c>
    </row>
    <row r="881" customFormat="false" ht="15" hidden="false" customHeight="false" outlineLevel="0" collapsed="false">
      <c r="A881" s="19"/>
      <c r="B881" s="20"/>
      <c r="C881" s="19"/>
      <c r="D881" s="19"/>
      <c r="E881" s="19"/>
      <c r="F881" s="19"/>
      <c r="G881" s="21"/>
      <c r="H881" s="19"/>
      <c r="I881" s="21"/>
      <c r="J881" s="19"/>
      <c r="K881" s="20"/>
      <c r="L881" s="20"/>
      <c r="M881" s="19"/>
      <c r="N881" s="19"/>
      <c r="O881" s="20"/>
      <c r="P881" s="20"/>
      <c r="Q881" s="19"/>
      <c r="R881" s="22" t="str">
        <f aca="false">IF(A881="","",N(G881)+N(I881))</f>
        <v/>
      </c>
      <c r="S881" s="23" t="str">
        <f aca="false">IF(OR(K881="",O881=""),"",O881-K881)</f>
        <v/>
      </c>
      <c r="T881" s="23" t="str">
        <f aca="true">IF(AND(C881="Cetak",L881&lt;&gt;"",L881&lt;TODAY()),"YA","")</f>
        <v/>
      </c>
      <c r="U881" s="23" t="str">
        <f aca="false">IF(B881="","",TEXT(B881,"yyyy-mm"))</f>
        <v/>
      </c>
      <c r="V881" s="23" t="str">
        <f aca="false">IF(K881="","",TEXT(K881,"yyyy-mm"))</f>
        <v/>
      </c>
      <c r="W881" s="23" t="n">
        <f aca="false">IF(OR(C881="Cetak",C881="Dikirim",C881="Selesai"),1,0)</f>
        <v>0</v>
      </c>
      <c r="X881" s="23" t="str">
        <f aca="false">IF(F881="","",SUBSTITUTE(SUBSTITUTE(MID(UPPER(TRIM(F881)),4,99),"-LED",""),"-TK",""))</f>
        <v/>
      </c>
      <c r="Y881" s="23" t="str">
        <f aca="false">IF(X881="","",(LEN(X881)+1)/7)</f>
        <v/>
      </c>
      <c r="Z881" s="23" t="str">
        <f aca="false">IF(X881="","",LEFT(X881,6))</f>
        <v/>
      </c>
      <c r="AA881" s="23" t="str">
        <f aca="false">IF(X881="","",IF(Y881&gt;=3,MID(X881,8,6),""))</f>
        <v/>
      </c>
      <c r="AB881" s="23" t="str">
        <f aca="false">IF(X881="","",IF(Y881&gt;=4,MID(X881,15,6),""))</f>
        <v/>
      </c>
      <c r="AC881" s="23" t="str">
        <f aca="false">IF(X881="","",IF(Y881&gt;=5,MID(X881,22,6),""))</f>
        <v/>
      </c>
      <c r="AD881" s="23" t="str">
        <f aca="false">IF(X881="","",RIGHT(X881,6))</f>
        <v/>
      </c>
      <c r="AE881" s="23" t="str">
        <f aca="false">IF(F881="","",IF(ISNUMBER(SEARCH("-TK",UPPER(F881))),0,1))</f>
        <v/>
      </c>
      <c r="AF881" s="23" t="str">
        <f aca="false">IF(F881="","",IF(ISNUMBER(SEARCH("-LED",UPPER(F881))),1,0))</f>
        <v/>
      </c>
      <c r="AG881" s="24" t="n">
        <f aca="false">IF(Z881="",0,IFERROR(INDEX(Resep!$C$5:$C$7,MATCH(LEFT(Z881,3),Resep!$B$5:$B$7,0)),0))</f>
        <v>0</v>
      </c>
      <c r="AH881" s="24" t="n">
        <f aca="false">IF(AA881="",0,IFERROR(INDEX(Resep!$C$9:$C$13,MATCH(LEFT(AA881,3),Resep!$B$9:$B$13,0)),0))</f>
        <v>0</v>
      </c>
      <c r="AI881" s="24" t="n">
        <f aca="false">IF(AB881="",0,IFERROR(INDEX(Resep!$C$9:$C$13,MATCH(LEFT(AB881,3),Resep!$B$9:$B$13,0)),0))</f>
        <v>0</v>
      </c>
      <c r="AJ881" s="24" t="n">
        <f aca="false">IF(AC881="",0,IFERROR(INDEX(Resep!$C$9:$C$13,MATCH(LEFT(AC881,3),Resep!$B$9:$B$13,0)),0))</f>
        <v>0</v>
      </c>
      <c r="AK881" s="24" t="n">
        <f aca="false">IF(AD881="",0,IFERROR(INDEX(Resep!$C$15:$C$18,MATCH(LEFT(AD881,3),Resep!$B$15:$B$18,0)),0))</f>
        <v>0</v>
      </c>
      <c r="AL881" s="24" t="str">
        <f aca="false">IF(X881="","",AG881+AH881+AI881+AJ881+AK881)</f>
        <v/>
      </c>
      <c r="AM881" s="22" t="str">
        <f aca="false">IF(X881="","",AL881*(Pengaturan!$B$6+Pengaturan!$B$7)+Pengaturan!$B$8+AE881*Pengaturan!$B$9+AF881*Pengaturan!$B$10)</f>
        <v/>
      </c>
      <c r="AN881" s="22" t="str">
        <f aca="false">IF(X881="","",N(G881)-AM881)</f>
        <v/>
      </c>
      <c r="AO881" s="25" t="str">
        <f aca="false">IF(OR(X881="",N(G881)=0),"",AN881/G881)</f>
        <v/>
      </c>
    </row>
    <row r="882" customFormat="false" ht="15" hidden="false" customHeight="false" outlineLevel="0" collapsed="false">
      <c r="A882" s="19"/>
      <c r="B882" s="20"/>
      <c r="C882" s="19"/>
      <c r="D882" s="19"/>
      <c r="E882" s="19"/>
      <c r="F882" s="19"/>
      <c r="G882" s="21"/>
      <c r="H882" s="19"/>
      <c r="I882" s="21"/>
      <c r="J882" s="19"/>
      <c r="K882" s="20"/>
      <c r="L882" s="20"/>
      <c r="M882" s="19"/>
      <c r="N882" s="19"/>
      <c r="O882" s="20"/>
      <c r="P882" s="20"/>
      <c r="Q882" s="19"/>
      <c r="R882" s="22" t="str">
        <f aca="false">IF(A882="","",N(G882)+N(I882))</f>
        <v/>
      </c>
      <c r="S882" s="23" t="str">
        <f aca="false">IF(OR(K882="",O882=""),"",O882-K882)</f>
        <v/>
      </c>
      <c r="T882" s="23" t="str">
        <f aca="true">IF(AND(C882="Cetak",L882&lt;&gt;"",L882&lt;TODAY()),"YA","")</f>
        <v/>
      </c>
      <c r="U882" s="23" t="str">
        <f aca="false">IF(B882="","",TEXT(B882,"yyyy-mm"))</f>
        <v/>
      </c>
      <c r="V882" s="23" t="str">
        <f aca="false">IF(K882="","",TEXT(K882,"yyyy-mm"))</f>
        <v/>
      </c>
      <c r="W882" s="23" t="n">
        <f aca="false">IF(OR(C882="Cetak",C882="Dikirim",C882="Selesai"),1,0)</f>
        <v>0</v>
      </c>
      <c r="X882" s="23" t="str">
        <f aca="false">IF(F882="","",SUBSTITUTE(SUBSTITUTE(MID(UPPER(TRIM(F882)),4,99),"-LED",""),"-TK",""))</f>
        <v/>
      </c>
      <c r="Y882" s="23" t="str">
        <f aca="false">IF(X882="","",(LEN(X882)+1)/7)</f>
        <v/>
      </c>
      <c r="Z882" s="23" t="str">
        <f aca="false">IF(X882="","",LEFT(X882,6))</f>
        <v/>
      </c>
      <c r="AA882" s="23" t="str">
        <f aca="false">IF(X882="","",IF(Y882&gt;=3,MID(X882,8,6),""))</f>
        <v/>
      </c>
      <c r="AB882" s="23" t="str">
        <f aca="false">IF(X882="","",IF(Y882&gt;=4,MID(X882,15,6),""))</f>
        <v/>
      </c>
      <c r="AC882" s="23" t="str">
        <f aca="false">IF(X882="","",IF(Y882&gt;=5,MID(X882,22,6),""))</f>
        <v/>
      </c>
      <c r="AD882" s="23" t="str">
        <f aca="false">IF(X882="","",RIGHT(X882,6))</f>
        <v/>
      </c>
      <c r="AE882" s="23" t="str">
        <f aca="false">IF(F882="","",IF(ISNUMBER(SEARCH("-TK",UPPER(F882))),0,1))</f>
        <v/>
      </c>
      <c r="AF882" s="23" t="str">
        <f aca="false">IF(F882="","",IF(ISNUMBER(SEARCH("-LED",UPPER(F882))),1,0))</f>
        <v/>
      </c>
      <c r="AG882" s="24" t="n">
        <f aca="false">IF(Z882="",0,IFERROR(INDEX(Resep!$C$5:$C$7,MATCH(LEFT(Z882,3),Resep!$B$5:$B$7,0)),0))</f>
        <v>0</v>
      </c>
      <c r="AH882" s="24" t="n">
        <f aca="false">IF(AA882="",0,IFERROR(INDEX(Resep!$C$9:$C$13,MATCH(LEFT(AA882,3),Resep!$B$9:$B$13,0)),0))</f>
        <v>0</v>
      </c>
      <c r="AI882" s="24" t="n">
        <f aca="false">IF(AB882="",0,IFERROR(INDEX(Resep!$C$9:$C$13,MATCH(LEFT(AB882,3),Resep!$B$9:$B$13,0)),0))</f>
        <v>0</v>
      </c>
      <c r="AJ882" s="24" t="n">
        <f aca="false">IF(AC882="",0,IFERROR(INDEX(Resep!$C$9:$C$13,MATCH(LEFT(AC882,3),Resep!$B$9:$B$13,0)),0))</f>
        <v>0</v>
      </c>
      <c r="AK882" s="24" t="n">
        <f aca="false">IF(AD882="",0,IFERROR(INDEX(Resep!$C$15:$C$18,MATCH(LEFT(AD882,3),Resep!$B$15:$B$18,0)),0))</f>
        <v>0</v>
      </c>
      <c r="AL882" s="24" t="str">
        <f aca="false">IF(X882="","",AG882+AH882+AI882+AJ882+AK882)</f>
        <v/>
      </c>
      <c r="AM882" s="22" t="str">
        <f aca="false">IF(X882="","",AL882*(Pengaturan!$B$6+Pengaturan!$B$7)+Pengaturan!$B$8+AE882*Pengaturan!$B$9+AF882*Pengaturan!$B$10)</f>
        <v/>
      </c>
      <c r="AN882" s="22" t="str">
        <f aca="false">IF(X882="","",N(G882)-AM882)</f>
        <v/>
      </c>
      <c r="AO882" s="25" t="str">
        <f aca="false">IF(OR(X882="",N(G882)=0),"",AN882/G882)</f>
        <v/>
      </c>
    </row>
    <row r="883" customFormat="false" ht="15" hidden="false" customHeight="false" outlineLevel="0" collapsed="false">
      <c r="A883" s="19"/>
      <c r="B883" s="20"/>
      <c r="C883" s="19"/>
      <c r="D883" s="19"/>
      <c r="E883" s="19"/>
      <c r="F883" s="19"/>
      <c r="G883" s="21"/>
      <c r="H883" s="19"/>
      <c r="I883" s="21"/>
      <c r="J883" s="19"/>
      <c r="K883" s="20"/>
      <c r="L883" s="20"/>
      <c r="M883" s="19"/>
      <c r="N883" s="19"/>
      <c r="O883" s="20"/>
      <c r="P883" s="20"/>
      <c r="Q883" s="19"/>
      <c r="R883" s="22" t="str">
        <f aca="false">IF(A883="","",N(G883)+N(I883))</f>
        <v/>
      </c>
      <c r="S883" s="23" t="str">
        <f aca="false">IF(OR(K883="",O883=""),"",O883-K883)</f>
        <v/>
      </c>
      <c r="T883" s="23" t="str">
        <f aca="true">IF(AND(C883="Cetak",L883&lt;&gt;"",L883&lt;TODAY()),"YA","")</f>
        <v/>
      </c>
      <c r="U883" s="23" t="str">
        <f aca="false">IF(B883="","",TEXT(B883,"yyyy-mm"))</f>
        <v/>
      </c>
      <c r="V883" s="23" t="str">
        <f aca="false">IF(K883="","",TEXT(K883,"yyyy-mm"))</f>
        <v/>
      </c>
      <c r="W883" s="23" t="n">
        <f aca="false">IF(OR(C883="Cetak",C883="Dikirim",C883="Selesai"),1,0)</f>
        <v>0</v>
      </c>
      <c r="X883" s="23" t="str">
        <f aca="false">IF(F883="","",SUBSTITUTE(SUBSTITUTE(MID(UPPER(TRIM(F883)),4,99),"-LED",""),"-TK",""))</f>
        <v/>
      </c>
      <c r="Y883" s="23" t="str">
        <f aca="false">IF(X883="","",(LEN(X883)+1)/7)</f>
        <v/>
      </c>
      <c r="Z883" s="23" t="str">
        <f aca="false">IF(X883="","",LEFT(X883,6))</f>
        <v/>
      </c>
      <c r="AA883" s="23" t="str">
        <f aca="false">IF(X883="","",IF(Y883&gt;=3,MID(X883,8,6),""))</f>
        <v/>
      </c>
      <c r="AB883" s="23" t="str">
        <f aca="false">IF(X883="","",IF(Y883&gt;=4,MID(X883,15,6),""))</f>
        <v/>
      </c>
      <c r="AC883" s="23" t="str">
        <f aca="false">IF(X883="","",IF(Y883&gt;=5,MID(X883,22,6),""))</f>
        <v/>
      </c>
      <c r="AD883" s="23" t="str">
        <f aca="false">IF(X883="","",RIGHT(X883,6))</f>
        <v/>
      </c>
      <c r="AE883" s="23" t="str">
        <f aca="false">IF(F883="","",IF(ISNUMBER(SEARCH("-TK",UPPER(F883))),0,1))</f>
        <v/>
      </c>
      <c r="AF883" s="23" t="str">
        <f aca="false">IF(F883="","",IF(ISNUMBER(SEARCH("-LED",UPPER(F883))),1,0))</f>
        <v/>
      </c>
      <c r="AG883" s="24" t="n">
        <f aca="false">IF(Z883="",0,IFERROR(INDEX(Resep!$C$5:$C$7,MATCH(LEFT(Z883,3),Resep!$B$5:$B$7,0)),0))</f>
        <v>0</v>
      </c>
      <c r="AH883" s="24" t="n">
        <f aca="false">IF(AA883="",0,IFERROR(INDEX(Resep!$C$9:$C$13,MATCH(LEFT(AA883,3),Resep!$B$9:$B$13,0)),0))</f>
        <v>0</v>
      </c>
      <c r="AI883" s="24" t="n">
        <f aca="false">IF(AB883="",0,IFERROR(INDEX(Resep!$C$9:$C$13,MATCH(LEFT(AB883,3),Resep!$B$9:$B$13,0)),0))</f>
        <v>0</v>
      </c>
      <c r="AJ883" s="24" t="n">
        <f aca="false">IF(AC883="",0,IFERROR(INDEX(Resep!$C$9:$C$13,MATCH(LEFT(AC883,3),Resep!$B$9:$B$13,0)),0))</f>
        <v>0</v>
      </c>
      <c r="AK883" s="24" t="n">
        <f aca="false">IF(AD883="",0,IFERROR(INDEX(Resep!$C$15:$C$18,MATCH(LEFT(AD883,3),Resep!$B$15:$B$18,0)),0))</f>
        <v>0</v>
      </c>
      <c r="AL883" s="24" t="str">
        <f aca="false">IF(X883="","",AG883+AH883+AI883+AJ883+AK883)</f>
        <v/>
      </c>
      <c r="AM883" s="22" t="str">
        <f aca="false">IF(X883="","",AL883*(Pengaturan!$B$6+Pengaturan!$B$7)+Pengaturan!$B$8+AE883*Pengaturan!$B$9+AF883*Pengaturan!$B$10)</f>
        <v/>
      </c>
      <c r="AN883" s="22" t="str">
        <f aca="false">IF(X883="","",N(G883)-AM883)</f>
        <v/>
      </c>
      <c r="AO883" s="25" t="str">
        <f aca="false">IF(OR(X883="",N(G883)=0),"",AN883/G883)</f>
        <v/>
      </c>
    </row>
    <row r="884" customFormat="false" ht="15" hidden="false" customHeight="false" outlineLevel="0" collapsed="false">
      <c r="A884" s="19"/>
      <c r="B884" s="20"/>
      <c r="C884" s="19"/>
      <c r="D884" s="19"/>
      <c r="E884" s="19"/>
      <c r="F884" s="19"/>
      <c r="G884" s="21"/>
      <c r="H884" s="19"/>
      <c r="I884" s="21"/>
      <c r="J884" s="19"/>
      <c r="K884" s="20"/>
      <c r="L884" s="20"/>
      <c r="M884" s="19"/>
      <c r="N884" s="19"/>
      <c r="O884" s="20"/>
      <c r="P884" s="20"/>
      <c r="Q884" s="19"/>
      <c r="R884" s="22" t="str">
        <f aca="false">IF(A884="","",N(G884)+N(I884))</f>
        <v/>
      </c>
      <c r="S884" s="23" t="str">
        <f aca="false">IF(OR(K884="",O884=""),"",O884-K884)</f>
        <v/>
      </c>
      <c r="T884" s="23" t="str">
        <f aca="true">IF(AND(C884="Cetak",L884&lt;&gt;"",L884&lt;TODAY()),"YA","")</f>
        <v/>
      </c>
      <c r="U884" s="23" t="str">
        <f aca="false">IF(B884="","",TEXT(B884,"yyyy-mm"))</f>
        <v/>
      </c>
      <c r="V884" s="23" t="str">
        <f aca="false">IF(K884="","",TEXT(K884,"yyyy-mm"))</f>
        <v/>
      </c>
      <c r="W884" s="23" t="n">
        <f aca="false">IF(OR(C884="Cetak",C884="Dikirim",C884="Selesai"),1,0)</f>
        <v>0</v>
      </c>
      <c r="X884" s="23" t="str">
        <f aca="false">IF(F884="","",SUBSTITUTE(SUBSTITUTE(MID(UPPER(TRIM(F884)),4,99),"-LED",""),"-TK",""))</f>
        <v/>
      </c>
      <c r="Y884" s="23" t="str">
        <f aca="false">IF(X884="","",(LEN(X884)+1)/7)</f>
        <v/>
      </c>
      <c r="Z884" s="23" t="str">
        <f aca="false">IF(X884="","",LEFT(X884,6))</f>
        <v/>
      </c>
      <c r="AA884" s="23" t="str">
        <f aca="false">IF(X884="","",IF(Y884&gt;=3,MID(X884,8,6),""))</f>
        <v/>
      </c>
      <c r="AB884" s="23" t="str">
        <f aca="false">IF(X884="","",IF(Y884&gt;=4,MID(X884,15,6),""))</f>
        <v/>
      </c>
      <c r="AC884" s="23" t="str">
        <f aca="false">IF(X884="","",IF(Y884&gt;=5,MID(X884,22,6),""))</f>
        <v/>
      </c>
      <c r="AD884" s="23" t="str">
        <f aca="false">IF(X884="","",RIGHT(X884,6))</f>
        <v/>
      </c>
      <c r="AE884" s="23" t="str">
        <f aca="false">IF(F884="","",IF(ISNUMBER(SEARCH("-TK",UPPER(F884))),0,1))</f>
        <v/>
      </c>
      <c r="AF884" s="23" t="str">
        <f aca="false">IF(F884="","",IF(ISNUMBER(SEARCH("-LED",UPPER(F884))),1,0))</f>
        <v/>
      </c>
      <c r="AG884" s="24" t="n">
        <f aca="false">IF(Z884="",0,IFERROR(INDEX(Resep!$C$5:$C$7,MATCH(LEFT(Z884,3),Resep!$B$5:$B$7,0)),0))</f>
        <v>0</v>
      </c>
      <c r="AH884" s="24" t="n">
        <f aca="false">IF(AA884="",0,IFERROR(INDEX(Resep!$C$9:$C$13,MATCH(LEFT(AA884,3),Resep!$B$9:$B$13,0)),0))</f>
        <v>0</v>
      </c>
      <c r="AI884" s="24" t="n">
        <f aca="false">IF(AB884="",0,IFERROR(INDEX(Resep!$C$9:$C$13,MATCH(LEFT(AB884,3),Resep!$B$9:$B$13,0)),0))</f>
        <v>0</v>
      </c>
      <c r="AJ884" s="24" t="n">
        <f aca="false">IF(AC884="",0,IFERROR(INDEX(Resep!$C$9:$C$13,MATCH(LEFT(AC884,3),Resep!$B$9:$B$13,0)),0))</f>
        <v>0</v>
      </c>
      <c r="AK884" s="24" t="n">
        <f aca="false">IF(AD884="",0,IFERROR(INDEX(Resep!$C$15:$C$18,MATCH(LEFT(AD884,3),Resep!$B$15:$B$18,0)),0))</f>
        <v>0</v>
      </c>
      <c r="AL884" s="24" t="str">
        <f aca="false">IF(X884="","",AG884+AH884+AI884+AJ884+AK884)</f>
        <v/>
      </c>
      <c r="AM884" s="22" t="str">
        <f aca="false">IF(X884="","",AL884*(Pengaturan!$B$6+Pengaturan!$B$7)+Pengaturan!$B$8+AE884*Pengaturan!$B$9+AF884*Pengaturan!$B$10)</f>
        <v/>
      </c>
      <c r="AN884" s="22" t="str">
        <f aca="false">IF(X884="","",N(G884)-AM884)</f>
        <v/>
      </c>
      <c r="AO884" s="25" t="str">
        <f aca="false">IF(OR(X884="",N(G884)=0),"",AN884/G884)</f>
        <v/>
      </c>
    </row>
    <row r="885" customFormat="false" ht="15" hidden="false" customHeight="false" outlineLevel="0" collapsed="false">
      <c r="A885" s="19"/>
      <c r="B885" s="20"/>
      <c r="C885" s="19"/>
      <c r="D885" s="19"/>
      <c r="E885" s="19"/>
      <c r="F885" s="19"/>
      <c r="G885" s="21"/>
      <c r="H885" s="19"/>
      <c r="I885" s="21"/>
      <c r="J885" s="19"/>
      <c r="K885" s="20"/>
      <c r="L885" s="20"/>
      <c r="M885" s="19"/>
      <c r="N885" s="19"/>
      <c r="O885" s="20"/>
      <c r="P885" s="20"/>
      <c r="Q885" s="19"/>
      <c r="R885" s="22" t="str">
        <f aca="false">IF(A885="","",N(G885)+N(I885))</f>
        <v/>
      </c>
      <c r="S885" s="23" t="str">
        <f aca="false">IF(OR(K885="",O885=""),"",O885-K885)</f>
        <v/>
      </c>
      <c r="T885" s="23" t="str">
        <f aca="true">IF(AND(C885="Cetak",L885&lt;&gt;"",L885&lt;TODAY()),"YA","")</f>
        <v/>
      </c>
      <c r="U885" s="23" t="str">
        <f aca="false">IF(B885="","",TEXT(B885,"yyyy-mm"))</f>
        <v/>
      </c>
      <c r="V885" s="23" t="str">
        <f aca="false">IF(K885="","",TEXT(K885,"yyyy-mm"))</f>
        <v/>
      </c>
      <c r="W885" s="23" t="n">
        <f aca="false">IF(OR(C885="Cetak",C885="Dikirim",C885="Selesai"),1,0)</f>
        <v>0</v>
      </c>
      <c r="X885" s="23" t="str">
        <f aca="false">IF(F885="","",SUBSTITUTE(SUBSTITUTE(MID(UPPER(TRIM(F885)),4,99),"-LED",""),"-TK",""))</f>
        <v/>
      </c>
      <c r="Y885" s="23" t="str">
        <f aca="false">IF(X885="","",(LEN(X885)+1)/7)</f>
        <v/>
      </c>
      <c r="Z885" s="23" t="str">
        <f aca="false">IF(X885="","",LEFT(X885,6))</f>
        <v/>
      </c>
      <c r="AA885" s="23" t="str">
        <f aca="false">IF(X885="","",IF(Y885&gt;=3,MID(X885,8,6),""))</f>
        <v/>
      </c>
      <c r="AB885" s="23" t="str">
        <f aca="false">IF(X885="","",IF(Y885&gt;=4,MID(X885,15,6),""))</f>
        <v/>
      </c>
      <c r="AC885" s="23" t="str">
        <f aca="false">IF(X885="","",IF(Y885&gt;=5,MID(X885,22,6),""))</f>
        <v/>
      </c>
      <c r="AD885" s="23" t="str">
        <f aca="false">IF(X885="","",RIGHT(X885,6))</f>
        <v/>
      </c>
      <c r="AE885" s="23" t="str">
        <f aca="false">IF(F885="","",IF(ISNUMBER(SEARCH("-TK",UPPER(F885))),0,1))</f>
        <v/>
      </c>
      <c r="AF885" s="23" t="str">
        <f aca="false">IF(F885="","",IF(ISNUMBER(SEARCH("-LED",UPPER(F885))),1,0))</f>
        <v/>
      </c>
      <c r="AG885" s="24" t="n">
        <f aca="false">IF(Z885="",0,IFERROR(INDEX(Resep!$C$5:$C$7,MATCH(LEFT(Z885,3),Resep!$B$5:$B$7,0)),0))</f>
        <v>0</v>
      </c>
      <c r="AH885" s="24" t="n">
        <f aca="false">IF(AA885="",0,IFERROR(INDEX(Resep!$C$9:$C$13,MATCH(LEFT(AA885,3),Resep!$B$9:$B$13,0)),0))</f>
        <v>0</v>
      </c>
      <c r="AI885" s="24" t="n">
        <f aca="false">IF(AB885="",0,IFERROR(INDEX(Resep!$C$9:$C$13,MATCH(LEFT(AB885,3),Resep!$B$9:$B$13,0)),0))</f>
        <v>0</v>
      </c>
      <c r="AJ885" s="24" t="n">
        <f aca="false">IF(AC885="",0,IFERROR(INDEX(Resep!$C$9:$C$13,MATCH(LEFT(AC885,3),Resep!$B$9:$B$13,0)),0))</f>
        <v>0</v>
      </c>
      <c r="AK885" s="24" t="n">
        <f aca="false">IF(AD885="",0,IFERROR(INDEX(Resep!$C$15:$C$18,MATCH(LEFT(AD885,3),Resep!$B$15:$B$18,0)),0))</f>
        <v>0</v>
      </c>
      <c r="AL885" s="24" t="str">
        <f aca="false">IF(X885="","",AG885+AH885+AI885+AJ885+AK885)</f>
        <v/>
      </c>
      <c r="AM885" s="22" t="str">
        <f aca="false">IF(X885="","",AL885*(Pengaturan!$B$6+Pengaturan!$B$7)+Pengaturan!$B$8+AE885*Pengaturan!$B$9+AF885*Pengaturan!$B$10)</f>
        <v/>
      </c>
      <c r="AN885" s="22" t="str">
        <f aca="false">IF(X885="","",N(G885)-AM885)</f>
        <v/>
      </c>
      <c r="AO885" s="25" t="str">
        <f aca="false">IF(OR(X885="",N(G885)=0),"",AN885/G885)</f>
        <v/>
      </c>
    </row>
    <row r="886" customFormat="false" ht="15" hidden="false" customHeight="false" outlineLevel="0" collapsed="false">
      <c r="A886" s="19"/>
      <c r="B886" s="20"/>
      <c r="C886" s="19"/>
      <c r="D886" s="19"/>
      <c r="E886" s="19"/>
      <c r="F886" s="19"/>
      <c r="G886" s="21"/>
      <c r="H886" s="19"/>
      <c r="I886" s="21"/>
      <c r="J886" s="19"/>
      <c r="K886" s="20"/>
      <c r="L886" s="20"/>
      <c r="M886" s="19"/>
      <c r="N886" s="19"/>
      <c r="O886" s="20"/>
      <c r="P886" s="20"/>
      <c r="Q886" s="19"/>
      <c r="R886" s="22" t="str">
        <f aca="false">IF(A886="","",N(G886)+N(I886))</f>
        <v/>
      </c>
      <c r="S886" s="23" t="str">
        <f aca="false">IF(OR(K886="",O886=""),"",O886-K886)</f>
        <v/>
      </c>
      <c r="T886" s="23" t="str">
        <f aca="true">IF(AND(C886="Cetak",L886&lt;&gt;"",L886&lt;TODAY()),"YA","")</f>
        <v/>
      </c>
      <c r="U886" s="23" t="str">
        <f aca="false">IF(B886="","",TEXT(B886,"yyyy-mm"))</f>
        <v/>
      </c>
      <c r="V886" s="23" t="str">
        <f aca="false">IF(K886="","",TEXT(K886,"yyyy-mm"))</f>
        <v/>
      </c>
      <c r="W886" s="23" t="n">
        <f aca="false">IF(OR(C886="Cetak",C886="Dikirim",C886="Selesai"),1,0)</f>
        <v>0</v>
      </c>
      <c r="X886" s="23" t="str">
        <f aca="false">IF(F886="","",SUBSTITUTE(SUBSTITUTE(MID(UPPER(TRIM(F886)),4,99),"-LED",""),"-TK",""))</f>
        <v/>
      </c>
      <c r="Y886" s="23" t="str">
        <f aca="false">IF(X886="","",(LEN(X886)+1)/7)</f>
        <v/>
      </c>
      <c r="Z886" s="23" t="str">
        <f aca="false">IF(X886="","",LEFT(X886,6))</f>
        <v/>
      </c>
      <c r="AA886" s="23" t="str">
        <f aca="false">IF(X886="","",IF(Y886&gt;=3,MID(X886,8,6),""))</f>
        <v/>
      </c>
      <c r="AB886" s="23" t="str">
        <f aca="false">IF(X886="","",IF(Y886&gt;=4,MID(X886,15,6),""))</f>
        <v/>
      </c>
      <c r="AC886" s="23" t="str">
        <f aca="false">IF(X886="","",IF(Y886&gt;=5,MID(X886,22,6),""))</f>
        <v/>
      </c>
      <c r="AD886" s="23" t="str">
        <f aca="false">IF(X886="","",RIGHT(X886,6))</f>
        <v/>
      </c>
      <c r="AE886" s="23" t="str">
        <f aca="false">IF(F886="","",IF(ISNUMBER(SEARCH("-TK",UPPER(F886))),0,1))</f>
        <v/>
      </c>
      <c r="AF886" s="23" t="str">
        <f aca="false">IF(F886="","",IF(ISNUMBER(SEARCH("-LED",UPPER(F886))),1,0))</f>
        <v/>
      </c>
      <c r="AG886" s="24" t="n">
        <f aca="false">IF(Z886="",0,IFERROR(INDEX(Resep!$C$5:$C$7,MATCH(LEFT(Z886,3),Resep!$B$5:$B$7,0)),0))</f>
        <v>0</v>
      </c>
      <c r="AH886" s="24" t="n">
        <f aca="false">IF(AA886="",0,IFERROR(INDEX(Resep!$C$9:$C$13,MATCH(LEFT(AA886,3),Resep!$B$9:$B$13,0)),0))</f>
        <v>0</v>
      </c>
      <c r="AI886" s="24" t="n">
        <f aca="false">IF(AB886="",0,IFERROR(INDEX(Resep!$C$9:$C$13,MATCH(LEFT(AB886,3),Resep!$B$9:$B$13,0)),0))</f>
        <v>0</v>
      </c>
      <c r="AJ886" s="24" t="n">
        <f aca="false">IF(AC886="",0,IFERROR(INDEX(Resep!$C$9:$C$13,MATCH(LEFT(AC886,3),Resep!$B$9:$B$13,0)),0))</f>
        <v>0</v>
      </c>
      <c r="AK886" s="24" t="n">
        <f aca="false">IF(AD886="",0,IFERROR(INDEX(Resep!$C$15:$C$18,MATCH(LEFT(AD886,3),Resep!$B$15:$B$18,0)),0))</f>
        <v>0</v>
      </c>
      <c r="AL886" s="24" t="str">
        <f aca="false">IF(X886="","",AG886+AH886+AI886+AJ886+AK886)</f>
        <v/>
      </c>
      <c r="AM886" s="22" t="str">
        <f aca="false">IF(X886="","",AL886*(Pengaturan!$B$6+Pengaturan!$B$7)+Pengaturan!$B$8+AE886*Pengaturan!$B$9+AF886*Pengaturan!$B$10)</f>
        <v/>
      </c>
      <c r="AN886" s="22" t="str">
        <f aca="false">IF(X886="","",N(G886)-AM886)</f>
        <v/>
      </c>
      <c r="AO886" s="25" t="str">
        <f aca="false">IF(OR(X886="",N(G886)=0),"",AN886/G886)</f>
        <v/>
      </c>
    </row>
    <row r="887" customFormat="false" ht="15" hidden="false" customHeight="false" outlineLevel="0" collapsed="false">
      <c r="A887" s="19"/>
      <c r="B887" s="20"/>
      <c r="C887" s="19"/>
      <c r="D887" s="19"/>
      <c r="E887" s="19"/>
      <c r="F887" s="19"/>
      <c r="G887" s="21"/>
      <c r="H887" s="19"/>
      <c r="I887" s="21"/>
      <c r="J887" s="19"/>
      <c r="K887" s="20"/>
      <c r="L887" s="20"/>
      <c r="M887" s="19"/>
      <c r="N887" s="19"/>
      <c r="O887" s="20"/>
      <c r="P887" s="20"/>
      <c r="Q887" s="19"/>
      <c r="R887" s="22" t="str">
        <f aca="false">IF(A887="","",N(G887)+N(I887))</f>
        <v/>
      </c>
      <c r="S887" s="23" t="str">
        <f aca="false">IF(OR(K887="",O887=""),"",O887-K887)</f>
        <v/>
      </c>
      <c r="T887" s="23" t="str">
        <f aca="true">IF(AND(C887="Cetak",L887&lt;&gt;"",L887&lt;TODAY()),"YA","")</f>
        <v/>
      </c>
      <c r="U887" s="23" t="str">
        <f aca="false">IF(B887="","",TEXT(B887,"yyyy-mm"))</f>
        <v/>
      </c>
      <c r="V887" s="23" t="str">
        <f aca="false">IF(K887="","",TEXT(K887,"yyyy-mm"))</f>
        <v/>
      </c>
      <c r="W887" s="23" t="n">
        <f aca="false">IF(OR(C887="Cetak",C887="Dikirim",C887="Selesai"),1,0)</f>
        <v>0</v>
      </c>
      <c r="X887" s="23" t="str">
        <f aca="false">IF(F887="","",SUBSTITUTE(SUBSTITUTE(MID(UPPER(TRIM(F887)),4,99),"-LED",""),"-TK",""))</f>
        <v/>
      </c>
      <c r="Y887" s="23" t="str">
        <f aca="false">IF(X887="","",(LEN(X887)+1)/7)</f>
        <v/>
      </c>
      <c r="Z887" s="23" t="str">
        <f aca="false">IF(X887="","",LEFT(X887,6))</f>
        <v/>
      </c>
      <c r="AA887" s="23" t="str">
        <f aca="false">IF(X887="","",IF(Y887&gt;=3,MID(X887,8,6),""))</f>
        <v/>
      </c>
      <c r="AB887" s="23" t="str">
        <f aca="false">IF(X887="","",IF(Y887&gt;=4,MID(X887,15,6),""))</f>
        <v/>
      </c>
      <c r="AC887" s="23" t="str">
        <f aca="false">IF(X887="","",IF(Y887&gt;=5,MID(X887,22,6),""))</f>
        <v/>
      </c>
      <c r="AD887" s="23" t="str">
        <f aca="false">IF(X887="","",RIGHT(X887,6))</f>
        <v/>
      </c>
      <c r="AE887" s="23" t="str">
        <f aca="false">IF(F887="","",IF(ISNUMBER(SEARCH("-TK",UPPER(F887))),0,1))</f>
        <v/>
      </c>
      <c r="AF887" s="23" t="str">
        <f aca="false">IF(F887="","",IF(ISNUMBER(SEARCH("-LED",UPPER(F887))),1,0))</f>
        <v/>
      </c>
      <c r="AG887" s="24" t="n">
        <f aca="false">IF(Z887="",0,IFERROR(INDEX(Resep!$C$5:$C$7,MATCH(LEFT(Z887,3),Resep!$B$5:$B$7,0)),0))</f>
        <v>0</v>
      </c>
      <c r="AH887" s="24" t="n">
        <f aca="false">IF(AA887="",0,IFERROR(INDEX(Resep!$C$9:$C$13,MATCH(LEFT(AA887,3),Resep!$B$9:$B$13,0)),0))</f>
        <v>0</v>
      </c>
      <c r="AI887" s="24" t="n">
        <f aca="false">IF(AB887="",0,IFERROR(INDEX(Resep!$C$9:$C$13,MATCH(LEFT(AB887,3),Resep!$B$9:$B$13,0)),0))</f>
        <v>0</v>
      </c>
      <c r="AJ887" s="24" t="n">
        <f aca="false">IF(AC887="",0,IFERROR(INDEX(Resep!$C$9:$C$13,MATCH(LEFT(AC887,3),Resep!$B$9:$B$13,0)),0))</f>
        <v>0</v>
      </c>
      <c r="AK887" s="24" t="n">
        <f aca="false">IF(AD887="",0,IFERROR(INDEX(Resep!$C$15:$C$18,MATCH(LEFT(AD887,3),Resep!$B$15:$B$18,0)),0))</f>
        <v>0</v>
      </c>
      <c r="AL887" s="24" t="str">
        <f aca="false">IF(X887="","",AG887+AH887+AI887+AJ887+AK887)</f>
        <v/>
      </c>
      <c r="AM887" s="22" t="str">
        <f aca="false">IF(X887="","",AL887*(Pengaturan!$B$6+Pengaturan!$B$7)+Pengaturan!$B$8+AE887*Pengaturan!$B$9+AF887*Pengaturan!$B$10)</f>
        <v/>
      </c>
      <c r="AN887" s="22" t="str">
        <f aca="false">IF(X887="","",N(G887)-AM887)</f>
        <v/>
      </c>
      <c r="AO887" s="25" t="str">
        <f aca="false">IF(OR(X887="",N(G887)=0),"",AN887/G887)</f>
        <v/>
      </c>
    </row>
    <row r="888" customFormat="false" ht="15" hidden="false" customHeight="false" outlineLevel="0" collapsed="false">
      <c r="A888" s="19"/>
      <c r="B888" s="20"/>
      <c r="C888" s="19"/>
      <c r="D888" s="19"/>
      <c r="E888" s="19"/>
      <c r="F888" s="19"/>
      <c r="G888" s="21"/>
      <c r="H888" s="19"/>
      <c r="I888" s="21"/>
      <c r="J888" s="19"/>
      <c r="K888" s="20"/>
      <c r="L888" s="20"/>
      <c r="M888" s="19"/>
      <c r="N888" s="19"/>
      <c r="O888" s="20"/>
      <c r="P888" s="20"/>
      <c r="Q888" s="19"/>
      <c r="R888" s="22" t="str">
        <f aca="false">IF(A888="","",N(G888)+N(I888))</f>
        <v/>
      </c>
      <c r="S888" s="23" t="str">
        <f aca="false">IF(OR(K888="",O888=""),"",O888-K888)</f>
        <v/>
      </c>
      <c r="T888" s="23" t="str">
        <f aca="true">IF(AND(C888="Cetak",L888&lt;&gt;"",L888&lt;TODAY()),"YA","")</f>
        <v/>
      </c>
      <c r="U888" s="23" t="str">
        <f aca="false">IF(B888="","",TEXT(B888,"yyyy-mm"))</f>
        <v/>
      </c>
      <c r="V888" s="23" t="str">
        <f aca="false">IF(K888="","",TEXT(K888,"yyyy-mm"))</f>
        <v/>
      </c>
      <c r="W888" s="23" t="n">
        <f aca="false">IF(OR(C888="Cetak",C888="Dikirim",C888="Selesai"),1,0)</f>
        <v>0</v>
      </c>
      <c r="X888" s="23" t="str">
        <f aca="false">IF(F888="","",SUBSTITUTE(SUBSTITUTE(MID(UPPER(TRIM(F888)),4,99),"-LED",""),"-TK",""))</f>
        <v/>
      </c>
      <c r="Y888" s="23" t="str">
        <f aca="false">IF(X888="","",(LEN(X888)+1)/7)</f>
        <v/>
      </c>
      <c r="Z888" s="23" t="str">
        <f aca="false">IF(X888="","",LEFT(X888,6))</f>
        <v/>
      </c>
      <c r="AA888" s="23" t="str">
        <f aca="false">IF(X888="","",IF(Y888&gt;=3,MID(X888,8,6),""))</f>
        <v/>
      </c>
      <c r="AB888" s="23" t="str">
        <f aca="false">IF(X888="","",IF(Y888&gt;=4,MID(X888,15,6),""))</f>
        <v/>
      </c>
      <c r="AC888" s="23" t="str">
        <f aca="false">IF(X888="","",IF(Y888&gt;=5,MID(X888,22,6),""))</f>
        <v/>
      </c>
      <c r="AD888" s="23" t="str">
        <f aca="false">IF(X888="","",RIGHT(X888,6))</f>
        <v/>
      </c>
      <c r="AE888" s="23" t="str">
        <f aca="false">IF(F888="","",IF(ISNUMBER(SEARCH("-TK",UPPER(F888))),0,1))</f>
        <v/>
      </c>
      <c r="AF888" s="23" t="str">
        <f aca="false">IF(F888="","",IF(ISNUMBER(SEARCH("-LED",UPPER(F888))),1,0))</f>
        <v/>
      </c>
      <c r="AG888" s="24" t="n">
        <f aca="false">IF(Z888="",0,IFERROR(INDEX(Resep!$C$5:$C$7,MATCH(LEFT(Z888,3),Resep!$B$5:$B$7,0)),0))</f>
        <v>0</v>
      </c>
      <c r="AH888" s="24" t="n">
        <f aca="false">IF(AA888="",0,IFERROR(INDEX(Resep!$C$9:$C$13,MATCH(LEFT(AA888,3),Resep!$B$9:$B$13,0)),0))</f>
        <v>0</v>
      </c>
      <c r="AI888" s="24" t="n">
        <f aca="false">IF(AB888="",0,IFERROR(INDEX(Resep!$C$9:$C$13,MATCH(LEFT(AB888,3),Resep!$B$9:$B$13,0)),0))</f>
        <v>0</v>
      </c>
      <c r="AJ888" s="24" t="n">
        <f aca="false">IF(AC888="",0,IFERROR(INDEX(Resep!$C$9:$C$13,MATCH(LEFT(AC888,3),Resep!$B$9:$B$13,0)),0))</f>
        <v>0</v>
      </c>
      <c r="AK888" s="24" t="n">
        <f aca="false">IF(AD888="",0,IFERROR(INDEX(Resep!$C$15:$C$18,MATCH(LEFT(AD888,3),Resep!$B$15:$B$18,0)),0))</f>
        <v>0</v>
      </c>
      <c r="AL888" s="24" t="str">
        <f aca="false">IF(X888="","",AG888+AH888+AI888+AJ888+AK888)</f>
        <v/>
      </c>
      <c r="AM888" s="22" t="str">
        <f aca="false">IF(X888="","",AL888*(Pengaturan!$B$6+Pengaturan!$B$7)+Pengaturan!$B$8+AE888*Pengaturan!$B$9+AF888*Pengaturan!$B$10)</f>
        <v/>
      </c>
      <c r="AN888" s="22" t="str">
        <f aca="false">IF(X888="","",N(G888)-AM888)</f>
        <v/>
      </c>
      <c r="AO888" s="25" t="str">
        <f aca="false">IF(OR(X888="",N(G888)=0),"",AN888/G888)</f>
        <v/>
      </c>
    </row>
    <row r="889" customFormat="false" ht="15" hidden="false" customHeight="false" outlineLevel="0" collapsed="false">
      <c r="A889" s="19"/>
      <c r="B889" s="20"/>
      <c r="C889" s="19"/>
      <c r="D889" s="19"/>
      <c r="E889" s="19"/>
      <c r="F889" s="19"/>
      <c r="G889" s="21"/>
      <c r="H889" s="19"/>
      <c r="I889" s="21"/>
      <c r="J889" s="19"/>
      <c r="K889" s="20"/>
      <c r="L889" s="20"/>
      <c r="M889" s="19"/>
      <c r="N889" s="19"/>
      <c r="O889" s="20"/>
      <c r="P889" s="20"/>
      <c r="Q889" s="19"/>
      <c r="R889" s="22" t="str">
        <f aca="false">IF(A889="","",N(G889)+N(I889))</f>
        <v/>
      </c>
      <c r="S889" s="23" t="str">
        <f aca="false">IF(OR(K889="",O889=""),"",O889-K889)</f>
        <v/>
      </c>
      <c r="T889" s="23" t="str">
        <f aca="true">IF(AND(C889="Cetak",L889&lt;&gt;"",L889&lt;TODAY()),"YA","")</f>
        <v/>
      </c>
      <c r="U889" s="23" t="str">
        <f aca="false">IF(B889="","",TEXT(B889,"yyyy-mm"))</f>
        <v/>
      </c>
      <c r="V889" s="23" t="str">
        <f aca="false">IF(K889="","",TEXT(K889,"yyyy-mm"))</f>
        <v/>
      </c>
      <c r="W889" s="23" t="n">
        <f aca="false">IF(OR(C889="Cetak",C889="Dikirim",C889="Selesai"),1,0)</f>
        <v>0</v>
      </c>
      <c r="X889" s="23" t="str">
        <f aca="false">IF(F889="","",SUBSTITUTE(SUBSTITUTE(MID(UPPER(TRIM(F889)),4,99),"-LED",""),"-TK",""))</f>
        <v/>
      </c>
      <c r="Y889" s="23" t="str">
        <f aca="false">IF(X889="","",(LEN(X889)+1)/7)</f>
        <v/>
      </c>
      <c r="Z889" s="23" t="str">
        <f aca="false">IF(X889="","",LEFT(X889,6))</f>
        <v/>
      </c>
      <c r="AA889" s="23" t="str">
        <f aca="false">IF(X889="","",IF(Y889&gt;=3,MID(X889,8,6),""))</f>
        <v/>
      </c>
      <c r="AB889" s="23" t="str">
        <f aca="false">IF(X889="","",IF(Y889&gt;=4,MID(X889,15,6),""))</f>
        <v/>
      </c>
      <c r="AC889" s="23" t="str">
        <f aca="false">IF(X889="","",IF(Y889&gt;=5,MID(X889,22,6),""))</f>
        <v/>
      </c>
      <c r="AD889" s="23" t="str">
        <f aca="false">IF(X889="","",RIGHT(X889,6))</f>
        <v/>
      </c>
      <c r="AE889" s="23" t="str">
        <f aca="false">IF(F889="","",IF(ISNUMBER(SEARCH("-TK",UPPER(F889))),0,1))</f>
        <v/>
      </c>
      <c r="AF889" s="23" t="str">
        <f aca="false">IF(F889="","",IF(ISNUMBER(SEARCH("-LED",UPPER(F889))),1,0))</f>
        <v/>
      </c>
      <c r="AG889" s="24" t="n">
        <f aca="false">IF(Z889="",0,IFERROR(INDEX(Resep!$C$5:$C$7,MATCH(LEFT(Z889,3),Resep!$B$5:$B$7,0)),0))</f>
        <v>0</v>
      </c>
      <c r="AH889" s="24" t="n">
        <f aca="false">IF(AA889="",0,IFERROR(INDEX(Resep!$C$9:$C$13,MATCH(LEFT(AA889,3),Resep!$B$9:$B$13,0)),0))</f>
        <v>0</v>
      </c>
      <c r="AI889" s="24" t="n">
        <f aca="false">IF(AB889="",0,IFERROR(INDEX(Resep!$C$9:$C$13,MATCH(LEFT(AB889,3),Resep!$B$9:$B$13,0)),0))</f>
        <v>0</v>
      </c>
      <c r="AJ889" s="24" t="n">
        <f aca="false">IF(AC889="",0,IFERROR(INDEX(Resep!$C$9:$C$13,MATCH(LEFT(AC889,3),Resep!$B$9:$B$13,0)),0))</f>
        <v>0</v>
      </c>
      <c r="AK889" s="24" t="n">
        <f aca="false">IF(AD889="",0,IFERROR(INDEX(Resep!$C$15:$C$18,MATCH(LEFT(AD889,3),Resep!$B$15:$B$18,0)),0))</f>
        <v>0</v>
      </c>
      <c r="AL889" s="24" t="str">
        <f aca="false">IF(X889="","",AG889+AH889+AI889+AJ889+AK889)</f>
        <v/>
      </c>
      <c r="AM889" s="22" t="str">
        <f aca="false">IF(X889="","",AL889*(Pengaturan!$B$6+Pengaturan!$B$7)+Pengaturan!$B$8+AE889*Pengaturan!$B$9+AF889*Pengaturan!$B$10)</f>
        <v/>
      </c>
      <c r="AN889" s="22" t="str">
        <f aca="false">IF(X889="","",N(G889)-AM889)</f>
        <v/>
      </c>
      <c r="AO889" s="25" t="str">
        <f aca="false">IF(OR(X889="",N(G889)=0),"",AN889/G889)</f>
        <v/>
      </c>
    </row>
    <row r="890" customFormat="false" ht="15" hidden="false" customHeight="false" outlineLevel="0" collapsed="false">
      <c r="A890" s="19"/>
      <c r="B890" s="20"/>
      <c r="C890" s="19"/>
      <c r="D890" s="19"/>
      <c r="E890" s="19"/>
      <c r="F890" s="19"/>
      <c r="G890" s="21"/>
      <c r="H890" s="19"/>
      <c r="I890" s="21"/>
      <c r="J890" s="19"/>
      <c r="K890" s="20"/>
      <c r="L890" s="20"/>
      <c r="M890" s="19"/>
      <c r="N890" s="19"/>
      <c r="O890" s="20"/>
      <c r="P890" s="20"/>
      <c r="Q890" s="19"/>
      <c r="R890" s="22" t="str">
        <f aca="false">IF(A890="","",N(G890)+N(I890))</f>
        <v/>
      </c>
      <c r="S890" s="23" t="str">
        <f aca="false">IF(OR(K890="",O890=""),"",O890-K890)</f>
        <v/>
      </c>
      <c r="T890" s="23" t="str">
        <f aca="true">IF(AND(C890="Cetak",L890&lt;&gt;"",L890&lt;TODAY()),"YA","")</f>
        <v/>
      </c>
      <c r="U890" s="23" t="str">
        <f aca="false">IF(B890="","",TEXT(B890,"yyyy-mm"))</f>
        <v/>
      </c>
      <c r="V890" s="23" t="str">
        <f aca="false">IF(K890="","",TEXT(K890,"yyyy-mm"))</f>
        <v/>
      </c>
      <c r="W890" s="23" t="n">
        <f aca="false">IF(OR(C890="Cetak",C890="Dikirim",C890="Selesai"),1,0)</f>
        <v>0</v>
      </c>
      <c r="X890" s="23" t="str">
        <f aca="false">IF(F890="","",SUBSTITUTE(SUBSTITUTE(MID(UPPER(TRIM(F890)),4,99),"-LED",""),"-TK",""))</f>
        <v/>
      </c>
      <c r="Y890" s="23" t="str">
        <f aca="false">IF(X890="","",(LEN(X890)+1)/7)</f>
        <v/>
      </c>
      <c r="Z890" s="23" t="str">
        <f aca="false">IF(X890="","",LEFT(X890,6))</f>
        <v/>
      </c>
      <c r="AA890" s="23" t="str">
        <f aca="false">IF(X890="","",IF(Y890&gt;=3,MID(X890,8,6),""))</f>
        <v/>
      </c>
      <c r="AB890" s="23" t="str">
        <f aca="false">IF(X890="","",IF(Y890&gt;=4,MID(X890,15,6),""))</f>
        <v/>
      </c>
      <c r="AC890" s="23" t="str">
        <f aca="false">IF(X890="","",IF(Y890&gt;=5,MID(X890,22,6),""))</f>
        <v/>
      </c>
      <c r="AD890" s="23" t="str">
        <f aca="false">IF(X890="","",RIGHT(X890,6))</f>
        <v/>
      </c>
      <c r="AE890" s="23" t="str">
        <f aca="false">IF(F890="","",IF(ISNUMBER(SEARCH("-TK",UPPER(F890))),0,1))</f>
        <v/>
      </c>
      <c r="AF890" s="23" t="str">
        <f aca="false">IF(F890="","",IF(ISNUMBER(SEARCH("-LED",UPPER(F890))),1,0))</f>
        <v/>
      </c>
      <c r="AG890" s="24" t="n">
        <f aca="false">IF(Z890="",0,IFERROR(INDEX(Resep!$C$5:$C$7,MATCH(LEFT(Z890,3),Resep!$B$5:$B$7,0)),0))</f>
        <v>0</v>
      </c>
      <c r="AH890" s="24" t="n">
        <f aca="false">IF(AA890="",0,IFERROR(INDEX(Resep!$C$9:$C$13,MATCH(LEFT(AA890,3),Resep!$B$9:$B$13,0)),0))</f>
        <v>0</v>
      </c>
      <c r="AI890" s="24" t="n">
        <f aca="false">IF(AB890="",0,IFERROR(INDEX(Resep!$C$9:$C$13,MATCH(LEFT(AB890,3),Resep!$B$9:$B$13,0)),0))</f>
        <v>0</v>
      </c>
      <c r="AJ890" s="24" t="n">
        <f aca="false">IF(AC890="",0,IFERROR(INDEX(Resep!$C$9:$C$13,MATCH(LEFT(AC890,3),Resep!$B$9:$B$13,0)),0))</f>
        <v>0</v>
      </c>
      <c r="AK890" s="24" t="n">
        <f aca="false">IF(AD890="",0,IFERROR(INDEX(Resep!$C$15:$C$18,MATCH(LEFT(AD890,3),Resep!$B$15:$B$18,0)),0))</f>
        <v>0</v>
      </c>
      <c r="AL890" s="24" t="str">
        <f aca="false">IF(X890="","",AG890+AH890+AI890+AJ890+AK890)</f>
        <v/>
      </c>
      <c r="AM890" s="22" t="str">
        <f aca="false">IF(X890="","",AL890*(Pengaturan!$B$6+Pengaturan!$B$7)+Pengaturan!$B$8+AE890*Pengaturan!$B$9+AF890*Pengaturan!$B$10)</f>
        <v/>
      </c>
      <c r="AN890" s="22" t="str">
        <f aca="false">IF(X890="","",N(G890)-AM890)</f>
        <v/>
      </c>
      <c r="AO890" s="25" t="str">
        <f aca="false">IF(OR(X890="",N(G890)=0),"",AN890/G890)</f>
        <v/>
      </c>
    </row>
    <row r="891" customFormat="false" ht="15" hidden="false" customHeight="false" outlineLevel="0" collapsed="false">
      <c r="A891" s="19"/>
      <c r="B891" s="20"/>
      <c r="C891" s="19"/>
      <c r="D891" s="19"/>
      <c r="E891" s="19"/>
      <c r="F891" s="19"/>
      <c r="G891" s="21"/>
      <c r="H891" s="19"/>
      <c r="I891" s="21"/>
      <c r="J891" s="19"/>
      <c r="K891" s="20"/>
      <c r="L891" s="20"/>
      <c r="M891" s="19"/>
      <c r="N891" s="19"/>
      <c r="O891" s="20"/>
      <c r="P891" s="20"/>
      <c r="Q891" s="19"/>
      <c r="R891" s="22" t="str">
        <f aca="false">IF(A891="","",N(G891)+N(I891))</f>
        <v/>
      </c>
      <c r="S891" s="23" t="str">
        <f aca="false">IF(OR(K891="",O891=""),"",O891-K891)</f>
        <v/>
      </c>
      <c r="T891" s="23" t="str">
        <f aca="true">IF(AND(C891="Cetak",L891&lt;&gt;"",L891&lt;TODAY()),"YA","")</f>
        <v/>
      </c>
      <c r="U891" s="23" t="str">
        <f aca="false">IF(B891="","",TEXT(B891,"yyyy-mm"))</f>
        <v/>
      </c>
      <c r="V891" s="23" t="str">
        <f aca="false">IF(K891="","",TEXT(K891,"yyyy-mm"))</f>
        <v/>
      </c>
      <c r="W891" s="23" t="n">
        <f aca="false">IF(OR(C891="Cetak",C891="Dikirim",C891="Selesai"),1,0)</f>
        <v>0</v>
      </c>
      <c r="X891" s="23" t="str">
        <f aca="false">IF(F891="","",SUBSTITUTE(SUBSTITUTE(MID(UPPER(TRIM(F891)),4,99),"-LED",""),"-TK",""))</f>
        <v/>
      </c>
      <c r="Y891" s="23" t="str">
        <f aca="false">IF(X891="","",(LEN(X891)+1)/7)</f>
        <v/>
      </c>
      <c r="Z891" s="23" t="str">
        <f aca="false">IF(X891="","",LEFT(X891,6))</f>
        <v/>
      </c>
      <c r="AA891" s="23" t="str">
        <f aca="false">IF(X891="","",IF(Y891&gt;=3,MID(X891,8,6),""))</f>
        <v/>
      </c>
      <c r="AB891" s="23" t="str">
        <f aca="false">IF(X891="","",IF(Y891&gt;=4,MID(X891,15,6),""))</f>
        <v/>
      </c>
      <c r="AC891" s="23" t="str">
        <f aca="false">IF(X891="","",IF(Y891&gt;=5,MID(X891,22,6),""))</f>
        <v/>
      </c>
      <c r="AD891" s="23" t="str">
        <f aca="false">IF(X891="","",RIGHT(X891,6))</f>
        <v/>
      </c>
      <c r="AE891" s="23" t="str">
        <f aca="false">IF(F891="","",IF(ISNUMBER(SEARCH("-TK",UPPER(F891))),0,1))</f>
        <v/>
      </c>
      <c r="AF891" s="23" t="str">
        <f aca="false">IF(F891="","",IF(ISNUMBER(SEARCH("-LED",UPPER(F891))),1,0))</f>
        <v/>
      </c>
      <c r="AG891" s="24" t="n">
        <f aca="false">IF(Z891="",0,IFERROR(INDEX(Resep!$C$5:$C$7,MATCH(LEFT(Z891,3),Resep!$B$5:$B$7,0)),0))</f>
        <v>0</v>
      </c>
      <c r="AH891" s="24" t="n">
        <f aca="false">IF(AA891="",0,IFERROR(INDEX(Resep!$C$9:$C$13,MATCH(LEFT(AA891,3),Resep!$B$9:$B$13,0)),0))</f>
        <v>0</v>
      </c>
      <c r="AI891" s="24" t="n">
        <f aca="false">IF(AB891="",0,IFERROR(INDEX(Resep!$C$9:$C$13,MATCH(LEFT(AB891,3),Resep!$B$9:$B$13,0)),0))</f>
        <v>0</v>
      </c>
      <c r="AJ891" s="24" t="n">
        <f aca="false">IF(AC891="",0,IFERROR(INDEX(Resep!$C$9:$C$13,MATCH(LEFT(AC891,3),Resep!$B$9:$B$13,0)),0))</f>
        <v>0</v>
      </c>
      <c r="AK891" s="24" t="n">
        <f aca="false">IF(AD891="",0,IFERROR(INDEX(Resep!$C$15:$C$18,MATCH(LEFT(AD891,3),Resep!$B$15:$B$18,0)),0))</f>
        <v>0</v>
      </c>
      <c r="AL891" s="24" t="str">
        <f aca="false">IF(X891="","",AG891+AH891+AI891+AJ891+AK891)</f>
        <v/>
      </c>
      <c r="AM891" s="22" t="str">
        <f aca="false">IF(X891="","",AL891*(Pengaturan!$B$6+Pengaturan!$B$7)+Pengaturan!$B$8+AE891*Pengaturan!$B$9+AF891*Pengaturan!$B$10)</f>
        <v/>
      </c>
      <c r="AN891" s="22" t="str">
        <f aca="false">IF(X891="","",N(G891)-AM891)</f>
        <v/>
      </c>
      <c r="AO891" s="25" t="str">
        <f aca="false">IF(OR(X891="",N(G891)=0),"",AN891/G891)</f>
        <v/>
      </c>
    </row>
    <row r="892" customFormat="false" ht="15" hidden="false" customHeight="false" outlineLevel="0" collapsed="false">
      <c r="A892" s="19"/>
      <c r="B892" s="20"/>
      <c r="C892" s="19"/>
      <c r="D892" s="19"/>
      <c r="E892" s="19"/>
      <c r="F892" s="19"/>
      <c r="G892" s="21"/>
      <c r="H892" s="19"/>
      <c r="I892" s="21"/>
      <c r="J892" s="19"/>
      <c r="K892" s="20"/>
      <c r="L892" s="20"/>
      <c r="M892" s="19"/>
      <c r="N892" s="19"/>
      <c r="O892" s="20"/>
      <c r="P892" s="20"/>
      <c r="Q892" s="19"/>
      <c r="R892" s="22" t="str">
        <f aca="false">IF(A892="","",N(G892)+N(I892))</f>
        <v/>
      </c>
      <c r="S892" s="23" t="str">
        <f aca="false">IF(OR(K892="",O892=""),"",O892-K892)</f>
        <v/>
      </c>
      <c r="T892" s="23" t="str">
        <f aca="true">IF(AND(C892="Cetak",L892&lt;&gt;"",L892&lt;TODAY()),"YA","")</f>
        <v/>
      </c>
      <c r="U892" s="23" t="str">
        <f aca="false">IF(B892="","",TEXT(B892,"yyyy-mm"))</f>
        <v/>
      </c>
      <c r="V892" s="23" t="str">
        <f aca="false">IF(K892="","",TEXT(K892,"yyyy-mm"))</f>
        <v/>
      </c>
      <c r="W892" s="23" t="n">
        <f aca="false">IF(OR(C892="Cetak",C892="Dikirim",C892="Selesai"),1,0)</f>
        <v>0</v>
      </c>
      <c r="X892" s="23" t="str">
        <f aca="false">IF(F892="","",SUBSTITUTE(SUBSTITUTE(MID(UPPER(TRIM(F892)),4,99),"-LED",""),"-TK",""))</f>
        <v/>
      </c>
      <c r="Y892" s="23" t="str">
        <f aca="false">IF(X892="","",(LEN(X892)+1)/7)</f>
        <v/>
      </c>
      <c r="Z892" s="23" t="str">
        <f aca="false">IF(X892="","",LEFT(X892,6))</f>
        <v/>
      </c>
      <c r="AA892" s="23" t="str">
        <f aca="false">IF(X892="","",IF(Y892&gt;=3,MID(X892,8,6),""))</f>
        <v/>
      </c>
      <c r="AB892" s="23" t="str">
        <f aca="false">IF(X892="","",IF(Y892&gt;=4,MID(X892,15,6),""))</f>
        <v/>
      </c>
      <c r="AC892" s="23" t="str">
        <f aca="false">IF(X892="","",IF(Y892&gt;=5,MID(X892,22,6),""))</f>
        <v/>
      </c>
      <c r="AD892" s="23" t="str">
        <f aca="false">IF(X892="","",RIGHT(X892,6))</f>
        <v/>
      </c>
      <c r="AE892" s="23" t="str">
        <f aca="false">IF(F892="","",IF(ISNUMBER(SEARCH("-TK",UPPER(F892))),0,1))</f>
        <v/>
      </c>
      <c r="AF892" s="23" t="str">
        <f aca="false">IF(F892="","",IF(ISNUMBER(SEARCH("-LED",UPPER(F892))),1,0))</f>
        <v/>
      </c>
      <c r="AG892" s="24" t="n">
        <f aca="false">IF(Z892="",0,IFERROR(INDEX(Resep!$C$5:$C$7,MATCH(LEFT(Z892,3),Resep!$B$5:$B$7,0)),0))</f>
        <v>0</v>
      </c>
      <c r="AH892" s="24" t="n">
        <f aca="false">IF(AA892="",0,IFERROR(INDEX(Resep!$C$9:$C$13,MATCH(LEFT(AA892,3),Resep!$B$9:$B$13,0)),0))</f>
        <v>0</v>
      </c>
      <c r="AI892" s="24" t="n">
        <f aca="false">IF(AB892="",0,IFERROR(INDEX(Resep!$C$9:$C$13,MATCH(LEFT(AB892,3),Resep!$B$9:$B$13,0)),0))</f>
        <v>0</v>
      </c>
      <c r="AJ892" s="24" t="n">
        <f aca="false">IF(AC892="",0,IFERROR(INDEX(Resep!$C$9:$C$13,MATCH(LEFT(AC892,3),Resep!$B$9:$B$13,0)),0))</f>
        <v>0</v>
      </c>
      <c r="AK892" s="24" t="n">
        <f aca="false">IF(AD892="",0,IFERROR(INDEX(Resep!$C$15:$C$18,MATCH(LEFT(AD892,3),Resep!$B$15:$B$18,0)),0))</f>
        <v>0</v>
      </c>
      <c r="AL892" s="24" t="str">
        <f aca="false">IF(X892="","",AG892+AH892+AI892+AJ892+AK892)</f>
        <v/>
      </c>
      <c r="AM892" s="22" t="str">
        <f aca="false">IF(X892="","",AL892*(Pengaturan!$B$6+Pengaturan!$B$7)+Pengaturan!$B$8+AE892*Pengaturan!$B$9+AF892*Pengaturan!$B$10)</f>
        <v/>
      </c>
      <c r="AN892" s="22" t="str">
        <f aca="false">IF(X892="","",N(G892)-AM892)</f>
        <v/>
      </c>
      <c r="AO892" s="25" t="str">
        <f aca="false">IF(OR(X892="",N(G892)=0),"",AN892/G892)</f>
        <v/>
      </c>
    </row>
    <row r="893" customFormat="false" ht="15" hidden="false" customHeight="false" outlineLevel="0" collapsed="false">
      <c r="A893" s="19"/>
      <c r="B893" s="20"/>
      <c r="C893" s="19"/>
      <c r="D893" s="19"/>
      <c r="E893" s="19"/>
      <c r="F893" s="19"/>
      <c r="G893" s="21"/>
      <c r="H893" s="19"/>
      <c r="I893" s="21"/>
      <c r="J893" s="19"/>
      <c r="K893" s="20"/>
      <c r="L893" s="20"/>
      <c r="M893" s="19"/>
      <c r="N893" s="19"/>
      <c r="O893" s="20"/>
      <c r="P893" s="20"/>
      <c r="Q893" s="19"/>
      <c r="R893" s="22" t="str">
        <f aca="false">IF(A893="","",N(G893)+N(I893))</f>
        <v/>
      </c>
      <c r="S893" s="23" t="str">
        <f aca="false">IF(OR(K893="",O893=""),"",O893-K893)</f>
        <v/>
      </c>
      <c r="T893" s="23" t="str">
        <f aca="true">IF(AND(C893="Cetak",L893&lt;&gt;"",L893&lt;TODAY()),"YA","")</f>
        <v/>
      </c>
      <c r="U893" s="23" t="str">
        <f aca="false">IF(B893="","",TEXT(B893,"yyyy-mm"))</f>
        <v/>
      </c>
      <c r="V893" s="23" t="str">
        <f aca="false">IF(K893="","",TEXT(K893,"yyyy-mm"))</f>
        <v/>
      </c>
      <c r="W893" s="23" t="n">
        <f aca="false">IF(OR(C893="Cetak",C893="Dikirim",C893="Selesai"),1,0)</f>
        <v>0</v>
      </c>
      <c r="X893" s="23" t="str">
        <f aca="false">IF(F893="","",SUBSTITUTE(SUBSTITUTE(MID(UPPER(TRIM(F893)),4,99),"-LED",""),"-TK",""))</f>
        <v/>
      </c>
      <c r="Y893" s="23" t="str">
        <f aca="false">IF(X893="","",(LEN(X893)+1)/7)</f>
        <v/>
      </c>
      <c r="Z893" s="23" t="str">
        <f aca="false">IF(X893="","",LEFT(X893,6))</f>
        <v/>
      </c>
      <c r="AA893" s="23" t="str">
        <f aca="false">IF(X893="","",IF(Y893&gt;=3,MID(X893,8,6),""))</f>
        <v/>
      </c>
      <c r="AB893" s="23" t="str">
        <f aca="false">IF(X893="","",IF(Y893&gt;=4,MID(X893,15,6),""))</f>
        <v/>
      </c>
      <c r="AC893" s="23" t="str">
        <f aca="false">IF(X893="","",IF(Y893&gt;=5,MID(X893,22,6),""))</f>
        <v/>
      </c>
      <c r="AD893" s="23" t="str">
        <f aca="false">IF(X893="","",RIGHT(X893,6))</f>
        <v/>
      </c>
      <c r="AE893" s="23" t="str">
        <f aca="false">IF(F893="","",IF(ISNUMBER(SEARCH("-TK",UPPER(F893))),0,1))</f>
        <v/>
      </c>
      <c r="AF893" s="23" t="str">
        <f aca="false">IF(F893="","",IF(ISNUMBER(SEARCH("-LED",UPPER(F893))),1,0))</f>
        <v/>
      </c>
      <c r="AG893" s="24" t="n">
        <f aca="false">IF(Z893="",0,IFERROR(INDEX(Resep!$C$5:$C$7,MATCH(LEFT(Z893,3),Resep!$B$5:$B$7,0)),0))</f>
        <v>0</v>
      </c>
      <c r="AH893" s="24" t="n">
        <f aca="false">IF(AA893="",0,IFERROR(INDEX(Resep!$C$9:$C$13,MATCH(LEFT(AA893,3),Resep!$B$9:$B$13,0)),0))</f>
        <v>0</v>
      </c>
      <c r="AI893" s="24" t="n">
        <f aca="false">IF(AB893="",0,IFERROR(INDEX(Resep!$C$9:$C$13,MATCH(LEFT(AB893,3),Resep!$B$9:$B$13,0)),0))</f>
        <v>0</v>
      </c>
      <c r="AJ893" s="24" t="n">
        <f aca="false">IF(AC893="",0,IFERROR(INDEX(Resep!$C$9:$C$13,MATCH(LEFT(AC893,3),Resep!$B$9:$B$13,0)),0))</f>
        <v>0</v>
      </c>
      <c r="AK893" s="24" t="n">
        <f aca="false">IF(AD893="",0,IFERROR(INDEX(Resep!$C$15:$C$18,MATCH(LEFT(AD893,3),Resep!$B$15:$B$18,0)),0))</f>
        <v>0</v>
      </c>
      <c r="AL893" s="24" t="str">
        <f aca="false">IF(X893="","",AG893+AH893+AI893+AJ893+AK893)</f>
        <v/>
      </c>
      <c r="AM893" s="22" t="str">
        <f aca="false">IF(X893="","",AL893*(Pengaturan!$B$6+Pengaturan!$B$7)+Pengaturan!$B$8+AE893*Pengaturan!$B$9+AF893*Pengaturan!$B$10)</f>
        <v/>
      </c>
      <c r="AN893" s="22" t="str">
        <f aca="false">IF(X893="","",N(G893)-AM893)</f>
        <v/>
      </c>
      <c r="AO893" s="25" t="str">
        <f aca="false">IF(OR(X893="",N(G893)=0),"",AN893/G893)</f>
        <v/>
      </c>
    </row>
    <row r="894" customFormat="false" ht="15" hidden="false" customHeight="false" outlineLevel="0" collapsed="false">
      <c r="A894" s="19"/>
      <c r="B894" s="20"/>
      <c r="C894" s="19"/>
      <c r="D894" s="19"/>
      <c r="E894" s="19"/>
      <c r="F894" s="19"/>
      <c r="G894" s="21"/>
      <c r="H894" s="19"/>
      <c r="I894" s="21"/>
      <c r="J894" s="19"/>
      <c r="K894" s="20"/>
      <c r="L894" s="20"/>
      <c r="M894" s="19"/>
      <c r="N894" s="19"/>
      <c r="O894" s="20"/>
      <c r="P894" s="20"/>
      <c r="Q894" s="19"/>
      <c r="R894" s="22" t="str">
        <f aca="false">IF(A894="","",N(G894)+N(I894))</f>
        <v/>
      </c>
      <c r="S894" s="23" t="str">
        <f aca="false">IF(OR(K894="",O894=""),"",O894-K894)</f>
        <v/>
      </c>
      <c r="T894" s="23" t="str">
        <f aca="true">IF(AND(C894="Cetak",L894&lt;&gt;"",L894&lt;TODAY()),"YA","")</f>
        <v/>
      </c>
      <c r="U894" s="23" t="str">
        <f aca="false">IF(B894="","",TEXT(B894,"yyyy-mm"))</f>
        <v/>
      </c>
      <c r="V894" s="23" t="str">
        <f aca="false">IF(K894="","",TEXT(K894,"yyyy-mm"))</f>
        <v/>
      </c>
      <c r="W894" s="23" t="n">
        <f aca="false">IF(OR(C894="Cetak",C894="Dikirim",C894="Selesai"),1,0)</f>
        <v>0</v>
      </c>
      <c r="X894" s="23" t="str">
        <f aca="false">IF(F894="","",SUBSTITUTE(SUBSTITUTE(MID(UPPER(TRIM(F894)),4,99),"-LED",""),"-TK",""))</f>
        <v/>
      </c>
      <c r="Y894" s="23" t="str">
        <f aca="false">IF(X894="","",(LEN(X894)+1)/7)</f>
        <v/>
      </c>
      <c r="Z894" s="23" t="str">
        <f aca="false">IF(X894="","",LEFT(X894,6))</f>
        <v/>
      </c>
      <c r="AA894" s="23" t="str">
        <f aca="false">IF(X894="","",IF(Y894&gt;=3,MID(X894,8,6),""))</f>
        <v/>
      </c>
      <c r="AB894" s="23" t="str">
        <f aca="false">IF(X894="","",IF(Y894&gt;=4,MID(X894,15,6),""))</f>
        <v/>
      </c>
      <c r="AC894" s="23" t="str">
        <f aca="false">IF(X894="","",IF(Y894&gt;=5,MID(X894,22,6),""))</f>
        <v/>
      </c>
      <c r="AD894" s="23" t="str">
        <f aca="false">IF(X894="","",RIGHT(X894,6))</f>
        <v/>
      </c>
      <c r="AE894" s="23" t="str">
        <f aca="false">IF(F894="","",IF(ISNUMBER(SEARCH("-TK",UPPER(F894))),0,1))</f>
        <v/>
      </c>
      <c r="AF894" s="23" t="str">
        <f aca="false">IF(F894="","",IF(ISNUMBER(SEARCH("-LED",UPPER(F894))),1,0))</f>
        <v/>
      </c>
      <c r="AG894" s="24" t="n">
        <f aca="false">IF(Z894="",0,IFERROR(INDEX(Resep!$C$5:$C$7,MATCH(LEFT(Z894,3),Resep!$B$5:$B$7,0)),0))</f>
        <v>0</v>
      </c>
      <c r="AH894" s="24" t="n">
        <f aca="false">IF(AA894="",0,IFERROR(INDEX(Resep!$C$9:$C$13,MATCH(LEFT(AA894,3),Resep!$B$9:$B$13,0)),0))</f>
        <v>0</v>
      </c>
      <c r="AI894" s="24" t="n">
        <f aca="false">IF(AB894="",0,IFERROR(INDEX(Resep!$C$9:$C$13,MATCH(LEFT(AB894,3),Resep!$B$9:$B$13,0)),0))</f>
        <v>0</v>
      </c>
      <c r="AJ894" s="24" t="n">
        <f aca="false">IF(AC894="",0,IFERROR(INDEX(Resep!$C$9:$C$13,MATCH(LEFT(AC894,3),Resep!$B$9:$B$13,0)),0))</f>
        <v>0</v>
      </c>
      <c r="AK894" s="24" t="n">
        <f aca="false">IF(AD894="",0,IFERROR(INDEX(Resep!$C$15:$C$18,MATCH(LEFT(AD894,3),Resep!$B$15:$B$18,0)),0))</f>
        <v>0</v>
      </c>
      <c r="AL894" s="24" t="str">
        <f aca="false">IF(X894="","",AG894+AH894+AI894+AJ894+AK894)</f>
        <v/>
      </c>
      <c r="AM894" s="22" t="str">
        <f aca="false">IF(X894="","",AL894*(Pengaturan!$B$6+Pengaturan!$B$7)+Pengaturan!$B$8+AE894*Pengaturan!$B$9+AF894*Pengaturan!$B$10)</f>
        <v/>
      </c>
      <c r="AN894" s="22" t="str">
        <f aca="false">IF(X894="","",N(G894)-AM894)</f>
        <v/>
      </c>
      <c r="AO894" s="25" t="str">
        <f aca="false">IF(OR(X894="",N(G894)=0),"",AN894/G894)</f>
        <v/>
      </c>
    </row>
    <row r="895" customFormat="false" ht="15" hidden="false" customHeight="false" outlineLevel="0" collapsed="false">
      <c r="A895" s="19"/>
      <c r="B895" s="20"/>
      <c r="C895" s="19"/>
      <c r="D895" s="19"/>
      <c r="E895" s="19"/>
      <c r="F895" s="19"/>
      <c r="G895" s="21"/>
      <c r="H895" s="19"/>
      <c r="I895" s="21"/>
      <c r="J895" s="19"/>
      <c r="K895" s="20"/>
      <c r="L895" s="20"/>
      <c r="M895" s="19"/>
      <c r="N895" s="19"/>
      <c r="O895" s="20"/>
      <c r="P895" s="20"/>
      <c r="Q895" s="19"/>
      <c r="R895" s="22" t="str">
        <f aca="false">IF(A895="","",N(G895)+N(I895))</f>
        <v/>
      </c>
      <c r="S895" s="23" t="str">
        <f aca="false">IF(OR(K895="",O895=""),"",O895-K895)</f>
        <v/>
      </c>
      <c r="T895" s="23" t="str">
        <f aca="true">IF(AND(C895="Cetak",L895&lt;&gt;"",L895&lt;TODAY()),"YA","")</f>
        <v/>
      </c>
      <c r="U895" s="23" t="str">
        <f aca="false">IF(B895="","",TEXT(B895,"yyyy-mm"))</f>
        <v/>
      </c>
      <c r="V895" s="23" t="str">
        <f aca="false">IF(K895="","",TEXT(K895,"yyyy-mm"))</f>
        <v/>
      </c>
      <c r="W895" s="23" t="n">
        <f aca="false">IF(OR(C895="Cetak",C895="Dikirim",C895="Selesai"),1,0)</f>
        <v>0</v>
      </c>
      <c r="X895" s="23" t="str">
        <f aca="false">IF(F895="","",SUBSTITUTE(SUBSTITUTE(MID(UPPER(TRIM(F895)),4,99),"-LED",""),"-TK",""))</f>
        <v/>
      </c>
      <c r="Y895" s="23" t="str">
        <f aca="false">IF(X895="","",(LEN(X895)+1)/7)</f>
        <v/>
      </c>
      <c r="Z895" s="23" t="str">
        <f aca="false">IF(X895="","",LEFT(X895,6))</f>
        <v/>
      </c>
      <c r="AA895" s="23" t="str">
        <f aca="false">IF(X895="","",IF(Y895&gt;=3,MID(X895,8,6),""))</f>
        <v/>
      </c>
      <c r="AB895" s="23" t="str">
        <f aca="false">IF(X895="","",IF(Y895&gt;=4,MID(X895,15,6),""))</f>
        <v/>
      </c>
      <c r="AC895" s="23" t="str">
        <f aca="false">IF(X895="","",IF(Y895&gt;=5,MID(X895,22,6),""))</f>
        <v/>
      </c>
      <c r="AD895" s="23" t="str">
        <f aca="false">IF(X895="","",RIGHT(X895,6))</f>
        <v/>
      </c>
      <c r="AE895" s="23" t="str">
        <f aca="false">IF(F895="","",IF(ISNUMBER(SEARCH("-TK",UPPER(F895))),0,1))</f>
        <v/>
      </c>
      <c r="AF895" s="23" t="str">
        <f aca="false">IF(F895="","",IF(ISNUMBER(SEARCH("-LED",UPPER(F895))),1,0))</f>
        <v/>
      </c>
      <c r="AG895" s="24" t="n">
        <f aca="false">IF(Z895="",0,IFERROR(INDEX(Resep!$C$5:$C$7,MATCH(LEFT(Z895,3),Resep!$B$5:$B$7,0)),0))</f>
        <v>0</v>
      </c>
      <c r="AH895" s="24" t="n">
        <f aca="false">IF(AA895="",0,IFERROR(INDEX(Resep!$C$9:$C$13,MATCH(LEFT(AA895,3),Resep!$B$9:$B$13,0)),0))</f>
        <v>0</v>
      </c>
      <c r="AI895" s="24" t="n">
        <f aca="false">IF(AB895="",0,IFERROR(INDEX(Resep!$C$9:$C$13,MATCH(LEFT(AB895,3),Resep!$B$9:$B$13,0)),0))</f>
        <v>0</v>
      </c>
      <c r="AJ895" s="24" t="n">
        <f aca="false">IF(AC895="",0,IFERROR(INDEX(Resep!$C$9:$C$13,MATCH(LEFT(AC895,3),Resep!$B$9:$B$13,0)),0))</f>
        <v>0</v>
      </c>
      <c r="AK895" s="24" t="n">
        <f aca="false">IF(AD895="",0,IFERROR(INDEX(Resep!$C$15:$C$18,MATCH(LEFT(AD895,3),Resep!$B$15:$B$18,0)),0))</f>
        <v>0</v>
      </c>
      <c r="AL895" s="24" t="str">
        <f aca="false">IF(X895="","",AG895+AH895+AI895+AJ895+AK895)</f>
        <v/>
      </c>
      <c r="AM895" s="22" t="str">
        <f aca="false">IF(X895="","",AL895*(Pengaturan!$B$6+Pengaturan!$B$7)+Pengaturan!$B$8+AE895*Pengaturan!$B$9+AF895*Pengaturan!$B$10)</f>
        <v/>
      </c>
      <c r="AN895" s="22" t="str">
        <f aca="false">IF(X895="","",N(G895)-AM895)</f>
        <v/>
      </c>
      <c r="AO895" s="25" t="str">
        <f aca="false">IF(OR(X895="",N(G895)=0),"",AN895/G895)</f>
        <v/>
      </c>
    </row>
    <row r="896" customFormat="false" ht="15" hidden="false" customHeight="false" outlineLevel="0" collapsed="false">
      <c r="A896" s="19"/>
      <c r="B896" s="20"/>
      <c r="C896" s="19"/>
      <c r="D896" s="19"/>
      <c r="E896" s="19"/>
      <c r="F896" s="19"/>
      <c r="G896" s="21"/>
      <c r="H896" s="19"/>
      <c r="I896" s="21"/>
      <c r="J896" s="19"/>
      <c r="K896" s="20"/>
      <c r="L896" s="20"/>
      <c r="M896" s="19"/>
      <c r="N896" s="19"/>
      <c r="O896" s="20"/>
      <c r="P896" s="20"/>
      <c r="Q896" s="19"/>
      <c r="R896" s="22" t="str">
        <f aca="false">IF(A896="","",N(G896)+N(I896))</f>
        <v/>
      </c>
      <c r="S896" s="23" t="str">
        <f aca="false">IF(OR(K896="",O896=""),"",O896-K896)</f>
        <v/>
      </c>
      <c r="T896" s="23" t="str">
        <f aca="true">IF(AND(C896="Cetak",L896&lt;&gt;"",L896&lt;TODAY()),"YA","")</f>
        <v/>
      </c>
      <c r="U896" s="23" t="str">
        <f aca="false">IF(B896="","",TEXT(B896,"yyyy-mm"))</f>
        <v/>
      </c>
      <c r="V896" s="23" t="str">
        <f aca="false">IF(K896="","",TEXT(K896,"yyyy-mm"))</f>
        <v/>
      </c>
      <c r="W896" s="23" t="n">
        <f aca="false">IF(OR(C896="Cetak",C896="Dikirim",C896="Selesai"),1,0)</f>
        <v>0</v>
      </c>
      <c r="X896" s="23" t="str">
        <f aca="false">IF(F896="","",SUBSTITUTE(SUBSTITUTE(MID(UPPER(TRIM(F896)),4,99),"-LED",""),"-TK",""))</f>
        <v/>
      </c>
      <c r="Y896" s="23" t="str">
        <f aca="false">IF(X896="","",(LEN(X896)+1)/7)</f>
        <v/>
      </c>
      <c r="Z896" s="23" t="str">
        <f aca="false">IF(X896="","",LEFT(X896,6))</f>
        <v/>
      </c>
      <c r="AA896" s="23" t="str">
        <f aca="false">IF(X896="","",IF(Y896&gt;=3,MID(X896,8,6),""))</f>
        <v/>
      </c>
      <c r="AB896" s="23" t="str">
        <f aca="false">IF(X896="","",IF(Y896&gt;=4,MID(X896,15,6),""))</f>
        <v/>
      </c>
      <c r="AC896" s="23" t="str">
        <f aca="false">IF(X896="","",IF(Y896&gt;=5,MID(X896,22,6),""))</f>
        <v/>
      </c>
      <c r="AD896" s="23" t="str">
        <f aca="false">IF(X896="","",RIGHT(X896,6))</f>
        <v/>
      </c>
      <c r="AE896" s="23" t="str">
        <f aca="false">IF(F896="","",IF(ISNUMBER(SEARCH("-TK",UPPER(F896))),0,1))</f>
        <v/>
      </c>
      <c r="AF896" s="23" t="str">
        <f aca="false">IF(F896="","",IF(ISNUMBER(SEARCH("-LED",UPPER(F896))),1,0))</f>
        <v/>
      </c>
      <c r="AG896" s="24" t="n">
        <f aca="false">IF(Z896="",0,IFERROR(INDEX(Resep!$C$5:$C$7,MATCH(LEFT(Z896,3),Resep!$B$5:$B$7,0)),0))</f>
        <v>0</v>
      </c>
      <c r="AH896" s="24" t="n">
        <f aca="false">IF(AA896="",0,IFERROR(INDEX(Resep!$C$9:$C$13,MATCH(LEFT(AA896,3),Resep!$B$9:$B$13,0)),0))</f>
        <v>0</v>
      </c>
      <c r="AI896" s="24" t="n">
        <f aca="false">IF(AB896="",0,IFERROR(INDEX(Resep!$C$9:$C$13,MATCH(LEFT(AB896,3),Resep!$B$9:$B$13,0)),0))</f>
        <v>0</v>
      </c>
      <c r="AJ896" s="24" t="n">
        <f aca="false">IF(AC896="",0,IFERROR(INDEX(Resep!$C$9:$C$13,MATCH(LEFT(AC896,3),Resep!$B$9:$B$13,0)),0))</f>
        <v>0</v>
      </c>
      <c r="AK896" s="24" t="n">
        <f aca="false">IF(AD896="",0,IFERROR(INDEX(Resep!$C$15:$C$18,MATCH(LEFT(AD896,3),Resep!$B$15:$B$18,0)),0))</f>
        <v>0</v>
      </c>
      <c r="AL896" s="24" t="str">
        <f aca="false">IF(X896="","",AG896+AH896+AI896+AJ896+AK896)</f>
        <v/>
      </c>
      <c r="AM896" s="22" t="str">
        <f aca="false">IF(X896="","",AL896*(Pengaturan!$B$6+Pengaturan!$B$7)+Pengaturan!$B$8+AE896*Pengaturan!$B$9+AF896*Pengaturan!$B$10)</f>
        <v/>
      </c>
      <c r="AN896" s="22" t="str">
        <f aca="false">IF(X896="","",N(G896)-AM896)</f>
        <v/>
      </c>
      <c r="AO896" s="25" t="str">
        <f aca="false">IF(OR(X896="",N(G896)=0),"",AN896/G896)</f>
        <v/>
      </c>
    </row>
    <row r="897" customFormat="false" ht="15" hidden="false" customHeight="false" outlineLevel="0" collapsed="false">
      <c r="A897" s="19"/>
      <c r="B897" s="20"/>
      <c r="C897" s="19"/>
      <c r="D897" s="19"/>
      <c r="E897" s="19"/>
      <c r="F897" s="19"/>
      <c r="G897" s="21"/>
      <c r="H897" s="19"/>
      <c r="I897" s="21"/>
      <c r="J897" s="19"/>
      <c r="K897" s="20"/>
      <c r="L897" s="20"/>
      <c r="M897" s="19"/>
      <c r="N897" s="19"/>
      <c r="O897" s="20"/>
      <c r="P897" s="20"/>
      <c r="Q897" s="19"/>
      <c r="R897" s="22" t="str">
        <f aca="false">IF(A897="","",N(G897)+N(I897))</f>
        <v/>
      </c>
      <c r="S897" s="23" t="str">
        <f aca="false">IF(OR(K897="",O897=""),"",O897-K897)</f>
        <v/>
      </c>
      <c r="T897" s="23" t="str">
        <f aca="true">IF(AND(C897="Cetak",L897&lt;&gt;"",L897&lt;TODAY()),"YA","")</f>
        <v/>
      </c>
      <c r="U897" s="23" t="str">
        <f aca="false">IF(B897="","",TEXT(B897,"yyyy-mm"))</f>
        <v/>
      </c>
      <c r="V897" s="23" t="str">
        <f aca="false">IF(K897="","",TEXT(K897,"yyyy-mm"))</f>
        <v/>
      </c>
      <c r="W897" s="23" t="n">
        <f aca="false">IF(OR(C897="Cetak",C897="Dikirim",C897="Selesai"),1,0)</f>
        <v>0</v>
      </c>
      <c r="X897" s="23" t="str">
        <f aca="false">IF(F897="","",SUBSTITUTE(SUBSTITUTE(MID(UPPER(TRIM(F897)),4,99),"-LED",""),"-TK",""))</f>
        <v/>
      </c>
      <c r="Y897" s="23" t="str">
        <f aca="false">IF(X897="","",(LEN(X897)+1)/7)</f>
        <v/>
      </c>
      <c r="Z897" s="23" t="str">
        <f aca="false">IF(X897="","",LEFT(X897,6))</f>
        <v/>
      </c>
      <c r="AA897" s="23" t="str">
        <f aca="false">IF(X897="","",IF(Y897&gt;=3,MID(X897,8,6),""))</f>
        <v/>
      </c>
      <c r="AB897" s="23" t="str">
        <f aca="false">IF(X897="","",IF(Y897&gt;=4,MID(X897,15,6),""))</f>
        <v/>
      </c>
      <c r="AC897" s="23" t="str">
        <f aca="false">IF(X897="","",IF(Y897&gt;=5,MID(X897,22,6),""))</f>
        <v/>
      </c>
      <c r="AD897" s="23" t="str">
        <f aca="false">IF(X897="","",RIGHT(X897,6))</f>
        <v/>
      </c>
      <c r="AE897" s="23" t="str">
        <f aca="false">IF(F897="","",IF(ISNUMBER(SEARCH("-TK",UPPER(F897))),0,1))</f>
        <v/>
      </c>
      <c r="AF897" s="23" t="str">
        <f aca="false">IF(F897="","",IF(ISNUMBER(SEARCH("-LED",UPPER(F897))),1,0))</f>
        <v/>
      </c>
      <c r="AG897" s="24" t="n">
        <f aca="false">IF(Z897="",0,IFERROR(INDEX(Resep!$C$5:$C$7,MATCH(LEFT(Z897,3),Resep!$B$5:$B$7,0)),0))</f>
        <v>0</v>
      </c>
      <c r="AH897" s="24" t="n">
        <f aca="false">IF(AA897="",0,IFERROR(INDEX(Resep!$C$9:$C$13,MATCH(LEFT(AA897,3),Resep!$B$9:$B$13,0)),0))</f>
        <v>0</v>
      </c>
      <c r="AI897" s="24" t="n">
        <f aca="false">IF(AB897="",0,IFERROR(INDEX(Resep!$C$9:$C$13,MATCH(LEFT(AB897,3),Resep!$B$9:$B$13,0)),0))</f>
        <v>0</v>
      </c>
      <c r="AJ897" s="24" t="n">
        <f aca="false">IF(AC897="",0,IFERROR(INDEX(Resep!$C$9:$C$13,MATCH(LEFT(AC897,3),Resep!$B$9:$B$13,0)),0))</f>
        <v>0</v>
      </c>
      <c r="AK897" s="24" t="n">
        <f aca="false">IF(AD897="",0,IFERROR(INDEX(Resep!$C$15:$C$18,MATCH(LEFT(AD897,3),Resep!$B$15:$B$18,0)),0))</f>
        <v>0</v>
      </c>
      <c r="AL897" s="24" t="str">
        <f aca="false">IF(X897="","",AG897+AH897+AI897+AJ897+AK897)</f>
        <v/>
      </c>
      <c r="AM897" s="22" t="str">
        <f aca="false">IF(X897="","",AL897*(Pengaturan!$B$6+Pengaturan!$B$7)+Pengaturan!$B$8+AE897*Pengaturan!$B$9+AF897*Pengaturan!$B$10)</f>
        <v/>
      </c>
      <c r="AN897" s="22" t="str">
        <f aca="false">IF(X897="","",N(G897)-AM897)</f>
        <v/>
      </c>
      <c r="AO897" s="25" t="str">
        <f aca="false">IF(OR(X897="",N(G897)=0),"",AN897/G897)</f>
        <v/>
      </c>
    </row>
    <row r="898" customFormat="false" ht="15" hidden="false" customHeight="false" outlineLevel="0" collapsed="false">
      <c r="A898" s="19"/>
      <c r="B898" s="20"/>
      <c r="C898" s="19"/>
      <c r="D898" s="19"/>
      <c r="E898" s="19"/>
      <c r="F898" s="19"/>
      <c r="G898" s="21"/>
      <c r="H898" s="19"/>
      <c r="I898" s="21"/>
      <c r="J898" s="19"/>
      <c r="K898" s="20"/>
      <c r="L898" s="20"/>
      <c r="M898" s="19"/>
      <c r="N898" s="19"/>
      <c r="O898" s="20"/>
      <c r="P898" s="20"/>
      <c r="Q898" s="19"/>
      <c r="R898" s="22" t="str">
        <f aca="false">IF(A898="","",N(G898)+N(I898))</f>
        <v/>
      </c>
      <c r="S898" s="23" t="str">
        <f aca="false">IF(OR(K898="",O898=""),"",O898-K898)</f>
        <v/>
      </c>
      <c r="T898" s="23" t="str">
        <f aca="true">IF(AND(C898="Cetak",L898&lt;&gt;"",L898&lt;TODAY()),"YA","")</f>
        <v/>
      </c>
      <c r="U898" s="23" t="str">
        <f aca="false">IF(B898="","",TEXT(B898,"yyyy-mm"))</f>
        <v/>
      </c>
      <c r="V898" s="23" t="str">
        <f aca="false">IF(K898="","",TEXT(K898,"yyyy-mm"))</f>
        <v/>
      </c>
      <c r="W898" s="23" t="n">
        <f aca="false">IF(OR(C898="Cetak",C898="Dikirim",C898="Selesai"),1,0)</f>
        <v>0</v>
      </c>
      <c r="X898" s="23" t="str">
        <f aca="false">IF(F898="","",SUBSTITUTE(SUBSTITUTE(MID(UPPER(TRIM(F898)),4,99),"-LED",""),"-TK",""))</f>
        <v/>
      </c>
      <c r="Y898" s="23" t="str">
        <f aca="false">IF(X898="","",(LEN(X898)+1)/7)</f>
        <v/>
      </c>
      <c r="Z898" s="23" t="str">
        <f aca="false">IF(X898="","",LEFT(X898,6))</f>
        <v/>
      </c>
      <c r="AA898" s="23" t="str">
        <f aca="false">IF(X898="","",IF(Y898&gt;=3,MID(X898,8,6),""))</f>
        <v/>
      </c>
      <c r="AB898" s="23" t="str">
        <f aca="false">IF(X898="","",IF(Y898&gt;=4,MID(X898,15,6),""))</f>
        <v/>
      </c>
      <c r="AC898" s="23" t="str">
        <f aca="false">IF(X898="","",IF(Y898&gt;=5,MID(X898,22,6),""))</f>
        <v/>
      </c>
      <c r="AD898" s="23" t="str">
        <f aca="false">IF(X898="","",RIGHT(X898,6))</f>
        <v/>
      </c>
      <c r="AE898" s="23" t="str">
        <f aca="false">IF(F898="","",IF(ISNUMBER(SEARCH("-TK",UPPER(F898))),0,1))</f>
        <v/>
      </c>
      <c r="AF898" s="23" t="str">
        <f aca="false">IF(F898="","",IF(ISNUMBER(SEARCH("-LED",UPPER(F898))),1,0))</f>
        <v/>
      </c>
      <c r="AG898" s="24" t="n">
        <f aca="false">IF(Z898="",0,IFERROR(INDEX(Resep!$C$5:$C$7,MATCH(LEFT(Z898,3),Resep!$B$5:$B$7,0)),0))</f>
        <v>0</v>
      </c>
      <c r="AH898" s="24" t="n">
        <f aca="false">IF(AA898="",0,IFERROR(INDEX(Resep!$C$9:$C$13,MATCH(LEFT(AA898,3),Resep!$B$9:$B$13,0)),0))</f>
        <v>0</v>
      </c>
      <c r="AI898" s="24" t="n">
        <f aca="false">IF(AB898="",0,IFERROR(INDEX(Resep!$C$9:$C$13,MATCH(LEFT(AB898,3),Resep!$B$9:$B$13,0)),0))</f>
        <v>0</v>
      </c>
      <c r="AJ898" s="24" t="n">
        <f aca="false">IF(AC898="",0,IFERROR(INDEX(Resep!$C$9:$C$13,MATCH(LEFT(AC898,3),Resep!$B$9:$B$13,0)),0))</f>
        <v>0</v>
      </c>
      <c r="AK898" s="24" t="n">
        <f aca="false">IF(AD898="",0,IFERROR(INDEX(Resep!$C$15:$C$18,MATCH(LEFT(AD898,3),Resep!$B$15:$B$18,0)),0))</f>
        <v>0</v>
      </c>
      <c r="AL898" s="24" t="str">
        <f aca="false">IF(X898="","",AG898+AH898+AI898+AJ898+AK898)</f>
        <v/>
      </c>
      <c r="AM898" s="22" t="str">
        <f aca="false">IF(X898="","",AL898*(Pengaturan!$B$6+Pengaturan!$B$7)+Pengaturan!$B$8+AE898*Pengaturan!$B$9+AF898*Pengaturan!$B$10)</f>
        <v/>
      </c>
      <c r="AN898" s="22" t="str">
        <f aca="false">IF(X898="","",N(G898)-AM898)</f>
        <v/>
      </c>
      <c r="AO898" s="25" t="str">
        <f aca="false">IF(OR(X898="",N(G898)=0),"",AN898/G898)</f>
        <v/>
      </c>
    </row>
    <row r="899" customFormat="false" ht="15" hidden="false" customHeight="false" outlineLevel="0" collapsed="false">
      <c r="A899" s="19"/>
      <c r="B899" s="20"/>
      <c r="C899" s="19"/>
      <c r="D899" s="19"/>
      <c r="E899" s="19"/>
      <c r="F899" s="19"/>
      <c r="G899" s="21"/>
      <c r="H899" s="19"/>
      <c r="I899" s="21"/>
      <c r="J899" s="19"/>
      <c r="K899" s="20"/>
      <c r="L899" s="20"/>
      <c r="M899" s="19"/>
      <c r="N899" s="19"/>
      <c r="O899" s="20"/>
      <c r="P899" s="20"/>
      <c r="Q899" s="19"/>
      <c r="R899" s="22" t="str">
        <f aca="false">IF(A899="","",N(G899)+N(I899))</f>
        <v/>
      </c>
      <c r="S899" s="23" t="str">
        <f aca="false">IF(OR(K899="",O899=""),"",O899-K899)</f>
        <v/>
      </c>
      <c r="T899" s="23" t="str">
        <f aca="true">IF(AND(C899="Cetak",L899&lt;&gt;"",L899&lt;TODAY()),"YA","")</f>
        <v/>
      </c>
      <c r="U899" s="23" t="str">
        <f aca="false">IF(B899="","",TEXT(B899,"yyyy-mm"))</f>
        <v/>
      </c>
      <c r="V899" s="23" t="str">
        <f aca="false">IF(K899="","",TEXT(K899,"yyyy-mm"))</f>
        <v/>
      </c>
      <c r="W899" s="23" t="n">
        <f aca="false">IF(OR(C899="Cetak",C899="Dikirim",C899="Selesai"),1,0)</f>
        <v>0</v>
      </c>
      <c r="X899" s="23" t="str">
        <f aca="false">IF(F899="","",SUBSTITUTE(SUBSTITUTE(MID(UPPER(TRIM(F899)),4,99),"-LED",""),"-TK",""))</f>
        <v/>
      </c>
      <c r="Y899" s="23" t="str">
        <f aca="false">IF(X899="","",(LEN(X899)+1)/7)</f>
        <v/>
      </c>
      <c r="Z899" s="23" t="str">
        <f aca="false">IF(X899="","",LEFT(X899,6))</f>
        <v/>
      </c>
      <c r="AA899" s="23" t="str">
        <f aca="false">IF(X899="","",IF(Y899&gt;=3,MID(X899,8,6),""))</f>
        <v/>
      </c>
      <c r="AB899" s="23" t="str">
        <f aca="false">IF(X899="","",IF(Y899&gt;=4,MID(X899,15,6),""))</f>
        <v/>
      </c>
      <c r="AC899" s="23" t="str">
        <f aca="false">IF(X899="","",IF(Y899&gt;=5,MID(X899,22,6),""))</f>
        <v/>
      </c>
      <c r="AD899" s="23" t="str">
        <f aca="false">IF(X899="","",RIGHT(X899,6))</f>
        <v/>
      </c>
      <c r="AE899" s="23" t="str">
        <f aca="false">IF(F899="","",IF(ISNUMBER(SEARCH("-TK",UPPER(F899))),0,1))</f>
        <v/>
      </c>
      <c r="AF899" s="23" t="str">
        <f aca="false">IF(F899="","",IF(ISNUMBER(SEARCH("-LED",UPPER(F899))),1,0))</f>
        <v/>
      </c>
      <c r="AG899" s="24" t="n">
        <f aca="false">IF(Z899="",0,IFERROR(INDEX(Resep!$C$5:$C$7,MATCH(LEFT(Z899,3),Resep!$B$5:$B$7,0)),0))</f>
        <v>0</v>
      </c>
      <c r="AH899" s="24" t="n">
        <f aca="false">IF(AA899="",0,IFERROR(INDEX(Resep!$C$9:$C$13,MATCH(LEFT(AA899,3),Resep!$B$9:$B$13,0)),0))</f>
        <v>0</v>
      </c>
      <c r="AI899" s="24" t="n">
        <f aca="false">IF(AB899="",0,IFERROR(INDEX(Resep!$C$9:$C$13,MATCH(LEFT(AB899,3),Resep!$B$9:$B$13,0)),0))</f>
        <v>0</v>
      </c>
      <c r="AJ899" s="24" t="n">
        <f aca="false">IF(AC899="",0,IFERROR(INDEX(Resep!$C$9:$C$13,MATCH(LEFT(AC899,3),Resep!$B$9:$B$13,0)),0))</f>
        <v>0</v>
      </c>
      <c r="AK899" s="24" t="n">
        <f aca="false">IF(AD899="",0,IFERROR(INDEX(Resep!$C$15:$C$18,MATCH(LEFT(AD899,3),Resep!$B$15:$B$18,0)),0))</f>
        <v>0</v>
      </c>
      <c r="AL899" s="24" t="str">
        <f aca="false">IF(X899="","",AG899+AH899+AI899+AJ899+AK899)</f>
        <v/>
      </c>
      <c r="AM899" s="22" t="str">
        <f aca="false">IF(X899="","",AL899*(Pengaturan!$B$6+Pengaturan!$B$7)+Pengaturan!$B$8+AE899*Pengaturan!$B$9+AF899*Pengaturan!$B$10)</f>
        <v/>
      </c>
      <c r="AN899" s="22" t="str">
        <f aca="false">IF(X899="","",N(G899)-AM899)</f>
        <v/>
      </c>
      <c r="AO899" s="25" t="str">
        <f aca="false">IF(OR(X899="",N(G899)=0),"",AN899/G899)</f>
        <v/>
      </c>
    </row>
    <row r="900" customFormat="false" ht="15" hidden="false" customHeight="false" outlineLevel="0" collapsed="false">
      <c r="A900" s="19"/>
      <c r="B900" s="20"/>
      <c r="C900" s="19"/>
      <c r="D900" s="19"/>
      <c r="E900" s="19"/>
      <c r="F900" s="19"/>
      <c r="G900" s="21"/>
      <c r="H900" s="19"/>
      <c r="I900" s="21"/>
      <c r="J900" s="19"/>
      <c r="K900" s="20"/>
      <c r="L900" s="20"/>
      <c r="M900" s="19"/>
      <c r="N900" s="19"/>
      <c r="O900" s="20"/>
      <c r="P900" s="20"/>
      <c r="Q900" s="19"/>
      <c r="R900" s="22" t="str">
        <f aca="false">IF(A900="","",N(G900)+N(I900))</f>
        <v/>
      </c>
      <c r="S900" s="23" t="str">
        <f aca="false">IF(OR(K900="",O900=""),"",O900-K900)</f>
        <v/>
      </c>
      <c r="T900" s="23" t="str">
        <f aca="true">IF(AND(C900="Cetak",L900&lt;&gt;"",L900&lt;TODAY()),"YA","")</f>
        <v/>
      </c>
      <c r="U900" s="23" t="str">
        <f aca="false">IF(B900="","",TEXT(B900,"yyyy-mm"))</f>
        <v/>
      </c>
      <c r="V900" s="23" t="str">
        <f aca="false">IF(K900="","",TEXT(K900,"yyyy-mm"))</f>
        <v/>
      </c>
      <c r="W900" s="23" t="n">
        <f aca="false">IF(OR(C900="Cetak",C900="Dikirim",C900="Selesai"),1,0)</f>
        <v>0</v>
      </c>
      <c r="X900" s="23" t="str">
        <f aca="false">IF(F900="","",SUBSTITUTE(SUBSTITUTE(MID(UPPER(TRIM(F900)),4,99),"-LED",""),"-TK",""))</f>
        <v/>
      </c>
      <c r="Y900" s="23" t="str">
        <f aca="false">IF(X900="","",(LEN(X900)+1)/7)</f>
        <v/>
      </c>
      <c r="Z900" s="23" t="str">
        <f aca="false">IF(X900="","",LEFT(X900,6))</f>
        <v/>
      </c>
      <c r="AA900" s="23" t="str">
        <f aca="false">IF(X900="","",IF(Y900&gt;=3,MID(X900,8,6),""))</f>
        <v/>
      </c>
      <c r="AB900" s="23" t="str">
        <f aca="false">IF(X900="","",IF(Y900&gt;=4,MID(X900,15,6),""))</f>
        <v/>
      </c>
      <c r="AC900" s="23" t="str">
        <f aca="false">IF(X900="","",IF(Y900&gt;=5,MID(X900,22,6),""))</f>
        <v/>
      </c>
      <c r="AD900" s="23" t="str">
        <f aca="false">IF(X900="","",RIGHT(X900,6))</f>
        <v/>
      </c>
      <c r="AE900" s="23" t="str">
        <f aca="false">IF(F900="","",IF(ISNUMBER(SEARCH("-TK",UPPER(F900))),0,1))</f>
        <v/>
      </c>
      <c r="AF900" s="23" t="str">
        <f aca="false">IF(F900="","",IF(ISNUMBER(SEARCH("-LED",UPPER(F900))),1,0))</f>
        <v/>
      </c>
      <c r="AG900" s="24" t="n">
        <f aca="false">IF(Z900="",0,IFERROR(INDEX(Resep!$C$5:$C$7,MATCH(LEFT(Z900,3),Resep!$B$5:$B$7,0)),0))</f>
        <v>0</v>
      </c>
      <c r="AH900" s="24" t="n">
        <f aca="false">IF(AA900="",0,IFERROR(INDEX(Resep!$C$9:$C$13,MATCH(LEFT(AA900,3),Resep!$B$9:$B$13,0)),0))</f>
        <v>0</v>
      </c>
      <c r="AI900" s="24" t="n">
        <f aca="false">IF(AB900="",0,IFERROR(INDEX(Resep!$C$9:$C$13,MATCH(LEFT(AB900,3),Resep!$B$9:$B$13,0)),0))</f>
        <v>0</v>
      </c>
      <c r="AJ900" s="24" t="n">
        <f aca="false">IF(AC900="",0,IFERROR(INDEX(Resep!$C$9:$C$13,MATCH(LEFT(AC900,3),Resep!$B$9:$B$13,0)),0))</f>
        <v>0</v>
      </c>
      <c r="AK900" s="24" t="n">
        <f aca="false">IF(AD900="",0,IFERROR(INDEX(Resep!$C$15:$C$18,MATCH(LEFT(AD900,3),Resep!$B$15:$B$18,0)),0))</f>
        <v>0</v>
      </c>
      <c r="AL900" s="24" t="str">
        <f aca="false">IF(X900="","",AG900+AH900+AI900+AJ900+AK900)</f>
        <v/>
      </c>
      <c r="AM900" s="22" t="str">
        <f aca="false">IF(X900="","",AL900*(Pengaturan!$B$6+Pengaturan!$B$7)+Pengaturan!$B$8+AE900*Pengaturan!$B$9+AF900*Pengaturan!$B$10)</f>
        <v/>
      </c>
      <c r="AN900" s="22" t="str">
        <f aca="false">IF(X900="","",N(G900)-AM900)</f>
        <v/>
      </c>
      <c r="AO900" s="25" t="str">
        <f aca="false">IF(OR(X900="",N(G900)=0),"",AN900/G900)</f>
        <v/>
      </c>
    </row>
    <row r="901" customFormat="false" ht="15" hidden="false" customHeight="false" outlineLevel="0" collapsed="false">
      <c r="A901" s="19"/>
      <c r="B901" s="20"/>
      <c r="C901" s="19"/>
      <c r="D901" s="19"/>
      <c r="E901" s="19"/>
      <c r="F901" s="19"/>
      <c r="G901" s="21"/>
      <c r="H901" s="19"/>
      <c r="I901" s="21"/>
      <c r="J901" s="19"/>
      <c r="K901" s="20"/>
      <c r="L901" s="20"/>
      <c r="M901" s="19"/>
      <c r="N901" s="19"/>
      <c r="O901" s="20"/>
      <c r="P901" s="20"/>
      <c r="Q901" s="19"/>
      <c r="R901" s="22" t="str">
        <f aca="false">IF(A901="","",N(G901)+N(I901))</f>
        <v/>
      </c>
      <c r="S901" s="23" t="str">
        <f aca="false">IF(OR(K901="",O901=""),"",O901-K901)</f>
        <v/>
      </c>
      <c r="T901" s="23" t="str">
        <f aca="true">IF(AND(C901="Cetak",L901&lt;&gt;"",L901&lt;TODAY()),"YA","")</f>
        <v/>
      </c>
      <c r="U901" s="23" t="str">
        <f aca="false">IF(B901="","",TEXT(B901,"yyyy-mm"))</f>
        <v/>
      </c>
      <c r="V901" s="23" t="str">
        <f aca="false">IF(K901="","",TEXT(K901,"yyyy-mm"))</f>
        <v/>
      </c>
      <c r="W901" s="23" t="n">
        <f aca="false">IF(OR(C901="Cetak",C901="Dikirim",C901="Selesai"),1,0)</f>
        <v>0</v>
      </c>
      <c r="X901" s="23" t="str">
        <f aca="false">IF(F901="","",SUBSTITUTE(SUBSTITUTE(MID(UPPER(TRIM(F901)),4,99),"-LED",""),"-TK",""))</f>
        <v/>
      </c>
      <c r="Y901" s="23" t="str">
        <f aca="false">IF(X901="","",(LEN(X901)+1)/7)</f>
        <v/>
      </c>
      <c r="Z901" s="23" t="str">
        <f aca="false">IF(X901="","",LEFT(X901,6))</f>
        <v/>
      </c>
      <c r="AA901" s="23" t="str">
        <f aca="false">IF(X901="","",IF(Y901&gt;=3,MID(X901,8,6),""))</f>
        <v/>
      </c>
      <c r="AB901" s="23" t="str">
        <f aca="false">IF(X901="","",IF(Y901&gt;=4,MID(X901,15,6),""))</f>
        <v/>
      </c>
      <c r="AC901" s="23" t="str">
        <f aca="false">IF(X901="","",IF(Y901&gt;=5,MID(X901,22,6),""))</f>
        <v/>
      </c>
      <c r="AD901" s="23" t="str">
        <f aca="false">IF(X901="","",RIGHT(X901,6))</f>
        <v/>
      </c>
      <c r="AE901" s="23" t="str">
        <f aca="false">IF(F901="","",IF(ISNUMBER(SEARCH("-TK",UPPER(F901))),0,1))</f>
        <v/>
      </c>
      <c r="AF901" s="23" t="str">
        <f aca="false">IF(F901="","",IF(ISNUMBER(SEARCH("-LED",UPPER(F901))),1,0))</f>
        <v/>
      </c>
      <c r="AG901" s="24" t="n">
        <f aca="false">IF(Z901="",0,IFERROR(INDEX(Resep!$C$5:$C$7,MATCH(LEFT(Z901,3),Resep!$B$5:$B$7,0)),0))</f>
        <v>0</v>
      </c>
      <c r="AH901" s="24" t="n">
        <f aca="false">IF(AA901="",0,IFERROR(INDEX(Resep!$C$9:$C$13,MATCH(LEFT(AA901,3),Resep!$B$9:$B$13,0)),0))</f>
        <v>0</v>
      </c>
      <c r="AI901" s="24" t="n">
        <f aca="false">IF(AB901="",0,IFERROR(INDEX(Resep!$C$9:$C$13,MATCH(LEFT(AB901,3),Resep!$B$9:$B$13,0)),0))</f>
        <v>0</v>
      </c>
      <c r="AJ901" s="24" t="n">
        <f aca="false">IF(AC901="",0,IFERROR(INDEX(Resep!$C$9:$C$13,MATCH(LEFT(AC901,3),Resep!$B$9:$B$13,0)),0))</f>
        <v>0</v>
      </c>
      <c r="AK901" s="24" t="n">
        <f aca="false">IF(AD901="",0,IFERROR(INDEX(Resep!$C$15:$C$18,MATCH(LEFT(AD901,3),Resep!$B$15:$B$18,0)),0))</f>
        <v>0</v>
      </c>
      <c r="AL901" s="24" t="str">
        <f aca="false">IF(X901="","",AG901+AH901+AI901+AJ901+AK901)</f>
        <v/>
      </c>
      <c r="AM901" s="22" t="str">
        <f aca="false">IF(X901="","",AL901*(Pengaturan!$B$6+Pengaturan!$B$7)+Pengaturan!$B$8+AE901*Pengaturan!$B$9+AF901*Pengaturan!$B$10)</f>
        <v/>
      </c>
      <c r="AN901" s="22" t="str">
        <f aca="false">IF(X901="","",N(G901)-AM901)</f>
        <v/>
      </c>
      <c r="AO901" s="25" t="str">
        <f aca="false">IF(OR(X901="",N(G901)=0),"",AN901/G901)</f>
        <v/>
      </c>
    </row>
    <row r="902" customFormat="false" ht="15" hidden="false" customHeight="false" outlineLevel="0" collapsed="false">
      <c r="A902" s="19"/>
      <c r="B902" s="20"/>
      <c r="C902" s="19"/>
      <c r="D902" s="19"/>
      <c r="E902" s="19"/>
      <c r="F902" s="19"/>
      <c r="G902" s="21"/>
      <c r="H902" s="19"/>
      <c r="I902" s="21"/>
      <c r="J902" s="19"/>
      <c r="K902" s="20"/>
      <c r="L902" s="20"/>
      <c r="M902" s="19"/>
      <c r="N902" s="19"/>
      <c r="O902" s="20"/>
      <c r="P902" s="20"/>
      <c r="Q902" s="19"/>
      <c r="R902" s="22" t="str">
        <f aca="false">IF(A902="","",N(G902)+N(I902))</f>
        <v/>
      </c>
      <c r="S902" s="23" t="str">
        <f aca="false">IF(OR(K902="",O902=""),"",O902-K902)</f>
        <v/>
      </c>
      <c r="T902" s="23" t="str">
        <f aca="true">IF(AND(C902="Cetak",L902&lt;&gt;"",L902&lt;TODAY()),"YA","")</f>
        <v/>
      </c>
      <c r="U902" s="23" t="str">
        <f aca="false">IF(B902="","",TEXT(B902,"yyyy-mm"))</f>
        <v/>
      </c>
      <c r="V902" s="23" t="str">
        <f aca="false">IF(K902="","",TEXT(K902,"yyyy-mm"))</f>
        <v/>
      </c>
      <c r="W902" s="23" t="n">
        <f aca="false">IF(OR(C902="Cetak",C902="Dikirim",C902="Selesai"),1,0)</f>
        <v>0</v>
      </c>
      <c r="X902" s="23" t="str">
        <f aca="false">IF(F902="","",SUBSTITUTE(SUBSTITUTE(MID(UPPER(TRIM(F902)),4,99),"-LED",""),"-TK",""))</f>
        <v/>
      </c>
      <c r="Y902" s="23" t="str">
        <f aca="false">IF(X902="","",(LEN(X902)+1)/7)</f>
        <v/>
      </c>
      <c r="Z902" s="23" t="str">
        <f aca="false">IF(X902="","",LEFT(X902,6))</f>
        <v/>
      </c>
      <c r="AA902" s="23" t="str">
        <f aca="false">IF(X902="","",IF(Y902&gt;=3,MID(X902,8,6),""))</f>
        <v/>
      </c>
      <c r="AB902" s="23" t="str">
        <f aca="false">IF(X902="","",IF(Y902&gt;=4,MID(X902,15,6),""))</f>
        <v/>
      </c>
      <c r="AC902" s="23" t="str">
        <f aca="false">IF(X902="","",IF(Y902&gt;=5,MID(X902,22,6),""))</f>
        <v/>
      </c>
      <c r="AD902" s="23" t="str">
        <f aca="false">IF(X902="","",RIGHT(X902,6))</f>
        <v/>
      </c>
      <c r="AE902" s="23" t="str">
        <f aca="false">IF(F902="","",IF(ISNUMBER(SEARCH("-TK",UPPER(F902))),0,1))</f>
        <v/>
      </c>
      <c r="AF902" s="23" t="str">
        <f aca="false">IF(F902="","",IF(ISNUMBER(SEARCH("-LED",UPPER(F902))),1,0))</f>
        <v/>
      </c>
      <c r="AG902" s="24" t="n">
        <f aca="false">IF(Z902="",0,IFERROR(INDEX(Resep!$C$5:$C$7,MATCH(LEFT(Z902,3),Resep!$B$5:$B$7,0)),0))</f>
        <v>0</v>
      </c>
      <c r="AH902" s="24" t="n">
        <f aca="false">IF(AA902="",0,IFERROR(INDEX(Resep!$C$9:$C$13,MATCH(LEFT(AA902,3),Resep!$B$9:$B$13,0)),0))</f>
        <v>0</v>
      </c>
      <c r="AI902" s="24" t="n">
        <f aca="false">IF(AB902="",0,IFERROR(INDEX(Resep!$C$9:$C$13,MATCH(LEFT(AB902,3),Resep!$B$9:$B$13,0)),0))</f>
        <v>0</v>
      </c>
      <c r="AJ902" s="24" t="n">
        <f aca="false">IF(AC902="",0,IFERROR(INDEX(Resep!$C$9:$C$13,MATCH(LEFT(AC902,3),Resep!$B$9:$B$13,0)),0))</f>
        <v>0</v>
      </c>
      <c r="AK902" s="24" t="n">
        <f aca="false">IF(AD902="",0,IFERROR(INDEX(Resep!$C$15:$C$18,MATCH(LEFT(AD902,3),Resep!$B$15:$B$18,0)),0))</f>
        <v>0</v>
      </c>
      <c r="AL902" s="24" t="str">
        <f aca="false">IF(X902="","",AG902+AH902+AI902+AJ902+AK902)</f>
        <v/>
      </c>
      <c r="AM902" s="22" t="str">
        <f aca="false">IF(X902="","",AL902*(Pengaturan!$B$6+Pengaturan!$B$7)+Pengaturan!$B$8+AE902*Pengaturan!$B$9+AF902*Pengaturan!$B$10)</f>
        <v/>
      </c>
      <c r="AN902" s="22" t="str">
        <f aca="false">IF(X902="","",N(G902)-AM902)</f>
        <v/>
      </c>
      <c r="AO902" s="25" t="str">
        <f aca="false">IF(OR(X902="",N(G902)=0),"",AN902/G902)</f>
        <v/>
      </c>
    </row>
    <row r="903" customFormat="false" ht="15" hidden="false" customHeight="false" outlineLevel="0" collapsed="false">
      <c r="A903" s="19"/>
      <c r="B903" s="20"/>
      <c r="C903" s="19"/>
      <c r="D903" s="19"/>
      <c r="E903" s="19"/>
      <c r="F903" s="19"/>
      <c r="G903" s="21"/>
      <c r="H903" s="19"/>
      <c r="I903" s="21"/>
      <c r="J903" s="19"/>
      <c r="K903" s="20"/>
      <c r="L903" s="20"/>
      <c r="M903" s="19"/>
      <c r="N903" s="19"/>
      <c r="O903" s="20"/>
      <c r="P903" s="20"/>
      <c r="Q903" s="19"/>
      <c r="R903" s="22" t="str">
        <f aca="false">IF(A903="","",N(G903)+N(I903))</f>
        <v/>
      </c>
      <c r="S903" s="23" t="str">
        <f aca="false">IF(OR(K903="",O903=""),"",O903-K903)</f>
        <v/>
      </c>
      <c r="T903" s="23" t="str">
        <f aca="true">IF(AND(C903="Cetak",L903&lt;&gt;"",L903&lt;TODAY()),"YA","")</f>
        <v/>
      </c>
      <c r="U903" s="23" t="str">
        <f aca="false">IF(B903="","",TEXT(B903,"yyyy-mm"))</f>
        <v/>
      </c>
      <c r="V903" s="23" t="str">
        <f aca="false">IF(K903="","",TEXT(K903,"yyyy-mm"))</f>
        <v/>
      </c>
      <c r="W903" s="23" t="n">
        <f aca="false">IF(OR(C903="Cetak",C903="Dikirim",C903="Selesai"),1,0)</f>
        <v>0</v>
      </c>
      <c r="X903" s="23" t="str">
        <f aca="false">IF(F903="","",SUBSTITUTE(SUBSTITUTE(MID(UPPER(TRIM(F903)),4,99),"-LED",""),"-TK",""))</f>
        <v/>
      </c>
      <c r="Y903" s="23" t="str">
        <f aca="false">IF(X903="","",(LEN(X903)+1)/7)</f>
        <v/>
      </c>
      <c r="Z903" s="23" t="str">
        <f aca="false">IF(X903="","",LEFT(X903,6))</f>
        <v/>
      </c>
      <c r="AA903" s="23" t="str">
        <f aca="false">IF(X903="","",IF(Y903&gt;=3,MID(X903,8,6),""))</f>
        <v/>
      </c>
      <c r="AB903" s="23" t="str">
        <f aca="false">IF(X903="","",IF(Y903&gt;=4,MID(X903,15,6),""))</f>
        <v/>
      </c>
      <c r="AC903" s="23" t="str">
        <f aca="false">IF(X903="","",IF(Y903&gt;=5,MID(X903,22,6),""))</f>
        <v/>
      </c>
      <c r="AD903" s="23" t="str">
        <f aca="false">IF(X903="","",RIGHT(X903,6))</f>
        <v/>
      </c>
      <c r="AE903" s="23" t="str">
        <f aca="false">IF(F903="","",IF(ISNUMBER(SEARCH("-TK",UPPER(F903))),0,1))</f>
        <v/>
      </c>
      <c r="AF903" s="23" t="str">
        <f aca="false">IF(F903="","",IF(ISNUMBER(SEARCH("-LED",UPPER(F903))),1,0))</f>
        <v/>
      </c>
      <c r="AG903" s="24" t="n">
        <f aca="false">IF(Z903="",0,IFERROR(INDEX(Resep!$C$5:$C$7,MATCH(LEFT(Z903,3),Resep!$B$5:$B$7,0)),0))</f>
        <v>0</v>
      </c>
      <c r="AH903" s="24" t="n">
        <f aca="false">IF(AA903="",0,IFERROR(INDEX(Resep!$C$9:$C$13,MATCH(LEFT(AA903,3),Resep!$B$9:$B$13,0)),0))</f>
        <v>0</v>
      </c>
      <c r="AI903" s="24" t="n">
        <f aca="false">IF(AB903="",0,IFERROR(INDEX(Resep!$C$9:$C$13,MATCH(LEFT(AB903,3),Resep!$B$9:$B$13,0)),0))</f>
        <v>0</v>
      </c>
      <c r="AJ903" s="24" t="n">
        <f aca="false">IF(AC903="",0,IFERROR(INDEX(Resep!$C$9:$C$13,MATCH(LEFT(AC903,3),Resep!$B$9:$B$13,0)),0))</f>
        <v>0</v>
      </c>
      <c r="AK903" s="24" t="n">
        <f aca="false">IF(AD903="",0,IFERROR(INDEX(Resep!$C$15:$C$18,MATCH(LEFT(AD903,3),Resep!$B$15:$B$18,0)),0))</f>
        <v>0</v>
      </c>
      <c r="AL903" s="24" t="str">
        <f aca="false">IF(X903="","",AG903+AH903+AI903+AJ903+AK903)</f>
        <v/>
      </c>
      <c r="AM903" s="22" t="str">
        <f aca="false">IF(X903="","",AL903*(Pengaturan!$B$6+Pengaturan!$B$7)+Pengaturan!$B$8+AE903*Pengaturan!$B$9+AF903*Pengaturan!$B$10)</f>
        <v/>
      </c>
      <c r="AN903" s="22" t="str">
        <f aca="false">IF(X903="","",N(G903)-AM903)</f>
        <v/>
      </c>
      <c r="AO903" s="25" t="str">
        <f aca="false">IF(OR(X903="",N(G903)=0),"",AN903/G903)</f>
        <v/>
      </c>
    </row>
    <row r="904" customFormat="false" ht="15" hidden="false" customHeight="false" outlineLevel="0" collapsed="false">
      <c r="A904" s="19"/>
      <c r="B904" s="20"/>
      <c r="C904" s="19"/>
      <c r="D904" s="19"/>
      <c r="E904" s="19"/>
      <c r="F904" s="19"/>
      <c r="G904" s="21"/>
      <c r="H904" s="19"/>
      <c r="I904" s="21"/>
      <c r="J904" s="19"/>
      <c r="K904" s="20"/>
      <c r="L904" s="20"/>
      <c r="M904" s="19"/>
      <c r="N904" s="19"/>
      <c r="O904" s="20"/>
      <c r="P904" s="20"/>
      <c r="Q904" s="19"/>
      <c r="R904" s="22" t="str">
        <f aca="false">IF(A904="","",N(G904)+N(I904))</f>
        <v/>
      </c>
      <c r="S904" s="23" t="str">
        <f aca="false">IF(OR(K904="",O904=""),"",O904-K904)</f>
        <v/>
      </c>
      <c r="T904" s="23" t="str">
        <f aca="true">IF(AND(C904="Cetak",L904&lt;&gt;"",L904&lt;TODAY()),"YA","")</f>
        <v/>
      </c>
      <c r="U904" s="23" t="str">
        <f aca="false">IF(B904="","",TEXT(B904,"yyyy-mm"))</f>
        <v/>
      </c>
      <c r="V904" s="23" t="str">
        <f aca="false">IF(K904="","",TEXT(K904,"yyyy-mm"))</f>
        <v/>
      </c>
      <c r="W904" s="23" t="n">
        <f aca="false">IF(OR(C904="Cetak",C904="Dikirim",C904="Selesai"),1,0)</f>
        <v>0</v>
      </c>
      <c r="X904" s="23" t="str">
        <f aca="false">IF(F904="","",SUBSTITUTE(SUBSTITUTE(MID(UPPER(TRIM(F904)),4,99),"-LED",""),"-TK",""))</f>
        <v/>
      </c>
      <c r="Y904" s="23" t="str">
        <f aca="false">IF(X904="","",(LEN(X904)+1)/7)</f>
        <v/>
      </c>
      <c r="Z904" s="23" t="str">
        <f aca="false">IF(X904="","",LEFT(X904,6))</f>
        <v/>
      </c>
      <c r="AA904" s="23" t="str">
        <f aca="false">IF(X904="","",IF(Y904&gt;=3,MID(X904,8,6),""))</f>
        <v/>
      </c>
      <c r="AB904" s="23" t="str">
        <f aca="false">IF(X904="","",IF(Y904&gt;=4,MID(X904,15,6),""))</f>
        <v/>
      </c>
      <c r="AC904" s="23" t="str">
        <f aca="false">IF(X904="","",IF(Y904&gt;=5,MID(X904,22,6),""))</f>
        <v/>
      </c>
      <c r="AD904" s="23" t="str">
        <f aca="false">IF(X904="","",RIGHT(X904,6))</f>
        <v/>
      </c>
      <c r="AE904" s="23" t="str">
        <f aca="false">IF(F904="","",IF(ISNUMBER(SEARCH("-TK",UPPER(F904))),0,1))</f>
        <v/>
      </c>
      <c r="AF904" s="23" t="str">
        <f aca="false">IF(F904="","",IF(ISNUMBER(SEARCH("-LED",UPPER(F904))),1,0))</f>
        <v/>
      </c>
      <c r="AG904" s="24" t="n">
        <f aca="false">IF(Z904="",0,IFERROR(INDEX(Resep!$C$5:$C$7,MATCH(LEFT(Z904,3),Resep!$B$5:$B$7,0)),0))</f>
        <v>0</v>
      </c>
      <c r="AH904" s="24" t="n">
        <f aca="false">IF(AA904="",0,IFERROR(INDEX(Resep!$C$9:$C$13,MATCH(LEFT(AA904,3),Resep!$B$9:$B$13,0)),0))</f>
        <v>0</v>
      </c>
      <c r="AI904" s="24" t="n">
        <f aca="false">IF(AB904="",0,IFERROR(INDEX(Resep!$C$9:$C$13,MATCH(LEFT(AB904,3),Resep!$B$9:$B$13,0)),0))</f>
        <v>0</v>
      </c>
      <c r="AJ904" s="24" t="n">
        <f aca="false">IF(AC904="",0,IFERROR(INDEX(Resep!$C$9:$C$13,MATCH(LEFT(AC904,3),Resep!$B$9:$B$13,0)),0))</f>
        <v>0</v>
      </c>
      <c r="AK904" s="24" t="n">
        <f aca="false">IF(AD904="",0,IFERROR(INDEX(Resep!$C$15:$C$18,MATCH(LEFT(AD904,3),Resep!$B$15:$B$18,0)),0))</f>
        <v>0</v>
      </c>
      <c r="AL904" s="24" t="str">
        <f aca="false">IF(X904="","",AG904+AH904+AI904+AJ904+AK904)</f>
        <v/>
      </c>
      <c r="AM904" s="22" t="str">
        <f aca="false">IF(X904="","",AL904*(Pengaturan!$B$6+Pengaturan!$B$7)+Pengaturan!$B$8+AE904*Pengaturan!$B$9+AF904*Pengaturan!$B$10)</f>
        <v/>
      </c>
      <c r="AN904" s="22" t="str">
        <f aca="false">IF(X904="","",N(G904)-AM904)</f>
        <v/>
      </c>
      <c r="AO904" s="25" t="str">
        <f aca="false">IF(OR(X904="",N(G904)=0),"",AN904/G904)</f>
        <v/>
      </c>
    </row>
    <row r="905" customFormat="false" ht="15" hidden="false" customHeight="false" outlineLevel="0" collapsed="false">
      <c r="A905" s="19"/>
      <c r="B905" s="20"/>
      <c r="C905" s="19"/>
      <c r="D905" s="19"/>
      <c r="E905" s="19"/>
      <c r="F905" s="19"/>
      <c r="G905" s="21"/>
      <c r="H905" s="19"/>
      <c r="I905" s="21"/>
      <c r="J905" s="19"/>
      <c r="K905" s="20"/>
      <c r="L905" s="20"/>
      <c r="M905" s="19"/>
      <c r="N905" s="19"/>
      <c r="O905" s="20"/>
      <c r="P905" s="20"/>
      <c r="Q905" s="19"/>
      <c r="R905" s="22" t="str">
        <f aca="false">IF(A905="","",N(G905)+N(I905))</f>
        <v/>
      </c>
      <c r="S905" s="23" t="str">
        <f aca="false">IF(OR(K905="",O905=""),"",O905-K905)</f>
        <v/>
      </c>
      <c r="T905" s="23" t="str">
        <f aca="true">IF(AND(C905="Cetak",L905&lt;&gt;"",L905&lt;TODAY()),"YA","")</f>
        <v/>
      </c>
      <c r="U905" s="23" t="str">
        <f aca="false">IF(B905="","",TEXT(B905,"yyyy-mm"))</f>
        <v/>
      </c>
      <c r="V905" s="23" t="str">
        <f aca="false">IF(K905="","",TEXT(K905,"yyyy-mm"))</f>
        <v/>
      </c>
      <c r="W905" s="23" t="n">
        <f aca="false">IF(OR(C905="Cetak",C905="Dikirim",C905="Selesai"),1,0)</f>
        <v>0</v>
      </c>
      <c r="X905" s="23" t="str">
        <f aca="false">IF(F905="","",SUBSTITUTE(SUBSTITUTE(MID(UPPER(TRIM(F905)),4,99),"-LED",""),"-TK",""))</f>
        <v/>
      </c>
      <c r="Y905" s="23" t="str">
        <f aca="false">IF(X905="","",(LEN(X905)+1)/7)</f>
        <v/>
      </c>
      <c r="Z905" s="23" t="str">
        <f aca="false">IF(X905="","",LEFT(X905,6))</f>
        <v/>
      </c>
      <c r="AA905" s="23" t="str">
        <f aca="false">IF(X905="","",IF(Y905&gt;=3,MID(X905,8,6),""))</f>
        <v/>
      </c>
      <c r="AB905" s="23" t="str">
        <f aca="false">IF(X905="","",IF(Y905&gt;=4,MID(X905,15,6),""))</f>
        <v/>
      </c>
      <c r="AC905" s="23" t="str">
        <f aca="false">IF(X905="","",IF(Y905&gt;=5,MID(X905,22,6),""))</f>
        <v/>
      </c>
      <c r="AD905" s="23" t="str">
        <f aca="false">IF(X905="","",RIGHT(X905,6))</f>
        <v/>
      </c>
      <c r="AE905" s="23" t="str">
        <f aca="false">IF(F905="","",IF(ISNUMBER(SEARCH("-TK",UPPER(F905))),0,1))</f>
        <v/>
      </c>
      <c r="AF905" s="23" t="str">
        <f aca="false">IF(F905="","",IF(ISNUMBER(SEARCH("-LED",UPPER(F905))),1,0))</f>
        <v/>
      </c>
      <c r="AG905" s="24" t="n">
        <f aca="false">IF(Z905="",0,IFERROR(INDEX(Resep!$C$5:$C$7,MATCH(LEFT(Z905,3),Resep!$B$5:$B$7,0)),0))</f>
        <v>0</v>
      </c>
      <c r="AH905" s="24" t="n">
        <f aca="false">IF(AA905="",0,IFERROR(INDEX(Resep!$C$9:$C$13,MATCH(LEFT(AA905,3),Resep!$B$9:$B$13,0)),0))</f>
        <v>0</v>
      </c>
      <c r="AI905" s="24" t="n">
        <f aca="false">IF(AB905="",0,IFERROR(INDEX(Resep!$C$9:$C$13,MATCH(LEFT(AB905,3),Resep!$B$9:$B$13,0)),0))</f>
        <v>0</v>
      </c>
      <c r="AJ905" s="24" t="n">
        <f aca="false">IF(AC905="",0,IFERROR(INDEX(Resep!$C$9:$C$13,MATCH(LEFT(AC905,3),Resep!$B$9:$B$13,0)),0))</f>
        <v>0</v>
      </c>
      <c r="AK905" s="24" t="n">
        <f aca="false">IF(AD905="",0,IFERROR(INDEX(Resep!$C$15:$C$18,MATCH(LEFT(AD905,3),Resep!$B$15:$B$18,0)),0))</f>
        <v>0</v>
      </c>
      <c r="AL905" s="24" t="str">
        <f aca="false">IF(X905="","",AG905+AH905+AI905+AJ905+AK905)</f>
        <v/>
      </c>
      <c r="AM905" s="22" t="str">
        <f aca="false">IF(X905="","",AL905*(Pengaturan!$B$6+Pengaturan!$B$7)+Pengaturan!$B$8+AE905*Pengaturan!$B$9+AF905*Pengaturan!$B$10)</f>
        <v/>
      </c>
      <c r="AN905" s="22" t="str">
        <f aca="false">IF(X905="","",N(G905)-AM905)</f>
        <v/>
      </c>
      <c r="AO905" s="25" t="str">
        <f aca="false">IF(OR(X905="",N(G905)=0),"",AN905/G905)</f>
        <v/>
      </c>
    </row>
    <row r="906" customFormat="false" ht="15" hidden="false" customHeight="false" outlineLevel="0" collapsed="false">
      <c r="A906" s="19"/>
      <c r="B906" s="20"/>
      <c r="C906" s="19"/>
      <c r="D906" s="19"/>
      <c r="E906" s="19"/>
      <c r="F906" s="19"/>
      <c r="G906" s="21"/>
      <c r="H906" s="19"/>
      <c r="I906" s="21"/>
      <c r="J906" s="19"/>
      <c r="K906" s="20"/>
      <c r="L906" s="20"/>
      <c r="M906" s="19"/>
      <c r="N906" s="19"/>
      <c r="O906" s="20"/>
      <c r="P906" s="20"/>
      <c r="Q906" s="19"/>
      <c r="R906" s="22" t="str">
        <f aca="false">IF(A906="","",N(G906)+N(I906))</f>
        <v/>
      </c>
      <c r="S906" s="23" t="str">
        <f aca="false">IF(OR(K906="",O906=""),"",O906-K906)</f>
        <v/>
      </c>
      <c r="T906" s="23" t="str">
        <f aca="true">IF(AND(C906="Cetak",L906&lt;&gt;"",L906&lt;TODAY()),"YA","")</f>
        <v/>
      </c>
      <c r="U906" s="23" t="str">
        <f aca="false">IF(B906="","",TEXT(B906,"yyyy-mm"))</f>
        <v/>
      </c>
      <c r="V906" s="23" t="str">
        <f aca="false">IF(K906="","",TEXT(K906,"yyyy-mm"))</f>
        <v/>
      </c>
      <c r="W906" s="23" t="n">
        <f aca="false">IF(OR(C906="Cetak",C906="Dikirim",C906="Selesai"),1,0)</f>
        <v>0</v>
      </c>
      <c r="X906" s="23" t="str">
        <f aca="false">IF(F906="","",SUBSTITUTE(SUBSTITUTE(MID(UPPER(TRIM(F906)),4,99),"-LED",""),"-TK",""))</f>
        <v/>
      </c>
      <c r="Y906" s="23" t="str">
        <f aca="false">IF(X906="","",(LEN(X906)+1)/7)</f>
        <v/>
      </c>
      <c r="Z906" s="23" t="str">
        <f aca="false">IF(X906="","",LEFT(X906,6))</f>
        <v/>
      </c>
      <c r="AA906" s="23" t="str">
        <f aca="false">IF(X906="","",IF(Y906&gt;=3,MID(X906,8,6),""))</f>
        <v/>
      </c>
      <c r="AB906" s="23" t="str">
        <f aca="false">IF(X906="","",IF(Y906&gt;=4,MID(X906,15,6),""))</f>
        <v/>
      </c>
      <c r="AC906" s="23" t="str">
        <f aca="false">IF(X906="","",IF(Y906&gt;=5,MID(X906,22,6),""))</f>
        <v/>
      </c>
      <c r="AD906" s="23" t="str">
        <f aca="false">IF(X906="","",RIGHT(X906,6))</f>
        <v/>
      </c>
      <c r="AE906" s="23" t="str">
        <f aca="false">IF(F906="","",IF(ISNUMBER(SEARCH("-TK",UPPER(F906))),0,1))</f>
        <v/>
      </c>
      <c r="AF906" s="23" t="str">
        <f aca="false">IF(F906="","",IF(ISNUMBER(SEARCH("-LED",UPPER(F906))),1,0))</f>
        <v/>
      </c>
      <c r="AG906" s="24" t="n">
        <f aca="false">IF(Z906="",0,IFERROR(INDEX(Resep!$C$5:$C$7,MATCH(LEFT(Z906,3),Resep!$B$5:$B$7,0)),0))</f>
        <v>0</v>
      </c>
      <c r="AH906" s="24" t="n">
        <f aca="false">IF(AA906="",0,IFERROR(INDEX(Resep!$C$9:$C$13,MATCH(LEFT(AA906,3),Resep!$B$9:$B$13,0)),0))</f>
        <v>0</v>
      </c>
      <c r="AI906" s="24" t="n">
        <f aca="false">IF(AB906="",0,IFERROR(INDEX(Resep!$C$9:$C$13,MATCH(LEFT(AB906,3),Resep!$B$9:$B$13,0)),0))</f>
        <v>0</v>
      </c>
      <c r="AJ906" s="24" t="n">
        <f aca="false">IF(AC906="",0,IFERROR(INDEX(Resep!$C$9:$C$13,MATCH(LEFT(AC906,3),Resep!$B$9:$B$13,0)),0))</f>
        <v>0</v>
      </c>
      <c r="AK906" s="24" t="n">
        <f aca="false">IF(AD906="",0,IFERROR(INDEX(Resep!$C$15:$C$18,MATCH(LEFT(AD906,3),Resep!$B$15:$B$18,0)),0))</f>
        <v>0</v>
      </c>
      <c r="AL906" s="24" t="str">
        <f aca="false">IF(X906="","",AG906+AH906+AI906+AJ906+AK906)</f>
        <v/>
      </c>
      <c r="AM906" s="22" t="str">
        <f aca="false">IF(X906="","",AL906*(Pengaturan!$B$6+Pengaturan!$B$7)+Pengaturan!$B$8+AE906*Pengaturan!$B$9+AF906*Pengaturan!$B$10)</f>
        <v/>
      </c>
      <c r="AN906" s="22" t="str">
        <f aca="false">IF(X906="","",N(G906)-AM906)</f>
        <v/>
      </c>
      <c r="AO906" s="25" t="str">
        <f aca="false">IF(OR(X906="",N(G906)=0),"",AN906/G906)</f>
        <v/>
      </c>
    </row>
    <row r="907" customFormat="false" ht="15" hidden="false" customHeight="false" outlineLevel="0" collapsed="false">
      <c r="A907" s="19"/>
      <c r="B907" s="20"/>
      <c r="C907" s="19"/>
      <c r="D907" s="19"/>
      <c r="E907" s="19"/>
      <c r="F907" s="19"/>
      <c r="G907" s="21"/>
      <c r="H907" s="19"/>
      <c r="I907" s="21"/>
      <c r="J907" s="19"/>
      <c r="K907" s="20"/>
      <c r="L907" s="20"/>
      <c r="M907" s="19"/>
      <c r="N907" s="19"/>
      <c r="O907" s="20"/>
      <c r="P907" s="20"/>
      <c r="Q907" s="19"/>
      <c r="R907" s="22" t="str">
        <f aca="false">IF(A907="","",N(G907)+N(I907))</f>
        <v/>
      </c>
      <c r="S907" s="23" t="str">
        <f aca="false">IF(OR(K907="",O907=""),"",O907-K907)</f>
        <v/>
      </c>
      <c r="T907" s="23" t="str">
        <f aca="true">IF(AND(C907="Cetak",L907&lt;&gt;"",L907&lt;TODAY()),"YA","")</f>
        <v/>
      </c>
      <c r="U907" s="23" t="str">
        <f aca="false">IF(B907="","",TEXT(B907,"yyyy-mm"))</f>
        <v/>
      </c>
      <c r="V907" s="23" t="str">
        <f aca="false">IF(K907="","",TEXT(K907,"yyyy-mm"))</f>
        <v/>
      </c>
      <c r="W907" s="23" t="n">
        <f aca="false">IF(OR(C907="Cetak",C907="Dikirim",C907="Selesai"),1,0)</f>
        <v>0</v>
      </c>
      <c r="X907" s="23" t="str">
        <f aca="false">IF(F907="","",SUBSTITUTE(SUBSTITUTE(MID(UPPER(TRIM(F907)),4,99),"-LED",""),"-TK",""))</f>
        <v/>
      </c>
      <c r="Y907" s="23" t="str">
        <f aca="false">IF(X907="","",(LEN(X907)+1)/7)</f>
        <v/>
      </c>
      <c r="Z907" s="23" t="str">
        <f aca="false">IF(X907="","",LEFT(X907,6))</f>
        <v/>
      </c>
      <c r="AA907" s="23" t="str">
        <f aca="false">IF(X907="","",IF(Y907&gt;=3,MID(X907,8,6),""))</f>
        <v/>
      </c>
      <c r="AB907" s="23" t="str">
        <f aca="false">IF(X907="","",IF(Y907&gt;=4,MID(X907,15,6),""))</f>
        <v/>
      </c>
      <c r="AC907" s="23" t="str">
        <f aca="false">IF(X907="","",IF(Y907&gt;=5,MID(X907,22,6),""))</f>
        <v/>
      </c>
      <c r="AD907" s="23" t="str">
        <f aca="false">IF(X907="","",RIGHT(X907,6))</f>
        <v/>
      </c>
      <c r="AE907" s="23" t="str">
        <f aca="false">IF(F907="","",IF(ISNUMBER(SEARCH("-TK",UPPER(F907))),0,1))</f>
        <v/>
      </c>
      <c r="AF907" s="23" t="str">
        <f aca="false">IF(F907="","",IF(ISNUMBER(SEARCH("-LED",UPPER(F907))),1,0))</f>
        <v/>
      </c>
      <c r="AG907" s="24" t="n">
        <f aca="false">IF(Z907="",0,IFERROR(INDEX(Resep!$C$5:$C$7,MATCH(LEFT(Z907,3),Resep!$B$5:$B$7,0)),0))</f>
        <v>0</v>
      </c>
      <c r="AH907" s="24" t="n">
        <f aca="false">IF(AA907="",0,IFERROR(INDEX(Resep!$C$9:$C$13,MATCH(LEFT(AA907,3),Resep!$B$9:$B$13,0)),0))</f>
        <v>0</v>
      </c>
      <c r="AI907" s="24" t="n">
        <f aca="false">IF(AB907="",0,IFERROR(INDEX(Resep!$C$9:$C$13,MATCH(LEFT(AB907,3),Resep!$B$9:$B$13,0)),0))</f>
        <v>0</v>
      </c>
      <c r="AJ907" s="24" t="n">
        <f aca="false">IF(AC907="",0,IFERROR(INDEX(Resep!$C$9:$C$13,MATCH(LEFT(AC907,3),Resep!$B$9:$B$13,0)),0))</f>
        <v>0</v>
      </c>
      <c r="AK907" s="24" t="n">
        <f aca="false">IF(AD907="",0,IFERROR(INDEX(Resep!$C$15:$C$18,MATCH(LEFT(AD907,3),Resep!$B$15:$B$18,0)),0))</f>
        <v>0</v>
      </c>
      <c r="AL907" s="24" t="str">
        <f aca="false">IF(X907="","",AG907+AH907+AI907+AJ907+AK907)</f>
        <v/>
      </c>
      <c r="AM907" s="22" t="str">
        <f aca="false">IF(X907="","",AL907*(Pengaturan!$B$6+Pengaturan!$B$7)+Pengaturan!$B$8+AE907*Pengaturan!$B$9+AF907*Pengaturan!$B$10)</f>
        <v/>
      </c>
      <c r="AN907" s="22" t="str">
        <f aca="false">IF(X907="","",N(G907)-AM907)</f>
        <v/>
      </c>
      <c r="AO907" s="25" t="str">
        <f aca="false">IF(OR(X907="",N(G907)=0),"",AN907/G907)</f>
        <v/>
      </c>
    </row>
    <row r="908" customFormat="false" ht="15" hidden="false" customHeight="false" outlineLevel="0" collapsed="false">
      <c r="A908" s="19"/>
      <c r="B908" s="20"/>
      <c r="C908" s="19"/>
      <c r="D908" s="19"/>
      <c r="E908" s="19"/>
      <c r="F908" s="19"/>
      <c r="G908" s="21"/>
      <c r="H908" s="19"/>
      <c r="I908" s="21"/>
      <c r="J908" s="19"/>
      <c r="K908" s="20"/>
      <c r="L908" s="20"/>
      <c r="M908" s="19"/>
      <c r="N908" s="19"/>
      <c r="O908" s="20"/>
      <c r="P908" s="20"/>
      <c r="Q908" s="19"/>
      <c r="R908" s="22" t="str">
        <f aca="false">IF(A908="","",N(G908)+N(I908))</f>
        <v/>
      </c>
      <c r="S908" s="23" t="str">
        <f aca="false">IF(OR(K908="",O908=""),"",O908-K908)</f>
        <v/>
      </c>
      <c r="T908" s="23" t="str">
        <f aca="true">IF(AND(C908="Cetak",L908&lt;&gt;"",L908&lt;TODAY()),"YA","")</f>
        <v/>
      </c>
      <c r="U908" s="23" t="str">
        <f aca="false">IF(B908="","",TEXT(B908,"yyyy-mm"))</f>
        <v/>
      </c>
      <c r="V908" s="23" t="str">
        <f aca="false">IF(K908="","",TEXT(K908,"yyyy-mm"))</f>
        <v/>
      </c>
      <c r="W908" s="23" t="n">
        <f aca="false">IF(OR(C908="Cetak",C908="Dikirim",C908="Selesai"),1,0)</f>
        <v>0</v>
      </c>
      <c r="X908" s="23" t="str">
        <f aca="false">IF(F908="","",SUBSTITUTE(SUBSTITUTE(MID(UPPER(TRIM(F908)),4,99),"-LED",""),"-TK",""))</f>
        <v/>
      </c>
      <c r="Y908" s="23" t="str">
        <f aca="false">IF(X908="","",(LEN(X908)+1)/7)</f>
        <v/>
      </c>
      <c r="Z908" s="23" t="str">
        <f aca="false">IF(X908="","",LEFT(X908,6))</f>
        <v/>
      </c>
      <c r="AA908" s="23" t="str">
        <f aca="false">IF(X908="","",IF(Y908&gt;=3,MID(X908,8,6),""))</f>
        <v/>
      </c>
      <c r="AB908" s="23" t="str">
        <f aca="false">IF(X908="","",IF(Y908&gt;=4,MID(X908,15,6),""))</f>
        <v/>
      </c>
      <c r="AC908" s="23" t="str">
        <f aca="false">IF(X908="","",IF(Y908&gt;=5,MID(X908,22,6),""))</f>
        <v/>
      </c>
      <c r="AD908" s="23" t="str">
        <f aca="false">IF(X908="","",RIGHT(X908,6))</f>
        <v/>
      </c>
      <c r="AE908" s="23" t="str">
        <f aca="false">IF(F908="","",IF(ISNUMBER(SEARCH("-TK",UPPER(F908))),0,1))</f>
        <v/>
      </c>
      <c r="AF908" s="23" t="str">
        <f aca="false">IF(F908="","",IF(ISNUMBER(SEARCH("-LED",UPPER(F908))),1,0))</f>
        <v/>
      </c>
      <c r="AG908" s="24" t="n">
        <f aca="false">IF(Z908="",0,IFERROR(INDEX(Resep!$C$5:$C$7,MATCH(LEFT(Z908,3),Resep!$B$5:$B$7,0)),0))</f>
        <v>0</v>
      </c>
      <c r="AH908" s="24" t="n">
        <f aca="false">IF(AA908="",0,IFERROR(INDEX(Resep!$C$9:$C$13,MATCH(LEFT(AA908,3),Resep!$B$9:$B$13,0)),0))</f>
        <v>0</v>
      </c>
      <c r="AI908" s="24" t="n">
        <f aca="false">IF(AB908="",0,IFERROR(INDEX(Resep!$C$9:$C$13,MATCH(LEFT(AB908,3),Resep!$B$9:$B$13,0)),0))</f>
        <v>0</v>
      </c>
      <c r="AJ908" s="24" t="n">
        <f aca="false">IF(AC908="",0,IFERROR(INDEX(Resep!$C$9:$C$13,MATCH(LEFT(AC908,3),Resep!$B$9:$B$13,0)),0))</f>
        <v>0</v>
      </c>
      <c r="AK908" s="24" t="n">
        <f aca="false">IF(AD908="",0,IFERROR(INDEX(Resep!$C$15:$C$18,MATCH(LEFT(AD908,3),Resep!$B$15:$B$18,0)),0))</f>
        <v>0</v>
      </c>
      <c r="AL908" s="24" t="str">
        <f aca="false">IF(X908="","",AG908+AH908+AI908+AJ908+AK908)</f>
        <v/>
      </c>
      <c r="AM908" s="22" t="str">
        <f aca="false">IF(X908="","",AL908*(Pengaturan!$B$6+Pengaturan!$B$7)+Pengaturan!$B$8+AE908*Pengaturan!$B$9+AF908*Pengaturan!$B$10)</f>
        <v/>
      </c>
      <c r="AN908" s="22" t="str">
        <f aca="false">IF(X908="","",N(G908)-AM908)</f>
        <v/>
      </c>
      <c r="AO908" s="25" t="str">
        <f aca="false">IF(OR(X908="",N(G908)=0),"",AN908/G908)</f>
        <v/>
      </c>
    </row>
    <row r="909" customFormat="false" ht="15" hidden="false" customHeight="false" outlineLevel="0" collapsed="false">
      <c r="A909" s="19"/>
      <c r="B909" s="20"/>
      <c r="C909" s="19"/>
      <c r="D909" s="19"/>
      <c r="E909" s="19"/>
      <c r="F909" s="19"/>
      <c r="G909" s="21"/>
      <c r="H909" s="19"/>
      <c r="I909" s="21"/>
      <c r="J909" s="19"/>
      <c r="K909" s="20"/>
      <c r="L909" s="20"/>
      <c r="M909" s="19"/>
      <c r="N909" s="19"/>
      <c r="O909" s="20"/>
      <c r="P909" s="20"/>
      <c r="Q909" s="19"/>
      <c r="R909" s="22" t="str">
        <f aca="false">IF(A909="","",N(G909)+N(I909))</f>
        <v/>
      </c>
      <c r="S909" s="23" t="str">
        <f aca="false">IF(OR(K909="",O909=""),"",O909-K909)</f>
        <v/>
      </c>
      <c r="T909" s="23" t="str">
        <f aca="true">IF(AND(C909="Cetak",L909&lt;&gt;"",L909&lt;TODAY()),"YA","")</f>
        <v/>
      </c>
      <c r="U909" s="23" t="str">
        <f aca="false">IF(B909="","",TEXT(B909,"yyyy-mm"))</f>
        <v/>
      </c>
      <c r="V909" s="23" t="str">
        <f aca="false">IF(K909="","",TEXT(K909,"yyyy-mm"))</f>
        <v/>
      </c>
      <c r="W909" s="23" t="n">
        <f aca="false">IF(OR(C909="Cetak",C909="Dikirim",C909="Selesai"),1,0)</f>
        <v>0</v>
      </c>
      <c r="X909" s="23" t="str">
        <f aca="false">IF(F909="","",SUBSTITUTE(SUBSTITUTE(MID(UPPER(TRIM(F909)),4,99),"-LED",""),"-TK",""))</f>
        <v/>
      </c>
      <c r="Y909" s="23" t="str">
        <f aca="false">IF(X909="","",(LEN(X909)+1)/7)</f>
        <v/>
      </c>
      <c r="Z909" s="23" t="str">
        <f aca="false">IF(X909="","",LEFT(X909,6))</f>
        <v/>
      </c>
      <c r="AA909" s="23" t="str">
        <f aca="false">IF(X909="","",IF(Y909&gt;=3,MID(X909,8,6),""))</f>
        <v/>
      </c>
      <c r="AB909" s="23" t="str">
        <f aca="false">IF(X909="","",IF(Y909&gt;=4,MID(X909,15,6),""))</f>
        <v/>
      </c>
      <c r="AC909" s="23" t="str">
        <f aca="false">IF(X909="","",IF(Y909&gt;=5,MID(X909,22,6),""))</f>
        <v/>
      </c>
      <c r="AD909" s="23" t="str">
        <f aca="false">IF(X909="","",RIGHT(X909,6))</f>
        <v/>
      </c>
      <c r="AE909" s="23" t="str">
        <f aca="false">IF(F909="","",IF(ISNUMBER(SEARCH("-TK",UPPER(F909))),0,1))</f>
        <v/>
      </c>
      <c r="AF909" s="23" t="str">
        <f aca="false">IF(F909="","",IF(ISNUMBER(SEARCH("-LED",UPPER(F909))),1,0))</f>
        <v/>
      </c>
      <c r="AG909" s="24" t="n">
        <f aca="false">IF(Z909="",0,IFERROR(INDEX(Resep!$C$5:$C$7,MATCH(LEFT(Z909,3),Resep!$B$5:$B$7,0)),0))</f>
        <v>0</v>
      </c>
      <c r="AH909" s="24" t="n">
        <f aca="false">IF(AA909="",0,IFERROR(INDEX(Resep!$C$9:$C$13,MATCH(LEFT(AA909,3),Resep!$B$9:$B$13,0)),0))</f>
        <v>0</v>
      </c>
      <c r="AI909" s="24" t="n">
        <f aca="false">IF(AB909="",0,IFERROR(INDEX(Resep!$C$9:$C$13,MATCH(LEFT(AB909,3),Resep!$B$9:$B$13,0)),0))</f>
        <v>0</v>
      </c>
      <c r="AJ909" s="24" t="n">
        <f aca="false">IF(AC909="",0,IFERROR(INDEX(Resep!$C$9:$C$13,MATCH(LEFT(AC909,3),Resep!$B$9:$B$13,0)),0))</f>
        <v>0</v>
      </c>
      <c r="AK909" s="24" t="n">
        <f aca="false">IF(AD909="",0,IFERROR(INDEX(Resep!$C$15:$C$18,MATCH(LEFT(AD909,3),Resep!$B$15:$B$18,0)),0))</f>
        <v>0</v>
      </c>
      <c r="AL909" s="24" t="str">
        <f aca="false">IF(X909="","",AG909+AH909+AI909+AJ909+AK909)</f>
        <v/>
      </c>
      <c r="AM909" s="22" t="str">
        <f aca="false">IF(X909="","",AL909*(Pengaturan!$B$6+Pengaturan!$B$7)+Pengaturan!$B$8+AE909*Pengaturan!$B$9+AF909*Pengaturan!$B$10)</f>
        <v/>
      </c>
      <c r="AN909" s="22" t="str">
        <f aca="false">IF(X909="","",N(G909)-AM909)</f>
        <v/>
      </c>
      <c r="AO909" s="25" t="str">
        <f aca="false">IF(OR(X909="",N(G909)=0),"",AN909/G909)</f>
        <v/>
      </c>
    </row>
    <row r="910" customFormat="false" ht="15" hidden="false" customHeight="false" outlineLevel="0" collapsed="false">
      <c r="A910" s="19"/>
      <c r="B910" s="20"/>
      <c r="C910" s="19"/>
      <c r="D910" s="19"/>
      <c r="E910" s="19"/>
      <c r="F910" s="19"/>
      <c r="G910" s="21"/>
      <c r="H910" s="19"/>
      <c r="I910" s="21"/>
      <c r="J910" s="19"/>
      <c r="K910" s="20"/>
      <c r="L910" s="20"/>
      <c r="M910" s="19"/>
      <c r="N910" s="19"/>
      <c r="O910" s="20"/>
      <c r="P910" s="20"/>
      <c r="Q910" s="19"/>
      <c r="R910" s="22" t="str">
        <f aca="false">IF(A910="","",N(G910)+N(I910))</f>
        <v/>
      </c>
      <c r="S910" s="23" t="str">
        <f aca="false">IF(OR(K910="",O910=""),"",O910-K910)</f>
        <v/>
      </c>
      <c r="T910" s="23" t="str">
        <f aca="true">IF(AND(C910="Cetak",L910&lt;&gt;"",L910&lt;TODAY()),"YA","")</f>
        <v/>
      </c>
      <c r="U910" s="23" t="str">
        <f aca="false">IF(B910="","",TEXT(B910,"yyyy-mm"))</f>
        <v/>
      </c>
      <c r="V910" s="23" t="str">
        <f aca="false">IF(K910="","",TEXT(K910,"yyyy-mm"))</f>
        <v/>
      </c>
      <c r="W910" s="23" t="n">
        <f aca="false">IF(OR(C910="Cetak",C910="Dikirim",C910="Selesai"),1,0)</f>
        <v>0</v>
      </c>
      <c r="X910" s="23" t="str">
        <f aca="false">IF(F910="","",SUBSTITUTE(SUBSTITUTE(MID(UPPER(TRIM(F910)),4,99),"-LED",""),"-TK",""))</f>
        <v/>
      </c>
      <c r="Y910" s="23" t="str">
        <f aca="false">IF(X910="","",(LEN(X910)+1)/7)</f>
        <v/>
      </c>
      <c r="Z910" s="23" t="str">
        <f aca="false">IF(X910="","",LEFT(X910,6))</f>
        <v/>
      </c>
      <c r="AA910" s="23" t="str">
        <f aca="false">IF(X910="","",IF(Y910&gt;=3,MID(X910,8,6),""))</f>
        <v/>
      </c>
      <c r="AB910" s="23" t="str">
        <f aca="false">IF(X910="","",IF(Y910&gt;=4,MID(X910,15,6),""))</f>
        <v/>
      </c>
      <c r="AC910" s="23" t="str">
        <f aca="false">IF(X910="","",IF(Y910&gt;=5,MID(X910,22,6),""))</f>
        <v/>
      </c>
      <c r="AD910" s="23" t="str">
        <f aca="false">IF(X910="","",RIGHT(X910,6))</f>
        <v/>
      </c>
      <c r="AE910" s="23" t="str">
        <f aca="false">IF(F910="","",IF(ISNUMBER(SEARCH("-TK",UPPER(F910))),0,1))</f>
        <v/>
      </c>
      <c r="AF910" s="23" t="str">
        <f aca="false">IF(F910="","",IF(ISNUMBER(SEARCH("-LED",UPPER(F910))),1,0))</f>
        <v/>
      </c>
      <c r="AG910" s="24" t="n">
        <f aca="false">IF(Z910="",0,IFERROR(INDEX(Resep!$C$5:$C$7,MATCH(LEFT(Z910,3),Resep!$B$5:$B$7,0)),0))</f>
        <v>0</v>
      </c>
      <c r="AH910" s="24" t="n">
        <f aca="false">IF(AA910="",0,IFERROR(INDEX(Resep!$C$9:$C$13,MATCH(LEFT(AA910,3),Resep!$B$9:$B$13,0)),0))</f>
        <v>0</v>
      </c>
      <c r="AI910" s="24" t="n">
        <f aca="false">IF(AB910="",0,IFERROR(INDEX(Resep!$C$9:$C$13,MATCH(LEFT(AB910,3),Resep!$B$9:$B$13,0)),0))</f>
        <v>0</v>
      </c>
      <c r="AJ910" s="24" t="n">
        <f aca="false">IF(AC910="",0,IFERROR(INDEX(Resep!$C$9:$C$13,MATCH(LEFT(AC910,3),Resep!$B$9:$B$13,0)),0))</f>
        <v>0</v>
      </c>
      <c r="AK910" s="24" t="n">
        <f aca="false">IF(AD910="",0,IFERROR(INDEX(Resep!$C$15:$C$18,MATCH(LEFT(AD910,3),Resep!$B$15:$B$18,0)),0))</f>
        <v>0</v>
      </c>
      <c r="AL910" s="24" t="str">
        <f aca="false">IF(X910="","",AG910+AH910+AI910+AJ910+AK910)</f>
        <v/>
      </c>
      <c r="AM910" s="22" t="str">
        <f aca="false">IF(X910="","",AL910*(Pengaturan!$B$6+Pengaturan!$B$7)+Pengaturan!$B$8+AE910*Pengaturan!$B$9+AF910*Pengaturan!$B$10)</f>
        <v/>
      </c>
      <c r="AN910" s="22" t="str">
        <f aca="false">IF(X910="","",N(G910)-AM910)</f>
        <v/>
      </c>
      <c r="AO910" s="25" t="str">
        <f aca="false">IF(OR(X910="",N(G910)=0),"",AN910/G910)</f>
        <v/>
      </c>
    </row>
    <row r="911" customFormat="false" ht="15" hidden="false" customHeight="false" outlineLevel="0" collapsed="false">
      <c r="A911" s="19"/>
      <c r="B911" s="20"/>
      <c r="C911" s="19"/>
      <c r="D911" s="19"/>
      <c r="E911" s="19"/>
      <c r="F911" s="19"/>
      <c r="G911" s="21"/>
      <c r="H911" s="19"/>
      <c r="I911" s="21"/>
      <c r="J911" s="19"/>
      <c r="K911" s="20"/>
      <c r="L911" s="20"/>
      <c r="M911" s="19"/>
      <c r="N911" s="19"/>
      <c r="O911" s="20"/>
      <c r="P911" s="20"/>
      <c r="Q911" s="19"/>
      <c r="R911" s="22" t="str">
        <f aca="false">IF(A911="","",N(G911)+N(I911))</f>
        <v/>
      </c>
      <c r="S911" s="23" t="str">
        <f aca="false">IF(OR(K911="",O911=""),"",O911-K911)</f>
        <v/>
      </c>
      <c r="T911" s="23" t="str">
        <f aca="true">IF(AND(C911="Cetak",L911&lt;&gt;"",L911&lt;TODAY()),"YA","")</f>
        <v/>
      </c>
      <c r="U911" s="23" t="str">
        <f aca="false">IF(B911="","",TEXT(B911,"yyyy-mm"))</f>
        <v/>
      </c>
      <c r="V911" s="23" t="str">
        <f aca="false">IF(K911="","",TEXT(K911,"yyyy-mm"))</f>
        <v/>
      </c>
      <c r="W911" s="23" t="n">
        <f aca="false">IF(OR(C911="Cetak",C911="Dikirim",C911="Selesai"),1,0)</f>
        <v>0</v>
      </c>
      <c r="X911" s="23" t="str">
        <f aca="false">IF(F911="","",SUBSTITUTE(SUBSTITUTE(MID(UPPER(TRIM(F911)),4,99),"-LED",""),"-TK",""))</f>
        <v/>
      </c>
      <c r="Y911" s="23" t="str">
        <f aca="false">IF(X911="","",(LEN(X911)+1)/7)</f>
        <v/>
      </c>
      <c r="Z911" s="23" t="str">
        <f aca="false">IF(X911="","",LEFT(X911,6))</f>
        <v/>
      </c>
      <c r="AA911" s="23" t="str">
        <f aca="false">IF(X911="","",IF(Y911&gt;=3,MID(X911,8,6),""))</f>
        <v/>
      </c>
      <c r="AB911" s="23" t="str">
        <f aca="false">IF(X911="","",IF(Y911&gt;=4,MID(X911,15,6),""))</f>
        <v/>
      </c>
      <c r="AC911" s="23" t="str">
        <f aca="false">IF(X911="","",IF(Y911&gt;=5,MID(X911,22,6),""))</f>
        <v/>
      </c>
      <c r="AD911" s="23" t="str">
        <f aca="false">IF(X911="","",RIGHT(X911,6))</f>
        <v/>
      </c>
      <c r="AE911" s="23" t="str">
        <f aca="false">IF(F911="","",IF(ISNUMBER(SEARCH("-TK",UPPER(F911))),0,1))</f>
        <v/>
      </c>
      <c r="AF911" s="23" t="str">
        <f aca="false">IF(F911="","",IF(ISNUMBER(SEARCH("-LED",UPPER(F911))),1,0))</f>
        <v/>
      </c>
      <c r="AG911" s="24" t="n">
        <f aca="false">IF(Z911="",0,IFERROR(INDEX(Resep!$C$5:$C$7,MATCH(LEFT(Z911,3),Resep!$B$5:$B$7,0)),0))</f>
        <v>0</v>
      </c>
      <c r="AH911" s="24" t="n">
        <f aca="false">IF(AA911="",0,IFERROR(INDEX(Resep!$C$9:$C$13,MATCH(LEFT(AA911,3),Resep!$B$9:$B$13,0)),0))</f>
        <v>0</v>
      </c>
      <c r="AI911" s="24" t="n">
        <f aca="false">IF(AB911="",0,IFERROR(INDEX(Resep!$C$9:$C$13,MATCH(LEFT(AB911,3),Resep!$B$9:$B$13,0)),0))</f>
        <v>0</v>
      </c>
      <c r="AJ911" s="24" t="n">
        <f aca="false">IF(AC911="",0,IFERROR(INDEX(Resep!$C$9:$C$13,MATCH(LEFT(AC911,3),Resep!$B$9:$B$13,0)),0))</f>
        <v>0</v>
      </c>
      <c r="AK911" s="24" t="n">
        <f aca="false">IF(AD911="",0,IFERROR(INDEX(Resep!$C$15:$C$18,MATCH(LEFT(AD911,3),Resep!$B$15:$B$18,0)),0))</f>
        <v>0</v>
      </c>
      <c r="AL911" s="24" t="str">
        <f aca="false">IF(X911="","",AG911+AH911+AI911+AJ911+AK911)</f>
        <v/>
      </c>
      <c r="AM911" s="22" t="str">
        <f aca="false">IF(X911="","",AL911*(Pengaturan!$B$6+Pengaturan!$B$7)+Pengaturan!$B$8+AE911*Pengaturan!$B$9+AF911*Pengaturan!$B$10)</f>
        <v/>
      </c>
      <c r="AN911" s="22" t="str">
        <f aca="false">IF(X911="","",N(G911)-AM911)</f>
        <v/>
      </c>
      <c r="AO911" s="25" t="str">
        <f aca="false">IF(OR(X911="",N(G911)=0),"",AN911/G911)</f>
        <v/>
      </c>
    </row>
    <row r="912" customFormat="false" ht="15" hidden="false" customHeight="false" outlineLevel="0" collapsed="false">
      <c r="A912" s="19"/>
      <c r="B912" s="20"/>
      <c r="C912" s="19"/>
      <c r="D912" s="19"/>
      <c r="E912" s="19"/>
      <c r="F912" s="19"/>
      <c r="G912" s="21"/>
      <c r="H912" s="19"/>
      <c r="I912" s="21"/>
      <c r="J912" s="19"/>
      <c r="K912" s="20"/>
      <c r="L912" s="20"/>
      <c r="M912" s="19"/>
      <c r="N912" s="19"/>
      <c r="O912" s="20"/>
      <c r="P912" s="20"/>
      <c r="Q912" s="19"/>
      <c r="R912" s="22" t="str">
        <f aca="false">IF(A912="","",N(G912)+N(I912))</f>
        <v/>
      </c>
      <c r="S912" s="23" t="str">
        <f aca="false">IF(OR(K912="",O912=""),"",O912-K912)</f>
        <v/>
      </c>
      <c r="T912" s="23" t="str">
        <f aca="true">IF(AND(C912="Cetak",L912&lt;&gt;"",L912&lt;TODAY()),"YA","")</f>
        <v/>
      </c>
      <c r="U912" s="23" t="str">
        <f aca="false">IF(B912="","",TEXT(B912,"yyyy-mm"))</f>
        <v/>
      </c>
      <c r="V912" s="23" t="str">
        <f aca="false">IF(K912="","",TEXT(K912,"yyyy-mm"))</f>
        <v/>
      </c>
      <c r="W912" s="23" t="n">
        <f aca="false">IF(OR(C912="Cetak",C912="Dikirim",C912="Selesai"),1,0)</f>
        <v>0</v>
      </c>
      <c r="X912" s="23" t="str">
        <f aca="false">IF(F912="","",SUBSTITUTE(SUBSTITUTE(MID(UPPER(TRIM(F912)),4,99),"-LED",""),"-TK",""))</f>
        <v/>
      </c>
      <c r="Y912" s="23" t="str">
        <f aca="false">IF(X912="","",(LEN(X912)+1)/7)</f>
        <v/>
      </c>
      <c r="Z912" s="23" t="str">
        <f aca="false">IF(X912="","",LEFT(X912,6))</f>
        <v/>
      </c>
      <c r="AA912" s="23" t="str">
        <f aca="false">IF(X912="","",IF(Y912&gt;=3,MID(X912,8,6),""))</f>
        <v/>
      </c>
      <c r="AB912" s="23" t="str">
        <f aca="false">IF(X912="","",IF(Y912&gt;=4,MID(X912,15,6),""))</f>
        <v/>
      </c>
      <c r="AC912" s="23" t="str">
        <f aca="false">IF(X912="","",IF(Y912&gt;=5,MID(X912,22,6),""))</f>
        <v/>
      </c>
      <c r="AD912" s="23" t="str">
        <f aca="false">IF(X912="","",RIGHT(X912,6))</f>
        <v/>
      </c>
      <c r="AE912" s="23" t="str">
        <f aca="false">IF(F912="","",IF(ISNUMBER(SEARCH("-TK",UPPER(F912))),0,1))</f>
        <v/>
      </c>
      <c r="AF912" s="23" t="str">
        <f aca="false">IF(F912="","",IF(ISNUMBER(SEARCH("-LED",UPPER(F912))),1,0))</f>
        <v/>
      </c>
      <c r="AG912" s="24" t="n">
        <f aca="false">IF(Z912="",0,IFERROR(INDEX(Resep!$C$5:$C$7,MATCH(LEFT(Z912,3),Resep!$B$5:$B$7,0)),0))</f>
        <v>0</v>
      </c>
      <c r="AH912" s="24" t="n">
        <f aca="false">IF(AA912="",0,IFERROR(INDEX(Resep!$C$9:$C$13,MATCH(LEFT(AA912,3),Resep!$B$9:$B$13,0)),0))</f>
        <v>0</v>
      </c>
      <c r="AI912" s="24" t="n">
        <f aca="false">IF(AB912="",0,IFERROR(INDEX(Resep!$C$9:$C$13,MATCH(LEFT(AB912,3),Resep!$B$9:$B$13,0)),0))</f>
        <v>0</v>
      </c>
      <c r="AJ912" s="24" t="n">
        <f aca="false">IF(AC912="",0,IFERROR(INDEX(Resep!$C$9:$C$13,MATCH(LEFT(AC912,3),Resep!$B$9:$B$13,0)),0))</f>
        <v>0</v>
      </c>
      <c r="AK912" s="24" t="n">
        <f aca="false">IF(AD912="",0,IFERROR(INDEX(Resep!$C$15:$C$18,MATCH(LEFT(AD912,3),Resep!$B$15:$B$18,0)),0))</f>
        <v>0</v>
      </c>
      <c r="AL912" s="24" t="str">
        <f aca="false">IF(X912="","",AG912+AH912+AI912+AJ912+AK912)</f>
        <v/>
      </c>
      <c r="AM912" s="22" t="str">
        <f aca="false">IF(X912="","",AL912*(Pengaturan!$B$6+Pengaturan!$B$7)+Pengaturan!$B$8+AE912*Pengaturan!$B$9+AF912*Pengaturan!$B$10)</f>
        <v/>
      </c>
      <c r="AN912" s="22" t="str">
        <f aca="false">IF(X912="","",N(G912)-AM912)</f>
        <v/>
      </c>
      <c r="AO912" s="25" t="str">
        <f aca="false">IF(OR(X912="",N(G912)=0),"",AN912/G912)</f>
        <v/>
      </c>
    </row>
    <row r="913" customFormat="false" ht="15" hidden="false" customHeight="false" outlineLevel="0" collapsed="false">
      <c r="A913" s="19"/>
      <c r="B913" s="20"/>
      <c r="C913" s="19"/>
      <c r="D913" s="19"/>
      <c r="E913" s="19"/>
      <c r="F913" s="19"/>
      <c r="G913" s="21"/>
      <c r="H913" s="19"/>
      <c r="I913" s="21"/>
      <c r="J913" s="19"/>
      <c r="K913" s="20"/>
      <c r="L913" s="20"/>
      <c r="M913" s="19"/>
      <c r="N913" s="19"/>
      <c r="O913" s="20"/>
      <c r="P913" s="20"/>
      <c r="Q913" s="19"/>
      <c r="R913" s="22" t="str">
        <f aca="false">IF(A913="","",N(G913)+N(I913))</f>
        <v/>
      </c>
      <c r="S913" s="23" t="str">
        <f aca="false">IF(OR(K913="",O913=""),"",O913-K913)</f>
        <v/>
      </c>
      <c r="T913" s="23" t="str">
        <f aca="true">IF(AND(C913="Cetak",L913&lt;&gt;"",L913&lt;TODAY()),"YA","")</f>
        <v/>
      </c>
      <c r="U913" s="23" t="str">
        <f aca="false">IF(B913="","",TEXT(B913,"yyyy-mm"))</f>
        <v/>
      </c>
      <c r="V913" s="23" t="str">
        <f aca="false">IF(K913="","",TEXT(K913,"yyyy-mm"))</f>
        <v/>
      </c>
      <c r="W913" s="23" t="n">
        <f aca="false">IF(OR(C913="Cetak",C913="Dikirim",C913="Selesai"),1,0)</f>
        <v>0</v>
      </c>
      <c r="X913" s="23" t="str">
        <f aca="false">IF(F913="","",SUBSTITUTE(SUBSTITUTE(MID(UPPER(TRIM(F913)),4,99),"-LED",""),"-TK",""))</f>
        <v/>
      </c>
      <c r="Y913" s="23" t="str">
        <f aca="false">IF(X913="","",(LEN(X913)+1)/7)</f>
        <v/>
      </c>
      <c r="Z913" s="23" t="str">
        <f aca="false">IF(X913="","",LEFT(X913,6))</f>
        <v/>
      </c>
      <c r="AA913" s="23" t="str">
        <f aca="false">IF(X913="","",IF(Y913&gt;=3,MID(X913,8,6),""))</f>
        <v/>
      </c>
      <c r="AB913" s="23" t="str">
        <f aca="false">IF(X913="","",IF(Y913&gt;=4,MID(X913,15,6),""))</f>
        <v/>
      </c>
      <c r="AC913" s="23" t="str">
        <f aca="false">IF(X913="","",IF(Y913&gt;=5,MID(X913,22,6),""))</f>
        <v/>
      </c>
      <c r="AD913" s="23" t="str">
        <f aca="false">IF(X913="","",RIGHT(X913,6))</f>
        <v/>
      </c>
      <c r="AE913" s="23" t="str">
        <f aca="false">IF(F913="","",IF(ISNUMBER(SEARCH("-TK",UPPER(F913))),0,1))</f>
        <v/>
      </c>
      <c r="AF913" s="23" t="str">
        <f aca="false">IF(F913="","",IF(ISNUMBER(SEARCH("-LED",UPPER(F913))),1,0))</f>
        <v/>
      </c>
      <c r="AG913" s="24" t="n">
        <f aca="false">IF(Z913="",0,IFERROR(INDEX(Resep!$C$5:$C$7,MATCH(LEFT(Z913,3),Resep!$B$5:$B$7,0)),0))</f>
        <v>0</v>
      </c>
      <c r="AH913" s="24" t="n">
        <f aca="false">IF(AA913="",0,IFERROR(INDEX(Resep!$C$9:$C$13,MATCH(LEFT(AA913,3),Resep!$B$9:$B$13,0)),0))</f>
        <v>0</v>
      </c>
      <c r="AI913" s="24" t="n">
        <f aca="false">IF(AB913="",0,IFERROR(INDEX(Resep!$C$9:$C$13,MATCH(LEFT(AB913,3),Resep!$B$9:$B$13,0)),0))</f>
        <v>0</v>
      </c>
      <c r="AJ913" s="24" t="n">
        <f aca="false">IF(AC913="",0,IFERROR(INDEX(Resep!$C$9:$C$13,MATCH(LEFT(AC913,3),Resep!$B$9:$B$13,0)),0))</f>
        <v>0</v>
      </c>
      <c r="AK913" s="24" t="n">
        <f aca="false">IF(AD913="",0,IFERROR(INDEX(Resep!$C$15:$C$18,MATCH(LEFT(AD913,3),Resep!$B$15:$B$18,0)),0))</f>
        <v>0</v>
      </c>
      <c r="AL913" s="24" t="str">
        <f aca="false">IF(X913="","",AG913+AH913+AI913+AJ913+AK913)</f>
        <v/>
      </c>
      <c r="AM913" s="22" t="str">
        <f aca="false">IF(X913="","",AL913*(Pengaturan!$B$6+Pengaturan!$B$7)+Pengaturan!$B$8+AE913*Pengaturan!$B$9+AF913*Pengaturan!$B$10)</f>
        <v/>
      </c>
      <c r="AN913" s="22" t="str">
        <f aca="false">IF(X913="","",N(G913)-AM913)</f>
        <v/>
      </c>
      <c r="AO913" s="25" t="str">
        <f aca="false">IF(OR(X913="",N(G913)=0),"",AN913/G913)</f>
        <v/>
      </c>
    </row>
    <row r="914" customFormat="false" ht="15" hidden="false" customHeight="false" outlineLevel="0" collapsed="false">
      <c r="A914" s="19"/>
      <c r="B914" s="20"/>
      <c r="C914" s="19"/>
      <c r="D914" s="19"/>
      <c r="E914" s="19"/>
      <c r="F914" s="19"/>
      <c r="G914" s="21"/>
      <c r="H914" s="19"/>
      <c r="I914" s="21"/>
      <c r="J914" s="19"/>
      <c r="K914" s="20"/>
      <c r="L914" s="20"/>
      <c r="M914" s="19"/>
      <c r="N914" s="19"/>
      <c r="O914" s="20"/>
      <c r="P914" s="20"/>
      <c r="Q914" s="19"/>
      <c r="R914" s="22" t="str">
        <f aca="false">IF(A914="","",N(G914)+N(I914))</f>
        <v/>
      </c>
      <c r="S914" s="23" t="str">
        <f aca="false">IF(OR(K914="",O914=""),"",O914-K914)</f>
        <v/>
      </c>
      <c r="T914" s="23" t="str">
        <f aca="true">IF(AND(C914="Cetak",L914&lt;&gt;"",L914&lt;TODAY()),"YA","")</f>
        <v/>
      </c>
      <c r="U914" s="23" t="str">
        <f aca="false">IF(B914="","",TEXT(B914,"yyyy-mm"))</f>
        <v/>
      </c>
      <c r="V914" s="23" t="str">
        <f aca="false">IF(K914="","",TEXT(K914,"yyyy-mm"))</f>
        <v/>
      </c>
      <c r="W914" s="23" t="n">
        <f aca="false">IF(OR(C914="Cetak",C914="Dikirim",C914="Selesai"),1,0)</f>
        <v>0</v>
      </c>
      <c r="X914" s="23" t="str">
        <f aca="false">IF(F914="","",SUBSTITUTE(SUBSTITUTE(MID(UPPER(TRIM(F914)),4,99),"-LED",""),"-TK",""))</f>
        <v/>
      </c>
      <c r="Y914" s="23" t="str">
        <f aca="false">IF(X914="","",(LEN(X914)+1)/7)</f>
        <v/>
      </c>
      <c r="Z914" s="23" t="str">
        <f aca="false">IF(X914="","",LEFT(X914,6))</f>
        <v/>
      </c>
      <c r="AA914" s="23" t="str">
        <f aca="false">IF(X914="","",IF(Y914&gt;=3,MID(X914,8,6),""))</f>
        <v/>
      </c>
      <c r="AB914" s="23" t="str">
        <f aca="false">IF(X914="","",IF(Y914&gt;=4,MID(X914,15,6),""))</f>
        <v/>
      </c>
      <c r="AC914" s="23" t="str">
        <f aca="false">IF(X914="","",IF(Y914&gt;=5,MID(X914,22,6),""))</f>
        <v/>
      </c>
      <c r="AD914" s="23" t="str">
        <f aca="false">IF(X914="","",RIGHT(X914,6))</f>
        <v/>
      </c>
      <c r="AE914" s="23" t="str">
        <f aca="false">IF(F914="","",IF(ISNUMBER(SEARCH("-TK",UPPER(F914))),0,1))</f>
        <v/>
      </c>
      <c r="AF914" s="23" t="str">
        <f aca="false">IF(F914="","",IF(ISNUMBER(SEARCH("-LED",UPPER(F914))),1,0))</f>
        <v/>
      </c>
      <c r="AG914" s="24" t="n">
        <f aca="false">IF(Z914="",0,IFERROR(INDEX(Resep!$C$5:$C$7,MATCH(LEFT(Z914,3),Resep!$B$5:$B$7,0)),0))</f>
        <v>0</v>
      </c>
      <c r="AH914" s="24" t="n">
        <f aca="false">IF(AA914="",0,IFERROR(INDEX(Resep!$C$9:$C$13,MATCH(LEFT(AA914,3),Resep!$B$9:$B$13,0)),0))</f>
        <v>0</v>
      </c>
      <c r="AI914" s="24" t="n">
        <f aca="false">IF(AB914="",0,IFERROR(INDEX(Resep!$C$9:$C$13,MATCH(LEFT(AB914,3),Resep!$B$9:$B$13,0)),0))</f>
        <v>0</v>
      </c>
      <c r="AJ914" s="24" t="n">
        <f aca="false">IF(AC914="",0,IFERROR(INDEX(Resep!$C$9:$C$13,MATCH(LEFT(AC914,3),Resep!$B$9:$B$13,0)),0))</f>
        <v>0</v>
      </c>
      <c r="AK914" s="24" t="n">
        <f aca="false">IF(AD914="",0,IFERROR(INDEX(Resep!$C$15:$C$18,MATCH(LEFT(AD914,3),Resep!$B$15:$B$18,0)),0))</f>
        <v>0</v>
      </c>
      <c r="AL914" s="24" t="str">
        <f aca="false">IF(X914="","",AG914+AH914+AI914+AJ914+AK914)</f>
        <v/>
      </c>
      <c r="AM914" s="22" t="str">
        <f aca="false">IF(X914="","",AL914*(Pengaturan!$B$6+Pengaturan!$B$7)+Pengaturan!$B$8+AE914*Pengaturan!$B$9+AF914*Pengaturan!$B$10)</f>
        <v/>
      </c>
      <c r="AN914" s="22" t="str">
        <f aca="false">IF(X914="","",N(G914)-AM914)</f>
        <v/>
      </c>
      <c r="AO914" s="25" t="str">
        <f aca="false">IF(OR(X914="",N(G914)=0),"",AN914/G914)</f>
        <v/>
      </c>
    </row>
    <row r="915" customFormat="false" ht="15" hidden="false" customHeight="false" outlineLevel="0" collapsed="false">
      <c r="A915" s="19"/>
      <c r="B915" s="20"/>
      <c r="C915" s="19"/>
      <c r="D915" s="19"/>
      <c r="E915" s="19"/>
      <c r="F915" s="19"/>
      <c r="G915" s="21"/>
      <c r="H915" s="19"/>
      <c r="I915" s="21"/>
      <c r="J915" s="19"/>
      <c r="K915" s="20"/>
      <c r="L915" s="20"/>
      <c r="M915" s="19"/>
      <c r="N915" s="19"/>
      <c r="O915" s="20"/>
      <c r="P915" s="20"/>
      <c r="Q915" s="19"/>
      <c r="R915" s="22" t="str">
        <f aca="false">IF(A915="","",N(G915)+N(I915))</f>
        <v/>
      </c>
      <c r="S915" s="23" t="str">
        <f aca="false">IF(OR(K915="",O915=""),"",O915-K915)</f>
        <v/>
      </c>
      <c r="T915" s="23" t="str">
        <f aca="true">IF(AND(C915="Cetak",L915&lt;&gt;"",L915&lt;TODAY()),"YA","")</f>
        <v/>
      </c>
      <c r="U915" s="23" t="str">
        <f aca="false">IF(B915="","",TEXT(B915,"yyyy-mm"))</f>
        <v/>
      </c>
      <c r="V915" s="23" t="str">
        <f aca="false">IF(K915="","",TEXT(K915,"yyyy-mm"))</f>
        <v/>
      </c>
      <c r="W915" s="23" t="n">
        <f aca="false">IF(OR(C915="Cetak",C915="Dikirim",C915="Selesai"),1,0)</f>
        <v>0</v>
      </c>
      <c r="X915" s="23" t="str">
        <f aca="false">IF(F915="","",SUBSTITUTE(SUBSTITUTE(MID(UPPER(TRIM(F915)),4,99),"-LED",""),"-TK",""))</f>
        <v/>
      </c>
      <c r="Y915" s="23" t="str">
        <f aca="false">IF(X915="","",(LEN(X915)+1)/7)</f>
        <v/>
      </c>
      <c r="Z915" s="23" t="str">
        <f aca="false">IF(X915="","",LEFT(X915,6))</f>
        <v/>
      </c>
      <c r="AA915" s="23" t="str">
        <f aca="false">IF(X915="","",IF(Y915&gt;=3,MID(X915,8,6),""))</f>
        <v/>
      </c>
      <c r="AB915" s="23" t="str">
        <f aca="false">IF(X915="","",IF(Y915&gt;=4,MID(X915,15,6),""))</f>
        <v/>
      </c>
      <c r="AC915" s="23" t="str">
        <f aca="false">IF(X915="","",IF(Y915&gt;=5,MID(X915,22,6),""))</f>
        <v/>
      </c>
      <c r="AD915" s="23" t="str">
        <f aca="false">IF(X915="","",RIGHT(X915,6))</f>
        <v/>
      </c>
      <c r="AE915" s="23" t="str">
        <f aca="false">IF(F915="","",IF(ISNUMBER(SEARCH("-TK",UPPER(F915))),0,1))</f>
        <v/>
      </c>
      <c r="AF915" s="23" t="str">
        <f aca="false">IF(F915="","",IF(ISNUMBER(SEARCH("-LED",UPPER(F915))),1,0))</f>
        <v/>
      </c>
      <c r="AG915" s="24" t="n">
        <f aca="false">IF(Z915="",0,IFERROR(INDEX(Resep!$C$5:$C$7,MATCH(LEFT(Z915,3),Resep!$B$5:$B$7,0)),0))</f>
        <v>0</v>
      </c>
      <c r="AH915" s="24" t="n">
        <f aca="false">IF(AA915="",0,IFERROR(INDEX(Resep!$C$9:$C$13,MATCH(LEFT(AA915,3),Resep!$B$9:$B$13,0)),0))</f>
        <v>0</v>
      </c>
      <c r="AI915" s="24" t="n">
        <f aca="false">IF(AB915="",0,IFERROR(INDEX(Resep!$C$9:$C$13,MATCH(LEFT(AB915,3),Resep!$B$9:$B$13,0)),0))</f>
        <v>0</v>
      </c>
      <c r="AJ915" s="24" t="n">
        <f aca="false">IF(AC915="",0,IFERROR(INDEX(Resep!$C$9:$C$13,MATCH(LEFT(AC915,3),Resep!$B$9:$B$13,0)),0))</f>
        <v>0</v>
      </c>
      <c r="AK915" s="24" t="n">
        <f aca="false">IF(AD915="",0,IFERROR(INDEX(Resep!$C$15:$C$18,MATCH(LEFT(AD915,3),Resep!$B$15:$B$18,0)),0))</f>
        <v>0</v>
      </c>
      <c r="AL915" s="24" t="str">
        <f aca="false">IF(X915="","",AG915+AH915+AI915+AJ915+AK915)</f>
        <v/>
      </c>
      <c r="AM915" s="22" t="str">
        <f aca="false">IF(X915="","",AL915*(Pengaturan!$B$6+Pengaturan!$B$7)+Pengaturan!$B$8+AE915*Pengaturan!$B$9+AF915*Pengaturan!$B$10)</f>
        <v/>
      </c>
      <c r="AN915" s="22" t="str">
        <f aca="false">IF(X915="","",N(G915)-AM915)</f>
        <v/>
      </c>
      <c r="AO915" s="25" t="str">
        <f aca="false">IF(OR(X915="",N(G915)=0),"",AN915/G915)</f>
        <v/>
      </c>
    </row>
    <row r="916" customFormat="false" ht="15" hidden="false" customHeight="false" outlineLevel="0" collapsed="false">
      <c r="A916" s="19"/>
      <c r="B916" s="20"/>
      <c r="C916" s="19"/>
      <c r="D916" s="19"/>
      <c r="E916" s="19"/>
      <c r="F916" s="19"/>
      <c r="G916" s="21"/>
      <c r="H916" s="19"/>
      <c r="I916" s="21"/>
      <c r="J916" s="19"/>
      <c r="K916" s="20"/>
      <c r="L916" s="20"/>
      <c r="M916" s="19"/>
      <c r="N916" s="19"/>
      <c r="O916" s="20"/>
      <c r="P916" s="20"/>
      <c r="Q916" s="19"/>
      <c r="R916" s="22" t="str">
        <f aca="false">IF(A916="","",N(G916)+N(I916))</f>
        <v/>
      </c>
      <c r="S916" s="23" t="str">
        <f aca="false">IF(OR(K916="",O916=""),"",O916-K916)</f>
        <v/>
      </c>
      <c r="T916" s="23" t="str">
        <f aca="true">IF(AND(C916="Cetak",L916&lt;&gt;"",L916&lt;TODAY()),"YA","")</f>
        <v/>
      </c>
      <c r="U916" s="23" t="str">
        <f aca="false">IF(B916="","",TEXT(B916,"yyyy-mm"))</f>
        <v/>
      </c>
      <c r="V916" s="23" t="str">
        <f aca="false">IF(K916="","",TEXT(K916,"yyyy-mm"))</f>
        <v/>
      </c>
      <c r="W916" s="23" t="n">
        <f aca="false">IF(OR(C916="Cetak",C916="Dikirim",C916="Selesai"),1,0)</f>
        <v>0</v>
      </c>
      <c r="X916" s="23" t="str">
        <f aca="false">IF(F916="","",SUBSTITUTE(SUBSTITUTE(MID(UPPER(TRIM(F916)),4,99),"-LED",""),"-TK",""))</f>
        <v/>
      </c>
      <c r="Y916" s="23" t="str">
        <f aca="false">IF(X916="","",(LEN(X916)+1)/7)</f>
        <v/>
      </c>
      <c r="Z916" s="23" t="str">
        <f aca="false">IF(X916="","",LEFT(X916,6))</f>
        <v/>
      </c>
      <c r="AA916" s="23" t="str">
        <f aca="false">IF(X916="","",IF(Y916&gt;=3,MID(X916,8,6),""))</f>
        <v/>
      </c>
      <c r="AB916" s="23" t="str">
        <f aca="false">IF(X916="","",IF(Y916&gt;=4,MID(X916,15,6),""))</f>
        <v/>
      </c>
      <c r="AC916" s="23" t="str">
        <f aca="false">IF(X916="","",IF(Y916&gt;=5,MID(X916,22,6),""))</f>
        <v/>
      </c>
      <c r="AD916" s="23" t="str">
        <f aca="false">IF(X916="","",RIGHT(X916,6))</f>
        <v/>
      </c>
      <c r="AE916" s="23" t="str">
        <f aca="false">IF(F916="","",IF(ISNUMBER(SEARCH("-TK",UPPER(F916))),0,1))</f>
        <v/>
      </c>
      <c r="AF916" s="23" t="str">
        <f aca="false">IF(F916="","",IF(ISNUMBER(SEARCH("-LED",UPPER(F916))),1,0))</f>
        <v/>
      </c>
      <c r="AG916" s="24" t="n">
        <f aca="false">IF(Z916="",0,IFERROR(INDEX(Resep!$C$5:$C$7,MATCH(LEFT(Z916,3),Resep!$B$5:$B$7,0)),0))</f>
        <v>0</v>
      </c>
      <c r="AH916" s="24" t="n">
        <f aca="false">IF(AA916="",0,IFERROR(INDEX(Resep!$C$9:$C$13,MATCH(LEFT(AA916,3),Resep!$B$9:$B$13,0)),0))</f>
        <v>0</v>
      </c>
      <c r="AI916" s="24" t="n">
        <f aca="false">IF(AB916="",0,IFERROR(INDEX(Resep!$C$9:$C$13,MATCH(LEFT(AB916,3),Resep!$B$9:$B$13,0)),0))</f>
        <v>0</v>
      </c>
      <c r="AJ916" s="24" t="n">
        <f aca="false">IF(AC916="",0,IFERROR(INDEX(Resep!$C$9:$C$13,MATCH(LEFT(AC916,3),Resep!$B$9:$B$13,0)),0))</f>
        <v>0</v>
      </c>
      <c r="AK916" s="24" t="n">
        <f aca="false">IF(AD916="",0,IFERROR(INDEX(Resep!$C$15:$C$18,MATCH(LEFT(AD916,3),Resep!$B$15:$B$18,0)),0))</f>
        <v>0</v>
      </c>
      <c r="AL916" s="24" t="str">
        <f aca="false">IF(X916="","",AG916+AH916+AI916+AJ916+AK916)</f>
        <v/>
      </c>
      <c r="AM916" s="22" t="str">
        <f aca="false">IF(X916="","",AL916*(Pengaturan!$B$6+Pengaturan!$B$7)+Pengaturan!$B$8+AE916*Pengaturan!$B$9+AF916*Pengaturan!$B$10)</f>
        <v/>
      </c>
      <c r="AN916" s="22" t="str">
        <f aca="false">IF(X916="","",N(G916)-AM916)</f>
        <v/>
      </c>
      <c r="AO916" s="25" t="str">
        <f aca="false">IF(OR(X916="",N(G916)=0),"",AN916/G916)</f>
        <v/>
      </c>
    </row>
    <row r="917" customFormat="false" ht="15" hidden="false" customHeight="false" outlineLevel="0" collapsed="false">
      <c r="A917" s="19"/>
      <c r="B917" s="20"/>
      <c r="C917" s="19"/>
      <c r="D917" s="19"/>
      <c r="E917" s="19"/>
      <c r="F917" s="19"/>
      <c r="G917" s="21"/>
      <c r="H917" s="19"/>
      <c r="I917" s="21"/>
      <c r="J917" s="19"/>
      <c r="K917" s="20"/>
      <c r="L917" s="20"/>
      <c r="M917" s="19"/>
      <c r="N917" s="19"/>
      <c r="O917" s="20"/>
      <c r="P917" s="20"/>
      <c r="Q917" s="19"/>
      <c r="R917" s="22" t="str">
        <f aca="false">IF(A917="","",N(G917)+N(I917))</f>
        <v/>
      </c>
      <c r="S917" s="23" t="str">
        <f aca="false">IF(OR(K917="",O917=""),"",O917-K917)</f>
        <v/>
      </c>
      <c r="T917" s="23" t="str">
        <f aca="true">IF(AND(C917="Cetak",L917&lt;&gt;"",L917&lt;TODAY()),"YA","")</f>
        <v/>
      </c>
      <c r="U917" s="23" t="str">
        <f aca="false">IF(B917="","",TEXT(B917,"yyyy-mm"))</f>
        <v/>
      </c>
      <c r="V917" s="23" t="str">
        <f aca="false">IF(K917="","",TEXT(K917,"yyyy-mm"))</f>
        <v/>
      </c>
      <c r="W917" s="23" t="n">
        <f aca="false">IF(OR(C917="Cetak",C917="Dikirim",C917="Selesai"),1,0)</f>
        <v>0</v>
      </c>
      <c r="X917" s="23" t="str">
        <f aca="false">IF(F917="","",SUBSTITUTE(SUBSTITUTE(MID(UPPER(TRIM(F917)),4,99),"-LED",""),"-TK",""))</f>
        <v/>
      </c>
      <c r="Y917" s="23" t="str">
        <f aca="false">IF(X917="","",(LEN(X917)+1)/7)</f>
        <v/>
      </c>
      <c r="Z917" s="23" t="str">
        <f aca="false">IF(X917="","",LEFT(X917,6))</f>
        <v/>
      </c>
      <c r="AA917" s="23" t="str">
        <f aca="false">IF(X917="","",IF(Y917&gt;=3,MID(X917,8,6),""))</f>
        <v/>
      </c>
      <c r="AB917" s="23" t="str">
        <f aca="false">IF(X917="","",IF(Y917&gt;=4,MID(X917,15,6),""))</f>
        <v/>
      </c>
      <c r="AC917" s="23" t="str">
        <f aca="false">IF(X917="","",IF(Y917&gt;=5,MID(X917,22,6),""))</f>
        <v/>
      </c>
      <c r="AD917" s="23" t="str">
        <f aca="false">IF(X917="","",RIGHT(X917,6))</f>
        <v/>
      </c>
      <c r="AE917" s="23" t="str">
        <f aca="false">IF(F917="","",IF(ISNUMBER(SEARCH("-TK",UPPER(F917))),0,1))</f>
        <v/>
      </c>
      <c r="AF917" s="23" t="str">
        <f aca="false">IF(F917="","",IF(ISNUMBER(SEARCH("-LED",UPPER(F917))),1,0))</f>
        <v/>
      </c>
      <c r="AG917" s="24" t="n">
        <f aca="false">IF(Z917="",0,IFERROR(INDEX(Resep!$C$5:$C$7,MATCH(LEFT(Z917,3),Resep!$B$5:$B$7,0)),0))</f>
        <v>0</v>
      </c>
      <c r="AH917" s="24" t="n">
        <f aca="false">IF(AA917="",0,IFERROR(INDEX(Resep!$C$9:$C$13,MATCH(LEFT(AA917,3),Resep!$B$9:$B$13,0)),0))</f>
        <v>0</v>
      </c>
      <c r="AI917" s="24" t="n">
        <f aca="false">IF(AB917="",0,IFERROR(INDEX(Resep!$C$9:$C$13,MATCH(LEFT(AB917,3),Resep!$B$9:$B$13,0)),0))</f>
        <v>0</v>
      </c>
      <c r="AJ917" s="24" t="n">
        <f aca="false">IF(AC917="",0,IFERROR(INDEX(Resep!$C$9:$C$13,MATCH(LEFT(AC917,3),Resep!$B$9:$B$13,0)),0))</f>
        <v>0</v>
      </c>
      <c r="AK917" s="24" t="n">
        <f aca="false">IF(AD917="",0,IFERROR(INDEX(Resep!$C$15:$C$18,MATCH(LEFT(AD917,3),Resep!$B$15:$B$18,0)),0))</f>
        <v>0</v>
      </c>
      <c r="AL917" s="24" t="str">
        <f aca="false">IF(X917="","",AG917+AH917+AI917+AJ917+AK917)</f>
        <v/>
      </c>
      <c r="AM917" s="22" t="str">
        <f aca="false">IF(X917="","",AL917*(Pengaturan!$B$6+Pengaturan!$B$7)+Pengaturan!$B$8+AE917*Pengaturan!$B$9+AF917*Pengaturan!$B$10)</f>
        <v/>
      </c>
      <c r="AN917" s="22" t="str">
        <f aca="false">IF(X917="","",N(G917)-AM917)</f>
        <v/>
      </c>
      <c r="AO917" s="25" t="str">
        <f aca="false">IF(OR(X917="",N(G917)=0),"",AN917/G917)</f>
        <v/>
      </c>
    </row>
    <row r="918" customFormat="false" ht="15" hidden="false" customHeight="false" outlineLevel="0" collapsed="false">
      <c r="A918" s="19"/>
      <c r="B918" s="20"/>
      <c r="C918" s="19"/>
      <c r="D918" s="19"/>
      <c r="E918" s="19"/>
      <c r="F918" s="19"/>
      <c r="G918" s="21"/>
      <c r="H918" s="19"/>
      <c r="I918" s="21"/>
      <c r="J918" s="19"/>
      <c r="K918" s="20"/>
      <c r="L918" s="20"/>
      <c r="M918" s="19"/>
      <c r="N918" s="19"/>
      <c r="O918" s="20"/>
      <c r="P918" s="20"/>
      <c r="Q918" s="19"/>
      <c r="R918" s="22" t="str">
        <f aca="false">IF(A918="","",N(G918)+N(I918))</f>
        <v/>
      </c>
      <c r="S918" s="23" t="str">
        <f aca="false">IF(OR(K918="",O918=""),"",O918-K918)</f>
        <v/>
      </c>
      <c r="T918" s="23" t="str">
        <f aca="true">IF(AND(C918="Cetak",L918&lt;&gt;"",L918&lt;TODAY()),"YA","")</f>
        <v/>
      </c>
      <c r="U918" s="23" t="str">
        <f aca="false">IF(B918="","",TEXT(B918,"yyyy-mm"))</f>
        <v/>
      </c>
      <c r="V918" s="23" t="str">
        <f aca="false">IF(K918="","",TEXT(K918,"yyyy-mm"))</f>
        <v/>
      </c>
      <c r="W918" s="23" t="n">
        <f aca="false">IF(OR(C918="Cetak",C918="Dikirim",C918="Selesai"),1,0)</f>
        <v>0</v>
      </c>
      <c r="X918" s="23" t="str">
        <f aca="false">IF(F918="","",SUBSTITUTE(SUBSTITUTE(MID(UPPER(TRIM(F918)),4,99),"-LED",""),"-TK",""))</f>
        <v/>
      </c>
      <c r="Y918" s="23" t="str">
        <f aca="false">IF(X918="","",(LEN(X918)+1)/7)</f>
        <v/>
      </c>
      <c r="Z918" s="23" t="str">
        <f aca="false">IF(X918="","",LEFT(X918,6))</f>
        <v/>
      </c>
      <c r="AA918" s="23" t="str">
        <f aca="false">IF(X918="","",IF(Y918&gt;=3,MID(X918,8,6),""))</f>
        <v/>
      </c>
      <c r="AB918" s="23" t="str">
        <f aca="false">IF(X918="","",IF(Y918&gt;=4,MID(X918,15,6),""))</f>
        <v/>
      </c>
      <c r="AC918" s="23" t="str">
        <f aca="false">IF(X918="","",IF(Y918&gt;=5,MID(X918,22,6),""))</f>
        <v/>
      </c>
      <c r="AD918" s="23" t="str">
        <f aca="false">IF(X918="","",RIGHT(X918,6))</f>
        <v/>
      </c>
      <c r="AE918" s="23" t="str">
        <f aca="false">IF(F918="","",IF(ISNUMBER(SEARCH("-TK",UPPER(F918))),0,1))</f>
        <v/>
      </c>
      <c r="AF918" s="23" t="str">
        <f aca="false">IF(F918="","",IF(ISNUMBER(SEARCH("-LED",UPPER(F918))),1,0))</f>
        <v/>
      </c>
      <c r="AG918" s="24" t="n">
        <f aca="false">IF(Z918="",0,IFERROR(INDEX(Resep!$C$5:$C$7,MATCH(LEFT(Z918,3),Resep!$B$5:$B$7,0)),0))</f>
        <v>0</v>
      </c>
      <c r="AH918" s="24" t="n">
        <f aca="false">IF(AA918="",0,IFERROR(INDEX(Resep!$C$9:$C$13,MATCH(LEFT(AA918,3),Resep!$B$9:$B$13,0)),0))</f>
        <v>0</v>
      </c>
      <c r="AI918" s="24" t="n">
        <f aca="false">IF(AB918="",0,IFERROR(INDEX(Resep!$C$9:$C$13,MATCH(LEFT(AB918,3),Resep!$B$9:$B$13,0)),0))</f>
        <v>0</v>
      </c>
      <c r="AJ918" s="24" t="n">
        <f aca="false">IF(AC918="",0,IFERROR(INDEX(Resep!$C$9:$C$13,MATCH(LEFT(AC918,3),Resep!$B$9:$B$13,0)),0))</f>
        <v>0</v>
      </c>
      <c r="AK918" s="24" t="n">
        <f aca="false">IF(AD918="",0,IFERROR(INDEX(Resep!$C$15:$C$18,MATCH(LEFT(AD918,3),Resep!$B$15:$B$18,0)),0))</f>
        <v>0</v>
      </c>
      <c r="AL918" s="24" t="str">
        <f aca="false">IF(X918="","",AG918+AH918+AI918+AJ918+AK918)</f>
        <v/>
      </c>
      <c r="AM918" s="22" t="str">
        <f aca="false">IF(X918="","",AL918*(Pengaturan!$B$6+Pengaturan!$B$7)+Pengaturan!$B$8+AE918*Pengaturan!$B$9+AF918*Pengaturan!$B$10)</f>
        <v/>
      </c>
      <c r="AN918" s="22" t="str">
        <f aca="false">IF(X918="","",N(G918)-AM918)</f>
        <v/>
      </c>
      <c r="AO918" s="25" t="str">
        <f aca="false">IF(OR(X918="",N(G918)=0),"",AN918/G918)</f>
        <v/>
      </c>
    </row>
    <row r="919" customFormat="false" ht="15" hidden="false" customHeight="false" outlineLevel="0" collapsed="false">
      <c r="A919" s="19"/>
      <c r="B919" s="20"/>
      <c r="C919" s="19"/>
      <c r="D919" s="19"/>
      <c r="E919" s="19"/>
      <c r="F919" s="19"/>
      <c r="G919" s="21"/>
      <c r="H919" s="19"/>
      <c r="I919" s="21"/>
      <c r="J919" s="19"/>
      <c r="K919" s="20"/>
      <c r="L919" s="20"/>
      <c r="M919" s="19"/>
      <c r="N919" s="19"/>
      <c r="O919" s="20"/>
      <c r="P919" s="20"/>
      <c r="Q919" s="19"/>
      <c r="R919" s="22" t="str">
        <f aca="false">IF(A919="","",N(G919)+N(I919))</f>
        <v/>
      </c>
      <c r="S919" s="23" t="str">
        <f aca="false">IF(OR(K919="",O919=""),"",O919-K919)</f>
        <v/>
      </c>
      <c r="T919" s="23" t="str">
        <f aca="true">IF(AND(C919="Cetak",L919&lt;&gt;"",L919&lt;TODAY()),"YA","")</f>
        <v/>
      </c>
      <c r="U919" s="23" t="str">
        <f aca="false">IF(B919="","",TEXT(B919,"yyyy-mm"))</f>
        <v/>
      </c>
      <c r="V919" s="23" t="str">
        <f aca="false">IF(K919="","",TEXT(K919,"yyyy-mm"))</f>
        <v/>
      </c>
      <c r="W919" s="23" t="n">
        <f aca="false">IF(OR(C919="Cetak",C919="Dikirim",C919="Selesai"),1,0)</f>
        <v>0</v>
      </c>
      <c r="X919" s="23" t="str">
        <f aca="false">IF(F919="","",SUBSTITUTE(SUBSTITUTE(MID(UPPER(TRIM(F919)),4,99),"-LED",""),"-TK",""))</f>
        <v/>
      </c>
      <c r="Y919" s="23" t="str">
        <f aca="false">IF(X919="","",(LEN(X919)+1)/7)</f>
        <v/>
      </c>
      <c r="Z919" s="23" t="str">
        <f aca="false">IF(X919="","",LEFT(X919,6))</f>
        <v/>
      </c>
      <c r="AA919" s="23" t="str">
        <f aca="false">IF(X919="","",IF(Y919&gt;=3,MID(X919,8,6),""))</f>
        <v/>
      </c>
      <c r="AB919" s="23" t="str">
        <f aca="false">IF(X919="","",IF(Y919&gt;=4,MID(X919,15,6),""))</f>
        <v/>
      </c>
      <c r="AC919" s="23" t="str">
        <f aca="false">IF(X919="","",IF(Y919&gt;=5,MID(X919,22,6),""))</f>
        <v/>
      </c>
      <c r="AD919" s="23" t="str">
        <f aca="false">IF(X919="","",RIGHT(X919,6))</f>
        <v/>
      </c>
      <c r="AE919" s="23" t="str">
        <f aca="false">IF(F919="","",IF(ISNUMBER(SEARCH("-TK",UPPER(F919))),0,1))</f>
        <v/>
      </c>
      <c r="AF919" s="23" t="str">
        <f aca="false">IF(F919="","",IF(ISNUMBER(SEARCH("-LED",UPPER(F919))),1,0))</f>
        <v/>
      </c>
      <c r="AG919" s="24" t="n">
        <f aca="false">IF(Z919="",0,IFERROR(INDEX(Resep!$C$5:$C$7,MATCH(LEFT(Z919,3),Resep!$B$5:$B$7,0)),0))</f>
        <v>0</v>
      </c>
      <c r="AH919" s="24" t="n">
        <f aca="false">IF(AA919="",0,IFERROR(INDEX(Resep!$C$9:$C$13,MATCH(LEFT(AA919,3),Resep!$B$9:$B$13,0)),0))</f>
        <v>0</v>
      </c>
      <c r="AI919" s="24" t="n">
        <f aca="false">IF(AB919="",0,IFERROR(INDEX(Resep!$C$9:$C$13,MATCH(LEFT(AB919,3),Resep!$B$9:$B$13,0)),0))</f>
        <v>0</v>
      </c>
      <c r="AJ919" s="24" t="n">
        <f aca="false">IF(AC919="",0,IFERROR(INDEX(Resep!$C$9:$C$13,MATCH(LEFT(AC919,3),Resep!$B$9:$B$13,0)),0))</f>
        <v>0</v>
      </c>
      <c r="AK919" s="24" t="n">
        <f aca="false">IF(AD919="",0,IFERROR(INDEX(Resep!$C$15:$C$18,MATCH(LEFT(AD919,3),Resep!$B$15:$B$18,0)),0))</f>
        <v>0</v>
      </c>
      <c r="AL919" s="24" t="str">
        <f aca="false">IF(X919="","",AG919+AH919+AI919+AJ919+AK919)</f>
        <v/>
      </c>
      <c r="AM919" s="22" t="str">
        <f aca="false">IF(X919="","",AL919*(Pengaturan!$B$6+Pengaturan!$B$7)+Pengaturan!$B$8+AE919*Pengaturan!$B$9+AF919*Pengaturan!$B$10)</f>
        <v/>
      </c>
      <c r="AN919" s="22" t="str">
        <f aca="false">IF(X919="","",N(G919)-AM919)</f>
        <v/>
      </c>
      <c r="AO919" s="25" t="str">
        <f aca="false">IF(OR(X919="",N(G919)=0),"",AN919/G919)</f>
        <v/>
      </c>
    </row>
    <row r="920" customFormat="false" ht="15" hidden="false" customHeight="false" outlineLevel="0" collapsed="false">
      <c r="A920" s="19"/>
      <c r="B920" s="20"/>
      <c r="C920" s="19"/>
      <c r="D920" s="19"/>
      <c r="E920" s="19"/>
      <c r="F920" s="19"/>
      <c r="G920" s="21"/>
      <c r="H920" s="19"/>
      <c r="I920" s="21"/>
      <c r="J920" s="19"/>
      <c r="K920" s="20"/>
      <c r="L920" s="20"/>
      <c r="M920" s="19"/>
      <c r="N920" s="19"/>
      <c r="O920" s="20"/>
      <c r="P920" s="20"/>
      <c r="Q920" s="19"/>
      <c r="R920" s="22" t="str">
        <f aca="false">IF(A920="","",N(G920)+N(I920))</f>
        <v/>
      </c>
      <c r="S920" s="23" t="str">
        <f aca="false">IF(OR(K920="",O920=""),"",O920-K920)</f>
        <v/>
      </c>
      <c r="T920" s="23" t="str">
        <f aca="true">IF(AND(C920="Cetak",L920&lt;&gt;"",L920&lt;TODAY()),"YA","")</f>
        <v/>
      </c>
      <c r="U920" s="23" t="str">
        <f aca="false">IF(B920="","",TEXT(B920,"yyyy-mm"))</f>
        <v/>
      </c>
      <c r="V920" s="23" t="str">
        <f aca="false">IF(K920="","",TEXT(K920,"yyyy-mm"))</f>
        <v/>
      </c>
      <c r="W920" s="23" t="n">
        <f aca="false">IF(OR(C920="Cetak",C920="Dikirim",C920="Selesai"),1,0)</f>
        <v>0</v>
      </c>
      <c r="X920" s="23" t="str">
        <f aca="false">IF(F920="","",SUBSTITUTE(SUBSTITUTE(MID(UPPER(TRIM(F920)),4,99),"-LED",""),"-TK",""))</f>
        <v/>
      </c>
      <c r="Y920" s="23" t="str">
        <f aca="false">IF(X920="","",(LEN(X920)+1)/7)</f>
        <v/>
      </c>
      <c r="Z920" s="23" t="str">
        <f aca="false">IF(X920="","",LEFT(X920,6))</f>
        <v/>
      </c>
      <c r="AA920" s="23" t="str">
        <f aca="false">IF(X920="","",IF(Y920&gt;=3,MID(X920,8,6),""))</f>
        <v/>
      </c>
      <c r="AB920" s="23" t="str">
        <f aca="false">IF(X920="","",IF(Y920&gt;=4,MID(X920,15,6),""))</f>
        <v/>
      </c>
      <c r="AC920" s="23" t="str">
        <f aca="false">IF(X920="","",IF(Y920&gt;=5,MID(X920,22,6),""))</f>
        <v/>
      </c>
      <c r="AD920" s="23" t="str">
        <f aca="false">IF(X920="","",RIGHT(X920,6))</f>
        <v/>
      </c>
      <c r="AE920" s="23" t="str">
        <f aca="false">IF(F920="","",IF(ISNUMBER(SEARCH("-TK",UPPER(F920))),0,1))</f>
        <v/>
      </c>
      <c r="AF920" s="23" t="str">
        <f aca="false">IF(F920="","",IF(ISNUMBER(SEARCH("-LED",UPPER(F920))),1,0))</f>
        <v/>
      </c>
      <c r="AG920" s="24" t="n">
        <f aca="false">IF(Z920="",0,IFERROR(INDEX(Resep!$C$5:$C$7,MATCH(LEFT(Z920,3),Resep!$B$5:$B$7,0)),0))</f>
        <v>0</v>
      </c>
      <c r="AH920" s="24" t="n">
        <f aca="false">IF(AA920="",0,IFERROR(INDEX(Resep!$C$9:$C$13,MATCH(LEFT(AA920,3),Resep!$B$9:$B$13,0)),0))</f>
        <v>0</v>
      </c>
      <c r="AI920" s="24" t="n">
        <f aca="false">IF(AB920="",0,IFERROR(INDEX(Resep!$C$9:$C$13,MATCH(LEFT(AB920,3),Resep!$B$9:$B$13,0)),0))</f>
        <v>0</v>
      </c>
      <c r="AJ920" s="24" t="n">
        <f aca="false">IF(AC920="",0,IFERROR(INDEX(Resep!$C$9:$C$13,MATCH(LEFT(AC920,3),Resep!$B$9:$B$13,0)),0))</f>
        <v>0</v>
      </c>
      <c r="AK920" s="24" t="n">
        <f aca="false">IF(AD920="",0,IFERROR(INDEX(Resep!$C$15:$C$18,MATCH(LEFT(AD920,3),Resep!$B$15:$B$18,0)),0))</f>
        <v>0</v>
      </c>
      <c r="AL920" s="24" t="str">
        <f aca="false">IF(X920="","",AG920+AH920+AI920+AJ920+AK920)</f>
        <v/>
      </c>
      <c r="AM920" s="22" t="str">
        <f aca="false">IF(X920="","",AL920*(Pengaturan!$B$6+Pengaturan!$B$7)+Pengaturan!$B$8+AE920*Pengaturan!$B$9+AF920*Pengaturan!$B$10)</f>
        <v/>
      </c>
      <c r="AN920" s="22" t="str">
        <f aca="false">IF(X920="","",N(G920)-AM920)</f>
        <v/>
      </c>
      <c r="AO920" s="25" t="str">
        <f aca="false">IF(OR(X920="",N(G920)=0),"",AN920/G920)</f>
        <v/>
      </c>
    </row>
    <row r="921" customFormat="false" ht="15" hidden="false" customHeight="false" outlineLevel="0" collapsed="false">
      <c r="A921" s="19"/>
      <c r="B921" s="20"/>
      <c r="C921" s="19"/>
      <c r="D921" s="19"/>
      <c r="E921" s="19"/>
      <c r="F921" s="19"/>
      <c r="G921" s="21"/>
      <c r="H921" s="19"/>
      <c r="I921" s="21"/>
      <c r="J921" s="19"/>
      <c r="K921" s="20"/>
      <c r="L921" s="20"/>
      <c r="M921" s="19"/>
      <c r="N921" s="19"/>
      <c r="O921" s="20"/>
      <c r="P921" s="20"/>
      <c r="Q921" s="19"/>
      <c r="R921" s="22" t="str">
        <f aca="false">IF(A921="","",N(G921)+N(I921))</f>
        <v/>
      </c>
      <c r="S921" s="23" t="str">
        <f aca="false">IF(OR(K921="",O921=""),"",O921-K921)</f>
        <v/>
      </c>
      <c r="T921" s="23" t="str">
        <f aca="true">IF(AND(C921="Cetak",L921&lt;&gt;"",L921&lt;TODAY()),"YA","")</f>
        <v/>
      </c>
      <c r="U921" s="23" t="str">
        <f aca="false">IF(B921="","",TEXT(B921,"yyyy-mm"))</f>
        <v/>
      </c>
      <c r="V921" s="23" t="str">
        <f aca="false">IF(K921="","",TEXT(K921,"yyyy-mm"))</f>
        <v/>
      </c>
      <c r="W921" s="23" t="n">
        <f aca="false">IF(OR(C921="Cetak",C921="Dikirim",C921="Selesai"),1,0)</f>
        <v>0</v>
      </c>
      <c r="X921" s="23" t="str">
        <f aca="false">IF(F921="","",SUBSTITUTE(SUBSTITUTE(MID(UPPER(TRIM(F921)),4,99),"-LED",""),"-TK",""))</f>
        <v/>
      </c>
      <c r="Y921" s="23" t="str">
        <f aca="false">IF(X921="","",(LEN(X921)+1)/7)</f>
        <v/>
      </c>
      <c r="Z921" s="23" t="str">
        <f aca="false">IF(X921="","",LEFT(X921,6))</f>
        <v/>
      </c>
      <c r="AA921" s="23" t="str">
        <f aca="false">IF(X921="","",IF(Y921&gt;=3,MID(X921,8,6),""))</f>
        <v/>
      </c>
      <c r="AB921" s="23" t="str">
        <f aca="false">IF(X921="","",IF(Y921&gt;=4,MID(X921,15,6),""))</f>
        <v/>
      </c>
      <c r="AC921" s="23" t="str">
        <f aca="false">IF(X921="","",IF(Y921&gt;=5,MID(X921,22,6),""))</f>
        <v/>
      </c>
      <c r="AD921" s="23" t="str">
        <f aca="false">IF(X921="","",RIGHT(X921,6))</f>
        <v/>
      </c>
      <c r="AE921" s="23" t="str">
        <f aca="false">IF(F921="","",IF(ISNUMBER(SEARCH("-TK",UPPER(F921))),0,1))</f>
        <v/>
      </c>
      <c r="AF921" s="23" t="str">
        <f aca="false">IF(F921="","",IF(ISNUMBER(SEARCH("-LED",UPPER(F921))),1,0))</f>
        <v/>
      </c>
      <c r="AG921" s="24" t="n">
        <f aca="false">IF(Z921="",0,IFERROR(INDEX(Resep!$C$5:$C$7,MATCH(LEFT(Z921,3),Resep!$B$5:$B$7,0)),0))</f>
        <v>0</v>
      </c>
      <c r="AH921" s="24" t="n">
        <f aca="false">IF(AA921="",0,IFERROR(INDEX(Resep!$C$9:$C$13,MATCH(LEFT(AA921,3),Resep!$B$9:$B$13,0)),0))</f>
        <v>0</v>
      </c>
      <c r="AI921" s="24" t="n">
        <f aca="false">IF(AB921="",0,IFERROR(INDEX(Resep!$C$9:$C$13,MATCH(LEFT(AB921,3),Resep!$B$9:$B$13,0)),0))</f>
        <v>0</v>
      </c>
      <c r="AJ921" s="24" t="n">
        <f aca="false">IF(AC921="",0,IFERROR(INDEX(Resep!$C$9:$C$13,MATCH(LEFT(AC921,3),Resep!$B$9:$B$13,0)),0))</f>
        <v>0</v>
      </c>
      <c r="AK921" s="24" t="n">
        <f aca="false">IF(AD921="",0,IFERROR(INDEX(Resep!$C$15:$C$18,MATCH(LEFT(AD921,3),Resep!$B$15:$B$18,0)),0))</f>
        <v>0</v>
      </c>
      <c r="AL921" s="24" t="str">
        <f aca="false">IF(X921="","",AG921+AH921+AI921+AJ921+AK921)</f>
        <v/>
      </c>
      <c r="AM921" s="22" t="str">
        <f aca="false">IF(X921="","",AL921*(Pengaturan!$B$6+Pengaturan!$B$7)+Pengaturan!$B$8+AE921*Pengaturan!$B$9+AF921*Pengaturan!$B$10)</f>
        <v/>
      </c>
      <c r="AN921" s="22" t="str">
        <f aca="false">IF(X921="","",N(G921)-AM921)</f>
        <v/>
      </c>
      <c r="AO921" s="25" t="str">
        <f aca="false">IF(OR(X921="",N(G921)=0),"",AN921/G921)</f>
        <v/>
      </c>
    </row>
    <row r="922" customFormat="false" ht="15" hidden="false" customHeight="false" outlineLevel="0" collapsed="false">
      <c r="A922" s="19"/>
      <c r="B922" s="20"/>
      <c r="C922" s="19"/>
      <c r="D922" s="19"/>
      <c r="E922" s="19"/>
      <c r="F922" s="19"/>
      <c r="G922" s="21"/>
      <c r="H922" s="19"/>
      <c r="I922" s="21"/>
      <c r="J922" s="19"/>
      <c r="K922" s="20"/>
      <c r="L922" s="20"/>
      <c r="M922" s="19"/>
      <c r="N922" s="19"/>
      <c r="O922" s="20"/>
      <c r="P922" s="20"/>
      <c r="Q922" s="19"/>
      <c r="R922" s="22" t="str">
        <f aca="false">IF(A922="","",N(G922)+N(I922))</f>
        <v/>
      </c>
      <c r="S922" s="23" t="str">
        <f aca="false">IF(OR(K922="",O922=""),"",O922-K922)</f>
        <v/>
      </c>
      <c r="T922" s="23" t="str">
        <f aca="true">IF(AND(C922="Cetak",L922&lt;&gt;"",L922&lt;TODAY()),"YA","")</f>
        <v/>
      </c>
      <c r="U922" s="23" t="str">
        <f aca="false">IF(B922="","",TEXT(B922,"yyyy-mm"))</f>
        <v/>
      </c>
      <c r="V922" s="23" t="str">
        <f aca="false">IF(K922="","",TEXT(K922,"yyyy-mm"))</f>
        <v/>
      </c>
      <c r="W922" s="23" t="n">
        <f aca="false">IF(OR(C922="Cetak",C922="Dikirim",C922="Selesai"),1,0)</f>
        <v>0</v>
      </c>
      <c r="X922" s="23" t="str">
        <f aca="false">IF(F922="","",SUBSTITUTE(SUBSTITUTE(MID(UPPER(TRIM(F922)),4,99),"-LED",""),"-TK",""))</f>
        <v/>
      </c>
      <c r="Y922" s="23" t="str">
        <f aca="false">IF(X922="","",(LEN(X922)+1)/7)</f>
        <v/>
      </c>
      <c r="Z922" s="23" t="str">
        <f aca="false">IF(X922="","",LEFT(X922,6))</f>
        <v/>
      </c>
      <c r="AA922" s="23" t="str">
        <f aca="false">IF(X922="","",IF(Y922&gt;=3,MID(X922,8,6),""))</f>
        <v/>
      </c>
      <c r="AB922" s="23" t="str">
        <f aca="false">IF(X922="","",IF(Y922&gt;=4,MID(X922,15,6),""))</f>
        <v/>
      </c>
      <c r="AC922" s="23" t="str">
        <f aca="false">IF(X922="","",IF(Y922&gt;=5,MID(X922,22,6),""))</f>
        <v/>
      </c>
      <c r="AD922" s="23" t="str">
        <f aca="false">IF(X922="","",RIGHT(X922,6))</f>
        <v/>
      </c>
      <c r="AE922" s="23" t="str">
        <f aca="false">IF(F922="","",IF(ISNUMBER(SEARCH("-TK",UPPER(F922))),0,1))</f>
        <v/>
      </c>
      <c r="AF922" s="23" t="str">
        <f aca="false">IF(F922="","",IF(ISNUMBER(SEARCH("-LED",UPPER(F922))),1,0))</f>
        <v/>
      </c>
      <c r="AG922" s="24" t="n">
        <f aca="false">IF(Z922="",0,IFERROR(INDEX(Resep!$C$5:$C$7,MATCH(LEFT(Z922,3),Resep!$B$5:$B$7,0)),0))</f>
        <v>0</v>
      </c>
      <c r="AH922" s="24" t="n">
        <f aca="false">IF(AA922="",0,IFERROR(INDEX(Resep!$C$9:$C$13,MATCH(LEFT(AA922,3),Resep!$B$9:$B$13,0)),0))</f>
        <v>0</v>
      </c>
      <c r="AI922" s="24" t="n">
        <f aca="false">IF(AB922="",0,IFERROR(INDEX(Resep!$C$9:$C$13,MATCH(LEFT(AB922,3),Resep!$B$9:$B$13,0)),0))</f>
        <v>0</v>
      </c>
      <c r="AJ922" s="24" t="n">
        <f aca="false">IF(AC922="",0,IFERROR(INDEX(Resep!$C$9:$C$13,MATCH(LEFT(AC922,3),Resep!$B$9:$B$13,0)),0))</f>
        <v>0</v>
      </c>
      <c r="AK922" s="24" t="n">
        <f aca="false">IF(AD922="",0,IFERROR(INDEX(Resep!$C$15:$C$18,MATCH(LEFT(AD922,3),Resep!$B$15:$B$18,0)),0))</f>
        <v>0</v>
      </c>
      <c r="AL922" s="24" t="str">
        <f aca="false">IF(X922="","",AG922+AH922+AI922+AJ922+AK922)</f>
        <v/>
      </c>
      <c r="AM922" s="22" t="str">
        <f aca="false">IF(X922="","",AL922*(Pengaturan!$B$6+Pengaturan!$B$7)+Pengaturan!$B$8+AE922*Pengaturan!$B$9+AF922*Pengaturan!$B$10)</f>
        <v/>
      </c>
      <c r="AN922" s="22" t="str">
        <f aca="false">IF(X922="","",N(G922)-AM922)</f>
        <v/>
      </c>
      <c r="AO922" s="25" t="str">
        <f aca="false">IF(OR(X922="",N(G922)=0),"",AN922/G922)</f>
        <v/>
      </c>
    </row>
    <row r="923" customFormat="false" ht="15" hidden="false" customHeight="false" outlineLevel="0" collapsed="false">
      <c r="A923" s="19"/>
      <c r="B923" s="20"/>
      <c r="C923" s="19"/>
      <c r="D923" s="19"/>
      <c r="E923" s="19"/>
      <c r="F923" s="19"/>
      <c r="G923" s="21"/>
      <c r="H923" s="19"/>
      <c r="I923" s="21"/>
      <c r="J923" s="19"/>
      <c r="K923" s="20"/>
      <c r="L923" s="20"/>
      <c r="M923" s="19"/>
      <c r="N923" s="19"/>
      <c r="O923" s="20"/>
      <c r="P923" s="20"/>
      <c r="Q923" s="19"/>
      <c r="R923" s="22" t="str">
        <f aca="false">IF(A923="","",N(G923)+N(I923))</f>
        <v/>
      </c>
      <c r="S923" s="23" t="str">
        <f aca="false">IF(OR(K923="",O923=""),"",O923-K923)</f>
        <v/>
      </c>
      <c r="T923" s="23" t="str">
        <f aca="true">IF(AND(C923="Cetak",L923&lt;&gt;"",L923&lt;TODAY()),"YA","")</f>
        <v/>
      </c>
      <c r="U923" s="23" t="str">
        <f aca="false">IF(B923="","",TEXT(B923,"yyyy-mm"))</f>
        <v/>
      </c>
      <c r="V923" s="23" t="str">
        <f aca="false">IF(K923="","",TEXT(K923,"yyyy-mm"))</f>
        <v/>
      </c>
      <c r="W923" s="23" t="n">
        <f aca="false">IF(OR(C923="Cetak",C923="Dikirim",C923="Selesai"),1,0)</f>
        <v>0</v>
      </c>
      <c r="X923" s="23" t="str">
        <f aca="false">IF(F923="","",SUBSTITUTE(SUBSTITUTE(MID(UPPER(TRIM(F923)),4,99),"-LED",""),"-TK",""))</f>
        <v/>
      </c>
      <c r="Y923" s="23" t="str">
        <f aca="false">IF(X923="","",(LEN(X923)+1)/7)</f>
        <v/>
      </c>
      <c r="Z923" s="23" t="str">
        <f aca="false">IF(X923="","",LEFT(X923,6))</f>
        <v/>
      </c>
      <c r="AA923" s="23" t="str">
        <f aca="false">IF(X923="","",IF(Y923&gt;=3,MID(X923,8,6),""))</f>
        <v/>
      </c>
      <c r="AB923" s="23" t="str">
        <f aca="false">IF(X923="","",IF(Y923&gt;=4,MID(X923,15,6),""))</f>
        <v/>
      </c>
      <c r="AC923" s="23" t="str">
        <f aca="false">IF(X923="","",IF(Y923&gt;=5,MID(X923,22,6),""))</f>
        <v/>
      </c>
      <c r="AD923" s="23" t="str">
        <f aca="false">IF(X923="","",RIGHT(X923,6))</f>
        <v/>
      </c>
      <c r="AE923" s="23" t="str">
        <f aca="false">IF(F923="","",IF(ISNUMBER(SEARCH("-TK",UPPER(F923))),0,1))</f>
        <v/>
      </c>
      <c r="AF923" s="23" t="str">
        <f aca="false">IF(F923="","",IF(ISNUMBER(SEARCH("-LED",UPPER(F923))),1,0))</f>
        <v/>
      </c>
      <c r="AG923" s="24" t="n">
        <f aca="false">IF(Z923="",0,IFERROR(INDEX(Resep!$C$5:$C$7,MATCH(LEFT(Z923,3),Resep!$B$5:$B$7,0)),0))</f>
        <v>0</v>
      </c>
      <c r="AH923" s="24" t="n">
        <f aca="false">IF(AA923="",0,IFERROR(INDEX(Resep!$C$9:$C$13,MATCH(LEFT(AA923,3),Resep!$B$9:$B$13,0)),0))</f>
        <v>0</v>
      </c>
      <c r="AI923" s="24" t="n">
        <f aca="false">IF(AB923="",0,IFERROR(INDEX(Resep!$C$9:$C$13,MATCH(LEFT(AB923,3),Resep!$B$9:$B$13,0)),0))</f>
        <v>0</v>
      </c>
      <c r="AJ923" s="24" t="n">
        <f aca="false">IF(AC923="",0,IFERROR(INDEX(Resep!$C$9:$C$13,MATCH(LEFT(AC923,3),Resep!$B$9:$B$13,0)),0))</f>
        <v>0</v>
      </c>
      <c r="AK923" s="24" t="n">
        <f aca="false">IF(AD923="",0,IFERROR(INDEX(Resep!$C$15:$C$18,MATCH(LEFT(AD923,3),Resep!$B$15:$B$18,0)),0))</f>
        <v>0</v>
      </c>
      <c r="AL923" s="24" t="str">
        <f aca="false">IF(X923="","",AG923+AH923+AI923+AJ923+AK923)</f>
        <v/>
      </c>
      <c r="AM923" s="22" t="str">
        <f aca="false">IF(X923="","",AL923*(Pengaturan!$B$6+Pengaturan!$B$7)+Pengaturan!$B$8+AE923*Pengaturan!$B$9+AF923*Pengaturan!$B$10)</f>
        <v/>
      </c>
      <c r="AN923" s="22" t="str">
        <f aca="false">IF(X923="","",N(G923)-AM923)</f>
        <v/>
      </c>
      <c r="AO923" s="25" t="str">
        <f aca="false">IF(OR(X923="",N(G923)=0),"",AN923/G923)</f>
        <v/>
      </c>
    </row>
    <row r="924" customFormat="false" ht="15" hidden="false" customHeight="false" outlineLevel="0" collapsed="false">
      <c r="A924" s="19"/>
      <c r="B924" s="20"/>
      <c r="C924" s="19"/>
      <c r="D924" s="19"/>
      <c r="E924" s="19"/>
      <c r="F924" s="19"/>
      <c r="G924" s="21"/>
      <c r="H924" s="19"/>
      <c r="I924" s="21"/>
      <c r="J924" s="19"/>
      <c r="K924" s="20"/>
      <c r="L924" s="20"/>
      <c r="M924" s="19"/>
      <c r="N924" s="19"/>
      <c r="O924" s="20"/>
      <c r="P924" s="20"/>
      <c r="Q924" s="19"/>
      <c r="R924" s="22" t="str">
        <f aca="false">IF(A924="","",N(G924)+N(I924))</f>
        <v/>
      </c>
      <c r="S924" s="23" t="str">
        <f aca="false">IF(OR(K924="",O924=""),"",O924-K924)</f>
        <v/>
      </c>
      <c r="T924" s="23" t="str">
        <f aca="true">IF(AND(C924="Cetak",L924&lt;&gt;"",L924&lt;TODAY()),"YA","")</f>
        <v/>
      </c>
      <c r="U924" s="23" t="str">
        <f aca="false">IF(B924="","",TEXT(B924,"yyyy-mm"))</f>
        <v/>
      </c>
      <c r="V924" s="23" t="str">
        <f aca="false">IF(K924="","",TEXT(K924,"yyyy-mm"))</f>
        <v/>
      </c>
      <c r="W924" s="23" t="n">
        <f aca="false">IF(OR(C924="Cetak",C924="Dikirim",C924="Selesai"),1,0)</f>
        <v>0</v>
      </c>
      <c r="X924" s="23" t="str">
        <f aca="false">IF(F924="","",SUBSTITUTE(SUBSTITUTE(MID(UPPER(TRIM(F924)),4,99),"-LED",""),"-TK",""))</f>
        <v/>
      </c>
      <c r="Y924" s="23" t="str">
        <f aca="false">IF(X924="","",(LEN(X924)+1)/7)</f>
        <v/>
      </c>
      <c r="Z924" s="23" t="str">
        <f aca="false">IF(X924="","",LEFT(X924,6))</f>
        <v/>
      </c>
      <c r="AA924" s="23" t="str">
        <f aca="false">IF(X924="","",IF(Y924&gt;=3,MID(X924,8,6),""))</f>
        <v/>
      </c>
      <c r="AB924" s="23" t="str">
        <f aca="false">IF(X924="","",IF(Y924&gt;=4,MID(X924,15,6),""))</f>
        <v/>
      </c>
      <c r="AC924" s="23" t="str">
        <f aca="false">IF(X924="","",IF(Y924&gt;=5,MID(X924,22,6),""))</f>
        <v/>
      </c>
      <c r="AD924" s="23" t="str">
        <f aca="false">IF(X924="","",RIGHT(X924,6))</f>
        <v/>
      </c>
      <c r="AE924" s="23" t="str">
        <f aca="false">IF(F924="","",IF(ISNUMBER(SEARCH("-TK",UPPER(F924))),0,1))</f>
        <v/>
      </c>
      <c r="AF924" s="23" t="str">
        <f aca="false">IF(F924="","",IF(ISNUMBER(SEARCH("-LED",UPPER(F924))),1,0))</f>
        <v/>
      </c>
      <c r="AG924" s="24" t="n">
        <f aca="false">IF(Z924="",0,IFERROR(INDEX(Resep!$C$5:$C$7,MATCH(LEFT(Z924,3),Resep!$B$5:$B$7,0)),0))</f>
        <v>0</v>
      </c>
      <c r="AH924" s="24" t="n">
        <f aca="false">IF(AA924="",0,IFERROR(INDEX(Resep!$C$9:$C$13,MATCH(LEFT(AA924,3),Resep!$B$9:$B$13,0)),0))</f>
        <v>0</v>
      </c>
      <c r="AI924" s="24" t="n">
        <f aca="false">IF(AB924="",0,IFERROR(INDEX(Resep!$C$9:$C$13,MATCH(LEFT(AB924,3),Resep!$B$9:$B$13,0)),0))</f>
        <v>0</v>
      </c>
      <c r="AJ924" s="24" t="n">
        <f aca="false">IF(AC924="",0,IFERROR(INDEX(Resep!$C$9:$C$13,MATCH(LEFT(AC924,3),Resep!$B$9:$B$13,0)),0))</f>
        <v>0</v>
      </c>
      <c r="AK924" s="24" t="n">
        <f aca="false">IF(AD924="",0,IFERROR(INDEX(Resep!$C$15:$C$18,MATCH(LEFT(AD924,3),Resep!$B$15:$B$18,0)),0))</f>
        <v>0</v>
      </c>
      <c r="AL924" s="24" t="str">
        <f aca="false">IF(X924="","",AG924+AH924+AI924+AJ924+AK924)</f>
        <v/>
      </c>
      <c r="AM924" s="22" t="str">
        <f aca="false">IF(X924="","",AL924*(Pengaturan!$B$6+Pengaturan!$B$7)+Pengaturan!$B$8+AE924*Pengaturan!$B$9+AF924*Pengaturan!$B$10)</f>
        <v/>
      </c>
      <c r="AN924" s="22" t="str">
        <f aca="false">IF(X924="","",N(G924)-AM924)</f>
        <v/>
      </c>
      <c r="AO924" s="25" t="str">
        <f aca="false">IF(OR(X924="",N(G924)=0),"",AN924/G924)</f>
        <v/>
      </c>
    </row>
    <row r="925" customFormat="false" ht="15" hidden="false" customHeight="false" outlineLevel="0" collapsed="false">
      <c r="A925" s="19"/>
      <c r="B925" s="20"/>
      <c r="C925" s="19"/>
      <c r="D925" s="19"/>
      <c r="E925" s="19"/>
      <c r="F925" s="19"/>
      <c r="G925" s="21"/>
      <c r="H925" s="19"/>
      <c r="I925" s="21"/>
      <c r="J925" s="19"/>
      <c r="K925" s="20"/>
      <c r="L925" s="20"/>
      <c r="M925" s="19"/>
      <c r="N925" s="19"/>
      <c r="O925" s="20"/>
      <c r="P925" s="20"/>
      <c r="Q925" s="19"/>
      <c r="R925" s="22" t="str">
        <f aca="false">IF(A925="","",N(G925)+N(I925))</f>
        <v/>
      </c>
      <c r="S925" s="23" t="str">
        <f aca="false">IF(OR(K925="",O925=""),"",O925-K925)</f>
        <v/>
      </c>
      <c r="T925" s="23" t="str">
        <f aca="true">IF(AND(C925="Cetak",L925&lt;&gt;"",L925&lt;TODAY()),"YA","")</f>
        <v/>
      </c>
      <c r="U925" s="23" t="str">
        <f aca="false">IF(B925="","",TEXT(B925,"yyyy-mm"))</f>
        <v/>
      </c>
      <c r="V925" s="23" t="str">
        <f aca="false">IF(K925="","",TEXT(K925,"yyyy-mm"))</f>
        <v/>
      </c>
      <c r="W925" s="23" t="n">
        <f aca="false">IF(OR(C925="Cetak",C925="Dikirim",C925="Selesai"),1,0)</f>
        <v>0</v>
      </c>
      <c r="X925" s="23" t="str">
        <f aca="false">IF(F925="","",SUBSTITUTE(SUBSTITUTE(MID(UPPER(TRIM(F925)),4,99),"-LED",""),"-TK",""))</f>
        <v/>
      </c>
      <c r="Y925" s="23" t="str">
        <f aca="false">IF(X925="","",(LEN(X925)+1)/7)</f>
        <v/>
      </c>
      <c r="Z925" s="23" t="str">
        <f aca="false">IF(X925="","",LEFT(X925,6))</f>
        <v/>
      </c>
      <c r="AA925" s="23" t="str">
        <f aca="false">IF(X925="","",IF(Y925&gt;=3,MID(X925,8,6),""))</f>
        <v/>
      </c>
      <c r="AB925" s="23" t="str">
        <f aca="false">IF(X925="","",IF(Y925&gt;=4,MID(X925,15,6),""))</f>
        <v/>
      </c>
      <c r="AC925" s="23" t="str">
        <f aca="false">IF(X925="","",IF(Y925&gt;=5,MID(X925,22,6),""))</f>
        <v/>
      </c>
      <c r="AD925" s="23" t="str">
        <f aca="false">IF(X925="","",RIGHT(X925,6))</f>
        <v/>
      </c>
      <c r="AE925" s="23" t="str">
        <f aca="false">IF(F925="","",IF(ISNUMBER(SEARCH("-TK",UPPER(F925))),0,1))</f>
        <v/>
      </c>
      <c r="AF925" s="23" t="str">
        <f aca="false">IF(F925="","",IF(ISNUMBER(SEARCH("-LED",UPPER(F925))),1,0))</f>
        <v/>
      </c>
      <c r="AG925" s="24" t="n">
        <f aca="false">IF(Z925="",0,IFERROR(INDEX(Resep!$C$5:$C$7,MATCH(LEFT(Z925,3),Resep!$B$5:$B$7,0)),0))</f>
        <v>0</v>
      </c>
      <c r="AH925" s="24" t="n">
        <f aca="false">IF(AA925="",0,IFERROR(INDEX(Resep!$C$9:$C$13,MATCH(LEFT(AA925,3),Resep!$B$9:$B$13,0)),0))</f>
        <v>0</v>
      </c>
      <c r="AI925" s="24" t="n">
        <f aca="false">IF(AB925="",0,IFERROR(INDEX(Resep!$C$9:$C$13,MATCH(LEFT(AB925,3),Resep!$B$9:$B$13,0)),0))</f>
        <v>0</v>
      </c>
      <c r="AJ925" s="24" t="n">
        <f aca="false">IF(AC925="",0,IFERROR(INDEX(Resep!$C$9:$C$13,MATCH(LEFT(AC925,3),Resep!$B$9:$B$13,0)),0))</f>
        <v>0</v>
      </c>
      <c r="AK925" s="24" t="n">
        <f aca="false">IF(AD925="",0,IFERROR(INDEX(Resep!$C$15:$C$18,MATCH(LEFT(AD925,3),Resep!$B$15:$B$18,0)),0))</f>
        <v>0</v>
      </c>
      <c r="AL925" s="24" t="str">
        <f aca="false">IF(X925="","",AG925+AH925+AI925+AJ925+AK925)</f>
        <v/>
      </c>
      <c r="AM925" s="22" t="str">
        <f aca="false">IF(X925="","",AL925*(Pengaturan!$B$6+Pengaturan!$B$7)+Pengaturan!$B$8+AE925*Pengaturan!$B$9+AF925*Pengaturan!$B$10)</f>
        <v/>
      </c>
      <c r="AN925" s="22" t="str">
        <f aca="false">IF(X925="","",N(G925)-AM925)</f>
        <v/>
      </c>
      <c r="AO925" s="25" t="str">
        <f aca="false">IF(OR(X925="",N(G925)=0),"",AN925/G925)</f>
        <v/>
      </c>
    </row>
    <row r="926" customFormat="false" ht="15" hidden="false" customHeight="false" outlineLevel="0" collapsed="false">
      <c r="A926" s="19"/>
      <c r="B926" s="20"/>
      <c r="C926" s="19"/>
      <c r="D926" s="19"/>
      <c r="E926" s="19"/>
      <c r="F926" s="19"/>
      <c r="G926" s="21"/>
      <c r="H926" s="19"/>
      <c r="I926" s="21"/>
      <c r="J926" s="19"/>
      <c r="K926" s="20"/>
      <c r="L926" s="20"/>
      <c r="M926" s="19"/>
      <c r="N926" s="19"/>
      <c r="O926" s="20"/>
      <c r="P926" s="20"/>
      <c r="Q926" s="19"/>
      <c r="R926" s="22" t="str">
        <f aca="false">IF(A926="","",N(G926)+N(I926))</f>
        <v/>
      </c>
      <c r="S926" s="23" t="str">
        <f aca="false">IF(OR(K926="",O926=""),"",O926-K926)</f>
        <v/>
      </c>
      <c r="T926" s="23" t="str">
        <f aca="true">IF(AND(C926="Cetak",L926&lt;&gt;"",L926&lt;TODAY()),"YA","")</f>
        <v/>
      </c>
      <c r="U926" s="23" t="str">
        <f aca="false">IF(B926="","",TEXT(B926,"yyyy-mm"))</f>
        <v/>
      </c>
      <c r="V926" s="23" t="str">
        <f aca="false">IF(K926="","",TEXT(K926,"yyyy-mm"))</f>
        <v/>
      </c>
      <c r="W926" s="23" t="n">
        <f aca="false">IF(OR(C926="Cetak",C926="Dikirim",C926="Selesai"),1,0)</f>
        <v>0</v>
      </c>
      <c r="X926" s="23" t="str">
        <f aca="false">IF(F926="","",SUBSTITUTE(SUBSTITUTE(MID(UPPER(TRIM(F926)),4,99),"-LED",""),"-TK",""))</f>
        <v/>
      </c>
      <c r="Y926" s="23" t="str">
        <f aca="false">IF(X926="","",(LEN(X926)+1)/7)</f>
        <v/>
      </c>
      <c r="Z926" s="23" t="str">
        <f aca="false">IF(X926="","",LEFT(X926,6))</f>
        <v/>
      </c>
      <c r="AA926" s="23" t="str">
        <f aca="false">IF(X926="","",IF(Y926&gt;=3,MID(X926,8,6),""))</f>
        <v/>
      </c>
      <c r="AB926" s="23" t="str">
        <f aca="false">IF(X926="","",IF(Y926&gt;=4,MID(X926,15,6),""))</f>
        <v/>
      </c>
      <c r="AC926" s="23" t="str">
        <f aca="false">IF(X926="","",IF(Y926&gt;=5,MID(X926,22,6),""))</f>
        <v/>
      </c>
      <c r="AD926" s="23" t="str">
        <f aca="false">IF(X926="","",RIGHT(X926,6))</f>
        <v/>
      </c>
      <c r="AE926" s="23" t="str">
        <f aca="false">IF(F926="","",IF(ISNUMBER(SEARCH("-TK",UPPER(F926))),0,1))</f>
        <v/>
      </c>
      <c r="AF926" s="23" t="str">
        <f aca="false">IF(F926="","",IF(ISNUMBER(SEARCH("-LED",UPPER(F926))),1,0))</f>
        <v/>
      </c>
      <c r="AG926" s="24" t="n">
        <f aca="false">IF(Z926="",0,IFERROR(INDEX(Resep!$C$5:$C$7,MATCH(LEFT(Z926,3),Resep!$B$5:$B$7,0)),0))</f>
        <v>0</v>
      </c>
      <c r="AH926" s="24" t="n">
        <f aca="false">IF(AA926="",0,IFERROR(INDEX(Resep!$C$9:$C$13,MATCH(LEFT(AA926,3),Resep!$B$9:$B$13,0)),0))</f>
        <v>0</v>
      </c>
      <c r="AI926" s="24" t="n">
        <f aca="false">IF(AB926="",0,IFERROR(INDEX(Resep!$C$9:$C$13,MATCH(LEFT(AB926,3),Resep!$B$9:$B$13,0)),0))</f>
        <v>0</v>
      </c>
      <c r="AJ926" s="24" t="n">
        <f aca="false">IF(AC926="",0,IFERROR(INDEX(Resep!$C$9:$C$13,MATCH(LEFT(AC926,3),Resep!$B$9:$B$13,0)),0))</f>
        <v>0</v>
      </c>
      <c r="AK926" s="24" t="n">
        <f aca="false">IF(AD926="",0,IFERROR(INDEX(Resep!$C$15:$C$18,MATCH(LEFT(AD926,3),Resep!$B$15:$B$18,0)),0))</f>
        <v>0</v>
      </c>
      <c r="AL926" s="24" t="str">
        <f aca="false">IF(X926="","",AG926+AH926+AI926+AJ926+AK926)</f>
        <v/>
      </c>
      <c r="AM926" s="22" t="str">
        <f aca="false">IF(X926="","",AL926*(Pengaturan!$B$6+Pengaturan!$B$7)+Pengaturan!$B$8+AE926*Pengaturan!$B$9+AF926*Pengaturan!$B$10)</f>
        <v/>
      </c>
      <c r="AN926" s="22" t="str">
        <f aca="false">IF(X926="","",N(G926)-AM926)</f>
        <v/>
      </c>
      <c r="AO926" s="25" t="str">
        <f aca="false">IF(OR(X926="",N(G926)=0),"",AN926/G926)</f>
        <v/>
      </c>
    </row>
    <row r="927" customFormat="false" ht="15" hidden="false" customHeight="false" outlineLevel="0" collapsed="false">
      <c r="A927" s="19"/>
      <c r="B927" s="20"/>
      <c r="C927" s="19"/>
      <c r="D927" s="19"/>
      <c r="E927" s="19"/>
      <c r="F927" s="19"/>
      <c r="G927" s="21"/>
      <c r="H927" s="19"/>
      <c r="I927" s="21"/>
      <c r="J927" s="19"/>
      <c r="K927" s="20"/>
      <c r="L927" s="20"/>
      <c r="M927" s="19"/>
      <c r="N927" s="19"/>
      <c r="O927" s="20"/>
      <c r="P927" s="20"/>
      <c r="Q927" s="19"/>
      <c r="R927" s="22" t="str">
        <f aca="false">IF(A927="","",N(G927)+N(I927))</f>
        <v/>
      </c>
      <c r="S927" s="23" t="str">
        <f aca="false">IF(OR(K927="",O927=""),"",O927-K927)</f>
        <v/>
      </c>
      <c r="T927" s="23" t="str">
        <f aca="true">IF(AND(C927="Cetak",L927&lt;&gt;"",L927&lt;TODAY()),"YA","")</f>
        <v/>
      </c>
      <c r="U927" s="23" t="str">
        <f aca="false">IF(B927="","",TEXT(B927,"yyyy-mm"))</f>
        <v/>
      </c>
      <c r="V927" s="23" t="str">
        <f aca="false">IF(K927="","",TEXT(K927,"yyyy-mm"))</f>
        <v/>
      </c>
      <c r="W927" s="23" t="n">
        <f aca="false">IF(OR(C927="Cetak",C927="Dikirim",C927="Selesai"),1,0)</f>
        <v>0</v>
      </c>
      <c r="X927" s="23" t="str">
        <f aca="false">IF(F927="","",SUBSTITUTE(SUBSTITUTE(MID(UPPER(TRIM(F927)),4,99),"-LED",""),"-TK",""))</f>
        <v/>
      </c>
      <c r="Y927" s="23" t="str">
        <f aca="false">IF(X927="","",(LEN(X927)+1)/7)</f>
        <v/>
      </c>
      <c r="Z927" s="23" t="str">
        <f aca="false">IF(X927="","",LEFT(X927,6))</f>
        <v/>
      </c>
      <c r="AA927" s="23" t="str">
        <f aca="false">IF(X927="","",IF(Y927&gt;=3,MID(X927,8,6),""))</f>
        <v/>
      </c>
      <c r="AB927" s="23" t="str">
        <f aca="false">IF(X927="","",IF(Y927&gt;=4,MID(X927,15,6),""))</f>
        <v/>
      </c>
      <c r="AC927" s="23" t="str">
        <f aca="false">IF(X927="","",IF(Y927&gt;=5,MID(X927,22,6),""))</f>
        <v/>
      </c>
      <c r="AD927" s="23" t="str">
        <f aca="false">IF(X927="","",RIGHT(X927,6))</f>
        <v/>
      </c>
      <c r="AE927" s="23" t="str">
        <f aca="false">IF(F927="","",IF(ISNUMBER(SEARCH("-TK",UPPER(F927))),0,1))</f>
        <v/>
      </c>
      <c r="AF927" s="23" t="str">
        <f aca="false">IF(F927="","",IF(ISNUMBER(SEARCH("-LED",UPPER(F927))),1,0))</f>
        <v/>
      </c>
      <c r="AG927" s="24" t="n">
        <f aca="false">IF(Z927="",0,IFERROR(INDEX(Resep!$C$5:$C$7,MATCH(LEFT(Z927,3),Resep!$B$5:$B$7,0)),0))</f>
        <v>0</v>
      </c>
      <c r="AH927" s="24" t="n">
        <f aca="false">IF(AA927="",0,IFERROR(INDEX(Resep!$C$9:$C$13,MATCH(LEFT(AA927,3),Resep!$B$9:$B$13,0)),0))</f>
        <v>0</v>
      </c>
      <c r="AI927" s="24" t="n">
        <f aca="false">IF(AB927="",0,IFERROR(INDEX(Resep!$C$9:$C$13,MATCH(LEFT(AB927,3),Resep!$B$9:$B$13,0)),0))</f>
        <v>0</v>
      </c>
      <c r="AJ927" s="24" t="n">
        <f aca="false">IF(AC927="",0,IFERROR(INDEX(Resep!$C$9:$C$13,MATCH(LEFT(AC927,3),Resep!$B$9:$B$13,0)),0))</f>
        <v>0</v>
      </c>
      <c r="AK927" s="24" t="n">
        <f aca="false">IF(AD927="",0,IFERROR(INDEX(Resep!$C$15:$C$18,MATCH(LEFT(AD927,3),Resep!$B$15:$B$18,0)),0))</f>
        <v>0</v>
      </c>
      <c r="AL927" s="24" t="str">
        <f aca="false">IF(X927="","",AG927+AH927+AI927+AJ927+AK927)</f>
        <v/>
      </c>
      <c r="AM927" s="22" t="str">
        <f aca="false">IF(X927="","",AL927*(Pengaturan!$B$6+Pengaturan!$B$7)+Pengaturan!$B$8+AE927*Pengaturan!$B$9+AF927*Pengaturan!$B$10)</f>
        <v/>
      </c>
      <c r="AN927" s="22" t="str">
        <f aca="false">IF(X927="","",N(G927)-AM927)</f>
        <v/>
      </c>
      <c r="AO927" s="25" t="str">
        <f aca="false">IF(OR(X927="",N(G927)=0),"",AN927/G927)</f>
        <v/>
      </c>
    </row>
    <row r="928" customFormat="false" ht="15" hidden="false" customHeight="false" outlineLevel="0" collapsed="false">
      <c r="A928" s="19"/>
      <c r="B928" s="20"/>
      <c r="C928" s="19"/>
      <c r="D928" s="19"/>
      <c r="E928" s="19"/>
      <c r="F928" s="19"/>
      <c r="G928" s="21"/>
      <c r="H928" s="19"/>
      <c r="I928" s="21"/>
      <c r="J928" s="19"/>
      <c r="K928" s="20"/>
      <c r="L928" s="20"/>
      <c r="M928" s="19"/>
      <c r="N928" s="19"/>
      <c r="O928" s="20"/>
      <c r="P928" s="20"/>
      <c r="Q928" s="19"/>
      <c r="R928" s="22" t="str">
        <f aca="false">IF(A928="","",N(G928)+N(I928))</f>
        <v/>
      </c>
      <c r="S928" s="23" t="str">
        <f aca="false">IF(OR(K928="",O928=""),"",O928-K928)</f>
        <v/>
      </c>
      <c r="T928" s="23" t="str">
        <f aca="true">IF(AND(C928="Cetak",L928&lt;&gt;"",L928&lt;TODAY()),"YA","")</f>
        <v/>
      </c>
      <c r="U928" s="23" t="str">
        <f aca="false">IF(B928="","",TEXT(B928,"yyyy-mm"))</f>
        <v/>
      </c>
      <c r="V928" s="23" t="str">
        <f aca="false">IF(K928="","",TEXT(K928,"yyyy-mm"))</f>
        <v/>
      </c>
      <c r="W928" s="23" t="n">
        <f aca="false">IF(OR(C928="Cetak",C928="Dikirim",C928="Selesai"),1,0)</f>
        <v>0</v>
      </c>
      <c r="X928" s="23" t="str">
        <f aca="false">IF(F928="","",SUBSTITUTE(SUBSTITUTE(MID(UPPER(TRIM(F928)),4,99),"-LED",""),"-TK",""))</f>
        <v/>
      </c>
      <c r="Y928" s="23" t="str">
        <f aca="false">IF(X928="","",(LEN(X928)+1)/7)</f>
        <v/>
      </c>
      <c r="Z928" s="23" t="str">
        <f aca="false">IF(X928="","",LEFT(X928,6))</f>
        <v/>
      </c>
      <c r="AA928" s="23" t="str">
        <f aca="false">IF(X928="","",IF(Y928&gt;=3,MID(X928,8,6),""))</f>
        <v/>
      </c>
      <c r="AB928" s="23" t="str">
        <f aca="false">IF(X928="","",IF(Y928&gt;=4,MID(X928,15,6),""))</f>
        <v/>
      </c>
      <c r="AC928" s="23" t="str">
        <f aca="false">IF(X928="","",IF(Y928&gt;=5,MID(X928,22,6),""))</f>
        <v/>
      </c>
      <c r="AD928" s="23" t="str">
        <f aca="false">IF(X928="","",RIGHT(X928,6))</f>
        <v/>
      </c>
      <c r="AE928" s="23" t="str">
        <f aca="false">IF(F928="","",IF(ISNUMBER(SEARCH("-TK",UPPER(F928))),0,1))</f>
        <v/>
      </c>
      <c r="AF928" s="23" t="str">
        <f aca="false">IF(F928="","",IF(ISNUMBER(SEARCH("-LED",UPPER(F928))),1,0))</f>
        <v/>
      </c>
      <c r="AG928" s="24" t="n">
        <f aca="false">IF(Z928="",0,IFERROR(INDEX(Resep!$C$5:$C$7,MATCH(LEFT(Z928,3),Resep!$B$5:$B$7,0)),0))</f>
        <v>0</v>
      </c>
      <c r="AH928" s="24" t="n">
        <f aca="false">IF(AA928="",0,IFERROR(INDEX(Resep!$C$9:$C$13,MATCH(LEFT(AA928,3),Resep!$B$9:$B$13,0)),0))</f>
        <v>0</v>
      </c>
      <c r="AI928" s="24" t="n">
        <f aca="false">IF(AB928="",0,IFERROR(INDEX(Resep!$C$9:$C$13,MATCH(LEFT(AB928,3),Resep!$B$9:$B$13,0)),0))</f>
        <v>0</v>
      </c>
      <c r="AJ928" s="24" t="n">
        <f aca="false">IF(AC928="",0,IFERROR(INDEX(Resep!$C$9:$C$13,MATCH(LEFT(AC928,3),Resep!$B$9:$B$13,0)),0))</f>
        <v>0</v>
      </c>
      <c r="AK928" s="24" t="n">
        <f aca="false">IF(AD928="",0,IFERROR(INDEX(Resep!$C$15:$C$18,MATCH(LEFT(AD928,3),Resep!$B$15:$B$18,0)),0))</f>
        <v>0</v>
      </c>
      <c r="AL928" s="24" t="str">
        <f aca="false">IF(X928="","",AG928+AH928+AI928+AJ928+AK928)</f>
        <v/>
      </c>
      <c r="AM928" s="22" t="str">
        <f aca="false">IF(X928="","",AL928*(Pengaturan!$B$6+Pengaturan!$B$7)+Pengaturan!$B$8+AE928*Pengaturan!$B$9+AF928*Pengaturan!$B$10)</f>
        <v/>
      </c>
      <c r="AN928" s="22" t="str">
        <f aca="false">IF(X928="","",N(G928)-AM928)</f>
        <v/>
      </c>
      <c r="AO928" s="25" t="str">
        <f aca="false">IF(OR(X928="",N(G928)=0),"",AN928/G928)</f>
        <v/>
      </c>
    </row>
    <row r="929" customFormat="false" ht="15" hidden="false" customHeight="false" outlineLevel="0" collapsed="false">
      <c r="A929" s="19"/>
      <c r="B929" s="20"/>
      <c r="C929" s="19"/>
      <c r="D929" s="19"/>
      <c r="E929" s="19"/>
      <c r="F929" s="19"/>
      <c r="G929" s="21"/>
      <c r="H929" s="19"/>
      <c r="I929" s="21"/>
      <c r="J929" s="19"/>
      <c r="K929" s="20"/>
      <c r="L929" s="20"/>
      <c r="M929" s="19"/>
      <c r="N929" s="19"/>
      <c r="O929" s="20"/>
      <c r="P929" s="20"/>
      <c r="Q929" s="19"/>
      <c r="R929" s="22" t="str">
        <f aca="false">IF(A929="","",N(G929)+N(I929))</f>
        <v/>
      </c>
      <c r="S929" s="23" t="str">
        <f aca="false">IF(OR(K929="",O929=""),"",O929-K929)</f>
        <v/>
      </c>
      <c r="T929" s="23" t="str">
        <f aca="true">IF(AND(C929="Cetak",L929&lt;&gt;"",L929&lt;TODAY()),"YA","")</f>
        <v/>
      </c>
      <c r="U929" s="23" t="str">
        <f aca="false">IF(B929="","",TEXT(B929,"yyyy-mm"))</f>
        <v/>
      </c>
      <c r="V929" s="23" t="str">
        <f aca="false">IF(K929="","",TEXT(K929,"yyyy-mm"))</f>
        <v/>
      </c>
      <c r="W929" s="23" t="n">
        <f aca="false">IF(OR(C929="Cetak",C929="Dikirim",C929="Selesai"),1,0)</f>
        <v>0</v>
      </c>
      <c r="X929" s="23" t="str">
        <f aca="false">IF(F929="","",SUBSTITUTE(SUBSTITUTE(MID(UPPER(TRIM(F929)),4,99),"-LED",""),"-TK",""))</f>
        <v/>
      </c>
      <c r="Y929" s="23" t="str">
        <f aca="false">IF(X929="","",(LEN(X929)+1)/7)</f>
        <v/>
      </c>
      <c r="Z929" s="23" t="str">
        <f aca="false">IF(X929="","",LEFT(X929,6))</f>
        <v/>
      </c>
      <c r="AA929" s="23" t="str">
        <f aca="false">IF(X929="","",IF(Y929&gt;=3,MID(X929,8,6),""))</f>
        <v/>
      </c>
      <c r="AB929" s="23" t="str">
        <f aca="false">IF(X929="","",IF(Y929&gt;=4,MID(X929,15,6),""))</f>
        <v/>
      </c>
      <c r="AC929" s="23" t="str">
        <f aca="false">IF(X929="","",IF(Y929&gt;=5,MID(X929,22,6),""))</f>
        <v/>
      </c>
      <c r="AD929" s="23" t="str">
        <f aca="false">IF(X929="","",RIGHT(X929,6))</f>
        <v/>
      </c>
      <c r="AE929" s="23" t="str">
        <f aca="false">IF(F929="","",IF(ISNUMBER(SEARCH("-TK",UPPER(F929))),0,1))</f>
        <v/>
      </c>
      <c r="AF929" s="23" t="str">
        <f aca="false">IF(F929="","",IF(ISNUMBER(SEARCH("-LED",UPPER(F929))),1,0))</f>
        <v/>
      </c>
      <c r="AG929" s="24" t="n">
        <f aca="false">IF(Z929="",0,IFERROR(INDEX(Resep!$C$5:$C$7,MATCH(LEFT(Z929,3),Resep!$B$5:$B$7,0)),0))</f>
        <v>0</v>
      </c>
      <c r="AH929" s="24" t="n">
        <f aca="false">IF(AA929="",0,IFERROR(INDEX(Resep!$C$9:$C$13,MATCH(LEFT(AA929,3),Resep!$B$9:$B$13,0)),0))</f>
        <v>0</v>
      </c>
      <c r="AI929" s="24" t="n">
        <f aca="false">IF(AB929="",0,IFERROR(INDEX(Resep!$C$9:$C$13,MATCH(LEFT(AB929,3),Resep!$B$9:$B$13,0)),0))</f>
        <v>0</v>
      </c>
      <c r="AJ929" s="24" t="n">
        <f aca="false">IF(AC929="",0,IFERROR(INDEX(Resep!$C$9:$C$13,MATCH(LEFT(AC929,3),Resep!$B$9:$B$13,0)),0))</f>
        <v>0</v>
      </c>
      <c r="AK929" s="24" t="n">
        <f aca="false">IF(AD929="",0,IFERROR(INDEX(Resep!$C$15:$C$18,MATCH(LEFT(AD929,3),Resep!$B$15:$B$18,0)),0))</f>
        <v>0</v>
      </c>
      <c r="AL929" s="24" t="str">
        <f aca="false">IF(X929="","",AG929+AH929+AI929+AJ929+AK929)</f>
        <v/>
      </c>
      <c r="AM929" s="22" t="str">
        <f aca="false">IF(X929="","",AL929*(Pengaturan!$B$6+Pengaturan!$B$7)+Pengaturan!$B$8+AE929*Pengaturan!$B$9+AF929*Pengaturan!$B$10)</f>
        <v/>
      </c>
      <c r="AN929" s="22" t="str">
        <f aca="false">IF(X929="","",N(G929)-AM929)</f>
        <v/>
      </c>
      <c r="AO929" s="25" t="str">
        <f aca="false">IF(OR(X929="",N(G929)=0),"",AN929/G929)</f>
        <v/>
      </c>
    </row>
    <row r="930" customFormat="false" ht="15" hidden="false" customHeight="false" outlineLevel="0" collapsed="false">
      <c r="A930" s="19"/>
      <c r="B930" s="20"/>
      <c r="C930" s="19"/>
      <c r="D930" s="19"/>
      <c r="E930" s="19"/>
      <c r="F930" s="19"/>
      <c r="G930" s="21"/>
      <c r="H930" s="19"/>
      <c r="I930" s="21"/>
      <c r="J930" s="19"/>
      <c r="K930" s="20"/>
      <c r="L930" s="20"/>
      <c r="M930" s="19"/>
      <c r="N930" s="19"/>
      <c r="O930" s="20"/>
      <c r="P930" s="20"/>
      <c r="Q930" s="19"/>
      <c r="R930" s="22" t="str">
        <f aca="false">IF(A930="","",N(G930)+N(I930))</f>
        <v/>
      </c>
      <c r="S930" s="23" t="str">
        <f aca="false">IF(OR(K930="",O930=""),"",O930-K930)</f>
        <v/>
      </c>
      <c r="T930" s="23" t="str">
        <f aca="true">IF(AND(C930="Cetak",L930&lt;&gt;"",L930&lt;TODAY()),"YA","")</f>
        <v/>
      </c>
      <c r="U930" s="23" t="str">
        <f aca="false">IF(B930="","",TEXT(B930,"yyyy-mm"))</f>
        <v/>
      </c>
      <c r="V930" s="23" t="str">
        <f aca="false">IF(K930="","",TEXT(K930,"yyyy-mm"))</f>
        <v/>
      </c>
      <c r="W930" s="23" t="n">
        <f aca="false">IF(OR(C930="Cetak",C930="Dikirim",C930="Selesai"),1,0)</f>
        <v>0</v>
      </c>
      <c r="X930" s="23" t="str">
        <f aca="false">IF(F930="","",SUBSTITUTE(SUBSTITUTE(MID(UPPER(TRIM(F930)),4,99),"-LED",""),"-TK",""))</f>
        <v/>
      </c>
      <c r="Y930" s="23" t="str">
        <f aca="false">IF(X930="","",(LEN(X930)+1)/7)</f>
        <v/>
      </c>
      <c r="Z930" s="23" t="str">
        <f aca="false">IF(X930="","",LEFT(X930,6))</f>
        <v/>
      </c>
      <c r="AA930" s="23" t="str">
        <f aca="false">IF(X930="","",IF(Y930&gt;=3,MID(X930,8,6),""))</f>
        <v/>
      </c>
      <c r="AB930" s="23" t="str">
        <f aca="false">IF(X930="","",IF(Y930&gt;=4,MID(X930,15,6),""))</f>
        <v/>
      </c>
      <c r="AC930" s="23" t="str">
        <f aca="false">IF(X930="","",IF(Y930&gt;=5,MID(X930,22,6),""))</f>
        <v/>
      </c>
      <c r="AD930" s="23" t="str">
        <f aca="false">IF(X930="","",RIGHT(X930,6))</f>
        <v/>
      </c>
      <c r="AE930" s="23" t="str">
        <f aca="false">IF(F930="","",IF(ISNUMBER(SEARCH("-TK",UPPER(F930))),0,1))</f>
        <v/>
      </c>
      <c r="AF930" s="23" t="str">
        <f aca="false">IF(F930="","",IF(ISNUMBER(SEARCH("-LED",UPPER(F930))),1,0))</f>
        <v/>
      </c>
      <c r="AG930" s="24" t="n">
        <f aca="false">IF(Z930="",0,IFERROR(INDEX(Resep!$C$5:$C$7,MATCH(LEFT(Z930,3),Resep!$B$5:$B$7,0)),0))</f>
        <v>0</v>
      </c>
      <c r="AH930" s="24" t="n">
        <f aca="false">IF(AA930="",0,IFERROR(INDEX(Resep!$C$9:$C$13,MATCH(LEFT(AA930,3),Resep!$B$9:$B$13,0)),0))</f>
        <v>0</v>
      </c>
      <c r="AI930" s="24" t="n">
        <f aca="false">IF(AB930="",0,IFERROR(INDEX(Resep!$C$9:$C$13,MATCH(LEFT(AB930,3),Resep!$B$9:$B$13,0)),0))</f>
        <v>0</v>
      </c>
      <c r="AJ930" s="24" t="n">
        <f aca="false">IF(AC930="",0,IFERROR(INDEX(Resep!$C$9:$C$13,MATCH(LEFT(AC930,3),Resep!$B$9:$B$13,0)),0))</f>
        <v>0</v>
      </c>
      <c r="AK930" s="24" t="n">
        <f aca="false">IF(AD930="",0,IFERROR(INDEX(Resep!$C$15:$C$18,MATCH(LEFT(AD930,3),Resep!$B$15:$B$18,0)),0))</f>
        <v>0</v>
      </c>
      <c r="AL930" s="24" t="str">
        <f aca="false">IF(X930="","",AG930+AH930+AI930+AJ930+AK930)</f>
        <v/>
      </c>
      <c r="AM930" s="22" t="str">
        <f aca="false">IF(X930="","",AL930*(Pengaturan!$B$6+Pengaturan!$B$7)+Pengaturan!$B$8+AE930*Pengaturan!$B$9+AF930*Pengaturan!$B$10)</f>
        <v/>
      </c>
      <c r="AN930" s="22" t="str">
        <f aca="false">IF(X930="","",N(G930)-AM930)</f>
        <v/>
      </c>
      <c r="AO930" s="25" t="str">
        <f aca="false">IF(OR(X930="",N(G930)=0),"",AN930/G930)</f>
        <v/>
      </c>
    </row>
    <row r="931" customFormat="false" ht="15" hidden="false" customHeight="false" outlineLevel="0" collapsed="false">
      <c r="A931" s="19"/>
      <c r="B931" s="20"/>
      <c r="C931" s="19"/>
      <c r="D931" s="19"/>
      <c r="E931" s="19"/>
      <c r="F931" s="19"/>
      <c r="G931" s="21"/>
      <c r="H931" s="19"/>
      <c r="I931" s="21"/>
      <c r="J931" s="19"/>
      <c r="K931" s="20"/>
      <c r="L931" s="20"/>
      <c r="M931" s="19"/>
      <c r="N931" s="19"/>
      <c r="O931" s="20"/>
      <c r="P931" s="20"/>
      <c r="Q931" s="19"/>
      <c r="R931" s="22" t="str">
        <f aca="false">IF(A931="","",N(G931)+N(I931))</f>
        <v/>
      </c>
      <c r="S931" s="23" t="str">
        <f aca="false">IF(OR(K931="",O931=""),"",O931-K931)</f>
        <v/>
      </c>
      <c r="T931" s="23" t="str">
        <f aca="true">IF(AND(C931="Cetak",L931&lt;&gt;"",L931&lt;TODAY()),"YA","")</f>
        <v/>
      </c>
      <c r="U931" s="23" t="str">
        <f aca="false">IF(B931="","",TEXT(B931,"yyyy-mm"))</f>
        <v/>
      </c>
      <c r="V931" s="23" t="str">
        <f aca="false">IF(K931="","",TEXT(K931,"yyyy-mm"))</f>
        <v/>
      </c>
      <c r="W931" s="23" t="n">
        <f aca="false">IF(OR(C931="Cetak",C931="Dikirim",C931="Selesai"),1,0)</f>
        <v>0</v>
      </c>
      <c r="X931" s="23" t="str">
        <f aca="false">IF(F931="","",SUBSTITUTE(SUBSTITUTE(MID(UPPER(TRIM(F931)),4,99),"-LED",""),"-TK",""))</f>
        <v/>
      </c>
      <c r="Y931" s="23" t="str">
        <f aca="false">IF(X931="","",(LEN(X931)+1)/7)</f>
        <v/>
      </c>
      <c r="Z931" s="23" t="str">
        <f aca="false">IF(X931="","",LEFT(X931,6))</f>
        <v/>
      </c>
      <c r="AA931" s="23" t="str">
        <f aca="false">IF(X931="","",IF(Y931&gt;=3,MID(X931,8,6),""))</f>
        <v/>
      </c>
      <c r="AB931" s="23" t="str">
        <f aca="false">IF(X931="","",IF(Y931&gt;=4,MID(X931,15,6),""))</f>
        <v/>
      </c>
      <c r="AC931" s="23" t="str">
        <f aca="false">IF(X931="","",IF(Y931&gt;=5,MID(X931,22,6),""))</f>
        <v/>
      </c>
      <c r="AD931" s="23" t="str">
        <f aca="false">IF(X931="","",RIGHT(X931,6))</f>
        <v/>
      </c>
      <c r="AE931" s="23" t="str">
        <f aca="false">IF(F931="","",IF(ISNUMBER(SEARCH("-TK",UPPER(F931))),0,1))</f>
        <v/>
      </c>
      <c r="AF931" s="23" t="str">
        <f aca="false">IF(F931="","",IF(ISNUMBER(SEARCH("-LED",UPPER(F931))),1,0))</f>
        <v/>
      </c>
      <c r="AG931" s="24" t="n">
        <f aca="false">IF(Z931="",0,IFERROR(INDEX(Resep!$C$5:$C$7,MATCH(LEFT(Z931,3),Resep!$B$5:$B$7,0)),0))</f>
        <v>0</v>
      </c>
      <c r="AH931" s="24" t="n">
        <f aca="false">IF(AA931="",0,IFERROR(INDEX(Resep!$C$9:$C$13,MATCH(LEFT(AA931,3),Resep!$B$9:$B$13,0)),0))</f>
        <v>0</v>
      </c>
      <c r="AI931" s="24" t="n">
        <f aca="false">IF(AB931="",0,IFERROR(INDEX(Resep!$C$9:$C$13,MATCH(LEFT(AB931,3),Resep!$B$9:$B$13,0)),0))</f>
        <v>0</v>
      </c>
      <c r="AJ931" s="24" t="n">
        <f aca="false">IF(AC931="",0,IFERROR(INDEX(Resep!$C$9:$C$13,MATCH(LEFT(AC931,3),Resep!$B$9:$B$13,0)),0))</f>
        <v>0</v>
      </c>
      <c r="AK931" s="24" t="n">
        <f aca="false">IF(AD931="",0,IFERROR(INDEX(Resep!$C$15:$C$18,MATCH(LEFT(AD931,3),Resep!$B$15:$B$18,0)),0))</f>
        <v>0</v>
      </c>
      <c r="AL931" s="24" t="str">
        <f aca="false">IF(X931="","",AG931+AH931+AI931+AJ931+AK931)</f>
        <v/>
      </c>
      <c r="AM931" s="22" t="str">
        <f aca="false">IF(X931="","",AL931*(Pengaturan!$B$6+Pengaturan!$B$7)+Pengaturan!$B$8+AE931*Pengaturan!$B$9+AF931*Pengaturan!$B$10)</f>
        <v/>
      </c>
      <c r="AN931" s="22" t="str">
        <f aca="false">IF(X931="","",N(G931)-AM931)</f>
        <v/>
      </c>
      <c r="AO931" s="25" t="str">
        <f aca="false">IF(OR(X931="",N(G931)=0),"",AN931/G931)</f>
        <v/>
      </c>
    </row>
    <row r="932" customFormat="false" ht="15" hidden="false" customHeight="false" outlineLevel="0" collapsed="false">
      <c r="A932" s="19"/>
      <c r="B932" s="20"/>
      <c r="C932" s="19"/>
      <c r="D932" s="19"/>
      <c r="E932" s="19"/>
      <c r="F932" s="19"/>
      <c r="G932" s="21"/>
      <c r="H932" s="19"/>
      <c r="I932" s="21"/>
      <c r="J932" s="19"/>
      <c r="K932" s="20"/>
      <c r="L932" s="20"/>
      <c r="M932" s="19"/>
      <c r="N932" s="19"/>
      <c r="O932" s="20"/>
      <c r="P932" s="20"/>
      <c r="Q932" s="19"/>
      <c r="R932" s="22" t="str">
        <f aca="false">IF(A932="","",N(G932)+N(I932))</f>
        <v/>
      </c>
      <c r="S932" s="23" t="str">
        <f aca="false">IF(OR(K932="",O932=""),"",O932-K932)</f>
        <v/>
      </c>
      <c r="T932" s="23" t="str">
        <f aca="true">IF(AND(C932="Cetak",L932&lt;&gt;"",L932&lt;TODAY()),"YA","")</f>
        <v/>
      </c>
      <c r="U932" s="23" t="str">
        <f aca="false">IF(B932="","",TEXT(B932,"yyyy-mm"))</f>
        <v/>
      </c>
      <c r="V932" s="23" t="str">
        <f aca="false">IF(K932="","",TEXT(K932,"yyyy-mm"))</f>
        <v/>
      </c>
      <c r="W932" s="23" t="n">
        <f aca="false">IF(OR(C932="Cetak",C932="Dikirim",C932="Selesai"),1,0)</f>
        <v>0</v>
      </c>
      <c r="X932" s="23" t="str">
        <f aca="false">IF(F932="","",SUBSTITUTE(SUBSTITUTE(MID(UPPER(TRIM(F932)),4,99),"-LED",""),"-TK",""))</f>
        <v/>
      </c>
      <c r="Y932" s="23" t="str">
        <f aca="false">IF(X932="","",(LEN(X932)+1)/7)</f>
        <v/>
      </c>
      <c r="Z932" s="23" t="str">
        <f aca="false">IF(X932="","",LEFT(X932,6))</f>
        <v/>
      </c>
      <c r="AA932" s="23" t="str">
        <f aca="false">IF(X932="","",IF(Y932&gt;=3,MID(X932,8,6),""))</f>
        <v/>
      </c>
      <c r="AB932" s="23" t="str">
        <f aca="false">IF(X932="","",IF(Y932&gt;=4,MID(X932,15,6),""))</f>
        <v/>
      </c>
      <c r="AC932" s="23" t="str">
        <f aca="false">IF(X932="","",IF(Y932&gt;=5,MID(X932,22,6),""))</f>
        <v/>
      </c>
      <c r="AD932" s="23" t="str">
        <f aca="false">IF(X932="","",RIGHT(X932,6))</f>
        <v/>
      </c>
      <c r="AE932" s="23" t="str">
        <f aca="false">IF(F932="","",IF(ISNUMBER(SEARCH("-TK",UPPER(F932))),0,1))</f>
        <v/>
      </c>
      <c r="AF932" s="23" t="str">
        <f aca="false">IF(F932="","",IF(ISNUMBER(SEARCH("-LED",UPPER(F932))),1,0))</f>
        <v/>
      </c>
      <c r="AG932" s="24" t="n">
        <f aca="false">IF(Z932="",0,IFERROR(INDEX(Resep!$C$5:$C$7,MATCH(LEFT(Z932,3),Resep!$B$5:$B$7,0)),0))</f>
        <v>0</v>
      </c>
      <c r="AH932" s="24" t="n">
        <f aca="false">IF(AA932="",0,IFERROR(INDEX(Resep!$C$9:$C$13,MATCH(LEFT(AA932,3),Resep!$B$9:$B$13,0)),0))</f>
        <v>0</v>
      </c>
      <c r="AI932" s="24" t="n">
        <f aca="false">IF(AB932="",0,IFERROR(INDEX(Resep!$C$9:$C$13,MATCH(LEFT(AB932,3),Resep!$B$9:$B$13,0)),0))</f>
        <v>0</v>
      </c>
      <c r="AJ932" s="24" t="n">
        <f aca="false">IF(AC932="",0,IFERROR(INDEX(Resep!$C$9:$C$13,MATCH(LEFT(AC932,3),Resep!$B$9:$B$13,0)),0))</f>
        <v>0</v>
      </c>
      <c r="AK932" s="24" t="n">
        <f aca="false">IF(AD932="",0,IFERROR(INDEX(Resep!$C$15:$C$18,MATCH(LEFT(AD932,3),Resep!$B$15:$B$18,0)),0))</f>
        <v>0</v>
      </c>
      <c r="AL932" s="24" t="str">
        <f aca="false">IF(X932="","",AG932+AH932+AI932+AJ932+AK932)</f>
        <v/>
      </c>
      <c r="AM932" s="22" t="str">
        <f aca="false">IF(X932="","",AL932*(Pengaturan!$B$6+Pengaturan!$B$7)+Pengaturan!$B$8+AE932*Pengaturan!$B$9+AF932*Pengaturan!$B$10)</f>
        <v/>
      </c>
      <c r="AN932" s="22" t="str">
        <f aca="false">IF(X932="","",N(G932)-AM932)</f>
        <v/>
      </c>
      <c r="AO932" s="25" t="str">
        <f aca="false">IF(OR(X932="",N(G932)=0),"",AN932/G932)</f>
        <v/>
      </c>
    </row>
    <row r="933" customFormat="false" ht="15" hidden="false" customHeight="false" outlineLevel="0" collapsed="false">
      <c r="A933" s="19"/>
      <c r="B933" s="20"/>
      <c r="C933" s="19"/>
      <c r="D933" s="19"/>
      <c r="E933" s="19"/>
      <c r="F933" s="19"/>
      <c r="G933" s="21"/>
      <c r="H933" s="19"/>
      <c r="I933" s="21"/>
      <c r="J933" s="19"/>
      <c r="K933" s="20"/>
      <c r="L933" s="20"/>
      <c r="M933" s="19"/>
      <c r="N933" s="19"/>
      <c r="O933" s="20"/>
      <c r="P933" s="20"/>
      <c r="Q933" s="19"/>
      <c r="R933" s="22" t="str">
        <f aca="false">IF(A933="","",N(G933)+N(I933))</f>
        <v/>
      </c>
      <c r="S933" s="23" t="str">
        <f aca="false">IF(OR(K933="",O933=""),"",O933-K933)</f>
        <v/>
      </c>
      <c r="T933" s="23" t="str">
        <f aca="true">IF(AND(C933="Cetak",L933&lt;&gt;"",L933&lt;TODAY()),"YA","")</f>
        <v/>
      </c>
      <c r="U933" s="23" t="str">
        <f aca="false">IF(B933="","",TEXT(B933,"yyyy-mm"))</f>
        <v/>
      </c>
      <c r="V933" s="23" t="str">
        <f aca="false">IF(K933="","",TEXT(K933,"yyyy-mm"))</f>
        <v/>
      </c>
      <c r="W933" s="23" t="n">
        <f aca="false">IF(OR(C933="Cetak",C933="Dikirim",C933="Selesai"),1,0)</f>
        <v>0</v>
      </c>
      <c r="X933" s="23" t="str">
        <f aca="false">IF(F933="","",SUBSTITUTE(SUBSTITUTE(MID(UPPER(TRIM(F933)),4,99),"-LED",""),"-TK",""))</f>
        <v/>
      </c>
      <c r="Y933" s="23" t="str">
        <f aca="false">IF(X933="","",(LEN(X933)+1)/7)</f>
        <v/>
      </c>
      <c r="Z933" s="23" t="str">
        <f aca="false">IF(X933="","",LEFT(X933,6))</f>
        <v/>
      </c>
      <c r="AA933" s="23" t="str">
        <f aca="false">IF(X933="","",IF(Y933&gt;=3,MID(X933,8,6),""))</f>
        <v/>
      </c>
      <c r="AB933" s="23" t="str">
        <f aca="false">IF(X933="","",IF(Y933&gt;=4,MID(X933,15,6),""))</f>
        <v/>
      </c>
      <c r="AC933" s="23" t="str">
        <f aca="false">IF(X933="","",IF(Y933&gt;=5,MID(X933,22,6),""))</f>
        <v/>
      </c>
      <c r="AD933" s="23" t="str">
        <f aca="false">IF(X933="","",RIGHT(X933,6))</f>
        <v/>
      </c>
      <c r="AE933" s="23" t="str">
        <f aca="false">IF(F933="","",IF(ISNUMBER(SEARCH("-TK",UPPER(F933))),0,1))</f>
        <v/>
      </c>
      <c r="AF933" s="23" t="str">
        <f aca="false">IF(F933="","",IF(ISNUMBER(SEARCH("-LED",UPPER(F933))),1,0))</f>
        <v/>
      </c>
      <c r="AG933" s="24" t="n">
        <f aca="false">IF(Z933="",0,IFERROR(INDEX(Resep!$C$5:$C$7,MATCH(LEFT(Z933,3),Resep!$B$5:$B$7,0)),0))</f>
        <v>0</v>
      </c>
      <c r="AH933" s="24" t="n">
        <f aca="false">IF(AA933="",0,IFERROR(INDEX(Resep!$C$9:$C$13,MATCH(LEFT(AA933,3),Resep!$B$9:$B$13,0)),0))</f>
        <v>0</v>
      </c>
      <c r="AI933" s="24" t="n">
        <f aca="false">IF(AB933="",0,IFERROR(INDEX(Resep!$C$9:$C$13,MATCH(LEFT(AB933,3),Resep!$B$9:$B$13,0)),0))</f>
        <v>0</v>
      </c>
      <c r="AJ933" s="24" t="n">
        <f aca="false">IF(AC933="",0,IFERROR(INDEX(Resep!$C$9:$C$13,MATCH(LEFT(AC933,3),Resep!$B$9:$B$13,0)),0))</f>
        <v>0</v>
      </c>
      <c r="AK933" s="24" t="n">
        <f aca="false">IF(AD933="",0,IFERROR(INDEX(Resep!$C$15:$C$18,MATCH(LEFT(AD933,3),Resep!$B$15:$B$18,0)),0))</f>
        <v>0</v>
      </c>
      <c r="AL933" s="24" t="str">
        <f aca="false">IF(X933="","",AG933+AH933+AI933+AJ933+AK933)</f>
        <v/>
      </c>
      <c r="AM933" s="22" t="str">
        <f aca="false">IF(X933="","",AL933*(Pengaturan!$B$6+Pengaturan!$B$7)+Pengaturan!$B$8+AE933*Pengaturan!$B$9+AF933*Pengaturan!$B$10)</f>
        <v/>
      </c>
      <c r="AN933" s="22" t="str">
        <f aca="false">IF(X933="","",N(G933)-AM933)</f>
        <v/>
      </c>
      <c r="AO933" s="25" t="str">
        <f aca="false">IF(OR(X933="",N(G933)=0),"",AN933/G933)</f>
        <v/>
      </c>
    </row>
    <row r="934" customFormat="false" ht="15" hidden="false" customHeight="false" outlineLevel="0" collapsed="false">
      <c r="A934" s="19"/>
      <c r="B934" s="20"/>
      <c r="C934" s="19"/>
      <c r="D934" s="19"/>
      <c r="E934" s="19"/>
      <c r="F934" s="19"/>
      <c r="G934" s="21"/>
      <c r="H934" s="19"/>
      <c r="I934" s="21"/>
      <c r="J934" s="19"/>
      <c r="K934" s="20"/>
      <c r="L934" s="20"/>
      <c r="M934" s="19"/>
      <c r="N934" s="19"/>
      <c r="O934" s="20"/>
      <c r="P934" s="20"/>
      <c r="Q934" s="19"/>
      <c r="R934" s="22" t="str">
        <f aca="false">IF(A934="","",N(G934)+N(I934))</f>
        <v/>
      </c>
      <c r="S934" s="23" t="str">
        <f aca="false">IF(OR(K934="",O934=""),"",O934-K934)</f>
        <v/>
      </c>
      <c r="T934" s="23" t="str">
        <f aca="true">IF(AND(C934="Cetak",L934&lt;&gt;"",L934&lt;TODAY()),"YA","")</f>
        <v/>
      </c>
      <c r="U934" s="23" t="str">
        <f aca="false">IF(B934="","",TEXT(B934,"yyyy-mm"))</f>
        <v/>
      </c>
      <c r="V934" s="23" t="str">
        <f aca="false">IF(K934="","",TEXT(K934,"yyyy-mm"))</f>
        <v/>
      </c>
      <c r="W934" s="23" t="n">
        <f aca="false">IF(OR(C934="Cetak",C934="Dikirim",C934="Selesai"),1,0)</f>
        <v>0</v>
      </c>
      <c r="X934" s="23" t="str">
        <f aca="false">IF(F934="","",SUBSTITUTE(SUBSTITUTE(MID(UPPER(TRIM(F934)),4,99),"-LED",""),"-TK",""))</f>
        <v/>
      </c>
      <c r="Y934" s="23" t="str">
        <f aca="false">IF(X934="","",(LEN(X934)+1)/7)</f>
        <v/>
      </c>
      <c r="Z934" s="23" t="str">
        <f aca="false">IF(X934="","",LEFT(X934,6))</f>
        <v/>
      </c>
      <c r="AA934" s="23" t="str">
        <f aca="false">IF(X934="","",IF(Y934&gt;=3,MID(X934,8,6),""))</f>
        <v/>
      </c>
      <c r="AB934" s="23" t="str">
        <f aca="false">IF(X934="","",IF(Y934&gt;=4,MID(X934,15,6),""))</f>
        <v/>
      </c>
      <c r="AC934" s="23" t="str">
        <f aca="false">IF(X934="","",IF(Y934&gt;=5,MID(X934,22,6),""))</f>
        <v/>
      </c>
      <c r="AD934" s="23" t="str">
        <f aca="false">IF(X934="","",RIGHT(X934,6))</f>
        <v/>
      </c>
      <c r="AE934" s="23" t="str">
        <f aca="false">IF(F934="","",IF(ISNUMBER(SEARCH("-TK",UPPER(F934))),0,1))</f>
        <v/>
      </c>
      <c r="AF934" s="23" t="str">
        <f aca="false">IF(F934="","",IF(ISNUMBER(SEARCH("-LED",UPPER(F934))),1,0))</f>
        <v/>
      </c>
      <c r="AG934" s="24" t="n">
        <f aca="false">IF(Z934="",0,IFERROR(INDEX(Resep!$C$5:$C$7,MATCH(LEFT(Z934,3),Resep!$B$5:$B$7,0)),0))</f>
        <v>0</v>
      </c>
      <c r="AH934" s="24" t="n">
        <f aca="false">IF(AA934="",0,IFERROR(INDEX(Resep!$C$9:$C$13,MATCH(LEFT(AA934,3),Resep!$B$9:$B$13,0)),0))</f>
        <v>0</v>
      </c>
      <c r="AI934" s="24" t="n">
        <f aca="false">IF(AB934="",0,IFERROR(INDEX(Resep!$C$9:$C$13,MATCH(LEFT(AB934,3),Resep!$B$9:$B$13,0)),0))</f>
        <v>0</v>
      </c>
      <c r="AJ934" s="24" t="n">
        <f aca="false">IF(AC934="",0,IFERROR(INDEX(Resep!$C$9:$C$13,MATCH(LEFT(AC934,3),Resep!$B$9:$B$13,0)),0))</f>
        <v>0</v>
      </c>
      <c r="AK934" s="24" t="n">
        <f aca="false">IF(AD934="",0,IFERROR(INDEX(Resep!$C$15:$C$18,MATCH(LEFT(AD934,3),Resep!$B$15:$B$18,0)),0))</f>
        <v>0</v>
      </c>
      <c r="AL934" s="24" t="str">
        <f aca="false">IF(X934="","",AG934+AH934+AI934+AJ934+AK934)</f>
        <v/>
      </c>
      <c r="AM934" s="22" t="str">
        <f aca="false">IF(X934="","",AL934*(Pengaturan!$B$6+Pengaturan!$B$7)+Pengaturan!$B$8+AE934*Pengaturan!$B$9+AF934*Pengaturan!$B$10)</f>
        <v/>
      </c>
      <c r="AN934" s="22" t="str">
        <f aca="false">IF(X934="","",N(G934)-AM934)</f>
        <v/>
      </c>
      <c r="AO934" s="25" t="str">
        <f aca="false">IF(OR(X934="",N(G934)=0),"",AN934/G934)</f>
        <v/>
      </c>
    </row>
    <row r="935" customFormat="false" ht="15" hidden="false" customHeight="false" outlineLevel="0" collapsed="false">
      <c r="A935" s="19"/>
      <c r="B935" s="20"/>
      <c r="C935" s="19"/>
      <c r="D935" s="19"/>
      <c r="E935" s="19"/>
      <c r="F935" s="19"/>
      <c r="G935" s="21"/>
      <c r="H935" s="19"/>
      <c r="I935" s="21"/>
      <c r="J935" s="19"/>
      <c r="K935" s="20"/>
      <c r="L935" s="20"/>
      <c r="M935" s="19"/>
      <c r="N935" s="19"/>
      <c r="O935" s="20"/>
      <c r="P935" s="20"/>
      <c r="Q935" s="19"/>
      <c r="R935" s="22" t="str">
        <f aca="false">IF(A935="","",N(G935)+N(I935))</f>
        <v/>
      </c>
      <c r="S935" s="23" t="str">
        <f aca="false">IF(OR(K935="",O935=""),"",O935-K935)</f>
        <v/>
      </c>
      <c r="T935" s="23" t="str">
        <f aca="true">IF(AND(C935="Cetak",L935&lt;&gt;"",L935&lt;TODAY()),"YA","")</f>
        <v/>
      </c>
      <c r="U935" s="23" t="str">
        <f aca="false">IF(B935="","",TEXT(B935,"yyyy-mm"))</f>
        <v/>
      </c>
      <c r="V935" s="23" t="str">
        <f aca="false">IF(K935="","",TEXT(K935,"yyyy-mm"))</f>
        <v/>
      </c>
      <c r="W935" s="23" t="n">
        <f aca="false">IF(OR(C935="Cetak",C935="Dikirim",C935="Selesai"),1,0)</f>
        <v>0</v>
      </c>
      <c r="X935" s="23" t="str">
        <f aca="false">IF(F935="","",SUBSTITUTE(SUBSTITUTE(MID(UPPER(TRIM(F935)),4,99),"-LED",""),"-TK",""))</f>
        <v/>
      </c>
      <c r="Y935" s="23" t="str">
        <f aca="false">IF(X935="","",(LEN(X935)+1)/7)</f>
        <v/>
      </c>
      <c r="Z935" s="23" t="str">
        <f aca="false">IF(X935="","",LEFT(X935,6))</f>
        <v/>
      </c>
      <c r="AA935" s="23" t="str">
        <f aca="false">IF(X935="","",IF(Y935&gt;=3,MID(X935,8,6),""))</f>
        <v/>
      </c>
      <c r="AB935" s="23" t="str">
        <f aca="false">IF(X935="","",IF(Y935&gt;=4,MID(X935,15,6),""))</f>
        <v/>
      </c>
      <c r="AC935" s="23" t="str">
        <f aca="false">IF(X935="","",IF(Y935&gt;=5,MID(X935,22,6),""))</f>
        <v/>
      </c>
      <c r="AD935" s="23" t="str">
        <f aca="false">IF(X935="","",RIGHT(X935,6))</f>
        <v/>
      </c>
      <c r="AE935" s="23" t="str">
        <f aca="false">IF(F935="","",IF(ISNUMBER(SEARCH("-TK",UPPER(F935))),0,1))</f>
        <v/>
      </c>
      <c r="AF935" s="23" t="str">
        <f aca="false">IF(F935="","",IF(ISNUMBER(SEARCH("-LED",UPPER(F935))),1,0))</f>
        <v/>
      </c>
      <c r="AG935" s="24" t="n">
        <f aca="false">IF(Z935="",0,IFERROR(INDEX(Resep!$C$5:$C$7,MATCH(LEFT(Z935,3),Resep!$B$5:$B$7,0)),0))</f>
        <v>0</v>
      </c>
      <c r="AH935" s="24" t="n">
        <f aca="false">IF(AA935="",0,IFERROR(INDEX(Resep!$C$9:$C$13,MATCH(LEFT(AA935,3),Resep!$B$9:$B$13,0)),0))</f>
        <v>0</v>
      </c>
      <c r="AI935" s="24" t="n">
        <f aca="false">IF(AB935="",0,IFERROR(INDEX(Resep!$C$9:$C$13,MATCH(LEFT(AB935,3),Resep!$B$9:$B$13,0)),0))</f>
        <v>0</v>
      </c>
      <c r="AJ935" s="24" t="n">
        <f aca="false">IF(AC935="",0,IFERROR(INDEX(Resep!$C$9:$C$13,MATCH(LEFT(AC935,3),Resep!$B$9:$B$13,0)),0))</f>
        <v>0</v>
      </c>
      <c r="AK935" s="24" t="n">
        <f aca="false">IF(AD935="",0,IFERROR(INDEX(Resep!$C$15:$C$18,MATCH(LEFT(AD935,3),Resep!$B$15:$B$18,0)),0))</f>
        <v>0</v>
      </c>
      <c r="AL935" s="24" t="str">
        <f aca="false">IF(X935="","",AG935+AH935+AI935+AJ935+AK935)</f>
        <v/>
      </c>
      <c r="AM935" s="22" t="str">
        <f aca="false">IF(X935="","",AL935*(Pengaturan!$B$6+Pengaturan!$B$7)+Pengaturan!$B$8+AE935*Pengaturan!$B$9+AF935*Pengaturan!$B$10)</f>
        <v/>
      </c>
      <c r="AN935" s="22" t="str">
        <f aca="false">IF(X935="","",N(G935)-AM935)</f>
        <v/>
      </c>
      <c r="AO935" s="25" t="str">
        <f aca="false">IF(OR(X935="",N(G935)=0),"",AN935/G935)</f>
        <v/>
      </c>
    </row>
    <row r="936" customFormat="false" ht="15" hidden="false" customHeight="false" outlineLevel="0" collapsed="false">
      <c r="A936" s="19"/>
      <c r="B936" s="20"/>
      <c r="C936" s="19"/>
      <c r="D936" s="19"/>
      <c r="E936" s="19"/>
      <c r="F936" s="19"/>
      <c r="G936" s="21"/>
      <c r="H936" s="19"/>
      <c r="I936" s="21"/>
      <c r="J936" s="19"/>
      <c r="K936" s="20"/>
      <c r="L936" s="20"/>
      <c r="M936" s="19"/>
      <c r="N936" s="19"/>
      <c r="O936" s="20"/>
      <c r="P936" s="20"/>
      <c r="Q936" s="19"/>
      <c r="R936" s="22" t="str">
        <f aca="false">IF(A936="","",N(G936)+N(I936))</f>
        <v/>
      </c>
      <c r="S936" s="23" t="str">
        <f aca="false">IF(OR(K936="",O936=""),"",O936-K936)</f>
        <v/>
      </c>
      <c r="T936" s="23" t="str">
        <f aca="true">IF(AND(C936="Cetak",L936&lt;&gt;"",L936&lt;TODAY()),"YA","")</f>
        <v/>
      </c>
      <c r="U936" s="23" t="str">
        <f aca="false">IF(B936="","",TEXT(B936,"yyyy-mm"))</f>
        <v/>
      </c>
      <c r="V936" s="23" t="str">
        <f aca="false">IF(K936="","",TEXT(K936,"yyyy-mm"))</f>
        <v/>
      </c>
      <c r="W936" s="23" t="n">
        <f aca="false">IF(OR(C936="Cetak",C936="Dikirim",C936="Selesai"),1,0)</f>
        <v>0</v>
      </c>
      <c r="X936" s="23" t="str">
        <f aca="false">IF(F936="","",SUBSTITUTE(SUBSTITUTE(MID(UPPER(TRIM(F936)),4,99),"-LED",""),"-TK",""))</f>
        <v/>
      </c>
      <c r="Y936" s="23" t="str">
        <f aca="false">IF(X936="","",(LEN(X936)+1)/7)</f>
        <v/>
      </c>
      <c r="Z936" s="23" t="str">
        <f aca="false">IF(X936="","",LEFT(X936,6))</f>
        <v/>
      </c>
      <c r="AA936" s="23" t="str">
        <f aca="false">IF(X936="","",IF(Y936&gt;=3,MID(X936,8,6),""))</f>
        <v/>
      </c>
      <c r="AB936" s="23" t="str">
        <f aca="false">IF(X936="","",IF(Y936&gt;=4,MID(X936,15,6),""))</f>
        <v/>
      </c>
      <c r="AC936" s="23" t="str">
        <f aca="false">IF(X936="","",IF(Y936&gt;=5,MID(X936,22,6),""))</f>
        <v/>
      </c>
      <c r="AD936" s="23" t="str">
        <f aca="false">IF(X936="","",RIGHT(X936,6))</f>
        <v/>
      </c>
      <c r="AE936" s="23" t="str">
        <f aca="false">IF(F936="","",IF(ISNUMBER(SEARCH("-TK",UPPER(F936))),0,1))</f>
        <v/>
      </c>
      <c r="AF936" s="23" t="str">
        <f aca="false">IF(F936="","",IF(ISNUMBER(SEARCH("-LED",UPPER(F936))),1,0))</f>
        <v/>
      </c>
      <c r="AG936" s="24" t="n">
        <f aca="false">IF(Z936="",0,IFERROR(INDEX(Resep!$C$5:$C$7,MATCH(LEFT(Z936,3),Resep!$B$5:$B$7,0)),0))</f>
        <v>0</v>
      </c>
      <c r="AH936" s="24" t="n">
        <f aca="false">IF(AA936="",0,IFERROR(INDEX(Resep!$C$9:$C$13,MATCH(LEFT(AA936,3),Resep!$B$9:$B$13,0)),0))</f>
        <v>0</v>
      </c>
      <c r="AI936" s="24" t="n">
        <f aca="false">IF(AB936="",0,IFERROR(INDEX(Resep!$C$9:$C$13,MATCH(LEFT(AB936,3),Resep!$B$9:$B$13,0)),0))</f>
        <v>0</v>
      </c>
      <c r="AJ936" s="24" t="n">
        <f aca="false">IF(AC936="",0,IFERROR(INDEX(Resep!$C$9:$C$13,MATCH(LEFT(AC936,3),Resep!$B$9:$B$13,0)),0))</f>
        <v>0</v>
      </c>
      <c r="AK936" s="24" t="n">
        <f aca="false">IF(AD936="",0,IFERROR(INDEX(Resep!$C$15:$C$18,MATCH(LEFT(AD936,3),Resep!$B$15:$B$18,0)),0))</f>
        <v>0</v>
      </c>
      <c r="AL936" s="24" t="str">
        <f aca="false">IF(X936="","",AG936+AH936+AI936+AJ936+AK936)</f>
        <v/>
      </c>
      <c r="AM936" s="22" t="str">
        <f aca="false">IF(X936="","",AL936*(Pengaturan!$B$6+Pengaturan!$B$7)+Pengaturan!$B$8+AE936*Pengaturan!$B$9+AF936*Pengaturan!$B$10)</f>
        <v/>
      </c>
      <c r="AN936" s="22" t="str">
        <f aca="false">IF(X936="","",N(G936)-AM936)</f>
        <v/>
      </c>
      <c r="AO936" s="25" t="str">
        <f aca="false">IF(OR(X936="",N(G936)=0),"",AN936/G936)</f>
        <v/>
      </c>
    </row>
    <row r="937" customFormat="false" ht="15" hidden="false" customHeight="false" outlineLevel="0" collapsed="false">
      <c r="A937" s="19"/>
      <c r="B937" s="20"/>
      <c r="C937" s="19"/>
      <c r="D937" s="19"/>
      <c r="E937" s="19"/>
      <c r="F937" s="19"/>
      <c r="G937" s="21"/>
      <c r="H937" s="19"/>
      <c r="I937" s="21"/>
      <c r="J937" s="19"/>
      <c r="K937" s="20"/>
      <c r="L937" s="20"/>
      <c r="M937" s="19"/>
      <c r="N937" s="19"/>
      <c r="O937" s="20"/>
      <c r="P937" s="20"/>
      <c r="Q937" s="19"/>
      <c r="R937" s="22" t="str">
        <f aca="false">IF(A937="","",N(G937)+N(I937))</f>
        <v/>
      </c>
      <c r="S937" s="23" t="str">
        <f aca="false">IF(OR(K937="",O937=""),"",O937-K937)</f>
        <v/>
      </c>
      <c r="T937" s="23" t="str">
        <f aca="true">IF(AND(C937="Cetak",L937&lt;&gt;"",L937&lt;TODAY()),"YA","")</f>
        <v/>
      </c>
      <c r="U937" s="23" t="str">
        <f aca="false">IF(B937="","",TEXT(B937,"yyyy-mm"))</f>
        <v/>
      </c>
      <c r="V937" s="23" t="str">
        <f aca="false">IF(K937="","",TEXT(K937,"yyyy-mm"))</f>
        <v/>
      </c>
      <c r="W937" s="23" t="n">
        <f aca="false">IF(OR(C937="Cetak",C937="Dikirim",C937="Selesai"),1,0)</f>
        <v>0</v>
      </c>
      <c r="X937" s="23" t="str">
        <f aca="false">IF(F937="","",SUBSTITUTE(SUBSTITUTE(MID(UPPER(TRIM(F937)),4,99),"-LED",""),"-TK",""))</f>
        <v/>
      </c>
      <c r="Y937" s="23" t="str">
        <f aca="false">IF(X937="","",(LEN(X937)+1)/7)</f>
        <v/>
      </c>
      <c r="Z937" s="23" t="str">
        <f aca="false">IF(X937="","",LEFT(X937,6))</f>
        <v/>
      </c>
      <c r="AA937" s="23" t="str">
        <f aca="false">IF(X937="","",IF(Y937&gt;=3,MID(X937,8,6),""))</f>
        <v/>
      </c>
      <c r="AB937" s="23" t="str">
        <f aca="false">IF(X937="","",IF(Y937&gt;=4,MID(X937,15,6),""))</f>
        <v/>
      </c>
      <c r="AC937" s="23" t="str">
        <f aca="false">IF(X937="","",IF(Y937&gt;=5,MID(X937,22,6),""))</f>
        <v/>
      </c>
      <c r="AD937" s="23" t="str">
        <f aca="false">IF(X937="","",RIGHT(X937,6))</f>
        <v/>
      </c>
      <c r="AE937" s="23" t="str">
        <f aca="false">IF(F937="","",IF(ISNUMBER(SEARCH("-TK",UPPER(F937))),0,1))</f>
        <v/>
      </c>
      <c r="AF937" s="23" t="str">
        <f aca="false">IF(F937="","",IF(ISNUMBER(SEARCH("-LED",UPPER(F937))),1,0))</f>
        <v/>
      </c>
      <c r="AG937" s="24" t="n">
        <f aca="false">IF(Z937="",0,IFERROR(INDEX(Resep!$C$5:$C$7,MATCH(LEFT(Z937,3),Resep!$B$5:$B$7,0)),0))</f>
        <v>0</v>
      </c>
      <c r="AH937" s="24" t="n">
        <f aca="false">IF(AA937="",0,IFERROR(INDEX(Resep!$C$9:$C$13,MATCH(LEFT(AA937,3),Resep!$B$9:$B$13,0)),0))</f>
        <v>0</v>
      </c>
      <c r="AI937" s="24" t="n">
        <f aca="false">IF(AB937="",0,IFERROR(INDEX(Resep!$C$9:$C$13,MATCH(LEFT(AB937,3),Resep!$B$9:$B$13,0)),0))</f>
        <v>0</v>
      </c>
      <c r="AJ937" s="24" t="n">
        <f aca="false">IF(AC937="",0,IFERROR(INDEX(Resep!$C$9:$C$13,MATCH(LEFT(AC937,3),Resep!$B$9:$B$13,0)),0))</f>
        <v>0</v>
      </c>
      <c r="AK937" s="24" t="n">
        <f aca="false">IF(AD937="",0,IFERROR(INDEX(Resep!$C$15:$C$18,MATCH(LEFT(AD937,3),Resep!$B$15:$B$18,0)),0))</f>
        <v>0</v>
      </c>
      <c r="AL937" s="24" t="str">
        <f aca="false">IF(X937="","",AG937+AH937+AI937+AJ937+AK937)</f>
        <v/>
      </c>
      <c r="AM937" s="22" t="str">
        <f aca="false">IF(X937="","",AL937*(Pengaturan!$B$6+Pengaturan!$B$7)+Pengaturan!$B$8+AE937*Pengaturan!$B$9+AF937*Pengaturan!$B$10)</f>
        <v/>
      </c>
      <c r="AN937" s="22" t="str">
        <f aca="false">IF(X937="","",N(G937)-AM937)</f>
        <v/>
      </c>
      <c r="AO937" s="25" t="str">
        <f aca="false">IF(OR(X937="",N(G937)=0),"",AN937/G937)</f>
        <v/>
      </c>
    </row>
    <row r="938" customFormat="false" ht="15" hidden="false" customHeight="false" outlineLevel="0" collapsed="false">
      <c r="A938" s="19"/>
      <c r="B938" s="20"/>
      <c r="C938" s="19"/>
      <c r="D938" s="19"/>
      <c r="E938" s="19"/>
      <c r="F938" s="19"/>
      <c r="G938" s="21"/>
      <c r="H938" s="19"/>
      <c r="I938" s="21"/>
      <c r="J938" s="19"/>
      <c r="K938" s="20"/>
      <c r="L938" s="20"/>
      <c r="M938" s="19"/>
      <c r="N938" s="19"/>
      <c r="O938" s="20"/>
      <c r="P938" s="20"/>
      <c r="Q938" s="19"/>
      <c r="R938" s="22" t="str">
        <f aca="false">IF(A938="","",N(G938)+N(I938))</f>
        <v/>
      </c>
      <c r="S938" s="23" t="str">
        <f aca="false">IF(OR(K938="",O938=""),"",O938-K938)</f>
        <v/>
      </c>
      <c r="T938" s="23" t="str">
        <f aca="true">IF(AND(C938="Cetak",L938&lt;&gt;"",L938&lt;TODAY()),"YA","")</f>
        <v/>
      </c>
      <c r="U938" s="23" t="str">
        <f aca="false">IF(B938="","",TEXT(B938,"yyyy-mm"))</f>
        <v/>
      </c>
      <c r="V938" s="23" t="str">
        <f aca="false">IF(K938="","",TEXT(K938,"yyyy-mm"))</f>
        <v/>
      </c>
      <c r="W938" s="23" t="n">
        <f aca="false">IF(OR(C938="Cetak",C938="Dikirim",C938="Selesai"),1,0)</f>
        <v>0</v>
      </c>
      <c r="X938" s="23" t="str">
        <f aca="false">IF(F938="","",SUBSTITUTE(SUBSTITUTE(MID(UPPER(TRIM(F938)),4,99),"-LED",""),"-TK",""))</f>
        <v/>
      </c>
      <c r="Y938" s="23" t="str">
        <f aca="false">IF(X938="","",(LEN(X938)+1)/7)</f>
        <v/>
      </c>
      <c r="Z938" s="23" t="str">
        <f aca="false">IF(X938="","",LEFT(X938,6))</f>
        <v/>
      </c>
      <c r="AA938" s="23" t="str">
        <f aca="false">IF(X938="","",IF(Y938&gt;=3,MID(X938,8,6),""))</f>
        <v/>
      </c>
      <c r="AB938" s="23" t="str">
        <f aca="false">IF(X938="","",IF(Y938&gt;=4,MID(X938,15,6),""))</f>
        <v/>
      </c>
      <c r="AC938" s="23" t="str">
        <f aca="false">IF(X938="","",IF(Y938&gt;=5,MID(X938,22,6),""))</f>
        <v/>
      </c>
      <c r="AD938" s="23" t="str">
        <f aca="false">IF(X938="","",RIGHT(X938,6))</f>
        <v/>
      </c>
      <c r="AE938" s="23" t="str">
        <f aca="false">IF(F938="","",IF(ISNUMBER(SEARCH("-TK",UPPER(F938))),0,1))</f>
        <v/>
      </c>
      <c r="AF938" s="23" t="str">
        <f aca="false">IF(F938="","",IF(ISNUMBER(SEARCH("-LED",UPPER(F938))),1,0))</f>
        <v/>
      </c>
      <c r="AG938" s="24" t="n">
        <f aca="false">IF(Z938="",0,IFERROR(INDEX(Resep!$C$5:$C$7,MATCH(LEFT(Z938,3),Resep!$B$5:$B$7,0)),0))</f>
        <v>0</v>
      </c>
      <c r="AH938" s="24" t="n">
        <f aca="false">IF(AA938="",0,IFERROR(INDEX(Resep!$C$9:$C$13,MATCH(LEFT(AA938,3),Resep!$B$9:$B$13,0)),0))</f>
        <v>0</v>
      </c>
      <c r="AI938" s="24" t="n">
        <f aca="false">IF(AB938="",0,IFERROR(INDEX(Resep!$C$9:$C$13,MATCH(LEFT(AB938,3),Resep!$B$9:$B$13,0)),0))</f>
        <v>0</v>
      </c>
      <c r="AJ938" s="24" t="n">
        <f aca="false">IF(AC938="",0,IFERROR(INDEX(Resep!$C$9:$C$13,MATCH(LEFT(AC938,3),Resep!$B$9:$B$13,0)),0))</f>
        <v>0</v>
      </c>
      <c r="AK938" s="24" t="n">
        <f aca="false">IF(AD938="",0,IFERROR(INDEX(Resep!$C$15:$C$18,MATCH(LEFT(AD938,3),Resep!$B$15:$B$18,0)),0))</f>
        <v>0</v>
      </c>
      <c r="AL938" s="24" t="str">
        <f aca="false">IF(X938="","",AG938+AH938+AI938+AJ938+AK938)</f>
        <v/>
      </c>
      <c r="AM938" s="22" t="str">
        <f aca="false">IF(X938="","",AL938*(Pengaturan!$B$6+Pengaturan!$B$7)+Pengaturan!$B$8+AE938*Pengaturan!$B$9+AF938*Pengaturan!$B$10)</f>
        <v/>
      </c>
      <c r="AN938" s="22" t="str">
        <f aca="false">IF(X938="","",N(G938)-AM938)</f>
        <v/>
      </c>
      <c r="AO938" s="25" t="str">
        <f aca="false">IF(OR(X938="",N(G938)=0),"",AN938/G938)</f>
        <v/>
      </c>
    </row>
    <row r="939" customFormat="false" ht="15" hidden="false" customHeight="false" outlineLevel="0" collapsed="false">
      <c r="A939" s="19"/>
      <c r="B939" s="20"/>
      <c r="C939" s="19"/>
      <c r="D939" s="19"/>
      <c r="E939" s="19"/>
      <c r="F939" s="19"/>
      <c r="G939" s="21"/>
      <c r="H939" s="19"/>
      <c r="I939" s="21"/>
      <c r="J939" s="19"/>
      <c r="K939" s="20"/>
      <c r="L939" s="20"/>
      <c r="M939" s="19"/>
      <c r="N939" s="19"/>
      <c r="O939" s="20"/>
      <c r="P939" s="20"/>
      <c r="Q939" s="19"/>
      <c r="R939" s="22" t="str">
        <f aca="false">IF(A939="","",N(G939)+N(I939))</f>
        <v/>
      </c>
      <c r="S939" s="23" t="str">
        <f aca="false">IF(OR(K939="",O939=""),"",O939-K939)</f>
        <v/>
      </c>
      <c r="T939" s="23" t="str">
        <f aca="true">IF(AND(C939="Cetak",L939&lt;&gt;"",L939&lt;TODAY()),"YA","")</f>
        <v/>
      </c>
      <c r="U939" s="23" t="str">
        <f aca="false">IF(B939="","",TEXT(B939,"yyyy-mm"))</f>
        <v/>
      </c>
      <c r="V939" s="23" t="str">
        <f aca="false">IF(K939="","",TEXT(K939,"yyyy-mm"))</f>
        <v/>
      </c>
      <c r="W939" s="23" t="n">
        <f aca="false">IF(OR(C939="Cetak",C939="Dikirim",C939="Selesai"),1,0)</f>
        <v>0</v>
      </c>
      <c r="X939" s="23" t="str">
        <f aca="false">IF(F939="","",SUBSTITUTE(SUBSTITUTE(MID(UPPER(TRIM(F939)),4,99),"-LED",""),"-TK",""))</f>
        <v/>
      </c>
      <c r="Y939" s="23" t="str">
        <f aca="false">IF(X939="","",(LEN(X939)+1)/7)</f>
        <v/>
      </c>
      <c r="Z939" s="23" t="str">
        <f aca="false">IF(X939="","",LEFT(X939,6))</f>
        <v/>
      </c>
      <c r="AA939" s="23" t="str">
        <f aca="false">IF(X939="","",IF(Y939&gt;=3,MID(X939,8,6),""))</f>
        <v/>
      </c>
      <c r="AB939" s="23" t="str">
        <f aca="false">IF(X939="","",IF(Y939&gt;=4,MID(X939,15,6),""))</f>
        <v/>
      </c>
      <c r="AC939" s="23" t="str">
        <f aca="false">IF(X939="","",IF(Y939&gt;=5,MID(X939,22,6),""))</f>
        <v/>
      </c>
      <c r="AD939" s="23" t="str">
        <f aca="false">IF(X939="","",RIGHT(X939,6))</f>
        <v/>
      </c>
      <c r="AE939" s="23" t="str">
        <f aca="false">IF(F939="","",IF(ISNUMBER(SEARCH("-TK",UPPER(F939))),0,1))</f>
        <v/>
      </c>
      <c r="AF939" s="23" t="str">
        <f aca="false">IF(F939="","",IF(ISNUMBER(SEARCH("-LED",UPPER(F939))),1,0))</f>
        <v/>
      </c>
      <c r="AG939" s="24" t="n">
        <f aca="false">IF(Z939="",0,IFERROR(INDEX(Resep!$C$5:$C$7,MATCH(LEFT(Z939,3),Resep!$B$5:$B$7,0)),0))</f>
        <v>0</v>
      </c>
      <c r="AH939" s="24" t="n">
        <f aca="false">IF(AA939="",0,IFERROR(INDEX(Resep!$C$9:$C$13,MATCH(LEFT(AA939,3),Resep!$B$9:$B$13,0)),0))</f>
        <v>0</v>
      </c>
      <c r="AI939" s="24" t="n">
        <f aca="false">IF(AB939="",0,IFERROR(INDEX(Resep!$C$9:$C$13,MATCH(LEFT(AB939,3),Resep!$B$9:$B$13,0)),0))</f>
        <v>0</v>
      </c>
      <c r="AJ939" s="24" t="n">
        <f aca="false">IF(AC939="",0,IFERROR(INDEX(Resep!$C$9:$C$13,MATCH(LEFT(AC939,3),Resep!$B$9:$B$13,0)),0))</f>
        <v>0</v>
      </c>
      <c r="AK939" s="24" t="n">
        <f aca="false">IF(AD939="",0,IFERROR(INDEX(Resep!$C$15:$C$18,MATCH(LEFT(AD939,3),Resep!$B$15:$B$18,0)),0))</f>
        <v>0</v>
      </c>
      <c r="AL939" s="24" t="str">
        <f aca="false">IF(X939="","",AG939+AH939+AI939+AJ939+AK939)</f>
        <v/>
      </c>
      <c r="AM939" s="22" t="str">
        <f aca="false">IF(X939="","",AL939*(Pengaturan!$B$6+Pengaturan!$B$7)+Pengaturan!$B$8+AE939*Pengaturan!$B$9+AF939*Pengaturan!$B$10)</f>
        <v/>
      </c>
      <c r="AN939" s="22" t="str">
        <f aca="false">IF(X939="","",N(G939)-AM939)</f>
        <v/>
      </c>
      <c r="AO939" s="25" t="str">
        <f aca="false">IF(OR(X939="",N(G939)=0),"",AN939/G939)</f>
        <v/>
      </c>
    </row>
    <row r="940" customFormat="false" ht="15" hidden="false" customHeight="false" outlineLevel="0" collapsed="false">
      <c r="A940" s="19"/>
      <c r="B940" s="20"/>
      <c r="C940" s="19"/>
      <c r="D940" s="19"/>
      <c r="E940" s="19"/>
      <c r="F940" s="19"/>
      <c r="G940" s="21"/>
      <c r="H940" s="19"/>
      <c r="I940" s="21"/>
      <c r="J940" s="19"/>
      <c r="K940" s="20"/>
      <c r="L940" s="20"/>
      <c r="M940" s="19"/>
      <c r="N940" s="19"/>
      <c r="O940" s="20"/>
      <c r="P940" s="20"/>
      <c r="Q940" s="19"/>
      <c r="R940" s="22" t="str">
        <f aca="false">IF(A940="","",N(G940)+N(I940))</f>
        <v/>
      </c>
      <c r="S940" s="23" t="str">
        <f aca="false">IF(OR(K940="",O940=""),"",O940-K940)</f>
        <v/>
      </c>
      <c r="T940" s="23" t="str">
        <f aca="true">IF(AND(C940="Cetak",L940&lt;&gt;"",L940&lt;TODAY()),"YA","")</f>
        <v/>
      </c>
      <c r="U940" s="23" t="str">
        <f aca="false">IF(B940="","",TEXT(B940,"yyyy-mm"))</f>
        <v/>
      </c>
      <c r="V940" s="23" t="str">
        <f aca="false">IF(K940="","",TEXT(K940,"yyyy-mm"))</f>
        <v/>
      </c>
      <c r="W940" s="23" t="n">
        <f aca="false">IF(OR(C940="Cetak",C940="Dikirim",C940="Selesai"),1,0)</f>
        <v>0</v>
      </c>
      <c r="X940" s="23" t="str">
        <f aca="false">IF(F940="","",SUBSTITUTE(SUBSTITUTE(MID(UPPER(TRIM(F940)),4,99),"-LED",""),"-TK",""))</f>
        <v/>
      </c>
      <c r="Y940" s="23" t="str">
        <f aca="false">IF(X940="","",(LEN(X940)+1)/7)</f>
        <v/>
      </c>
      <c r="Z940" s="23" t="str">
        <f aca="false">IF(X940="","",LEFT(X940,6))</f>
        <v/>
      </c>
      <c r="AA940" s="23" t="str">
        <f aca="false">IF(X940="","",IF(Y940&gt;=3,MID(X940,8,6),""))</f>
        <v/>
      </c>
      <c r="AB940" s="23" t="str">
        <f aca="false">IF(X940="","",IF(Y940&gt;=4,MID(X940,15,6),""))</f>
        <v/>
      </c>
      <c r="AC940" s="23" t="str">
        <f aca="false">IF(X940="","",IF(Y940&gt;=5,MID(X940,22,6),""))</f>
        <v/>
      </c>
      <c r="AD940" s="23" t="str">
        <f aca="false">IF(X940="","",RIGHT(X940,6))</f>
        <v/>
      </c>
      <c r="AE940" s="23" t="str">
        <f aca="false">IF(F940="","",IF(ISNUMBER(SEARCH("-TK",UPPER(F940))),0,1))</f>
        <v/>
      </c>
      <c r="AF940" s="23" t="str">
        <f aca="false">IF(F940="","",IF(ISNUMBER(SEARCH("-LED",UPPER(F940))),1,0))</f>
        <v/>
      </c>
      <c r="AG940" s="24" t="n">
        <f aca="false">IF(Z940="",0,IFERROR(INDEX(Resep!$C$5:$C$7,MATCH(LEFT(Z940,3),Resep!$B$5:$B$7,0)),0))</f>
        <v>0</v>
      </c>
      <c r="AH940" s="24" t="n">
        <f aca="false">IF(AA940="",0,IFERROR(INDEX(Resep!$C$9:$C$13,MATCH(LEFT(AA940,3),Resep!$B$9:$B$13,0)),0))</f>
        <v>0</v>
      </c>
      <c r="AI940" s="24" t="n">
        <f aca="false">IF(AB940="",0,IFERROR(INDEX(Resep!$C$9:$C$13,MATCH(LEFT(AB940,3),Resep!$B$9:$B$13,0)),0))</f>
        <v>0</v>
      </c>
      <c r="AJ940" s="24" t="n">
        <f aca="false">IF(AC940="",0,IFERROR(INDEX(Resep!$C$9:$C$13,MATCH(LEFT(AC940,3),Resep!$B$9:$B$13,0)),0))</f>
        <v>0</v>
      </c>
      <c r="AK940" s="24" t="n">
        <f aca="false">IF(AD940="",0,IFERROR(INDEX(Resep!$C$15:$C$18,MATCH(LEFT(AD940,3),Resep!$B$15:$B$18,0)),0))</f>
        <v>0</v>
      </c>
      <c r="AL940" s="24" t="str">
        <f aca="false">IF(X940="","",AG940+AH940+AI940+AJ940+AK940)</f>
        <v/>
      </c>
      <c r="AM940" s="22" t="str">
        <f aca="false">IF(X940="","",AL940*(Pengaturan!$B$6+Pengaturan!$B$7)+Pengaturan!$B$8+AE940*Pengaturan!$B$9+AF940*Pengaturan!$B$10)</f>
        <v/>
      </c>
      <c r="AN940" s="22" t="str">
        <f aca="false">IF(X940="","",N(G940)-AM940)</f>
        <v/>
      </c>
      <c r="AO940" s="25" t="str">
        <f aca="false">IF(OR(X940="",N(G940)=0),"",AN940/G940)</f>
        <v/>
      </c>
    </row>
    <row r="941" customFormat="false" ht="15" hidden="false" customHeight="false" outlineLevel="0" collapsed="false">
      <c r="A941" s="19"/>
      <c r="B941" s="20"/>
      <c r="C941" s="19"/>
      <c r="D941" s="19"/>
      <c r="E941" s="19"/>
      <c r="F941" s="19"/>
      <c r="G941" s="21"/>
      <c r="H941" s="19"/>
      <c r="I941" s="21"/>
      <c r="J941" s="19"/>
      <c r="K941" s="20"/>
      <c r="L941" s="20"/>
      <c r="M941" s="19"/>
      <c r="N941" s="19"/>
      <c r="O941" s="20"/>
      <c r="P941" s="20"/>
      <c r="Q941" s="19"/>
      <c r="R941" s="22" t="str">
        <f aca="false">IF(A941="","",N(G941)+N(I941))</f>
        <v/>
      </c>
      <c r="S941" s="23" t="str">
        <f aca="false">IF(OR(K941="",O941=""),"",O941-K941)</f>
        <v/>
      </c>
      <c r="T941" s="23" t="str">
        <f aca="true">IF(AND(C941="Cetak",L941&lt;&gt;"",L941&lt;TODAY()),"YA","")</f>
        <v/>
      </c>
      <c r="U941" s="23" t="str">
        <f aca="false">IF(B941="","",TEXT(B941,"yyyy-mm"))</f>
        <v/>
      </c>
      <c r="V941" s="23" t="str">
        <f aca="false">IF(K941="","",TEXT(K941,"yyyy-mm"))</f>
        <v/>
      </c>
      <c r="W941" s="23" t="n">
        <f aca="false">IF(OR(C941="Cetak",C941="Dikirim",C941="Selesai"),1,0)</f>
        <v>0</v>
      </c>
      <c r="X941" s="23" t="str">
        <f aca="false">IF(F941="","",SUBSTITUTE(SUBSTITUTE(MID(UPPER(TRIM(F941)),4,99),"-LED",""),"-TK",""))</f>
        <v/>
      </c>
      <c r="Y941" s="23" t="str">
        <f aca="false">IF(X941="","",(LEN(X941)+1)/7)</f>
        <v/>
      </c>
      <c r="Z941" s="23" t="str">
        <f aca="false">IF(X941="","",LEFT(X941,6))</f>
        <v/>
      </c>
      <c r="AA941" s="23" t="str">
        <f aca="false">IF(X941="","",IF(Y941&gt;=3,MID(X941,8,6),""))</f>
        <v/>
      </c>
      <c r="AB941" s="23" t="str">
        <f aca="false">IF(X941="","",IF(Y941&gt;=4,MID(X941,15,6),""))</f>
        <v/>
      </c>
      <c r="AC941" s="23" t="str">
        <f aca="false">IF(X941="","",IF(Y941&gt;=5,MID(X941,22,6),""))</f>
        <v/>
      </c>
      <c r="AD941" s="23" t="str">
        <f aca="false">IF(X941="","",RIGHT(X941,6))</f>
        <v/>
      </c>
      <c r="AE941" s="23" t="str">
        <f aca="false">IF(F941="","",IF(ISNUMBER(SEARCH("-TK",UPPER(F941))),0,1))</f>
        <v/>
      </c>
      <c r="AF941" s="23" t="str">
        <f aca="false">IF(F941="","",IF(ISNUMBER(SEARCH("-LED",UPPER(F941))),1,0))</f>
        <v/>
      </c>
      <c r="AG941" s="24" t="n">
        <f aca="false">IF(Z941="",0,IFERROR(INDEX(Resep!$C$5:$C$7,MATCH(LEFT(Z941,3),Resep!$B$5:$B$7,0)),0))</f>
        <v>0</v>
      </c>
      <c r="AH941" s="24" t="n">
        <f aca="false">IF(AA941="",0,IFERROR(INDEX(Resep!$C$9:$C$13,MATCH(LEFT(AA941,3),Resep!$B$9:$B$13,0)),0))</f>
        <v>0</v>
      </c>
      <c r="AI941" s="24" t="n">
        <f aca="false">IF(AB941="",0,IFERROR(INDEX(Resep!$C$9:$C$13,MATCH(LEFT(AB941,3),Resep!$B$9:$B$13,0)),0))</f>
        <v>0</v>
      </c>
      <c r="AJ941" s="24" t="n">
        <f aca="false">IF(AC941="",0,IFERROR(INDEX(Resep!$C$9:$C$13,MATCH(LEFT(AC941,3),Resep!$B$9:$B$13,0)),0))</f>
        <v>0</v>
      </c>
      <c r="AK941" s="24" t="n">
        <f aca="false">IF(AD941="",0,IFERROR(INDEX(Resep!$C$15:$C$18,MATCH(LEFT(AD941,3),Resep!$B$15:$B$18,0)),0))</f>
        <v>0</v>
      </c>
      <c r="AL941" s="24" t="str">
        <f aca="false">IF(X941="","",AG941+AH941+AI941+AJ941+AK941)</f>
        <v/>
      </c>
      <c r="AM941" s="22" t="str">
        <f aca="false">IF(X941="","",AL941*(Pengaturan!$B$6+Pengaturan!$B$7)+Pengaturan!$B$8+AE941*Pengaturan!$B$9+AF941*Pengaturan!$B$10)</f>
        <v/>
      </c>
      <c r="AN941" s="22" t="str">
        <f aca="false">IF(X941="","",N(G941)-AM941)</f>
        <v/>
      </c>
      <c r="AO941" s="25" t="str">
        <f aca="false">IF(OR(X941="",N(G941)=0),"",AN941/G941)</f>
        <v/>
      </c>
    </row>
    <row r="942" customFormat="false" ht="15" hidden="false" customHeight="false" outlineLevel="0" collapsed="false">
      <c r="A942" s="19"/>
      <c r="B942" s="20"/>
      <c r="C942" s="19"/>
      <c r="D942" s="19"/>
      <c r="E942" s="19"/>
      <c r="F942" s="19"/>
      <c r="G942" s="21"/>
      <c r="H942" s="19"/>
      <c r="I942" s="21"/>
      <c r="J942" s="19"/>
      <c r="K942" s="20"/>
      <c r="L942" s="20"/>
      <c r="M942" s="19"/>
      <c r="N942" s="19"/>
      <c r="O942" s="20"/>
      <c r="P942" s="20"/>
      <c r="Q942" s="19"/>
      <c r="R942" s="22" t="str">
        <f aca="false">IF(A942="","",N(G942)+N(I942))</f>
        <v/>
      </c>
      <c r="S942" s="23" t="str">
        <f aca="false">IF(OR(K942="",O942=""),"",O942-K942)</f>
        <v/>
      </c>
      <c r="T942" s="23" t="str">
        <f aca="true">IF(AND(C942="Cetak",L942&lt;&gt;"",L942&lt;TODAY()),"YA","")</f>
        <v/>
      </c>
      <c r="U942" s="23" t="str">
        <f aca="false">IF(B942="","",TEXT(B942,"yyyy-mm"))</f>
        <v/>
      </c>
      <c r="V942" s="23" t="str">
        <f aca="false">IF(K942="","",TEXT(K942,"yyyy-mm"))</f>
        <v/>
      </c>
      <c r="W942" s="23" t="n">
        <f aca="false">IF(OR(C942="Cetak",C942="Dikirim",C942="Selesai"),1,0)</f>
        <v>0</v>
      </c>
      <c r="X942" s="23" t="str">
        <f aca="false">IF(F942="","",SUBSTITUTE(SUBSTITUTE(MID(UPPER(TRIM(F942)),4,99),"-LED",""),"-TK",""))</f>
        <v/>
      </c>
      <c r="Y942" s="23" t="str">
        <f aca="false">IF(X942="","",(LEN(X942)+1)/7)</f>
        <v/>
      </c>
      <c r="Z942" s="23" t="str">
        <f aca="false">IF(X942="","",LEFT(X942,6))</f>
        <v/>
      </c>
      <c r="AA942" s="23" t="str">
        <f aca="false">IF(X942="","",IF(Y942&gt;=3,MID(X942,8,6),""))</f>
        <v/>
      </c>
      <c r="AB942" s="23" t="str">
        <f aca="false">IF(X942="","",IF(Y942&gt;=4,MID(X942,15,6),""))</f>
        <v/>
      </c>
      <c r="AC942" s="23" t="str">
        <f aca="false">IF(X942="","",IF(Y942&gt;=5,MID(X942,22,6),""))</f>
        <v/>
      </c>
      <c r="AD942" s="23" t="str">
        <f aca="false">IF(X942="","",RIGHT(X942,6))</f>
        <v/>
      </c>
      <c r="AE942" s="23" t="str">
        <f aca="false">IF(F942="","",IF(ISNUMBER(SEARCH("-TK",UPPER(F942))),0,1))</f>
        <v/>
      </c>
      <c r="AF942" s="23" t="str">
        <f aca="false">IF(F942="","",IF(ISNUMBER(SEARCH("-LED",UPPER(F942))),1,0))</f>
        <v/>
      </c>
      <c r="AG942" s="24" t="n">
        <f aca="false">IF(Z942="",0,IFERROR(INDEX(Resep!$C$5:$C$7,MATCH(LEFT(Z942,3),Resep!$B$5:$B$7,0)),0))</f>
        <v>0</v>
      </c>
      <c r="AH942" s="24" t="n">
        <f aca="false">IF(AA942="",0,IFERROR(INDEX(Resep!$C$9:$C$13,MATCH(LEFT(AA942,3),Resep!$B$9:$B$13,0)),0))</f>
        <v>0</v>
      </c>
      <c r="AI942" s="24" t="n">
        <f aca="false">IF(AB942="",0,IFERROR(INDEX(Resep!$C$9:$C$13,MATCH(LEFT(AB942,3),Resep!$B$9:$B$13,0)),0))</f>
        <v>0</v>
      </c>
      <c r="AJ942" s="24" t="n">
        <f aca="false">IF(AC942="",0,IFERROR(INDEX(Resep!$C$9:$C$13,MATCH(LEFT(AC942,3),Resep!$B$9:$B$13,0)),0))</f>
        <v>0</v>
      </c>
      <c r="AK942" s="24" t="n">
        <f aca="false">IF(AD942="",0,IFERROR(INDEX(Resep!$C$15:$C$18,MATCH(LEFT(AD942,3),Resep!$B$15:$B$18,0)),0))</f>
        <v>0</v>
      </c>
      <c r="AL942" s="24" t="str">
        <f aca="false">IF(X942="","",AG942+AH942+AI942+AJ942+AK942)</f>
        <v/>
      </c>
      <c r="AM942" s="22" t="str">
        <f aca="false">IF(X942="","",AL942*(Pengaturan!$B$6+Pengaturan!$B$7)+Pengaturan!$B$8+AE942*Pengaturan!$B$9+AF942*Pengaturan!$B$10)</f>
        <v/>
      </c>
      <c r="AN942" s="22" t="str">
        <f aca="false">IF(X942="","",N(G942)-AM942)</f>
        <v/>
      </c>
      <c r="AO942" s="25" t="str">
        <f aca="false">IF(OR(X942="",N(G942)=0),"",AN942/G942)</f>
        <v/>
      </c>
    </row>
    <row r="943" customFormat="false" ht="15" hidden="false" customHeight="false" outlineLevel="0" collapsed="false">
      <c r="A943" s="19"/>
      <c r="B943" s="20"/>
      <c r="C943" s="19"/>
      <c r="D943" s="19"/>
      <c r="E943" s="19"/>
      <c r="F943" s="19"/>
      <c r="G943" s="21"/>
      <c r="H943" s="19"/>
      <c r="I943" s="21"/>
      <c r="J943" s="19"/>
      <c r="K943" s="20"/>
      <c r="L943" s="20"/>
      <c r="M943" s="19"/>
      <c r="N943" s="19"/>
      <c r="O943" s="20"/>
      <c r="P943" s="20"/>
      <c r="Q943" s="19"/>
      <c r="R943" s="22" t="str">
        <f aca="false">IF(A943="","",N(G943)+N(I943))</f>
        <v/>
      </c>
      <c r="S943" s="23" t="str">
        <f aca="false">IF(OR(K943="",O943=""),"",O943-K943)</f>
        <v/>
      </c>
      <c r="T943" s="23" t="str">
        <f aca="true">IF(AND(C943="Cetak",L943&lt;&gt;"",L943&lt;TODAY()),"YA","")</f>
        <v/>
      </c>
      <c r="U943" s="23" t="str">
        <f aca="false">IF(B943="","",TEXT(B943,"yyyy-mm"))</f>
        <v/>
      </c>
      <c r="V943" s="23" t="str">
        <f aca="false">IF(K943="","",TEXT(K943,"yyyy-mm"))</f>
        <v/>
      </c>
      <c r="W943" s="23" t="n">
        <f aca="false">IF(OR(C943="Cetak",C943="Dikirim",C943="Selesai"),1,0)</f>
        <v>0</v>
      </c>
      <c r="X943" s="23" t="str">
        <f aca="false">IF(F943="","",SUBSTITUTE(SUBSTITUTE(MID(UPPER(TRIM(F943)),4,99),"-LED",""),"-TK",""))</f>
        <v/>
      </c>
      <c r="Y943" s="23" t="str">
        <f aca="false">IF(X943="","",(LEN(X943)+1)/7)</f>
        <v/>
      </c>
      <c r="Z943" s="23" t="str">
        <f aca="false">IF(X943="","",LEFT(X943,6))</f>
        <v/>
      </c>
      <c r="AA943" s="23" t="str">
        <f aca="false">IF(X943="","",IF(Y943&gt;=3,MID(X943,8,6),""))</f>
        <v/>
      </c>
      <c r="AB943" s="23" t="str">
        <f aca="false">IF(X943="","",IF(Y943&gt;=4,MID(X943,15,6),""))</f>
        <v/>
      </c>
      <c r="AC943" s="23" t="str">
        <f aca="false">IF(X943="","",IF(Y943&gt;=5,MID(X943,22,6),""))</f>
        <v/>
      </c>
      <c r="AD943" s="23" t="str">
        <f aca="false">IF(X943="","",RIGHT(X943,6))</f>
        <v/>
      </c>
      <c r="AE943" s="23" t="str">
        <f aca="false">IF(F943="","",IF(ISNUMBER(SEARCH("-TK",UPPER(F943))),0,1))</f>
        <v/>
      </c>
      <c r="AF943" s="23" t="str">
        <f aca="false">IF(F943="","",IF(ISNUMBER(SEARCH("-LED",UPPER(F943))),1,0))</f>
        <v/>
      </c>
      <c r="AG943" s="24" t="n">
        <f aca="false">IF(Z943="",0,IFERROR(INDEX(Resep!$C$5:$C$7,MATCH(LEFT(Z943,3),Resep!$B$5:$B$7,0)),0))</f>
        <v>0</v>
      </c>
      <c r="AH943" s="24" t="n">
        <f aca="false">IF(AA943="",0,IFERROR(INDEX(Resep!$C$9:$C$13,MATCH(LEFT(AA943,3),Resep!$B$9:$B$13,0)),0))</f>
        <v>0</v>
      </c>
      <c r="AI943" s="24" t="n">
        <f aca="false">IF(AB943="",0,IFERROR(INDEX(Resep!$C$9:$C$13,MATCH(LEFT(AB943,3),Resep!$B$9:$B$13,0)),0))</f>
        <v>0</v>
      </c>
      <c r="AJ943" s="24" t="n">
        <f aca="false">IF(AC943="",0,IFERROR(INDEX(Resep!$C$9:$C$13,MATCH(LEFT(AC943,3),Resep!$B$9:$B$13,0)),0))</f>
        <v>0</v>
      </c>
      <c r="AK943" s="24" t="n">
        <f aca="false">IF(AD943="",0,IFERROR(INDEX(Resep!$C$15:$C$18,MATCH(LEFT(AD943,3),Resep!$B$15:$B$18,0)),0))</f>
        <v>0</v>
      </c>
      <c r="AL943" s="24" t="str">
        <f aca="false">IF(X943="","",AG943+AH943+AI943+AJ943+AK943)</f>
        <v/>
      </c>
      <c r="AM943" s="22" t="str">
        <f aca="false">IF(X943="","",AL943*(Pengaturan!$B$6+Pengaturan!$B$7)+Pengaturan!$B$8+AE943*Pengaturan!$B$9+AF943*Pengaturan!$B$10)</f>
        <v/>
      </c>
      <c r="AN943" s="22" t="str">
        <f aca="false">IF(X943="","",N(G943)-AM943)</f>
        <v/>
      </c>
      <c r="AO943" s="25" t="str">
        <f aca="false">IF(OR(X943="",N(G943)=0),"",AN943/G943)</f>
        <v/>
      </c>
    </row>
    <row r="944" customFormat="false" ht="15" hidden="false" customHeight="false" outlineLevel="0" collapsed="false">
      <c r="A944" s="19"/>
      <c r="B944" s="20"/>
      <c r="C944" s="19"/>
      <c r="D944" s="19"/>
      <c r="E944" s="19"/>
      <c r="F944" s="19"/>
      <c r="G944" s="21"/>
      <c r="H944" s="19"/>
      <c r="I944" s="21"/>
      <c r="J944" s="19"/>
      <c r="K944" s="20"/>
      <c r="L944" s="20"/>
      <c r="M944" s="19"/>
      <c r="N944" s="19"/>
      <c r="O944" s="20"/>
      <c r="P944" s="20"/>
      <c r="Q944" s="19"/>
      <c r="R944" s="22" t="str">
        <f aca="false">IF(A944="","",N(G944)+N(I944))</f>
        <v/>
      </c>
      <c r="S944" s="23" t="str">
        <f aca="false">IF(OR(K944="",O944=""),"",O944-K944)</f>
        <v/>
      </c>
      <c r="T944" s="23" t="str">
        <f aca="true">IF(AND(C944="Cetak",L944&lt;&gt;"",L944&lt;TODAY()),"YA","")</f>
        <v/>
      </c>
      <c r="U944" s="23" t="str">
        <f aca="false">IF(B944="","",TEXT(B944,"yyyy-mm"))</f>
        <v/>
      </c>
      <c r="V944" s="23" t="str">
        <f aca="false">IF(K944="","",TEXT(K944,"yyyy-mm"))</f>
        <v/>
      </c>
      <c r="W944" s="23" t="n">
        <f aca="false">IF(OR(C944="Cetak",C944="Dikirim",C944="Selesai"),1,0)</f>
        <v>0</v>
      </c>
      <c r="X944" s="23" t="str">
        <f aca="false">IF(F944="","",SUBSTITUTE(SUBSTITUTE(MID(UPPER(TRIM(F944)),4,99),"-LED",""),"-TK",""))</f>
        <v/>
      </c>
      <c r="Y944" s="23" t="str">
        <f aca="false">IF(X944="","",(LEN(X944)+1)/7)</f>
        <v/>
      </c>
      <c r="Z944" s="23" t="str">
        <f aca="false">IF(X944="","",LEFT(X944,6))</f>
        <v/>
      </c>
      <c r="AA944" s="23" t="str">
        <f aca="false">IF(X944="","",IF(Y944&gt;=3,MID(X944,8,6),""))</f>
        <v/>
      </c>
      <c r="AB944" s="23" t="str">
        <f aca="false">IF(X944="","",IF(Y944&gt;=4,MID(X944,15,6),""))</f>
        <v/>
      </c>
      <c r="AC944" s="23" t="str">
        <f aca="false">IF(X944="","",IF(Y944&gt;=5,MID(X944,22,6),""))</f>
        <v/>
      </c>
      <c r="AD944" s="23" t="str">
        <f aca="false">IF(X944="","",RIGHT(X944,6))</f>
        <v/>
      </c>
      <c r="AE944" s="23" t="str">
        <f aca="false">IF(F944="","",IF(ISNUMBER(SEARCH("-TK",UPPER(F944))),0,1))</f>
        <v/>
      </c>
      <c r="AF944" s="23" t="str">
        <f aca="false">IF(F944="","",IF(ISNUMBER(SEARCH("-LED",UPPER(F944))),1,0))</f>
        <v/>
      </c>
      <c r="AG944" s="24" t="n">
        <f aca="false">IF(Z944="",0,IFERROR(INDEX(Resep!$C$5:$C$7,MATCH(LEFT(Z944,3),Resep!$B$5:$B$7,0)),0))</f>
        <v>0</v>
      </c>
      <c r="AH944" s="24" t="n">
        <f aca="false">IF(AA944="",0,IFERROR(INDEX(Resep!$C$9:$C$13,MATCH(LEFT(AA944,3),Resep!$B$9:$B$13,0)),0))</f>
        <v>0</v>
      </c>
      <c r="AI944" s="24" t="n">
        <f aca="false">IF(AB944="",0,IFERROR(INDEX(Resep!$C$9:$C$13,MATCH(LEFT(AB944,3),Resep!$B$9:$B$13,0)),0))</f>
        <v>0</v>
      </c>
      <c r="AJ944" s="24" t="n">
        <f aca="false">IF(AC944="",0,IFERROR(INDEX(Resep!$C$9:$C$13,MATCH(LEFT(AC944,3),Resep!$B$9:$B$13,0)),0))</f>
        <v>0</v>
      </c>
      <c r="AK944" s="24" t="n">
        <f aca="false">IF(AD944="",0,IFERROR(INDEX(Resep!$C$15:$C$18,MATCH(LEFT(AD944,3),Resep!$B$15:$B$18,0)),0))</f>
        <v>0</v>
      </c>
      <c r="AL944" s="24" t="str">
        <f aca="false">IF(X944="","",AG944+AH944+AI944+AJ944+AK944)</f>
        <v/>
      </c>
      <c r="AM944" s="22" t="str">
        <f aca="false">IF(X944="","",AL944*(Pengaturan!$B$6+Pengaturan!$B$7)+Pengaturan!$B$8+AE944*Pengaturan!$B$9+AF944*Pengaturan!$B$10)</f>
        <v/>
      </c>
      <c r="AN944" s="22" t="str">
        <f aca="false">IF(X944="","",N(G944)-AM944)</f>
        <v/>
      </c>
      <c r="AO944" s="25" t="str">
        <f aca="false">IF(OR(X944="",N(G944)=0),"",AN944/G944)</f>
        <v/>
      </c>
    </row>
    <row r="945" customFormat="false" ht="15" hidden="false" customHeight="false" outlineLevel="0" collapsed="false">
      <c r="A945" s="19"/>
      <c r="B945" s="20"/>
      <c r="C945" s="19"/>
      <c r="D945" s="19"/>
      <c r="E945" s="19"/>
      <c r="F945" s="19"/>
      <c r="G945" s="21"/>
      <c r="H945" s="19"/>
      <c r="I945" s="21"/>
      <c r="J945" s="19"/>
      <c r="K945" s="20"/>
      <c r="L945" s="20"/>
      <c r="M945" s="19"/>
      <c r="N945" s="19"/>
      <c r="O945" s="20"/>
      <c r="P945" s="20"/>
      <c r="Q945" s="19"/>
      <c r="R945" s="22" t="str">
        <f aca="false">IF(A945="","",N(G945)+N(I945))</f>
        <v/>
      </c>
      <c r="S945" s="23" t="str">
        <f aca="false">IF(OR(K945="",O945=""),"",O945-K945)</f>
        <v/>
      </c>
      <c r="T945" s="23" t="str">
        <f aca="true">IF(AND(C945="Cetak",L945&lt;&gt;"",L945&lt;TODAY()),"YA","")</f>
        <v/>
      </c>
      <c r="U945" s="23" t="str">
        <f aca="false">IF(B945="","",TEXT(B945,"yyyy-mm"))</f>
        <v/>
      </c>
      <c r="V945" s="23" t="str">
        <f aca="false">IF(K945="","",TEXT(K945,"yyyy-mm"))</f>
        <v/>
      </c>
      <c r="W945" s="23" t="n">
        <f aca="false">IF(OR(C945="Cetak",C945="Dikirim",C945="Selesai"),1,0)</f>
        <v>0</v>
      </c>
      <c r="X945" s="23" t="str">
        <f aca="false">IF(F945="","",SUBSTITUTE(SUBSTITUTE(MID(UPPER(TRIM(F945)),4,99),"-LED",""),"-TK",""))</f>
        <v/>
      </c>
      <c r="Y945" s="23" t="str">
        <f aca="false">IF(X945="","",(LEN(X945)+1)/7)</f>
        <v/>
      </c>
      <c r="Z945" s="23" t="str">
        <f aca="false">IF(X945="","",LEFT(X945,6))</f>
        <v/>
      </c>
      <c r="AA945" s="23" t="str">
        <f aca="false">IF(X945="","",IF(Y945&gt;=3,MID(X945,8,6),""))</f>
        <v/>
      </c>
      <c r="AB945" s="23" t="str">
        <f aca="false">IF(X945="","",IF(Y945&gt;=4,MID(X945,15,6),""))</f>
        <v/>
      </c>
      <c r="AC945" s="23" t="str">
        <f aca="false">IF(X945="","",IF(Y945&gt;=5,MID(X945,22,6),""))</f>
        <v/>
      </c>
      <c r="AD945" s="23" t="str">
        <f aca="false">IF(X945="","",RIGHT(X945,6))</f>
        <v/>
      </c>
      <c r="AE945" s="23" t="str">
        <f aca="false">IF(F945="","",IF(ISNUMBER(SEARCH("-TK",UPPER(F945))),0,1))</f>
        <v/>
      </c>
      <c r="AF945" s="23" t="str">
        <f aca="false">IF(F945="","",IF(ISNUMBER(SEARCH("-LED",UPPER(F945))),1,0))</f>
        <v/>
      </c>
      <c r="AG945" s="24" t="n">
        <f aca="false">IF(Z945="",0,IFERROR(INDEX(Resep!$C$5:$C$7,MATCH(LEFT(Z945,3),Resep!$B$5:$B$7,0)),0))</f>
        <v>0</v>
      </c>
      <c r="AH945" s="24" t="n">
        <f aca="false">IF(AA945="",0,IFERROR(INDEX(Resep!$C$9:$C$13,MATCH(LEFT(AA945,3),Resep!$B$9:$B$13,0)),0))</f>
        <v>0</v>
      </c>
      <c r="AI945" s="24" t="n">
        <f aca="false">IF(AB945="",0,IFERROR(INDEX(Resep!$C$9:$C$13,MATCH(LEFT(AB945,3),Resep!$B$9:$B$13,0)),0))</f>
        <v>0</v>
      </c>
      <c r="AJ945" s="24" t="n">
        <f aca="false">IF(AC945="",0,IFERROR(INDEX(Resep!$C$9:$C$13,MATCH(LEFT(AC945,3),Resep!$B$9:$B$13,0)),0))</f>
        <v>0</v>
      </c>
      <c r="AK945" s="24" t="n">
        <f aca="false">IF(AD945="",0,IFERROR(INDEX(Resep!$C$15:$C$18,MATCH(LEFT(AD945,3),Resep!$B$15:$B$18,0)),0))</f>
        <v>0</v>
      </c>
      <c r="AL945" s="24" t="str">
        <f aca="false">IF(X945="","",AG945+AH945+AI945+AJ945+AK945)</f>
        <v/>
      </c>
      <c r="AM945" s="22" t="str">
        <f aca="false">IF(X945="","",AL945*(Pengaturan!$B$6+Pengaturan!$B$7)+Pengaturan!$B$8+AE945*Pengaturan!$B$9+AF945*Pengaturan!$B$10)</f>
        <v/>
      </c>
      <c r="AN945" s="22" t="str">
        <f aca="false">IF(X945="","",N(G945)-AM945)</f>
        <v/>
      </c>
      <c r="AO945" s="25" t="str">
        <f aca="false">IF(OR(X945="",N(G945)=0),"",AN945/G945)</f>
        <v/>
      </c>
    </row>
    <row r="946" customFormat="false" ht="15" hidden="false" customHeight="false" outlineLevel="0" collapsed="false">
      <c r="A946" s="19"/>
      <c r="B946" s="20"/>
      <c r="C946" s="19"/>
      <c r="D946" s="19"/>
      <c r="E946" s="19"/>
      <c r="F946" s="19"/>
      <c r="G946" s="21"/>
      <c r="H946" s="19"/>
      <c r="I946" s="21"/>
      <c r="J946" s="19"/>
      <c r="K946" s="20"/>
      <c r="L946" s="20"/>
      <c r="M946" s="19"/>
      <c r="N946" s="19"/>
      <c r="O946" s="20"/>
      <c r="P946" s="20"/>
      <c r="Q946" s="19"/>
      <c r="R946" s="22" t="str">
        <f aca="false">IF(A946="","",N(G946)+N(I946))</f>
        <v/>
      </c>
      <c r="S946" s="23" t="str">
        <f aca="false">IF(OR(K946="",O946=""),"",O946-K946)</f>
        <v/>
      </c>
      <c r="T946" s="23" t="str">
        <f aca="true">IF(AND(C946="Cetak",L946&lt;&gt;"",L946&lt;TODAY()),"YA","")</f>
        <v/>
      </c>
      <c r="U946" s="23" t="str">
        <f aca="false">IF(B946="","",TEXT(B946,"yyyy-mm"))</f>
        <v/>
      </c>
      <c r="V946" s="23" t="str">
        <f aca="false">IF(K946="","",TEXT(K946,"yyyy-mm"))</f>
        <v/>
      </c>
      <c r="W946" s="23" t="n">
        <f aca="false">IF(OR(C946="Cetak",C946="Dikirim",C946="Selesai"),1,0)</f>
        <v>0</v>
      </c>
      <c r="X946" s="23" t="str">
        <f aca="false">IF(F946="","",SUBSTITUTE(SUBSTITUTE(MID(UPPER(TRIM(F946)),4,99),"-LED",""),"-TK",""))</f>
        <v/>
      </c>
      <c r="Y946" s="23" t="str">
        <f aca="false">IF(X946="","",(LEN(X946)+1)/7)</f>
        <v/>
      </c>
      <c r="Z946" s="23" t="str">
        <f aca="false">IF(X946="","",LEFT(X946,6))</f>
        <v/>
      </c>
      <c r="AA946" s="23" t="str">
        <f aca="false">IF(X946="","",IF(Y946&gt;=3,MID(X946,8,6),""))</f>
        <v/>
      </c>
      <c r="AB946" s="23" t="str">
        <f aca="false">IF(X946="","",IF(Y946&gt;=4,MID(X946,15,6),""))</f>
        <v/>
      </c>
      <c r="AC946" s="23" t="str">
        <f aca="false">IF(X946="","",IF(Y946&gt;=5,MID(X946,22,6),""))</f>
        <v/>
      </c>
      <c r="AD946" s="23" t="str">
        <f aca="false">IF(X946="","",RIGHT(X946,6))</f>
        <v/>
      </c>
      <c r="AE946" s="23" t="str">
        <f aca="false">IF(F946="","",IF(ISNUMBER(SEARCH("-TK",UPPER(F946))),0,1))</f>
        <v/>
      </c>
      <c r="AF946" s="23" t="str">
        <f aca="false">IF(F946="","",IF(ISNUMBER(SEARCH("-LED",UPPER(F946))),1,0))</f>
        <v/>
      </c>
      <c r="AG946" s="24" t="n">
        <f aca="false">IF(Z946="",0,IFERROR(INDEX(Resep!$C$5:$C$7,MATCH(LEFT(Z946,3),Resep!$B$5:$B$7,0)),0))</f>
        <v>0</v>
      </c>
      <c r="AH946" s="24" t="n">
        <f aca="false">IF(AA946="",0,IFERROR(INDEX(Resep!$C$9:$C$13,MATCH(LEFT(AA946,3),Resep!$B$9:$B$13,0)),0))</f>
        <v>0</v>
      </c>
      <c r="AI946" s="24" t="n">
        <f aca="false">IF(AB946="",0,IFERROR(INDEX(Resep!$C$9:$C$13,MATCH(LEFT(AB946,3),Resep!$B$9:$B$13,0)),0))</f>
        <v>0</v>
      </c>
      <c r="AJ946" s="24" t="n">
        <f aca="false">IF(AC946="",0,IFERROR(INDEX(Resep!$C$9:$C$13,MATCH(LEFT(AC946,3),Resep!$B$9:$B$13,0)),0))</f>
        <v>0</v>
      </c>
      <c r="AK946" s="24" t="n">
        <f aca="false">IF(AD946="",0,IFERROR(INDEX(Resep!$C$15:$C$18,MATCH(LEFT(AD946,3),Resep!$B$15:$B$18,0)),0))</f>
        <v>0</v>
      </c>
      <c r="AL946" s="24" t="str">
        <f aca="false">IF(X946="","",AG946+AH946+AI946+AJ946+AK946)</f>
        <v/>
      </c>
      <c r="AM946" s="22" t="str">
        <f aca="false">IF(X946="","",AL946*(Pengaturan!$B$6+Pengaturan!$B$7)+Pengaturan!$B$8+AE946*Pengaturan!$B$9+AF946*Pengaturan!$B$10)</f>
        <v/>
      </c>
      <c r="AN946" s="22" t="str">
        <f aca="false">IF(X946="","",N(G946)-AM946)</f>
        <v/>
      </c>
      <c r="AO946" s="25" t="str">
        <f aca="false">IF(OR(X946="",N(G946)=0),"",AN946/G946)</f>
        <v/>
      </c>
    </row>
    <row r="947" customFormat="false" ht="15" hidden="false" customHeight="false" outlineLevel="0" collapsed="false">
      <c r="A947" s="19"/>
      <c r="B947" s="20"/>
      <c r="C947" s="19"/>
      <c r="D947" s="19"/>
      <c r="E947" s="19"/>
      <c r="F947" s="19"/>
      <c r="G947" s="21"/>
      <c r="H947" s="19"/>
      <c r="I947" s="21"/>
      <c r="J947" s="19"/>
      <c r="K947" s="20"/>
      <c r="L947" s="20"/>
      <c r="M947" s="19"/>
      <c r="N947" s="19"/>
      <c r="O947" s="20"/>
      <c r="P947" s="20"/>
      <c r="Q947" s="19"/>
      <c r="R947" s="22" t="str">
        <f aca="false">IF(A947="","",N(G947)+N(I947))</f>
        <v/>
      </c>
      <c r="S947" s="23" t="str">
        <f aca="false">IF(OR(K947="",O947=""),"",O947-K947)</f>
        <v/>
      </c>
      <c r="T947" s="23" t="str">
        <f aca="true">IF(AND(C947="Cetak",L947&lt;&gt;"",L947&lt;TODAY()),"YA","")</f>
        <v/>
      </c>
      <c r="U947" s="23" t="str">
        <f aca="false">IF(B947="","",TEXT(B947,"yyyy-mm"))</f>
        <v/>
      </c>
      <c r="V947" s="23" t="str">
        <f aca="false">IF(K947="","",TEXT(K947,"yyyy-mm"))</f>
        <v/>
      </c>
      <c r="W947" s="23" t="n">
        <f aca="false">IF(OR(C947="Cetak",C947="Dikirim",C947="Selesai"),1,0)</f>
        <v>0</v>
      </c>
      <c r="X947" s="23" t="str">
        <f aca="false">IF(F947="","",SUBSTITUTE(SUBSTITUTE(MID(UPPER(TRIM(F947)),4,99),"-LED",""),"-TK",""))</f>
        <v/>
      </c>
      <c r="Y947" s="23" t="str">
        <f aca="false">IF(X947="","",(LEN(X947)+1)/7)</f>
        <v/>
      </c>
      <c r="Z947" s="23" t="str">
        <f aca="false">IF(X947="","",LEFT(X947,6))</f>
        <v/>
      </c>
      <c r="AA947" s="23" t="str">
        <f aca="false">IF(X947="","",IF(Y947&gt;=3,MID(X947,8,6),""))</f>
        <v/>
      </c>
      <c r="AB947" s="23" t="str">
        <f aca="false">IF(X947="","",IF(Y947&gt;=4,MID(X947,15,6),""))</f>
        <v/>
      </c>
      <c r="AC947" s="23" t="str">
        <f aca="false">IF(X947="","",IF(Y947&gt;=5,MID(X947,22,6),""))</f>
        <v/>
      </c>
      <c r="AD947" s="23" t="str">
        <f aca="false">IF(X947="","",RIGHT(X947,6))</f>
        <v/>
      </c>
      <c r="AE947" s="23" t="str">
        <f aca="false">IF(F947="","",IF(ISNUMBER(SEARCH("-TK",UPPER(F947))),0,1))</f>
        <v/>
      </c>
      <c r="AF947" s="23" t="str">
        <f aca="false">IF(F947="","",IF(ISNUMBER(SEARCH("-LED",UPPER(F947))),1,0))</f>
        <v/>
      </c>
      <c r="AG947" s="24" t="n">
        <f aca="false">IF(Z947="",0,IFERROR(INDEX(Resep!$C$5:$C$7,MATCH(LEFT(Z947,3),Resep!$B$5:$B$7,0)),0))</f>
        <v>0</v>
      </c>
      <c r="AH947" s="24" t="n">
        <f aca="false">IF(AA947="",0,IFERROR(INDEX(Resep!$C$9:$C$13,MATCH(LEFT(AA947,3),Resep!$B$9:$B$13,0)),0))</f>
        <v>0</v>
      </c>
      <c r="AI947" s="24" t="n">
        <f aca="false">IF(AB947="",0,IFERROR(INDEX(Resep!$C$9:$C$13,MATCH(LEFT(AB947,3),Resep!$B$9:$B$13,0)),0))</f>
        <v>0</v>
      </c>
      <c r="AJ947" s="24" t="n">
        <f aca="false">IF(AC947="",0,IFERROR(INDEX(Resep!$C$9:$C$13,MATCH(LEFT(AC947,3),Resep!$B$9:$B$13,0)),0))</f>
        <v>0</v>
      </c>
      <c r="AK947" s="24" t="n">
        <f aca="false">IF(AD947="",0,IFERROR(INDEX(Resep!$C$15:$C$18,MATCH(LEFT(AD947,3),Resep!$B$15:$B$18,0)),0))</f>
        <v>0</v>
      </c>
      <c r="AL947" s="24" t="str">
        <f aca="false">IF(X947="","",AG947+AH947+AI947+AJ947+AK947)</f>
        <v/>
      </c>
      <c r="AM947" s="22" t="str">
        <f aca="false">IF(X947="","",AL947*(Pengaturan!$B$6+Pengaturan!$B$7)+Pengaturan!$B$8+AE947*Pengaturan!$B$9+AF947*Pengaturan!$B$10)</f>
        <v/>
      </c>
      <c r="AN947" s="22" t="str">
        <f aca="false">IF(X947="","",N(G947)-AM947)</f>
        <v/>
      </c>
      <c r="AO947" s="25" t="str">
        <f aca="false">IF(OR(X947="",N(G947)=0),"",AN947/G947)</f>
        <v/>
      </c>
    </row>
    <row r="948" customFormat="false" ht="15" hidden="false" customHeight="false" outlineLevel="0" collapsed="false">
      <c r="A948" s="19"/>
      <c r="B948" s="20"/>
      <c r="C948" s="19"/>
      <c r="D948" s="19"/>
      <c r="E948" s="19"/>
      <c r="F948" s="19"/>
      <c r="G948" s="21"/>
      <c r="H948" s="19"/>
      <c r="I948" s="21"/>
      <c r="J948" s="19"/>
      <c r="K948" s="20"/>
      <c r="L948" s="20"/>
      <c r="M948" s="19"/>
      <c r="N948" s="19"/>
      <c r="O948" s="20"/>
      <c r="P948" s="20"/>
      <c r="Q948" s="19"/>
      <c r="R948" s="22" t="str">
        <f aca="false">IF(A948="","",N(G948)+N(I948))</f>
        <v/>
      </c>
      <c r="S948" s="23" t="str">
        <f aca="false">IF(OR(K948="",O948=""),"",O948-K948)</f>
        <v/>
      </c>
      <c r="T948" s="23" t="str">
        <f aca="true">IF(AND(C948="Cetak",L948&lt;&gt;"",L948&lt;TODAY()),"YA","")</f>
        <v/>
      </c>
      <c r="U948" s="23" t="str">
        <f aca="false">IF(B948="","",TEXT(B948,"yyyy-mm"))</f>
        <v/>
      </c>
      <c r="V948" s="23" t="str">
        <f aca="false">IF(K948="","",TEXT(K948,"yyyy-mm"))</f>
        <v/>
      </c>
      <c r="W948" s="23" t="n">
        <f aca="false">IF(OR(C948="Cetak",C948="Dikirim",C948="Selesai"),1,0)</f>
        <v>0</v>
      </c>
      <c r="X948" s="23" t="str">
        <f aca="false">IF(F948="","",SUBSTITUTE(SUBSTITUTE(MID(UPPER(TRIM(F948)),4,99),"-LED",""),"-TK",""))</f>
        <v/>
      </c>
      <c r="Y948" s="23" t="str">
        <f aca="false">IF(X948="","",(LEN(X948)+1)/7)</f>
        <v/>
      </c>
      <c r="Z948" s="23" t="str">
        <f aca="false">IF(X948="","",LEFT(X948,6))</f>
        <v/>
      </c>
      <c r="AA948" s="23" t="str">
        <f aca="false">IF(X948="","",IF(Y948&gt;=3,MID(X948,8,6),""))</f>
        <v/>
      </c>
      <c r="AB948" s="23" t="str">
        <f aca="false">IF(X948="","",IF(Y948&gt;=4,MID(X948,15,6),""))</f>
        <v/>
      </c>
      <c r="AC948" s="23" t="str">
        <f aca="false">IF(X948="","",IF(Y948&gt;=5,MID(X948,22,6),""))</f>
        <v/>
      </c>
      <c r="AD948" s="23" t="str">
        <f aca="false">IF(X948="","",RIGHT(X948,6))</f>
        <v/>
      </c>
      <c r="AE948" s="23" t="str">
        <f aca="false">IF(F948="","",IF(ISNUMBER(SEARCH("-TK",UPPER(F948))),0,1))</f>
        <v/>
      </c>
      <c r="AF948" s="23" t="str">
        <f aca="false">IF(F948="","",IF(ISNUMBER(SEARCH("-LED",UPPER(F948))),1,0))</f>
        <v/>
      </c>
      <c r="AG948" s="24" t="n">
        <f aca="false">IF(Z948="",0,IFERROR(INDEX(Resep!$C$5:$C$7,MATCH(LEFT(Z948,3),Resep!$B$5:$B$7,0)),0))</f>
        <v>0</v>
      </c>
      <c r="AH948" s="24" t="n">
        <f aca="false">IF(AA948="",0,IFERROR(INDEX(Resep!$C$9:$C$13,MATCH(LEFT(AA948,3),Resep!$B$9:$B$13,0)),0))</f>
        <v>0</v>
      </c>
      <c r="AI948" s="24" t="n">
        <f aca="false">IF(AB948="",0,IFERROR(INDEX(Resep!$C$9:$C$13,MATCH(LEFT(AB948,3),Resep!$B$9:$B$13,0)),0))</f>
        <v>0</v>
      </c>
      <c r="AJ948" s="24" t="n">
        <f aca="false">IF(AC948="",0,IFERROR(INDEX(Resep!$C$9:$C$13,MATCH(LEFT(AC948,3),Resep!$B$9:$B$13,0)),0))</f>
        <v>0</v>
      </c>
      <c r="AK948" s="24" t="n">
        <f aca="false">IF(AD948="",0,IFERROR(INDEX(Resep!$C$15:$C$18,MATCH(LEFT(AD948,3),Resep!$B$15:$B$18,0)),0))</f>
        <v>0</v>
      </c>
      <c r="AL948" s="24" t="str">
        <f aca="false">IF(X948="","",AG948+AH948+AI948+AJ948+AK948)</f>
        <v/>
      </c>
      <c r="AM948" s="22" t="str">
        <f aca="false">IF(X948="","",AL948*(Pengaturan!$B$6+Pengaturan!$B$7)+Pengaturan!$B$8+AE948*Pengaturan!$B$9+AF948*Pengaturan!$B$10)</f>
        <v/>
      </c>
      <c r="AN948" s="22" t="str">
        <f aca="false">IF(X948="","",N(G948)-AM948)</f>
        <v/>
      </c>
      <c r="AO948" s="25" t="str">
        <f aca="false">IF(OR(X948="",N(G948)=0),"",AN948/G948)</f>
        <v/>
      </c>
    </row>
    <row r="949" customFormat="false" ht="15" hidden="false" customHeight="false" outlineLevel="0" collapsed="false">
      <c r="A949" s="19"/>
      <c r="B949" s="20"/>
      <c r="C949" s="19"/>
      <c r="D949" s="19"/>
      <c r="E949" s="19"/>
      <c r="F949" s="19"/>
      <c r="G949" s="21"/>
      <c r="H949" s="19"/>
      <c r="I949" s="21"/>
      <c r="J949" s="19"/>
      <c r="K949" s="20"/>
      <c r="L949" s="20"/>
      <c r="M949" s="19"/>
      <c r="N949" s="19"/>
      <c r="O949" s="20"/>
      <c r="P949" s="20"/>
      <c r="Q949" s="19"/>
      <c r="R949" s="22" t="str">
        <f aca="false">IF(A949="","",N(G949)+N(I949))</f>
        <v/>
      </c>
      <c r="S949" s="23" t="str">
        <f aca="false">IF(OR(K949="",O949=""),"",O949-K949)</f>
        <v/>
      </c>
      <c r="T949" s="23" t="str">
        <f aca="true">IF(AND(C949="Cetak",L949&lt;&gt;"",L949&lt;TODAY()),"YA","")</f>
        <v/>
      </c>
      <c r="U949" s="23" t="str">
        <f aca="false">IF(B949="","",TEXT(B949,"yyyy-mm"))</f>
        <v/>
      </c>
      <c r="V949" s="23" t="str">
        <f aca="false">IF(K949="","",TEXT(K949,"yyyy-mm"))</f>
        <v/>
      </c>
      <c r="W949" s="23" t="n">
        <f aca="false">IF(OR(C949="Cetak",C949="Dikirim",C949="Selesai"),1,0)</f>
        <v>0</v>
      </c>
      <c r="X949" s="23" t="str">
        <f aca="false">IF(F949="","",SUBSTITUTE(SUBSTITUTE(MID(UPPER(TRIM(F949)),4,99),"-LED",""),"-TK",""))</f>
        <v/>
      </c>
      <c r="Y949" s="23" t="str">
        <f aca="false">IF(X949="","",(LEN(X949)+1)/7)</f>
        <v/>
      </c>
      <c r="Z949" s="23" t="str">
        <f aca="false">IF(X949="","",LEFT(X949,6))</f>
        <v/>
      </c>
      <c r="AA949" s="23" t="str">
        <f aca="false">IF(X949="","",IF(Y949&gt;=3,MID(X949,8,6),""))</f>
        <v/>
      </c>
      <c r="AB949" s="23" t="str">
        <f aca="false">IF(X949="","",IF(Y949&gt;=4,MID(X949,15,6),""))</f>
        <v/>
      </c>
      <c r="AC949" s="23" t="str">
        <f aca="false">IF(X949="","",IF(Y949&gt;=5,MID(X949,22,6),""))</f>
        <v/>
      </c>
      <c r="AD949" s="23" t="str">
        <f aca="false">IF(X949="","",RIGHT(X949,6))</f>
        <v/>
      </c>
      <c r="AE949" s="23" t="str">
        <f aca="false">IF(F949="","",IF(ISNUMBER(SEARCH("-TK",UPPER(F949))),0,1))</f>
        <v/>
      </c>
      <c r="AF949" s="23" t="str">
        <f aca="false">IF(F949="","",IF(ISNUMBER(SEARCH("-LED",UPPER(F949))),1,0))</f>
        <v/>
      </c>
      <c r="AG949" s="24" t="n">
        <f aca="false">IF(Z949="",0,IFERROR(INDEX(Resep!$C$5:$C$7,MATCH(LEFT(Z949,3),Resep!$B$5:$B$7,0)),0))</f>
        <v>0</v>
      </c>
      <c r="AH949" s="24" t="n">
        <f aca="false">IF(AA949="",0,IFERROR(INDEX(Resep!$C$9:$C$13,MATCH(LEFT(AA949,3),Resep!$B$9:$B$13,0)),0))</f>
        <v>0</v>
      </c>
      <c r="AI949" s="24" t="n">
        <f aca="false">IF(AB949="",0,IFERROR(INDEX(Resep!$C$9:$C$13,MATCH(LEFT(AB949,3),Resep!$B$9:$B$13,0)),0))</f>
        <v>0</v>
      </c>
      <c r="AJ949" s="24" t="n">
        <f aca="false">IF(AC949="",0,IFERROR(INDEX(Resep!$C$9:$C$13,MATCH(LEFT(AC949,3),Resep!$B$9:$B$13,0)),0))</f>
        <v>0</v>
      </c>
      <c r="AK949" s="24" t="n">
        <f aca="false">IF(AD949="",0,IFERROR(INDEX(Resep!$C$15:$C$18,MATCH(LEFT(AD949,3),Resep!$B$15:$B$18,0)),0))</f>
        <v>0</v>
      </c>
      <c r="AL949" s="24" t="str">
        <f aca="false">IF(X949="","",AG949+AH949+AI949+AJ949+AK949)</f>
        <v/>
      </c>
      <c r="AM949" s="22" t="str">
        <f aca="false">IF(X949="","",AL949*(Pengaturan!$B$6+Pengaturan!$B$7)+Pengaturan!$B$8+AE949*Pengaturan!$B$9+AF949*Pengaturan!$B$10)</f>
        <v/>
      </c>
      <c r="AN949" s="22" t="str">
        <f aca="false">IF(X949="","",N(G949)-AM949)</f>
        <v/>
      </c>
      <c r="AO949" s="25" t="str">
        <f aca="false">IF(OR(X949="",N(G949)=0),"",AN949/G949)</f>
        <v/>
      </c>
    </row>
    <row r="950" customFormat="false" ht="15" hidden="false" customHeight="false" outlineLevel="0" collapsed="false">
      <c r="A950" s="19"/>
      <c r="B950" s="20"/>
      <c r="C950" s="19"/>
      <c r="D950" s="19"/>
      <c r="E950" s="19"/>
      <c r="F950" s="19"/>
      <c r="G950" s="21"/>
      <c r="H950" s="19"/>
      <c r="I950" s="21"/>
      <c r="J950" s="19"/>
      <c r="K950" s="20"/>
      <c r="L950" s="20"/>
      <c r="M950" s="19"/>
      <c r="N950" s="19"/>
      <c r="O950" s="20"/>
      <c r="P950" s="20"/>
      <c r="Q950" s="19"/>
      <c r="R950" s="22" t="str">
        <f aca="false">IF(A950="","",N(G950)+N(I950))</f>
        <v/>
      </c>
      <c r="S950" s="23" t="str">
        <f aca="false">IF(OR(K950="",O950=""),"",O950-K950)</f>
        <v/>
      </c>
      <c r="T950" s="23" t="str">
        <f aca="true">IF(AND(C950="Cetak",L950&lt;&gt;"",L950&lt;TODAY()),"YA","")</f>
        <v/>
      </c>
      <c r="U950" s="23" t="str">
        <f aca="false">IF(B950="","",TEXT(B950,"yyyy-mm"))</f>
        <v/>
      </c>
      <c r="V950" s="23" t="str">
        <f aca="false">IF(K950="","",TEXT(K950,"yyyy-mm"))</f>
        <v/>
      </c>
      <c r="W950" s="23" t="n">
        <f aca="false">IF(OR(C950="Cetak",C950="Dikirim",C950="Selesai"),1,0)</f>
        <v>0</v>
      </c>
      <c r="X950" s="23" t="str">
        <f aca="false">IF(F950="","",SUBSTITUTE(SUBSTITUTE(MID(UPPER(TRIM(F950)),4,99),"-LED",""),"-TK",""))</f>
        <v/>
      </c>
      <c r="Y950" s="23" t="str">
        <f aca="false">IF(X950="","",(LEN(X950)+1)/7)</f>
        <v/>
      </c>
      <c r="Z950" s="23" t="str">
        <f aca="false">IF(X950="","",LEFT(X950,6))</f>
        <v/>
      </c>
      <c r="AA950" s="23" t="str">
        <f aca="false">IF(X950="","",IF(Y950&gt;=3,MID(X950,8,6),""))</f>
        <v/>
      </c>
      <c r="AB950" s="23" t="str">
        <f aca="false">IF(X950="","",IF(Y950&gt;=4,MID(X950,15,6),""))</f>
        <v/>
      </c>
      <c r="AC950" s="23" t="str">
        <f aca="false">IF(X950="","",IF(Y950&gt;=5,MID(X950,22,6),""))</f>
        <v/>
      </c>
      <c r="AD950" s="23" t="str">
        <f aca="false">IF(X950="","",RIGHT(X950,6))</f>
        <v/>
      </c>
      <c r="AE950" s="23" t="str">
        <f aca="false">IF(F950="","",IF(ISNUMBER(SEARCH("-TK",UPPER(F950))),0,1))</f>
        <v/>
      </c>
      <c r="AF950" s="23" t="str">
        <f aca="false">IF(F950="","",IF(ISNUMBER(SEARCH("-LED",UPPER(F950))),1,0))</f>
        <v/>
      </c>
      <c r="AG950" s="24" t="n">
        <f aca="false">IF(Z950="",0,IFERROR(INDEX(Resep!$C$5:$C$7,MATCH(LEFT(Z950,3),Resep!$B$5:$B$7,0)),0))</f>
        <v>0</v>
      </c>
      <c r="AH950" s="24" t="n">
        <f aca="false">IF(AA950="",0,IFERROR(INDEX(Resep!$C$9:$C$13,MATCH(LEFT(AA950,3),Resep!$B$9:$B$13,0)),0))</f>
        <v>0</v>
      </c>
      <c r="AI950" s="24" t="n">
        <f aca="false">IF(AB950="",0,IFERROR(INDEX(Resep!$C$9:$C$13,MATCH(LEFT(AB950,3),Resep!$B$9:$B$13,0)),0))</f>
        <v>0</v>
      </c>
      <c r="AJ950" s="24" t="n">
        <f aca="false">IF(AC950="",0,IFERROR(INDEX(Resep!$C$9:$C$13,MATCH(LEFT(AC950,3),Resep!$B$9:$B$13,0)),0))</f>
        <v>0</v>
      </c>
      <c r="AK950" s="24" t="n">
        <f aca="false">IF(AD950="",0,IFERROR(INDEX(Resep!$C$15:$C$18,MATCH(LEFT(AD950,3),Resep!$B$15:$B$18,0)),0))</f>
        <v>0</v>
      </c>
      <c r="AL950" s="24" t="str">
        <f aca="false">IF(X950="","",AG950+AH950+AI950+AJ950+AK950)</f>
        <v/>
      </c>
      <c r="AM950" s="22" t="str">
        <f aca="false">IF(X950="","",AL950*(Pengaturan!$B$6+Pengaturan!$B$7)+Pengaturan!$B$8+AE950*Pengaturan!$B$9+AF950*Pengaturan!$B$10)</f>
        <v/>
      </c>
      <c r="AN950" s="22" t="str">
        <f aca="false">IF(X950="","",N(G950)-AM950)</f>
        <v/>
      </c>
      <c r="AO950" s="25" t="str">
        <f aca="false">IF(OR(X950="",N(G950)=0),"",AN950/G950)</f>
        <v/>
      </c>
    </row>
    <row r="951" customFormat="false" ht="15" hidden="false" customHeight="false" outlineLevel="0" collapsed="false">
      <c r="A951" s="19"/>
      <c r="B951" s="20"/>
      <c r="C951" s="19"/>
      <c r="D951" s="19"/>
      <c r="E951" s="19"/>
      <c r="F951" s="19"/>
      <c r="G951" s="21"/>
      <c r="H951" s="19"/>
      <c r="I951" s="21"/>
      <c r="J951" s="19"/>
      <c r="K951" s="20"/>
      <c r="L951" s="20"/>
      <c r="M951" s="19"/>
      <c r="N951" s="19"/>
      <c r="O951" s="20"/>
      <c r="P951" s="20"/>
      <c r="Q951" s="19"/>
      <c r="R951" s="22" t="str">
        <f aca="false">IF(A951="","",N(G951)+N(I951))</f>
        <v/>
      </c>
      <c r="S951" s="23" t="str">
        <f aca="false">IF(OR(K951="",O951=""),"",O951-K951)</f>
        <v/>
      </c>
      <c r="T951" s="23" t="str">
        <f aca="true">IF(AND(C951="Cetak",L951&lt;&gt;"",L951&lt;TODAY()),"YA","")</f>
        <v/>
      </c>
      <c r="U951" s="23" t="str">
        <f aca="false">IF(B951="","",TEXT(B951,"yyyy-mm"))</f>
        <v/>
      </c>
      <c r="V951" s="23" t="str">
        <f aca="false">IF(K951="","",TEXT(K951,"yyyy-mm"))</f>
        <v/>
      </c>
      <c r="W951" s="23" t="n">
        <f aca="false">IF(OR(C951="Cetak",C951="Dikirim",C951="Selesai"),1,0)</f>
        <v>0</v>
      </c>
      <c r="X951" s="23" t="str">
        <f aca="false">IF(F951="","",SUBSTITUTE(SUBSTITUTE(MID(UPPER(TRIM(F951)),4,99),"-LED",""),"-TK",""))</f>
        <v/>
      </c>
      <c r="Y951" s="23" t="str">
        <f aca="false">IF(X951="","",(LEN(X951)+1)/7)</f>
        <v/>
      </c>
      <c r="Z951" s="23" t="str">
        <f aca="false">IF(X951="","",LEFT(X951,6))</f>
        <v/>
      </c>
      <c r="AA951" s="23" t="str">
        <f aca="false">IF(X951="","",IF(Y951&gt;=3,MID(X951,8,6),""))</f>
        <v/>
      </c>
      <c r="AB951" s="23" t="str">
        <f aca="false">IF(X951="","",IF(Y951&gt;=4,MID(X951,15,6),""))</f>
        <v/>
      </c>
      <c r="AC951" s="23" t="str">
        <f aca="false">IF(X951="","",IF(Y951&gt;=5,MID(X951,22,6),""))</f>
        <v/>
      </c>
      <c r="AD951" s="23" t="str">
        <f aca="false">IF(X951="","",RIGHT(X951,6))</f>
        <v/>
      </c>
      <c r="AE951" s="23" t="str">
        <f aca="false">IF(F951="","",IF(ISNUMBER(SEARCH("-TK",UPPER(F951))),0,1))</f>
        <v/>
      </c>
      <c r="AF951" s="23" t="str">
        <f aca="false">IF(F951="","",IF(ISNUMBER(SEARCH("-LED",UPPER(F951))),1,0))</f>
        <v/>
      </c>
      <c r="AG951" s="24" t="n">
        <f aca="false">IF(Z951="",0,IFERROR(INDEX(Resep!$C$5:$C$7,MATCH(LEFT(Z951,3),Resep!$B$5:$B$7,0)),0))</f>
        <v>0</v>
      </c>
      <c r="AH951" s="24" t="n">
        <f aca="false">IF(AA951="",0,IFERROR(INDEX(Resep!$C$9:$C$13,MATCH(LEFT(AA951,3),Resep!$B$9:$B$13,0)),0))</f>
        <v>0</v>
      </c>
      <c r="AI951" s="24" t="n">
        <f aca="false">IF(AB951="",0,IFERROR(INDEX(Resep!$C$9:$C$13,MATCH(LEFT(AB951,3),Resep!$B$9:$B$13,0)),0))</f>
        <v>0</v>
      </c>
      <c r="AJ951" s="24" t="n">
        <f aca="false">IF(AC951="",0,IFERROR(INDEX(Resep!$C$9:$C$13,MATCH(LEFT(AC951,3),Resep!$B$9:$B$13,0)),0))</f>
        <v>0</v>
      </c>
      <c r="AK951" s="24" t="n">
        <f aca="false">IF(AD951="",0,IFERROR(INDEX(Resep!$C$15:$C$18,MATCH(LEFT(AD951,3),Resep!$B$15:$B$18,0)),0))</f>
        <v>0</v>
      </c>
      <c r="AL951" s="24" t="str">
        <f aca="false">IF(X951="","",AG951+AH951+AI951+AJ951+AK951)</f>
        <v/>
      </c>
      <c r="AM951" s="22" t="str">
        <f aca="false">IF(X951="","",AL951*(Pengaturan!$B$6+Pengaturan!$B$7)+Pengaturan!$B$8+AE951*Pengaturan!$B$9+AF951*Pengaturan!$B$10)</f>
        <v/>
      </c>
      <c r="AN951" s="22" t="str">
        <f aca="false">IF(X951="","",N(G951)-AM951)</f>
        <v/>
      </c>
      <c r="AO951" s="25" t="str">
        <f aca="false">IF(OR(X951="",N(G951)=0),"",AN951/G951)</f>
        <v/>
      </c>
    </row>
    <row r="952" customFormat="false" ht="15" hidden="false" customHeight="false" outlineLevel="0" collapsed="false">
      <c r="A952" s="19"/>
      <c r="B952" s="20"/>
      <c r="C952" s="19"/>
      <c r="D952" s="19"/>
      <c r="E952" s="19"/>
      <c r="F952" s="19"/>
      <c r="G952" s="21"/>
      <c r="H952" s="19"/>
      <c r="I952" s="21"/>
      <c r="J952" s="19"/>
      <c r="K952" s="20"/>
      <c r="L952" s="20"/>
      <c r="M952" s="19"/>
      <c r="N952" s="19"/>
      <c r="O952" s="20"/>
      <c r="P952" s="20"/>
      <c r="Q952" s="19"/>
      <c r="R952" s="22" t="str">
        <f aca="false">IF(A952="","",N(G952)+N(I952))</f>
        <v/>
      </c>
      <c r="S952" s="23" t="str">
        <f aca="false">IF(OR(K952="",O952=""),"",O952-K952)</f>
        <v/>
      </c>
      <c r="T952" s="23" t="str">
        <f aca="true">IF(AND(C952="Cetak",L952&lt;&gt;"",L952&lt;TODAY()),"YA","")</f>
        <v/>
      </c>
      <c r="U952" s="23" t="str">
        <f aca="false">IF(B952="","",TEXT(B952,"yyyy-mm"))</f>
        <v/>
      </c>
      <c r="V952" s="23" t="str">
        <f aca="false">IF(K952="","",TEXT(K952,"yyyy-mm"))</f>
        <v/>
      </c>
      <c r="W952" s="23" t="n">
        <f aca="false">IF(OR(C952="Cetak",C952="Dikirim",C952="Selesai"),1,0)</f>
        <v>0</v>
      </c>
      <c r="X952" s="23" t="str">
        <f aca="false">IF(F952="","",SUBSTITUTE(SUBSTITUTE(MID(UPPER(TRIM(F952)),4,99),"-LED",""),"-TK",""))</f>
        <v/>
      </c>
      <c r="Y952" s="23" t="str">
        <f aca="false">IF(X952="","",(LEN(X952)+1)/7)</f>
        <v/>
      </c>
      <c r="Z952" s="23" t="str">
        <f aca="false">IF(X952="","",LEFT(X952,6))</f>
        <v/>
      </c>
      <c r="AA952" s="23" t="str">
        <f aca="false">IF(X952="","",IF(Y952&gt;=3,MID(X952,8,6),""))</f>
        <v/>
      </c>
      <c r="AB952" s="23" t="str">
        <f aca="false">IF(X952="","",IF(Y952&gt;=4,MID(X952,15,6),""))</f>
        <v/>
      </c>
      <c r="AC952" s="23" t="str">
        <f aca="false">IF(X952="","",IF(Y952&gt;=5,MID(X952,22,6),""))</f>
        <v/>
      </c>
      <c r="AD952" s="23" t="str">
        <f aca="false">IF(X952="","",RIGHT(X952,6))</f>
        <v/>
      </c>
      <c r="AE952" s="23" t="str">
        <f aca="false">IF(F952="","",IF(ISNUMBER(SEARCH("-TK",UPPER(F952))),0,1))</f>
        <v/>
      </c>
      <c r="AF952" s="23" t="str">
        <f aca="false">IF(F952="","",IF(ISNUMBER(SEARCH("-LED",UPPER(F952))),1,0))</f>
        <v/>
      </c>
      <c r="AG952" s="24" t="n">
        <f aca="false">IF(Z952="",0,IFERROR(INDEX(Resep!$C$5:$C$7,MATCH(LEFT(Z952,3),Resep!$B$5:$B$7,0)),0))</f>
        <v>0</v>
      </c>
      <c r="AH952" s="24" t="n">
        <f aca="false">IF(AA952="",0,IFERROR(INDEX(Resep!$C$9:$C$13,MATCH(LEFT(AA952,3),Resep!$B$9:$B$13,0)),0))</f>
        <v>0</v>
      </c>
      <c r="AI952" s="24" t="n">
        <f aca="false">IF(AB952="",0,IFERROR(INDEX(Resep!$C$9:$C$13,MATCH(LEFT(AB952,3),Resep!$B$9:$B$13,0)),0))</f>
        <v>0</v>
      </c>
      <c r="AJ952" s="24" t="n">
        <f aca="false">IF(AC952="",0,IFERROR(INDEX(Resep!$C$9:$C$13,MATCH(LEFT(AC952,3),Resep!$B$9:$B$13,0)),0))</f>
        <v>0</v>
      </c>
      <c r="AK952" s="24" t="n">
        <f aca="false">IF(AD952="",0,IFERROR(INDEX(Resep!$C$15:$C$18,MATCH(LEFT(AD952,3),Resep!$B$15:$B$18,0)),0))</f>
        <v>0</v>
      </c>
      <c r="AL952" s="24" t="str">
        <f aca="false">IF(X952="","",AG952+AH952+AI952+AJ952+AK952)</f>
        <v/>
      </c>
      <c r="AM952" s="22" t="str">
        <f aca="false">IF(X952="","",AL952*(Pengaturan!$B$6+Pengaturan!$B$7)+Pengaturan!$B$8+AE952*Pengaturan!$B$9+AF952*Pengaturan!$B$10)</f>
        <v/>
      </c>
      <c r="AN952" s="22" t="str">
        <f aca="false">IF(X952="","",N(G952)-AM952)</f>
        <v/>
      </c>
      <c r="AO952" s="25" t="str">
        <f aca="false">IF(OR(X952="",N(G952)=0),"",AN952/G952)</f>
        <v/>
      </c>
    </row>
    <row r="953" customFormat="false" ht="15" hidden="false" customHeight="false" outlineLevel="0" collapsed="false">
      <c r="A953" s="19"/>
      <c r="B953" s="20"/>
      <c r="C953" s="19"/>
      <c r="D953" s="19"/>
      <c r="E953" s="19"/>
      <c r="F953" s="19"/>
      <c r="G953" s="21"/>
      <c r="H953" s="19"/>
      <c r="I953" s="21"/>
      <c r="J953" s="19"/>
      <c r="K953" s="20"/>
      <c r="L953" s="20"/>
      <c r="M953" s="19"/>
      <c r="N953" s="19"/>
      <c r="O953" s="20"/>
      <c r="P953" s="20"/>
      <c r="Q953" s="19"/>
      <c r="R953" s="22" t="str">
        <f aca="false">IF(A953="","",N(G953)+N(I953))</f>
        <v/>
      </c>
      <c r="S953" s="23" t="str">
        <f aca="false">IF(OR(K953="",O953=""),"",O953-K953)</f>
        <v/>
      </c>
      <c r="T953" s="23" t="str">
        <f aca="true">IF(AND(C953="Cetak",L953&lt;&gt;"",L953&lt;TODAY()),"YA","")</f>
        <v/>
      </c>
      <c r="U953" s="23" t="str">
        <f aca="false">IF(B953="","",TEXT(B953,"yyyy-mm"))</f>
        <v/>
      </c>
      <c r="V953" s="23" t="str">
        <f aca="false">IF(K953="","",TEXT(K953,"yyyy-mm"))</f>
        <v/>
      </c>
      <c r="W953" s="23" t="n">
        <f aca="false">IF(OR(C953="Cetak",C953="Dikirim",C953="Selesai"),1,0)</f>
        <v>0</v>
      </c>
      <c r="X953" s="23" t="str">
        <f aca="false">IF(F953="","",SUBSTITUTE(SUBSTITUTE(MID(UPPER(TRIM(F953)),4,99),"-LED",""),"-TK",""))</f>
        <v/>
      </c>
      <c r="Y953" s="23" t="str">
        <f aca="false">IF(X953="","",(LEN(X953)+1)/7)</f>
        <v/>
      </c>
      <c r="Z953" s="23" t="str">
        <f aca="false">IF(X953="","",LEFT(X953,6))</f>
        <v/>
      </c>
      <c r="AA953" s="23" t="str">
        <f aca="false">IF(X953="","",IF(Y953&gt;=3,MID(X953,8,6),""))</f>
        <v/>
      </c>
      <c r="AB953" s="23" t="str">
        <f aca="false">IF(X953="","",IF(Y953&gt;=4,MID(X953,15,6),""))</f>
        <v/>
      </c>
      <c r="AC953" s="23" t="str">
        <f aca="false">IF(X953="","",IF(Y953&gt;=5,MID(X953,22,6),""))</f>
        <v/>
      </c>
      <c r="AD953" s="23" t="str">
        <f aca="false">IF(X953="","",RIGHT(X953,6))</f>
        <v/>
      </c>
      <c r="AE953" s="23" t="str">
        <f aca="false">IF(F953="","",IF(ISNUMBER(SEARCH("-TK",UPPER(F953))),0,1))</f>
        <v/>
      </c>
      <c r="AF953" s="23" t="str">
        <f aca="false">IF(F953="","",IF(ISNUMBER(SEARCH("-LED",UPPER(F953))),1,0))</f>
        <v/>
      </c>
      <c r="AG953" s="24" t="n">
        <f aca="false">IF(Z953="",0,IFERROR(INDEX(Resep!$C$5:$C$7,MATCH(LEFT(Z953,3),Resep!$B$5:$B$7,0)),0))</f>
        <v>0</v>
      </c>
      <c r="AH953" s="24" t="n">
        <f aca="false">IF(AA953="",0,IFERROR(INDEX(Resep!$C$9:$C$13,MATCH(LEFT(AA953,3),Resep!$B$9:$B$13,0)),0))</f>
        <v>0</v>
      </c>
      <c r="AI953" s="24" t="n">
        <f aca="false">IF(AB953="",0,IFERROR(INDEX(Resep!$C$9:$C$13,MATCH(LEFT(AB953,3),Resep!$B$9:$B$13,0)),0))</f>
        <v>0</v>
      </c>
      <c r="AJ953" s="24" t="n">
        <f aca="false">IF(AC953="",0,IFERROR(INDEX(Resep!$C$9:$C$13,MATCH(LEFT(AC953,3),Resep!$B$9:$B$13,0)),0))</f>
        <v>0</v>
      </c>
      <c r="AK953" s="24" t="n">
        <f aca="false">IF(AD953="",0,IFERROR(INDEX(Resep!$C$15:$C$18,MATCH(LEFT(AD953,3),Resep!$B$15:$B$18,0)),0))</f>
        <v>0</v>
      </c>
      <c r="AL953" s="24" t="str">
        <f aca="false">IF(X953="","",AG953+AH953+AI953+AJ953+AK953)</f>
        <v/>
      </c>
      <c r="AM953" s="22" t="str">
        <f aca="false">IF(X953="","",AL953*(Pengaturan!$B$6+Pengaturan!$B$7)+Pengaturan!$B$8+AE953*Pengaturan!$B$9+AF953*Pengaturan!$B$10)</f>
        <v/>
      </c>
      <c r="AN953" s="22" t="str">
        <f aca="false">IF(X953="","",N(G953)-AM953)</f>
        <v/>
      </c>
      <c r="AO953" s="25" t="str">
        <f aca="false">IF(OR(X953="",N(G953)=0),"",AN953/G953)</f>
        <v/>
      </c>
    </row>
    <row r="954" customFormat="false" ht="15" hidden="false" customHeight="false" outlineLevel="0" collapsed="false">
      <c r="A954" s="19"/>
      <c r="B954" s="20"/>
      <c r="C954" s="19"/>
      <c r="D954" s="19"/>
      <c r="E954" s="19"/>
      <c r="F954" s="19"/>
      <c r="G954" s="21"/>
      <c r="H954" s="19"/>
      <c r="I954" s="21"/>
      <c r="J954" s="19"/>
      <c r="K954" s="20"/>
      <c r="L954" s="20"/>
      <c r="M954" s="19"/>
      <c r="N954" s="19"/>
      <c r="O954" s="20"/>
      <c r="P954" s="20"/>
      <c r="Q954" s="19"/>
      <c r="R954" s="22" t="str">
        <f aca="false">IF(A954="","",N(G954)+N(I954))</f>
        <v/>
      </c>
      <c r="S954" s="23" t="str">
        <f aca="false">IF(OR(K954="",O954=""),"",O954-K954)</f>
        <v/>
      </c>
      <c r="T954" s="23" t="str">
        <f aca="true">IF(AND(C954="Cetak",L954&lt;&gt;"",L954&lt;TODAY()),"YA","")</f>
        <v/>
      </c>
      <c r="U954" s="23" t="str">
        <f aca="false">IF(B954="","",TEXT(B954,"yyyy-mm"))</f>
        <v/>
      </c>
      <c r="V954" s="23" t="str">
        <f aca="false">IF(K954="","",TEXT(K954,"yyyy-mm"))</f>
        <v/>
      </c>
      <c r="W954" s="23" t="n">
        <f aca="false">IF(OR(C954="Cetak",C954="Dikirim",C954="Selesai"),1,0)</f>
        <v>0</v>
      </c>
      <c r="X954" s="23" t="str">
        <f aca="false">IF(F954="","",SUBSTITUTE(SUBSTITUTE(MID(UPPER(TRIM(F954)),4,99),"-LED",""),"-TK",""))</f>
        <v/>
      </c>
      <c r="Y954" s="23" t="str">
        <f aca="false">IF(X954="","",(LEN(X954)+1)/7)</f>
        <v/>
      </c>
      <c r="Z954" s="23" t="str">
        <f aca="false">IF(X954="","",LEFT(X954,6))</f>
        <v/>
      </c>
      <c r="AA954" s="23" t="str">
        <f aca="false">IF(X954="","",IF(Y954&gt;=3,MID(X954,8,6),""))</f>
        <v/>
      </c>
      <c r="AB954" s="23" t="str">
        <f aca="false">IF(X954="","",IF(Y954&gt;=4,MID(X954,15,6),""))</f>
        <v/>
      </c>
      <c r="AC954" s="23" t="str">
        <f aca="false">IF(X954="","",IF(Y954&gt;=5,MID(X954,22,6),""))</f>
        <v/>
      </c>
      <c r="AD954" s="23" t="str">
        <f aca="false">IF(X954="","",RIGHT(X954,6))</f>
        <v/>
      </c>
      <c r="AE954" s="23" t="str">
        <f aca="false">IF(F954="","",IF(ISNUMBER(SEARCH("-TK",UPPER(F954))),0,1))</f>
        <v/>
      </c>
      <c r="AF954" s="23" t="str">
        <f aca="false">IF(F954="","",IF(ISNUMBER(SEARCH("-LED",UPPER(F954))),1,0))</f>
        <v/>
      </c>
      <c r="AG954" s="24" t="n">
        <f aca="false">IF(Z954="",0,IFERROR(INDEX(Resep!$C$5:$C$7,MATCH(LEFT(Z954,3),Resep!$B$5:$B$7,0)),0))</f>
        <v>0</v>
      </c>
      <c r="AH954" s="24" t="n">
        <f aca="false">IF(AA954="",0,IFERROR(INDEX(Resep!$C$9:$C$13,MATCH(LEFT(AA954,3),Resep!$B$9:$B$13,0)),0))</f>
        <v>0</v>
      </c>
      <c r="AI954" s="24" t="n">
        <f aca="false">IF(AB954="",0,IFERROR(INDEX(Resep!$C$9:$C$13,MATCH(LEFT(AB954,3),Resep!$B$9:$B$13,0)),0))</f>
        <v>0</v>
      </c>
      <c r="AJ954" s="24" t="n">
        <f aca="false">IF(AC954="",0,IFERROR(INDEX(Resep!$C$9:$C$13,MATCH(LEFT(AC954,3),Resep!$B$9:$B$13,0)),0))</f>
        <v>0</v>
      </c>
      <c r="AK954" s="24" t="n">
        <f aca="false">IF(AD954="",0,IFERROR(INDEX(Resep!$C$15:$C$18,MATCH(LEFT(AD954,3),Resep!$B$15:$B$18,0)),0))</f>
        <v>0</v>
      </c>
      <c r="AL954" s="24" t="str">
        <f aca="false">IF(X954="","",AG954+AH954+AI954+AJ954+AK954)</f>
        <v/>
      </c>
      <c r="AM954" s="22" t="str">
        <f aca="false">IF(X954="","",AL954*(Pengaturan!$B$6+Pengaturan!$B$7)+Pengaturan!$B$8+AE954*Pengaturan!$B$9+AF954*Pengaturan!$B$10)</f>
        <v/>
      </c>
      <c r="AN954" s="22" t="str">
        <f aca="false">IF(X954="","",N(G954)-AM954)</f>
        <v/>
      </c>
      <c r="AO954" s="25" t="str">
        <f aca="false">IF(OR(X954="",N(G954)=0),"",AN954/G954)</f>
        <v/>
      </c>
    </row>
    <row r="955" customFormat="false" ht="15" hidden="false" customHeight="false" outlineLevel="0" collapsed="false">
      <c r="A955" s="19"/>
      <c r="B955" s="20"/>
      <c r="C955" s="19"/>
      <c r="D955" s="19"/>
      <c r="E955" s="19"/>
      <c r="F955" s="19"/>
      <c r="G955" s="21"/>
      <c r="H955" s="19"/>
      <c r="I955" s="21"/>
      <c r="J955" s="19"/>
      <c r="K955" s="20"/>
      <c r="L955" s="20"/>
      <c r="M955" s="19"/>
      <c r="N955" s="19"/>
      <c r="O955" s="20"/>
      <c r="P955" s="20"/>
      <c r="Q955" s="19"/>
      <c r="R955" s="22" t="str">
        <f aca="false">IF(A955="","",N(G955)+N(I955))</f>
        <v/>
      </c>
      <c r="S955" s="23" t="str">
        <f aca="false">IF(OR(K955="",O955=""),"",O955-K955)</f>
        <v/>
      </c>
      <c r="T955" s="23" t="str">
        <f aca="true">IF(AND(C955="Cetak",L955&lt;&gt;"",L955&lt;TODAY()),"YA","")</f>
        <v/>
      </c>
      <c r="U955" s="23" t="str">
        <f aca="false">IF(B955="","",TEXT(B955,"yyyy-mm"))</f>
        <v/>
      </c>
      <c r="V955" s="23" t="str">
        <f aca="false">IF(K955="","",TEXT(K955,"yyyy-mm"))</f>
        <v/>
      </c>
      <c r="W955" s="23" t="n">
        <f aca="false">IF(OR(C955="Cetak",C955="Dikirim",C955="Selesai"),1,0)</f>
        <v>0</v>
      </c>
      <c r="X955" s="23" t="str">
        <f aca="false">IF(F955="","",SUBSTITUTE(SUBSTITUTE(MID(UPPER(TRIM(F955)),4,99),"-LED",""),"-TK",""))</f>
        <v/>
      </c>
      <c r="Y955" s="23" t="str">
        <f aca="false">IF(X955="","",(LEN(X955)+1)/7)</f>
        <v/>
      </c>
      <c r="Z955" s="23" t="str">
        <f aca="false">IF(X955="","",LEFT(X955,6))</f>
        <v/>
      </c>
      <c r="AA955" s="23" t="str">
        <f aca="false">IF(X955="","",IF(Y955&gt;=3,MID(X955,8,6),""))</f>
        <v/>
      </c>
      <c r="AB955" s="23" t="str">
        <f aca="false">IF(X955="","",IF(Y955&gt;=4,MID(X955,15,6),""))</f>
        <v/>
      </c>
      <c r="AC955" s="23" t="str">
        <f aca="false">IF(X955="","",IF(Y955&gt;=5,MID(X955,22,6),""))</f>
        <v/>
      </c>
      <c r="AD955" s="23" t="str">
        <f aca="false">IF(X955="","",RIGHT(X955,6))</f>
        <v/>
      </c>
      <c r="AE955" s="23" t="str">
        <f aca="false">IF(F955="","",IF(ISNUMBER(SEARCH("-TK",UPPER(F955))),0,1))</f>
        <v/>
      </c>
      <c r="AF955" s="23" t="str">
        <f aca="false">IF(F955="","",IF(ISNUMBER(SEARCH("-LED",UPPER(F955))),1,0))</f>
        <v/>
      </c>
      <c r="AG955" s="24" t="n">
        <f aca="false">IF(Z955="",0,IFERROR(INDEX(Resep!$C$5:$C$7,MATCH(LEFT(Z955,3),Resep!$B$5:$B$7,0)),0))</f>
        <v>0</v>
      </c>
      <c r="AH955" s="24" t="n">
        <f aca="false">IF(AA955="",0,IFERROR(INDEX(Resep!$C$9:$C$13,MATCH(LEFT(AA955,3),Resep!$B$9:$B$13,0)),0))</f>
        <v>0</v>
      </c>
      <c r="AI955" s="24" t="n">
        <f aca="false">IF(AB955="",0,IFERROR(INDEX(Resep!$C$9:$C$13,MATCH(LEFT(AB955,3),Resep!$B$9:$B$13,0)),0))</f>
        <v>0</v>
      </c>
      <c r="AJ955" s="24" t="n">
        <f aca="false">IF(AC955="",0,IFERROR(INDEX(Resep!$C$9:$C$13,MATCH(LEFT(AC955,3),Resep!$B$9:$B$13,0)),0))</f>
        <v>0</v>
      </c>
      <c r="AK955" s="24" t="n">
        <f aca="false">IF(AD955="",0,IFERROR(INDEX(Resep!$C$15:$C$18,MATCH(LEFT(AD955,3),Resep!$B$15:$B$18,0)),0))</f>
        <v>0</v>
      </c>
      <c r="AL955" s="24" t="str">
        <f aca="false">IF(X955="","",AG955+AH955+AI955+AJ955+AK955)</f>
        <v/>
      </c>
      <c r="AM955" s="22" t="str">
        <f aca="false">IF(X955="","",AL955*(Pengaturan!$B$6+Pengaturan!$B$7)+Pengaturan!$B$8+AE955*Pengaturan!$B$9+AF955*Pengaturan!$B$10)</f>
        <v/>
      </c>
      <c r="AN955" s="22" t="str">
        <f aca="false">IF(X955="","",N(G955)-AM955)</f>
        <v/>
      </c>
      <c r="AO955" s="25" t="str">
        <f aca="false">IF(OR(X955="",N(G955)=0),"",AN955/G955)</f>
        <v/>
      </c>
    </row>
    <row r="956" customFormat="false" ht="15" hidden="false" customHeight="false" outlineLevel="0" collapsed="false">
      <c r="A956" s="19"/>
      <c r="B956" s="20"/>
      <c r="C956" s="19"/>
      <c r="D956" s="19"/>
      <c r="E956" s="19"/>
      <c r="F956" s="19"/>
      <c r="G956" s="21"/>
      <c r="H956" s="19"/>
      <c r="I956" s="21"/>
      <c r="J956" s="19"/>
      <c r="K956" s="20"/>
      <c r="L956" s="20"/>
      <c r="M956" s="19"/>
      <c r="N956" s="19"/>
      <c r="O956" s="20"/>
      <c r="P956" s="20"/>
      <c r="Q956" s="19"/>
      <c r="R956" s="22" t="str">
        <f aca="false">IF(A956="","",N(G956)+N(I956))</f>
        <v/>
      </c>
      <c r="S956" s="23" t="str">
        <f aca="false">IF(OR(K956="",O956=""),"",O956-K956)</f>
        <v/>
      </c>
      <c r="T956" s="23" t="str">
        <f aca="true">IF(AND(C956="Cetak",L956&lt;&gt;"",L956&lt;TODAY()),"YA","")</f>
        <v/>
      </c>
      <c r="U956" s="23" t="str">
        <f aca="false">IF(B956="","",TEXT(B956,"yyyy-mm"))</f>
        <v/>
      </c>
      <c r="V956" s="23" t="str">
        <f aca="false">IF(K956="","",TEXT(K956,"yyyy-mm"))</f>
        <v/>
      </c>
      <c r="W956" s="23" t="n">
        <f aca="false">IF(OR(C956="Cetak",C956="Dikirim",C956="Selesai"),1,0)</f>
        <v>0</v>
      </c>
      <c r="X956" s="23" t="str">
        <f aca="false">IF(F956="","",SUBSTITUTE(SUBSTITUTE(MID(UPPER(TRIM(F956)),4,99),"-LED",""),"-TK",""))</f>
        <v/>
      </c>
      <c r="Y956" s="23" t="str">
        <f aca="false">IF(X956="","",(LEN(X956)+1)/7)</f>
        <v/>
      </c>
      <c r="Z956" s="23" t="str">
        <f aca="false">IF(X956="","",LEFT(X956,6))</f>
        <v/>
      </c>
      <c r="AA956" s="23" t="str">
        <f aca="false">IF(X956="","",IF(Y956&gt;=3,MID(X956,8,6),""))</f>
        <v/>
      </c>
      <c r="AB956" s="23" t="str">
        <f aca="false">IF(X956="","",IF(Y956&gt;=4,MID(X956,15,6),""))</f>
        <v/>
      </c>
      <c r="AC956" s="23" t="str">
        <f aca="false">IF(X956="","",IF(Y956&gt;=5,MID(X956,22,6),""))</f>
        <v/>
      </c>
      <c r="AD956" s="23" t="str">
        <f aca="false">IF(X956="","",RIGHT(X956,6))</f>
        <v/>
      </c>
      <c r="AE956" s="23" t="str">
        <f aca="false">IF(F956="","",IF(ISNUMBER(SEARCH("-TK",UPPER(F956))),0,1))</f>
        <v/>
      </c>
      <c r="AF956" s="23" t="str">
        <f aca="false">IF(F956="","",IF(ISNUMBER(SEARCH("-LED",UPPER(F956))),1,0))</f>
        <v/>
      </c>
      <c r="AG956" s="24" t="n">
        <f aca="false">IF(Z956="",0,IFERROR(INDEX(Resep!$C$5:$C$7,MATCH(LEFT(Z956,3),Resep!$B$5:$B$7,0)),0))</f>
        <v>0</v>
      </c>
      <c r="AH956" s="24" t="n">
        <f aca="false">IF(AA956="",0,IFERROR(INDEX(Resep!$C$9:$C$13,MATCH(LEFT(AA956,3),Resep!$B$9:$B$13,0)),0))</f>
        <v>0</v>
      </c>
      <c r="AI956" s="24" t="n">
        <f aca="false">IF(AB956="",0,IFERROR(INDEX(Resep!$C$9:$C$13,MATCH(LEFT(AB956,3),Resep!$B$9:$B$13,0)),0))</f>
        <v>0</v>
      </c>
      <c r="AJ956" s="24" t="n">
        <f aca="false">IF(AC956="",0,IFERROR(INDEX(Resep!$C$9:$C$13,MATCH(LEFT(AC956,3),Resep!$B$9:$B$13,0)),0))</f>
        <v>0</v>
      </c>
      <c r="AK956" s="24" t="n">
        <f aca="false">IF(AD956="",0,IFERROR(INDEX(Resep!$C$15:$C$18,MATCH(LEFT(AD956,3),Resep!$B$15:$B$18,0)),0))</f>
        <v>0</v>
      </c>
      <c r="AL956" s="24" t="str">
        <f aca="false">IF(X956="","",AG956+AH956+AI956+AJ956+AK956)</f>
        <v/>
      </c>
      <c r="AM956" s="22" t="str">
        <f aca="false">IF(X956="","",AL956*(Pengaturan!$B$6+Pengaturan!$B$7)+Pengaturan!$B$8+AE956*Pengaturan!$B$9+AF956*Pengaturan!$B$10)</f>
        <v/>
      </c>
      <c r="AN956" s="22" t="str">
        <f aca="false">IF(X956="","",N(G956)-AM956)</f>
        <v/>
      </c>
      <c r="AO956" s="25" t="str">
        <f aca="false">IF(OR(X956="",N(G956)=0),"",AN956/G956)</f>
        <v/>
      </c>
    </row>
    <row r="957" customFormat="false" ht="15" hidden="false" customHeight="false" outlineLevel="0" collapsed="false">
      <c r="A957" s="19"/>
      <c r="B957" s="20"/>
      <c r="C957" s="19"/>
      <c r="D957" s="19"/>
      <c r="E957" s="19"/>
      <c r="F957" s="19"/>
      <c r="G957" s="21"/>
      <c r="H957" s="19"/>
      <c r="I957" s="21"/>
      <c r="J957" s="19"/>
      <c r="K957" s="20"/>
      <c r="L957" s="20"/>
      <c r="M957" s="19"/>
      <c r="N957" s="19"/>
      <c r="O957" s="20"/>
      <c r="P957" s="20"/>
      <c r="Q957" s="19"/>
      <c r="R957" s="22" t="str">
        <f aca="false">IF(A957="","",N(G957)+N(I957))</f>
        <v/>
      </c>
      <c r="S957" s="23" t="str">
        <f aca="false">IF(OR(K957="",O957=""),"",O957-K957)</f>
        <v/>
      </c>
      <c r="T957" s="23" t="str">
        <f aca="true">IF(AND(C957="Cetak",L957&lt;&gt;"",L957&lt;TODAY()),"YA","")</f>
        <v/>
      </c>
      <c r="U957" s="23" t="str">
        <f aca="false">IF(B957="","",TEXT(B957,"yyyy-mm"))</f>
        <v/>
      </c>
      <c r="V957" s="23" t="str">
        <f aca="false">IF(K957="","",TEXT(K957,"yyyy-mm"))</f>
        <v/>
      </c>
      <c r="W957" s="23" t="n">
        <f aca="false">IF(OR(C957="Cetak",C957="Dikirim",C957="Selesai"),1,0)</f>
        <v>0</v>
      </c>
      <c r="X957" s="23" t="str">
        <f aca="false">IF(F957="","",SUBSTITUTE(SUBSTITUTE(MID(UPPER(TRIM(F957)),4,99),"-LED",""),"-TK",""))</f>
        <v/>
      </c>
      <c r="Y957" s="23" t="str">
        <f aca="false">IF(X957="","",(LEN(X957)+1)/7)</f>
        <v/>
      </c>
      <c r="Z957" s="23" t="str">
        <f aca="false">IF(X957="","",LEFT(X957,6))</f>
        <v/>
      </c>
      <c r="AA957" s="23" t="str">
        <f aca="false">IF(X957="","",IF(Y957&gt;=3,MID(X957,8,6),""))</f>
        <v/>
      </c>
      <c r="AB957" s="23" t="str">
        <f aca="false">IF(X957="","",IF(Y957&gt;=4,MID(X957,15,6),""))</f>
        <v/>
      </c>
      <c r="AC957" s="23" t="str">
        <f aca="false">IF(X957="","",IF(Y957&gt;=5,MID(X957,22,6),""))</f>
        <v/>
      </c>
      <c r="AD957" s="23" t="str">
        <f aca="false">IF(X957="","",RIGHT(X957,6))</f>
        <v/>
      </c>
      <c r="AE957" s="23" t="str">
        <f aca="false">IF(F957="","",IF(ISNUMBER(SEARCH("-TK",UPPER(F957))),0,1))</f>
        <v/>
      </c>
      <c r="AF957" s="23" t="str">
        <f aca="false">IF(F957="","",IF(ISNUMBER(SEARCH("-LED",UPPER(F957))),1,0))</f>
        <v/>
      </c>
      <c r="AG957" s="24" t="n">
        <f aca="false">IF(Z957="",0,IFERROR(INDEX(Resep!$C$5:$C$7,MATCH(LEFT(Z957,3),Resep!$B$5:$B$7,0)),0))</f>
        <v>0</v>
      </c>
      <c r="AH957" s="24" t="n">
        <f aca="false">IF(AA957="",0,IFERROR(INDEX(Resep!$C$9:$C$13,MATCH(LEFT(AA957,3),Resep!$B$9:$B$13,0)),0))</f>
        <v>0</v>
      </c>
      <c r="AI957" s="24" t="n">
        <f aca="false">IF(AB957="",0,IFERROR(INDEX(Resep!$C$9:$C$13,MATCH(LEFT(AB957,3),Resep!$B$9:$B$13,0)),0))</f>
        <v>0</v>
      </c>
      <c r="AJ957" s="24" t="n">
        <f aca="false">IF(AC957="",0,IFERROR(INDEX(Resep!$C$9:$C$13,MATCH(LEFT(AC957,3),Resep!$B$9:$B$13,0)),0))</f>
        <v>0</v>
      </c>
      <c r="AK957" s="24" t="n">
        <f aca="false">IF(AD957="",0,IFERROR(INDEX(Resep!$C$15:$C$18,MATCH(LEFT(AD957,3),Resep!$B$15:$B$18,0)),0))</f>
        <v>0</v>
      </c>
      <c r="AL957" s="24" t="str">
        <f aca="false">IF(X957="","",AG957+AH957+AI957+AJ957+AK957)</f>
        <v/>
      </c>
      <c r="AM957" s="22" t="str">
        <f aca="false">IF(X957="","",AL957*(Pengaturan!$B$6+Pengaturan!$B$7)+Pengaturan!$B$8+AE957*Pengaturan!$B$9+AF957*Pengaturan!$B$10)</f>
        <v/>
      </c>
      <c r="AN957" s="22" t="str">
        <f aca="false">IF(X957="","",N(G957)-AM957)</f>
        <v/>
      </c>
      <c r="AO957" s="25" t="str">
        <f aca="false">IF(OR(X957="",N(G957)=0),"",AN957/G957)</f>
        <v/>
      </c>
    </row>
    <row r="958" customFormat="false" ht="15" hidden="false" customHeight="false" outlineLevel="0" collapsed="false">
      <c r="A958" s="19"/>
      <c r="B958" s="20"/>
      <c r="C958" s="19"/>
      <c r="D958" s="19"/>
      <c r="E958" s="19"/>
      <c r="F958" s="19"/>
      <c r="G958" s="21"/>
      <c r="H958" s="19"/>
      <c r="I958" s="21"/>
      <c r="J958" s="19"/>
      <c r="K958" s="20"/>
      <c r="L958" s="20"/>
      <c r="M958" s="19"/>
      <c r="N958" s="19"/>
      <c r="O958" s="20"/>
      <c r="P958" s="20"/>
      <c r="Q958" s="19"/>
      <c r="R958" s="22" t="str">
        <f aca="false">IF(A958="","",N(G958)+N(I958))</f>
        <v/>
      </c>
      <c r="S958" s="23" t="str">
        <f aca="false">IF(OR(K958="",O958=""),"",O958-K958)</f>
        <v/>
      </c>
      <c r="T958" s="23" t="str">
        <f aca="true">IF(AND(C958="Cetak",L958&lt;&gt;"",L958&lt;TODAY()),"YA","")</f>
        <v/>
      </c>
      <c r="U958" s="23" t="str">
        <f aca="false">IF(B958="","",TEXT(B958,"yyyy-mm"))</f>
        <v/>
      </c>
      <c r="V958" s="23" t="str">
        <f aca="false">IF(K958="","",TEXT(K958,"yyyy-mm"))</f>
        <v/>
      </c>
      <c r="W958" s="23" t="n">
        <f aca="false">IF(OR(C958="Cetak",C958="Dikirim",C958="Selesai"),1,0)</f>
        <v>0</v>
      </c>
      <c r="X958" s="23" t="str">
        <f aca="false">IF(F958="","",SUBSTITUTE(SUBSTITUTE(MID(UPPER(TRIM(F958)),4,99),"-LED",""),"-TK",""))</f>
        <v/>
      </c>
      <c r="Y958" s="23" t="str">
        <f aca="false">IF(X958="","",(LEN(X958)+1)/7)</f>
        <v/>
      </c>
      <c r="Z958" s="23" t="str">
        <f aca="false">IF(X958="","",LEFT(X958,6))</f>
        <v/>
      </c>
      <c r="AA958" s="23" t="str">
        <f aca="false">IF(X958="","",IF(Y958&gt;=3,MID(X958,8,6),""))</f>
        <v/>
      </c>
      <c r="AB958" s="23" t="str">
        <f aca="false">IF(X958="","",IF(Y958&gt;=4,MID(X958,15,6),""))</f>
        <v/>
      </c>
      <c r="AC958" s="23" t="str">
        <f aca="false">IF(X958="","",IF(Y958&gt;=5,MID(X958,22,6),""))</f>
        <v/>
      </c>
      <c r="AD958" s="23" t="str">
        <f aca="false">IF(X958="","",RIGHT(X958,6))</f>
        <v/>
      </c>
      <c r="AE958" s="23" t="str">
        <f aca="false">IF(F958="","",IF(ISNUMBER(SEARCH("-TK",UPPER(F958))),0,1))</f>
        <v/>
      </c>
      <c r="AF958" s="23" t="str">
        <f aca="false">IF(F958="","",IF(ISNUMBER(SEARCH("-LED",UPPER(F958))),1,0))</f>
        <v/>
      </c>
      <c r="AG958" s="24" t="n">
        <f aca="false">IF(Z958="",0,IFERROR(INDEX(Resep!$C$5:$C$7,MATCH(LEFT(Z958,3),Resep!$B$5:$B$7,0)),0))</f>
        <v>0</v>
      </c>
      <c r="AH958" s="24" t="n">
        <f aca="false">IF(AA958="",0,IFERROR(INDEX(Resep!$C$9:$C$13,MATCH(LEFT(AA958,3),Resep!$B$9:$B$13,0)),0))</f>
        <v>0</v>
      </c>
      <c r="AI958" s="24" t="n">
        <f aca="false">IF(AB958="",0,IFERROR(INDEX(Resep!$C$9:$C$13,MATCH(LEFT(AB958,3),Resep!$B$9:$B$13,0)),0))</f>
        <v>0</v>
      </c>
      <c r="AJ958" s="24" t="n">
        <f aca="false">IF(AC958="",0,IFERROR(INDEX(Resep!$C$9:$C$13,MATCH(LEFT(AC958,3),Resep!$B$9:$B$13,0)),0))</f>
        <v>0</v>
      </c>
      <c r="AK958" s="24" t="n">
        <f aca="false">IF(AD958="",0,IFERROR(INDEX(Resep!$C$15:$C$18,MATCH(LEFT(AD958,3),Resep!$B$15:$B$18,0)),0))</f>
        <v>0</v>
      </c>
      <c r="AL958" s="24" t="str">
        <f aca="false">IF(X958="","",AG958+AH958+AI958+AJ958+AK958)</f>
        <v/>
      </c>
      <c r="AM958" s="22" t="str">
        <f aca="false">IF(X958="","",AL958*(Pengaturan!$B$6+Pengaturan!$B$7)+Pengaturan!$B$8+AE958*Pengaturan!$B$9+AF958*Pengaturan!$B$10)</f>
        <v/>
      </c>
      <c r="AN958" s="22" t="str">
        <f aca="false">IF(X958="","",N(G958)-AM958)</f>
        <v/>
      </c>
      <c r="AO958" s="25" t="str">
        <f aca="false">IF(OR(X958="",N(G958)=0),"",AN958/G958)</f>
        <v/>
      </c>
    </row>
    <row r="959" customFormat="false" ht="15" hidden="false" customHeight="false" outlineLevel="0" collapsed="false">
      <c r="A959" s="19"/>
      <c r="B959" s="20"/>
      <c r="C959" s="19"/>
      <c r="D959" s="19"/>
      <c r="E959" s="19"/>
      <c r="F959" s="19"/>
      <c r="G959" s="21"/>
      <c r="H959" s="19"/>
      <c r="I959" s="21"/>
      <c r="J959" s="19"/>
      <c r="K959" s="20"/>
      <c r="L959" s="20"/>
      <c r="M959" s="19"/>
      <c r="N959" s="19"/>
      <c r="O959" s="20"/>
      <c r="P959" s="20"/>
      <c r="Q959" s="19"/>
      <c r="R959" s="22" t="str">
        <f aca="false">IF(A959="","",N(G959)+N(I959))</f>
        <v/>
      </c>
      <c r="S959" s="23" t="str">
        <f aca="false">IF(OR(K959="",O959=""),"",O959-K959)</f>
        <v/>
      </c>
      <c r="T959" s="23" t="str">
        <f aca="true">IF(AND(C959="Cetak",L959&lt;&gt;"",L959&lt;TODAY()),"YA","")</f>
        <v/>
      </c>
      <c r="U959" s="23" t="str">
        <f aca="false">IF(B959="","",TEXT(B959,"yyyy-mm"))</f>
        <v/>
      </c>
      <c r="V959" s="23" t="str">
        <f aca="false">IF(K959="","",TEXT(K959,"yyyy-mm"))</f>
        <v/>
      </c>
      <c r="W959" s="23" t="n">
        <f aca="false">IF(OR(C959="Cetak",C959="Dikirim",C959="Selesai"),1,0)</f>
        <v>0</v>
      </c>
      <c r="X959" s="23" t="str">
        <f aca="false">IF(F959="","",SUBSTITUTE(SUBSTITUTE(MID(UPPER(TRIM(F959)),4,99),"-LED",""),"-TK",""))</f>
        <v/>
      </c>
      <c r="Y959" s="23" t="str">
        <f aca="false">IF(X959="","",(LEN(X959)+1)/7)</f>
        <v/>
      </c>
      <c r="Z959" s="23" t="str">
        <f aca="false">IF(X959="","",LEFT(X959,6))</f>
        <v/>
      </c>
      <c r="AA959" s="23" t="str">
        <f aca="false">IF(X959="","",IF(Y959&gt;=3,MID(X959,8,6),""))</f>
        <v/>
      </c>
      <c r="AB959" s="23" t="str">
        <f aca="false">IF(X959="","",IF(Y959&gt;=4,MID(X959,15,6),""))</f>
        <v/>
      </c>
      <c r="AC959" s="23" t="str">
        <f aca="false">IF(X959="","",IF(Y959&gt;=5,MID(X959,22,6),""))</f>
        <v/>
      </c>
      <c r="AD959" s="23" t="str">
        <f aca="false">IF(X959="","",RIGHT(X959,6))</f>
        <v/>
      </c>
      <c r="AE959" s="23" t="str">
        <f aca="false">IF(F959="","",IF(ISNUMBER(SEARCH("-TK",UPPER(F959))),0,1))</f>
        <v/>
      </c>
      <c r="AF959" s="23" t="str">
        <f aca="false">IF(F959="","",IF(ISNUMBER(SEARCH("-LED",UPPER(F959))),1,0))</f>
        <v/>
      </c>
      <c r="AG959" s="24" t="n">
        <f aca="false">IF(Z959="",0,IFERROR(INDEX(Resep!$C$5:$C$7,MATCH(LEFT(Z959,3),Resep!$B$5:$B$7,0)),0))</f>
        <v>0</v>
      </c>
      <c r="AH959" s="24" t="n">
        <f aca="false">IF(AA959="",0,IFERROR(INDEX(Resep!$C$9:$C$13,MATCH(LEFT(AA959,3),Resep!$B$9:$B$13,0)),0))</f>
        <v>0</v>
      </c>
      <c r="AI959" s="24" t="n">
        <f aca="false">IF(AB959="",0,IFERROR(INDEX(Resep!$C$9:$C$13,MATCH(LEFT(AB959,3),Resep!$B$9:$B$13,0)),0))</f>
        <v>0</v>
      </c>
      <c r="AJ959" s="24" t="n">
        <f aca="false">IF(AC959="",0,IFERROR(INDEX(Resep!$C$9:$C$13,MATCH(LEFT(AC959,3),Resep!$B$9:$B$13,0)),0))</f>
        <v>0</v>
      </c>
      <c r="AK959" s="24" t="n">
        <f aca="false">IF(AD959="",0,IFERROR(INDEX(Resep!$C$15:$C$18,MATCH(LEFT(AD959,3),Resep!$B$15:$B$18,0)),0))</f>
        <v>0</v>
      </c>
      <c r="AL959" s="24" t="str">
        <f aca="false">IF(X959="","",AG959+AH959+AI959+AJ959+AK959)</f>
        <v/>
      </c>
      <c r="AM959" s="22" t="str">
        <f aca="false">IF(X959="","",AL959*(Pengaturan!$B$6+Pengaturan!$B$7)+Pengaturan!$B$8+AE959*Pengaturan!$B$9+AF959*Pengaturan!$B$10)</f>
        <v/>
      </c>
      <c r="AN959" s="22" t="str">
        <f aca="false">IF(X959="","",N(G959)-AM959)</f>
        <v/>
      </c>
      <c r="AO959" s="25" t="str">
        <f aca="false">IF(OR(X959="",N(G959)=0),"",AN959/G959)</f>
        <v/>
      </c>
    </row>
    <row r="960" customFormat="false" ht="15" hidden="false" customHeight="false" outlineLevel="0" collapsed="false">
      <c r="A960" s="19"/>
      <c r="B960" s="20"/>
      <c r="C960" s="19"/>
      <c r="D960" s="19"/>
      <c r="E960" s="19"/>
      <c r="F960" s="19"/>
      <c r="G960" s="21"/>
      <c r="H960" s="19"/>
      <c r="I960" s="21"/>
      <c r="J960" s="19"/>
      <c r="K960" s="20"/>
      <c r="L960" s="20"/>
      <c r="M960" s="19"/>
      <c r="N960" s="19"/>
      <c r="O960" s="20"/>
      <c r="P960" s="20"/>
      <c r="Q960" s="19"/>
      <c r="R960" s="22" t="str">
        <f aca="false">IF(A960="","",N(G960)+N(I960))</f>
        <v/>
      </c>
      <c r="S960" s="23" t="str">
        <f aca="false">IF(OR(K960="",O960=""),"",O960-K960)</f>
        <v/>
      </c>
      <c r="T960" s="23" t="str">
        <f aca="true">IF(AND(C960="Cetak",L960&lt;&gt;"",L960&lt;TODAY()),"YA","")</f>
        <v/>
      </c>
      <c r="U960" s="23" t="str">
        <f aca="false">IF(B960="","",TEXT(B960,"yyyy-mm"))</f>
        <v/>
      </c>
      <c r="V960" s="23" t="str">
        <f aca="false">IF(K960="","",TEXT(K960,"yyyy-mm"))</f>
        <v/>
      </c>
      <c r="W960" s="23" t="n">
        <f aca="false">IF(OR(C960="Cetak",C960="Dikirim",C960="Selesai"),1,0)</f>
        <v>0</v>
      </c>
      <c r="X960" s="23" t="str">
        <f aca="false">IF(F960="","",SUBSTITUTE(SUBSTITUTE(MID(UPPER(TRIM(F960)),4,99),"-LED",""),"-TK",""))</f>
        <v/>
      </c>
      <c r="Y960" s="23" t="str">
        <f aca="false">IF(X960="","",(LEN(X960)+1)/7)</f>
        <v/>
      </c>
      <c r="Z960" s="23" t="str">
        <f aca="false">IF(X960="","",LEFT(X960,6))</f>
        <v/>
      </c>
      <c r="AA960" s="23" t="str">
        <f aca="false">IF(X960="","",IF(Y960&gt;=3,MID(X960,8,6),""))</f>
        <v/>
      </c>
      <c r="AB960" s="23" t="str">
        <f aca="false">IF(X960="","",IF(Y960&gt;=4,MID(X960,15,6),""))</f>
        <v/>
      </c>
      <c r="AC960" s="23" t="str">
        <f aca="false">IF(X960="","",IF(Y960&gt;=5,MID(X960,22,6),""))</f>
        <v/>
      </c>
      <c r="AD960" s="23" t="str">
        <f aca="false">IF(X960="","",RIGHT(X960,6))</f>
        <v/>
      </c>
      <c r="AE960" s="23" t="str">
        <f aca="false">IF(F960="","",IF(ISNUMBER(SEARCH("-TK",UPPER(F960))),0,1))</f>
        <v/>
      </c>
      <c r="AF960" s="23" t="str">
        <f aca="false">IF(F960="","",IF(ISNUMBER(SEARCH("-LED",UPPER(F960))),1,0))</f>
        <v/>
      </c>
      <c r="AG960" s="24" t="n">
        <f aca="false">IF(Z960="",0,IFERROR(INDEX(Resep!$C$5:$C$7,MATCH(LEFT(Z960,3),Resep!$B$5:$B$7,0)),0))</f>
        <v>0</v>
      </c>
      <c r="AH960" s="24" t="n">
        <f aca="false">IF(AA960="",0,IFERROR(INDEX(Resep!$C$9:$C$13,MATCH(LEFT(AA960,3),Resep!$B$9:$B$13,0)),0))</f>
        <v>0</v>
      </c>
      <c r="AI960" s="24" t="n">
        <f aca="false">IF(AB960="",0,IFERROR(INDEX(Resep!$C$9:$C$13,MATCH(LEFT(AB960,3),Resep!$B$9:$B$13,0)),0))</f>
        <v>0</v>
      </c>
      <c r="AJ960" s="24" t="n">
        <f aca="false">IF(AC960="",0,IFERROR(INDEX(Resep!$C$9:$C$13,MATCH(LEFT(AC960,3),Resep!$B$9:$B$13,0)),0))</f>
        <v>0</v>
      </c>
      <c r="AK960" s="24" t="n">
        <f aca="false">IF(AD960="",0,IFERROR(INDEX(Resep!$C$15:$C$18,MATCH(LEFT(AD960,3),Resep!$B$15:$B$18,0)),0))</f>
        <v>0</v>
      </c>
      <c r="AL960" s="24" t="str">
        <f aca="false">IF(X960="","",AG960+AH960+AI960+AJ960+AK960)</f>
        <v/>
      </c>
      <c r="AM960" s="22" t="str">
        <f aca="false">IF(X960="","",AL960*(Pengaturan!$B$6+Pengaturan!$B$7)+Pengaturan!$B$8+AE960*Pengaturan!$B$9+AF960*Pengaturan!$B$10)</f>
        <v/>
      </c>
      <c r="AN960" s="22" t="str">
        <f aca="false">IF(X960="","",N(G960)-AM960)</f>
        <v/>
      </c>
      <c r="AO960" s="25" t="str">
        <f aca="false">IF(OR(X960="",N(G960)=0),"",AN960/G960)</f>
        <v/>
      </c>
    </row>
    <row r="961" customFormat="false" ht="15" hidden="false" customHeight="false" outlineLevel="0" collapsed="false">
      <c r="A961" s="19"/>
      <c r="B961" s="20"/>
      <c r="C961" s="19"/>
      <c r="D961" s="19"/>
      <c r="E961" s="19"/>
      <c r="F961" s="19"/>
      <c r="G961" s="21"/>
      <c r="H961" s="19"/>
      <c r="I961" s="21"/>
      <c r="J961" s="19"/>
      <c r="K961" s="20"/>
      <c r="L961" s="20"/>
      <c r="M961" s="19"/>
      <c r="N961" s="19"/>
      <c r="O961" s="20"/>
      <c r="P961" s="20"/>
      <c r="Q961" s="19"/>
      <c r="R961" s="22" t="str">
        <f aca="false">IF(A961="","",N(G961)+N(I961))</f>
        <v/>
      </c>
      <c r="S961" s="23" t="str">
        <f aca="false">IF(OR(K961="",O961=""),"",O961-K961)</f>
        <v/>
      </c>
      <c r="T961" s="23" t="str">
        <f aca="true">IF(AND(C961="Cetak",L961&lt;&gt;"",L961&lt;TODAY()),"YA","")</f>
        <v/>
      </c>
      <c r="U961" s="23" t="str">
        <f aca="false">IF(B961="","",TEXT(B961,"yyyy-mm"))</f>
        <v/>
      </c>
      <c r="V961" s="23" t="str">
        <f aca="false">IF(K961="","",TEXT(K961,"yyyy-mm"))</f>
        <v/>
      </c>
      <c r="W961" s="23" t="n">
        <f aca="false">IF(OR(C961="Cetak",C961="Dikirim",C961="Selesai"),1,0)</f>
        <v>0</v>
      </c>
      <c r="X961" s="23" t="str">
        <f aca="false">IF(F961="","",SUBSTITUTE(SUBSTITUTE(MID(UPPER(TRIM(F961)),4,99),"-LED",""),"-TK",""))</f>
        <v/>
      </c>
      <c r="Y961" s="23" t="str">
        <f aca="false">IF(X961="","",(LEN(X961)+1)/7)</f>
        <v/>
      </c>
      <c r="Z961" s="23" t="str">
        <f aca="false">IF(X961="","",LEFT(X961,6))</f>
        <v/>
      </c>
      <c r="AA961" s="23" t="str">
        <f aca="false">IF(X961="","",IF(Y961&gt;=3,MID(X961,8,6),""))</f>
        <v/>
      </c>
      <c r="AB961" s="23" t="str">
        <f aca="false">IF(X961="","",IF(Y961&gt;=4,MID(X961,15,6),""))</f>
        <v/>
      </c>
      <c r="AC961" s="23" t="str">
        <f aca="false">IF(X961="","",IF(Y961&gt;=5,MID(X961,22,6),""))</f>
        <v/>
      </c>
      <c r="AD961" s="23" t="str">
        <f aca="false">IF(X961="","",RIGHT(X961,6))</f>
        <v/>
      </c>
      <c r="AE961" s="23" t="str">
        <f aca="false">IF(F961="","",IF(ISNUMBER(SEARCH("-TK",UPPER(F961))),0,1))</f>
        <v/>
      </c>
      <c r="AF961" s="23" t="str">
        <f aca="false">IF(F961="","",IF(ISNUMBER(SEARCH("-LED",UPPER(F961))),1,0))</f>
        <v/>
      </c>
      <c r="AG961" s="24" t="n">
        <f aca="false">IF(Z961="",0,IFERROR(INDEX(Resep!$C$5:$C$7,MATCH(LEFT(Z961,3),Resep!$B$5:$B$7,0)),0))</f>
        <v>0</v>
      </c>
      <c r="AH961" s="24" t="n">
        <f aca="false">IF(AA961="",0,IFERROR(INDEX(Resep!$C$9:$C$13,MATCH(LEFT(AA961,3),Resep!$B$9:$B$13,0)),0))</f>
        <v>0</v>
      </c>
      <c r="AI961" s="24" t="n">
        <f aca="false">IF(AB961="",0,IFERROR(INDEX(Resep!$C$9:$C$13,MATCH(LEFT(AB961,3),Resep!$B$9:$B$13,0)),0))</f>
        <v>0</v>
      </c>
      <c r="AJ961" s="24" t="n">
        <f aca="false">IF(AC961="",0,IFERROR(INDEX(Resep!$C$9:$C$13,MATCH(LEFT(AC961,3),Resep!$B$9:$B$13,0)),0))</f>
        <v>0</v>
      </c>
      <c r="AK961" s="24" t="n">
        <f aca="false">IF(AD961="",0,IFERROR(INDEX(Resep!$C$15:$C$18,MATCH(LEFT(AD961,3),Resep!$B$15:$B$18,0)),0))</f>
        <v>0</v>
      </c>
      <c r="AL961" s="24" t="str">
        <f aca="false">IF(X961="","",AG961+AH961+AI961+AJ961+AK961)</f>
        <v/>
      </c>
      <c r="AM961" s="22" t="str">
        <f aca="false">IF(X961="","",AL961*(Pengaturan!$B$6+Pengaturan!$B$7)+Pengaturan!$B$8+AE961*Pengaturan!$B$9+AF961*Pengaturan!$B$10)</f>
        <v/>
      </c>
      <c r="AN961" s="22" t="str">
        <f aca="false">IF(X961="","",N(G961)-AM961)</f>
        <v/>
      </c>
      <c r="AO961" s="25" t="str">
        <f aca="false">IF(OR(X961="",N(G961)=0),"",AN961/G961)</f>
        <v/>
      </c>
    </row>
    <row r="962" customFormat="false" ht="15" hidden="false" customHeight="false" outlineLevel="0" collapsed="false">
      <c r="A962" s="19"/>
      <c r="B962" s="20"/>
      <c r="C962" s="19"/>
      <c r="D962" s="19"/>
      <c r="E962" s="19"/>
      <c r="F962" s="19"/>
      <c r="G962" s="21"/>
      <c r="H962" s="19"/>
      <c r="I962" s="21"/>
      <c r="J962" s="19"/>
      <c r="K962" s="20"/>
      <c r="L962" s="20"/>
      <c r="M962" s="19"/>
      <c r="N962" s="19"/>
      <c r="O962" s="20"/>
      <c r="P962" s="20"/>
      <c r="Q962" s="19"/>
      <c r="R962" s="22" t="str">
        <f aca="false">IF(A962="","",N(G962)+N(I962))</f>
        <v/>
      </c>
      <c r="S962" s="23" t="str">
        <f aca="false">IF(OR(K962="",O962=""),"",O962-K962)</f>
        <v/>
      </c>
      <c r="T962" s="23" t="str">
        <f aca="true">IF(AND(C962="Cetak",L962&lt;&gt;"",L962&lt;TODAY()),"YA","")</f>
        <v/>
      </c>
      <c r="U962" s="23" t="str">
        <f aca="false">IF(B962="","",TEXT(B962,"yyyy-mm"))</f>
        <v/>
      </c>
      <c r="V962" s="23" t="str">
        <f aca="false">IF(K962="","",TEXT(K962,"yyyy-mm"))</f>
        <v/>
      </c>
      <c r="W962" s="23" t="n">
        <f aca="false">IF(OR(C962="Cetak",C962="Dikirim",C962="Selesai"),1,0)</f>
        <v>0</v>
      </c>
      <c r="X962" s="23" t="str">
        <f aca="false">IF(F962="","",SUBSTITUTE(SUBSTITUTE(MID(UPPER(TRIM(F962)),4,99),"-LED",""),"-TK",""))</f>
        <v/>
      </c>
      <c r="Y962" s="23" t="str">
        <f aca="false">IF(X962="","",(LEN(X962)+1)/7)</f>
        <v/>
      </c>
      <c r="Z962" s="23" t="str">
        <f aca="false">IF(X962="","",LEFT(X962,6))</f>
        <v/>
      </c>
      <c r="AA962" s="23" t="str">
        <f aca="false">IF(X962="","",IF(Y962&gt;=3,MID(X962,8,6),""))</f>
        <v/>
      </c>
      <c r="AB962" s="23" t="str">
        <f aca="false">IF(X962="","",IF(Y962&gt;=4,MID(X962,15,6),""))</f>
        <v/>
      </c>
      <c r="AC962" s="23" t="str">
        <f aca="false">IF(X962="","",IF(Y962&gt;=5,MID(X962,22,6),""))</f>
        <v/>
      </c>
      <c r="AD962" s="23" t="str">
        <f aca="false">IF(X962="","",RIGHT(X962,6))</f>
        <v/>
      </c>
      <c r="AE962" s="23" t="str">
        <f aca="false">IF(F962="","",IF(ISNUMBER(SEARCH("-TK",UPPER(F962))),0,1))</f>
        <v/>
      </c>
      <c r="AF962" s="23" t="str">
        <f aca="false">IF(F962="","",IF(ISNUMBER(SEARCH("-LED",UPPER(F962))),1,0))</f>
        <v/>
      </c>
      <c r="AG962" s="24" t="n">
        <f aca="false">IF(Z962="",0,IFERROR(INDEX(Resep!$C$5:$C$7,MATCH(LEFT(Z962,3),Resep!$B$5:$B$7,0)),0))</f>
        <v>0</v>
      </c>
      <c r="AH962" s="24" t="n">
        <f aca="false">IF(AA962="",0,IFERROR(INDEX(Resep!$C$9:$C$13,MATCH(LEFT(AA962,3),Resep!$B$9:$B$13,0)),0))</f>
        <v>0</v>
      </c>
      <c r="AI962" s="24" t="n">
        <f aca="false">IF(AB962="",0,IFERROR(INDEX(Resep!$C$9:$C$13,MATCH(LEFT(AB962,3),Resep!$B$9:$B$13,0)),0))</f>
        <v>0</v>
      </c>
      <c r="AJ962" s="24" t="n">
        <f aca="false">IF(AC962="",0,IFERROR(INDEX(Resep!$C$9:$C$13,MATCH(LEFT(AC962,3),Resep!$B$9:$B$13,0)),0))</f>
        <v>0</v>
      </c>
      <c r="AK962" s="24" t="n">
        <f aca="false">IF(AD962="",0,IFERROR(INDEX(Resep!$C$15:$C$18,MATCH(LEFT(AD962,3),Resep!$B$15:$B$18,0)),0))</f>
        <v>0</v>
      </c>
      <c r="AL962" s="24" t="str">
        <f aca="false">IF(X962="","",AG962+AH962+AI962+AJ962+AK962)</f>
        <v/>
      </c>
      <c r="AM962" s="22" t="str">
        <f aca="false">IF(X962="","",AL962*(Pengaturan!$B$6+Pengaturan!$B$7)+Pengaturan!$B$8+AE962*Pengaturan!$B$9+AF962*Pengaturan!$B$10)</f>
        <v/>
      </c>
      <c r="AN962" s="22" t="str">
        <f aca="false">IF(X962="","",N(G962)-AM962)</f>
        <v/>
      </c>
      <c r="AO962" s="25" t="str">
        <f aca="false">IF(OR(X962="",N(G962)=0),"",AN962/G962)</f>
        <v/>
      </c>
    </row>
    <row r="963" customFormat="false" ht="15" hidden="false" customHeight="false" outlineLevel="0" collapsed="false">
      <c r="A963" s="19"/>
      <c r="B963" s="20"/>
      <c r="C963" s="19"/>
      <c r="D963" s="19"/>
      <c r="E963" s="19"/>
      <c r="F963" s="19"/>
      <c r="G963" s="21"/>
      <c r="H963" s="19"/>
      <c r="I963" s="21"/>
      <c r="J963" s="19"/>
      <c r="K963" s="20"/>
      <c r="L963" s="20"/>
      <c r="M963" s="19"/>
      <c r="N963" s="19"/>
      <c r="O963" s="20"/>
      <c r="P963" s="20"/>
      <c r="Q963" s="19"/>
      <c r="R963" s="22" t="str">
        <f aca="false">IF(A963="","",N(G963)+N(I963))</f>
        <v/>
      </c>
      <c r="S963" s="23" t="str">
        <f aca="false">IF(OR(K963="",O963=""),"",O963-K963)</f>
        <v/>
      </c>
      <c r="T963" s="23" t="str">
        <f aca="true">IF(AND(C963="Cetak",L963&lt;&gt;"",L963&lt;TODAY()),"YA","")</f>
        <v/>
      </c>
      <c r="U963" s="23" t="str">
        <f aca="false">IF(B963="","",TEXT(B963,"yyyy-mm"))</f>
        <v/>
      </c>
      <c r="V963" s="23" t="str">
        <f aca="false">IF(K963="","",TEXT(K963,"yyyy-mm"))</f>
        <v/>
      </c>
      <c r="W963" s="23" t="n">
        <f aca="false">IF(OR(C963="Cetak",C963="Dikirim",C963="Selesai"),1,0)</f>
        <v>0</v>
      </c>
      <c r="X963" s="23" t="str">
        <f aca="false">IF(F963="","",SUBSTITUTE(SUBSTITUTE(MID(UPPER(TRIM(F963)),4,99),"-LED",""),"-TK",""))</f>
        <v/>
      </c>
      <c r="Y963" s="23" t="str">
        <f aca="false">IF(X963="","",(LEN(X963)+1)/7)</f>
        <v/>
      </c>
      <c r="Z963" s="23" t="str">
        <f aca="false">IF(X963="","",LEFT(X963,6))</f>
        <v/>
      </c>
      <c r="AA963" s="23" t="str">
        <f aca="false">IF(X963="","",IF(Y963&gt;=3,MID(X963,8,6),""))</f>
        <v/>
      </c>
      <c r="AB963" s="23" t="str">
        <f aca="false">IF(X963="","",IF(Y963&gt;=4,MID(X963,15,6),""))</f>
        <v/>
      </c>
      <c r="AC963" s="23" t="str">
        <f aca="false">IF(X963="","",IF(Y963&gt;=5,MID(X963,22,6),""))</f>
        <v/>
      </c>
      <c r="AD963" s="23" t="str">
        <f aca="false">IF(X963="","",RIGHT(X963,6))</f>
        <v/>
      </c>
      <c r="AE963" s="23" t="str">
        <f aca="false">IF(F963="","",IF(ISNUMBER(SEARCH("-TK",UPPER(F963))),0,1))</f>
        <v/>
      </c>
      <c r="AF963" s="23" t="str">
        <f aca="false">IF(F963="","",IF(ISNUMBER(SEARCH("-LED",UPPER(F963))),1,0))</f>
        <v/>
      </c>
      <c r="AG963" s="24" t="n">
        <f aca="false">IF(Z963="",0,IFERROR(INDEX(Resep!$C$5:$C$7,MATCH(LEFT(Z963,3),Resep!$B$5:$B$7,0)),0))</f>
        <v>0</v>
      </c>
      <c r="AH963" s="24" t="n">
        <f aca="false">IF(AA963="",0,IFERROR(INDEX(Resep!$C$9:$C$13,MATCH(LEFT(AA963,3),Resep!$B$9:$B$13,0)),0))</f>
        <v>0</v>
      </c>
      <c r="AI963" s="24" t="n">
        <f aca="false">IF(AB963="",0,IFERROR(INDEX(Resep!$C$9:$C$13,MATCH(LEFT(AB963,3),Resep!$B$9:$B$13,0)),0))</f>
        <v>0</v>
      </c>
      <c r="AJ963" s="24" t="n">
        <f aca="false">IF(AC963="",0,IFERROR(INDEX(Resep!$C$9:$C$13,MATCH(LEFT(AC963,3),Resep!$B$9:$B$13,0)),0))</f>
        <v>0</v>
      </c>
      <c r="AK963" s="24" t="n">
        <f aca="false">IF(AD963="",0,IFERROR(INDEX(Resep!$C$15:$C$18,MATCH(LEFT(AD963,3),Resep!$B$15:$B$18,0)),0))</f>
        <v>0</v>
      </c>
      <c r="AL963" s="24" t="str">
        <f aca="false">IF(X963="","",AG963+AH963+AI963+AJ963+AK963)</f>
        <v/>
      </c>
      <c r="AM963" s="22" t="str">
        <f aca="false">IF(X963="","",AL963*(Pengaturan!$B$6+Pengaturan!$B$7)+Pengaturan!$B$8+AE963*Pengaturan!$B$9+AF963*Pengaturan!$B$10)</f>
        <v/>
      </c>
      <c r="AN963" s="22" t="str">
        <f aca="false">IF(X963="","",N(G963)-AM963)</f>
        <v/>
      </c>
      <c r="AO963" s="25" t="str">
        <f aca="false">IF(OR(X963="",N(G963)=0),"",AN963/G963)</f>
        <v/>
      </c>
    </row>
    <row r="964" customFormat="false" ht="15" hidden="false" customHeight="false" outlineLevel="0" collapsed="false">
      <c r="A964" s="19"/>
      <c r="B964" s="20"/>
      <c r="C964" s="19"/>
      <c r="D964" s="19"/>
      <c r="E964" s="19"/>
      <c r="F964" s="19"/>
      <c r="G964" s="21"/>
      <c r="H964" s="19"/>
      <c r="I964" s="21"/>
      <c r="J964" s="19"/>
      <c r="K964" s="20"/>
      <c r="L964" s="20"/>
      <c r="M964" s="19"/>
      <c r="N964" s="19"/>
      <c r="O964" s="20"/>
      <c r="P964" s="20"/>
      <c r="Q964" s="19"/>
      <c r="R964" s="22" t="str">
        <f aca="false">IF(A964="","",N(G964)+N(I964))</f>
        <v/>
      </c>
      <c r="S964" s="23" t="str">
        <f aca="false">IF(OR(K964="",O964=""),"",O964-K964)</f>
        <v/>
      </c>
      <c r="T964" s="23" t="str">
        <f aca="true">IF(AND(C964="Cetak",L964&lt;&gt;"",L964&lt;TODAY()),"YA","")</f>
        <v/>
      </c>
      <c r="U964" s="23" t="str">
        <f aca="false">IF(B964="","",TEXT(B964,"yyyy-mm"))</f>
        <v/>
      </c>
      <c r="V964" s="23" t="str">
        <f aca="false">IF(K964="","",TEXT(K964,"yyyy-mm"))</f>
        <v/>
      </c>
      <c r="W964" s="23" t="n">
        <f aca="false">IF(OR(C964="Cetak",C964="Dikirim",C964="Selesai"),1,0)</f>
        <v>0</v>
      </c>
      <c r="X964" s="23" t="str">
        <f aca="false">IF(F964="","",SUBSTITUTE(SUBSTITUTE(MID(UPPER(TRIM(F964)),4,99),"-LED",""),"-TK",""))</f>
        <v/>
      </c>
      <c r="Y964" s="23" t="str">
        <f aca="false">IF(X964="","",(LEN(X964)+1)/7)</f>
        <v/>
      </c>
      <c r="Z964" s="23" t="str">
        <f aca="false">IF(X964="","",LEFT(X964,6))</f>
        <v/>
      </c>
      <c r="AA964" s="23" t="str">
        <f aca="false">IF(X964="","",IF(Y964&gt;=3,MID(X964,8,6),""))</f>
        <v/>
      </c>
      <c r="AB964" s="23" t="str">
        <f aca="false">IF(X964="","",IF(Y964&gt;=4,MID(X964,15,6),""))</f>
        <v/>
      </c>
      <c r="AC964" s="23" t="str">
        <f aca="false">IF(X964="","",IF(Y964&gt;=5,MID(X964,22,6),""))</f>
        <v/>
      </c>
      <c r="AD964" s="23" t="str">
        <f aca="false">IF(X964="","",RIGHT(X964,6))</f>
        <v/>
      </c>
      <c r="AE964" s="23" t="str">
        <f aca="false">IF(F964="","",IF(ISNUMBER(SEARCH("-TK",UPPER(F964))),0,1))</f>
        <v/>
      </c>
      <c r="AF964" s="23" t="str">
        <f aca="false">IF(F964="","",IF(ISNUMBER(SEARCH("-LED",UPPER(F964))),1,0))</f>
        <v/>
      </c>
      <c r="AG964" s="24" t="n">
        <f aca="false">IF(Z964="",0,IFERROR(INDEX(Resep!$C$5:$C$7,MATCH(LEFT(Z964,3),Resep!$B$5:$B$7,0)),0))</f>
        <v>0</v>
      </c>
      <c r="AH964" s="24" t="n">
        <f aca="false">IF(AA964="",0,IFERROR(INDEX(Resep!$C$9:$C$13,MATCH(LEFT(AA964,3),Resep!$B$9:$B$13,0)),0))</f>
        <v>0</v>
      </c>
      <c r="AI964" s="24" t="n">
        <f aca="false">IF(AB964="",0,IFERROR(INDEX(Resep!$C$9:$C$13,MATCH(LEFT(AB964,3),Resep!$B$9:$B$13,0)),0))</f>
        <v>0</v>
      </c>
      <c r="AJ964" s="24" t="n">
        <f aca="false">IF(AC964="",0,IFERROR(INDEX(Resep!$C$9:$C$13,MATCH(LEFT(AC964,3),Resep!$B$9:$B$13,0)),0))</f>
        <v>0</v>
      </c>
      <c r="AK964" s="24" t="n">
        <f aca="false">IF(AD964="",0,IFERROR(INDEX(Resep!$C$15:$C$18,MATCH(LEFT(AD964,3),Resep!$B$15:$B$18,0)),0))</f>
        <v>0</v>
      </c>
      <c r="AL964" s="24" t="str">
        <f aca="false">IF(X964="","",AG964+AH964+AI964+AJ964+AK964)</f>
        <v/>
      </c>
      <c r="AM964" s="22" t="str">
        <f aca="false">IF(X964="","",AL964*(Pengaturan!$B$6+Pengaturan!$B$7)+Pengaturan!$B$8+AE964*Pengaturan!$B$9+AF964*Pengaturan!$B$10)</f>
        <v/>
      </c>
      <c r="AN964" s="22" t="str">
        <f aca="false">IF(X964="","",N(G964)-AM964)</f>
        <v/>
      </c>
      <c r="AO964" s="25" t="str">
        <f aca="false">IF(OR(X964="",N(G964)=0),"",AN964/G964)</f>
        <v/>
      </c>
    </row>
    <row r="965" customFormat="false" ht="15" hidden="false" customHeight="false" outlineLevel="0" collapsed="false">
      <c r="A965" s="19"/>
      <c r="B965" s="20"/>
      <c r="C965" s="19"/>
      <c r="D965" s="19"/>
      <c r="E965" s="19"/>
      <c r="F965" s="19"/>
      <c r="G965" s="21"/>
      <c r="H965" s="19"/>
      <c r="I965" s="21"/>
      <c r="J965" s="19"/>
      <c r="K965" s="20"/>
      <c r="L965" s="20"/>
      <c r="M965" s="19"/>
      <c r="N965" s="19"/>
      <c r="O965" s="20"/>
      <c r="P965" s="20"/>
      <c r="Q965" s="19"/>
      <c r="R965" s="22" t="str">
        <f aca="false">IF(A965="","",N(G965)+N(I965))</f>
        <v/>
      </c>
      <c r="S965" s="23" t="str">
        <f aca="false">IF(OR(K965="",O965=""),"",O965-K965)</f>
        <v/>
      </c>
      <c r="T965" s="23" t="str">
        <f aca="true">IF(AND(C965="Cetak",L965&lt;&gt;"",L965&lt;TODAY()),"YA","")</f>
        <v/>
      </c>
      <c r="U965" s="23" t="str">
        <f aca="false">IF(B965="","",TEXT(B965,"yyyy-mm"))</f>
        <v/>
      </c>
      <c r="V965" s="23" t="str">
        <f aca="false">IF(K965="","",TEXT(K965,"yyyy-mm"))</f>
        <v/>
      </c>
      <c r="W965" s="23" t="n">
        <f aca="false">IF(OR(C965="Cetak",C965="Dikirim",C965="Selesai"),1,0)</f>
        <v>0</v>
      </c>
      <c r="X965" s="23" t="str">
        <f aca="false">IF(F965="","",SUBSTITUTE(SUBSTITUTE(MID(UPPER(TRIM(F965)),4,99),"-LED",""),"-TK",""))</f>
        <v/>
      </c>
      <c r="Y965" s="23" t="str">
        <f aca="false">IF(X965="","",(LEN(X965)+1)/7)</f>
        <v/>
      </c>
      <c r="Z965" s="23" t="str">
        <f aca="false">IF(X965="","",LEFT(X965,6))</f>
        <v/>
      </c>
      <c r="AA965" s="23" t="str">
        <f aca="false">IF(X965="","",IF(Y965&gt;=3,MID(X965,8,6),""))</f>
        <v/>
      </c>
      <c r="AB965" s="23" t="str">
        <f aca="false">IF(X965="","",IF(Y965&gt;=4,MID(X965,15,6),""))</f>
        <v/>
      </c>
      <c r="AC965" s="23" t="str">
        <f aca="false">IF(X965="","",IF(Y965&gt;=5,MID(X965,22,6),""))</f>
        <v/>
      </c>
      <c r="AD965" s="23" t="str">
        <f aca="false">IF(X965="","",RIGHT(X965,6))</f>
        <v/>
      </c>
      <c r="AE965" s="23" t="str">
        <f aca="false">IF(F965="","",IF(ISNUMBER(SEARCH("-TK",UPPER(F965))),0,1))</f>
        <v/>
      </c>
      <c r="AF965" s="23" t="str">
        <f aca="false">IF(F965="","",IF(ISNUMBER(SEARCH("-LED",UPPER(F965))),1,0))</f>
        <v/>
      </c>
      <c r="AG965" s="24" t="n">
        <f aca="false">IF(Z965="",0,IFERROR(INDEX(Resep!$C$5:$C$7,MATCH(LEFT(Z965,3),Resep!$B$5:$B$7,0)),0))</f>
        <v>0</v>
      </c>
      <c r="AH965" s="24" t="n">
        <f aca="false">IF(AA965="",0,IFERROR(INDEX(Resep!$C$9:$C$13,MATCH(LEFT(AA965,3),Resep!$B$9:$B$13,0)),0))</f>
        <v>0</v>
      </c>
      <c r="AI965" s="24" t="n">
        <f aca="false">IF(AB965="",0,IFERROR(INDEX(Resep!$C$9:$C$13,MATCH(LEFT(AB965,3),Resep!$B$9:$B$13,0)),0))</f>
        <v>0</v>
      </c>
      <c r="AJ965" s="24" t="n">
        <f aca="false">IF(AC965="",0,IFERROR(INDEX(Resep!$C$9:$C$13,MATCH(LEFT(AC965,3),Resep!$B$9:$B$13,0)),0))</f>
        <v>0</v>
      </c>
      <c r="AK965" s="24" t="n">
        <f aca="false">IF(AD965="",0,IFERROR(INDEX(Resep!$C$15:$C$18,MATCH(LEFT(AD965,3),Resep!$B$15:$B$18,0)),0))</f>
        <v>0</v>
      </c>
      <c r="AL965" s="24" t="str">
        <f aca="false">IF(X965="","",AG965+AH965+AI965+AJ965+AK965)</f>
        <v/>
      </c>
      <c r="AM965" s="22" t="str">
        <f aca="false">IF(X965="","",AL965*(Pengaturan!$B$6+Pengaturan!$B$7)+Pengaturan!$B$8+AE965*Pengaturan!$B$9+AF965*Pengaturan!$B$10)</f>
        <v/>
      </c>
      <c r="AN965" s="22" t="str">
        <f aca="false">IF(X965="","",N(G965)-AM965)</f>
        <v/>
      </c>
      <c r="AO965" s="25" t="str">
        <f aca="false">IF(OR(X965="",N(G965)=0),"",AN965/G965)</f>
        <v/>
      </c>
    </row>
    <row r="966" customFormat="false" ht="15" hidden="false" customHeight="false" outlineLevel="0" collapsed="false">
      <c r="A966" s="19"/>
      <c r="B966" s="20"/>
      <c r="C966" s="19"/>
      <c r="D966" s="19"/>
      <c r="E966" s="19"/>
      <c r="F966" s="19"/>
      <c r="G966" s="21"/>
      <c r="H966" s="19"/>
      <c r="I966" s="21"/>
      <c r="J966" s="19"/>
      <c r="K966" s="20"/>
      <c r="L966" s="20"/>
      <c r="M966" s="19"/>
      <c r="N966" s="19"/>
      <c r="O966" s="20"/>
      <c r="P966" s="20"/>
      <c r="Q966" s="19"/>
      <c r="R966" s="22" t="str">
        <f aca="false">IF(A966="","",N(G966)+N(I966))</f>
        <v/>
      </c>
      <c r="S966" s="23" t="str">
        <f aca="false">IF(OR(K966="",O966=""),"",O966-K966)</f>
        <v/>
      </c>
      <c r="T966" s="23" t="str">
        <f aca="true">IF(AND(C966="Cetak",L966&lt;&gt;"",L966&lt;TODAY()),"YA","")</f>
        <v/>
      </c>
      <c r="U966" s="23" t="str">
        <f aca="false">IF(B966="","",TEXT(B966,"yyyy-mm"))</f>
        <v/>
      </c>
      <c r="V966" s="23" t="str">
        <f aca="false">IF(K966="","",TEXT(K966,"yyyy-mm"))</f>
        <v/>
      </c>
      <c r="W966" s="23" t="n">
        <f aca="false">IF(OR(C966="Cetak",C966="Dikirim",C966="Selesai"),1,0)</f>
        <v>0</v>
      </c>
      <c r="X966" s="23" t="str">
        <f aca="false">IF(F966="","",SUBSTITUTE(SUBSTITUTE(MID(UPPER(TRIM(F966)),4,99),"-LED",""),"-TK",""))</f>
        <v/>
      </c>
      <c r="Y966" s="23" t="str">
        <f aca="false">IF(X966="","",(LEN(X966)+1)/7)</f>
        <v/>
      </c>
      <c r="Z966" s="23" t="str">
        <f aca="false">IF(X966="","",LEFT(X966,6))</f>
        <v/>
      </c>
      <c r="AA966" s="23" t="str">
        <f aca="false">IF(X966="","",IF(Y966&gt;=3,MID(X966,8,6),""))</f>
        <v/>
      </c>
      <c r="AB966" s="23" t="str">
        <f aca="false">IF(X966="","",IF(Y966&gt;=4,MID(X966,15,6),""))</f>
        <v/>
      </c>
      <c r="AC966" s="23" t="str">
        <f aca="false">IF(X966="","",IF(Y966&gt;=5,MID(X966,22,6),""))</f>
        <v/>
      </c>
      <c r="AD966" s="23" t="str">
        <f aca="false">IF(X966="","",RIGHT(X966,6))</f>
        <v/>
      </c>
      <c r="AE966" s="23" t="str">
        <f aca="false">IF(F966="","",IF(ISNUMBER(SEARCH("-TK",UPPER(F966))),0,1))</f>
        <v/>
      </c>
      <c r="AF966" s="23" t="str">
        <f aca="false">IF(F966="","",IF(ISNUMBER(SEARCH("-LED",UPPER(F966))),1,0))</f>
        <v/>
      </c>
      <c r="AG966" s="24" t="n">
        <f aca="false">IF(Z966="",0,IFERROR(INDEX(Resep!$C$5:$C$7,MATCH(LEFT(Z966,3),Resep!$B$5:$B$7,0)),0))</f>
        <v>0</v>
      </c>
      <c r="AH966" s="24" t="n">
        <f aca="false">IF(AA966="",0,IFERROR(INDEX(Resep!$C$9:$C$13,MATCH(LEFT(AA966,3),Resep!$B$9:$B$13,0)),0))</f>
        <v>0</v>
      </c>
      <c r="AI966" s="24" t="n">
        <f aca="false">IF(AB966="",0,IFERROR(INDEX(Resep!$C$9:$C$13,MATCH(LEFT(AB966,3),Resep!$B$9:$B$13,0)),0))</f>
        <v>0</v>
      </c>
      <c r="AJ966" s="24" t="n">
        <f aca="false">IF(AC966="",0,IFERROR(INDEX(Resep!$C$9:$C$13,MATCH(LEFT(AC966,3),Resep!$B$9:$B$13,0)),0))</f>
        <v>0</v>
      </c>
      <c r="AK966" s="24" t="n">
        <f aca="false">IF(AD966="",0,IFERROR(INDEX(Resep!$C$15:$C$18,MATCH(LEFT(AD966,3),Resep!$B$15:$B$18,0)),0))</f>
        <v>0</v>
      </c>
      <c r="AL966" s="24" t="str">
        <f aca="false">IF(X966="","",AG966+AH966+AI966+AJ966+AK966)</f>
        <v/>
      </c>
      <c r="AM966" s="22" t="str">
        <f aca="false">IF(X966="","",AL966*(Pengaturan!$B$6+Pengaturan!$B$7)+Pengaturan!$B$8+AE966*Pengaturan!$B$9+AF966*Pengaturan!$B$10)</f>
        <v/>
      </c>
      <c r="AN966" s="22" t="str">
        <f aca="false">IF(X966="","",N(G966)-AM966)</f>
        <v/>
      </c>
      <c r="AO966" s="25" t="str">
        <f aca="false">IF(OR(X966="",N(G966)=0),"",AN966/G966)</f>
        <v/>
      </c>
    </row>
    <row r="967" customFormat="false" ht="15" hidden="false" customHeight="false" outlineLevel="0" collapsed="false">
      <c r="A967" s="19"/>
      <c r="B967" s="20"/>
      <c r="C967" s="19"/>
      <c r="D967" s="19"/>
      <c r="E967" s="19"/>
      <c r="F967" s="19"/>
      <c r="G967" s="21"/>
      <c r="H967" s="19"/>
      <c r="I967" s="21"/>
      <c r="J967" s="19"/>
      <c r="K967" s="20"/>
      <c r="L967" s="20"/>
      <c r="M967" s="19"/>
      <c r="N967" s="19"/>
      <c r="O967" s="20"/>
      <c r="P967" s="20"/>
      <c r="Q967" s="19"/>
      <c r="R967" s="22" t="str">
        <f aca="false">IF(A967="","",N(G967)+N(I967))</f>
        <v/>
      </c>
      <c r="S967" s="23" t="str">
        <f aca="false">IF(OR(K967="",O967=""),"",O967-K967)</f>
        <v/>
      </c>
      <c r="T967" s="23" t="str">
        <f aca="true">IF(AND(C967="Cetak",L967&lt;&gt;"",L967&lt;TODAY()),"YA","")</f>
        <v/>
      </c>
      <c r="U967" s="23" t="str">
        <f aca="false">IF(B967="","",TEXT(B967,"yyyy-mm"))</f>
        <v/>
      </c>
      <c r="V967" s="23" t="str">
        <f aca="false">IF(K967="","",TEXT(K967,"yyyy-mm"))</f>
        <v/>
      </c>
      <c r="W967" s="23" t="n">
        <f aca="false">IF(OR(C967="Cetak",C967="Dikirim",C967="Selesai"),1,0)</f>
        <v>0</v>
      </c>
      <c r="X967" s="23" t="str">
        <f aca="false">IF(F967="","",SUBSTITUTE(SUBSTITUTE(MID(UPPER(TRIM(F967)),4,99),"-LED",""),"-TK",""))</f>
        <v/>
      </c>
      <c r="Y967" s="23" t="str">
        <f aca="false">IF(X967="","",(LEN(X967)+1)/7)</f>
        <v/>
      </c>
      <c r="Z967" s="23" t="str">
        <f aca="false">IF(X967="","",LEFT(X967,6))</f>
        <v/>
      </c>
      <c r="AA967" s="23" t="str">
        <f aca="false">IF(X967="","",IF(Y967&gt;=3,MID(X967,8,6),""))</f>
        <v/>
      </c>
      <c r="AB967" s="23" t="str">
        <f aca="false">IF(X967="","",IF(Y967&gt;=4,MID(X967,15,6),""))</f>
        <v/>
      </c>
      <c r="AC967" s="23" t="str">
        <f aca="false">IF(X967="","",IF(Y967&gt;=5,MID(X967,22,6),""))</f>
        <v/>
      </c>
      <c r="AD967" s="23" t="str">
        <f aca="false">IF(X967="","",RIGHT(X967,6))</f>
        <v/>
      </c>
      <c r="AE967" s="23" t="str">
        <f aca="false">IF(F967="","",IF(ISNUMBER(SEARCH("-TK",UPPER(F967))),0,1))</f>
        <v/>
      </c>
      <c r="AF967" s="23" t="str">
        <f aca="false">IF(F967="","",IF(ISNUMBER(SEARCH("-LED",UPPER(F967))),1,0))</f>
        <v/>
      </c>
      <c r="AG967" s="24" t="n">
        <f aca="false">IF(Z967="",0,IFERROR(INDEX(Resep!$C$5:$C$7,MATCH(LEFT(Z967,3),Resep!$B$5:$B$7,0)),0))</f>
        <v>0</v>
      </c>
      <c r="AH967" s="24" t="n">
        <f aca="false">IF(AA967="",0,IFERROR(INDEX(Resep!$C$9:$C$13,MATCH(LEFT(AA967,3),Resep!$B$9:$B$13,0)),0))</f>
        <v>0</v>
      </c>
      <c r="AI967" s="24" t="n">
        <f aca="false">IF(AB967="",0,IFERROR(INDEX(Resep!$C$9:$C$13,MATCH(LEFT(AB967,3),Resep!$B$9:$B$13,0)),0))</f>
        <v>0</v>
      </c>
      <c r="AJ967" s="24" t="n">
        <f aca="false">IF(AC967="",0,IFERROR(INDEX(Resep!$C$9:$C$13,MATCH(LEFT(AC967,3),Resep!$B$9:$B$13,0)),0))</f>
        <v>0</v>
      </c>
      <c r="AK967" s="24" t="n">
        <f aca="false">IF(AD967="",0,IFERROR(INDEX(Resep!$C$15:$C$18,MATCH(LEFT(AD967,3),Resep!$B$15:$B$18,0)),0))</f>
        <v>0</v>
      </c>
      <c r="AL967" s="24" t="str">
        <f aca="false">IF(X967="","",AG967+AH967+AI967+AJ967+AK967)</f>
        <v/>
      </c>
      <c r="AM967" s="22" t="str">
        <f aca="false">IF(X967="","",AL967*(Pengaturan!$B$6+Pengaturan!$B$7)+Pengaturan!$B$8+AE967*Pengaturan!$B$9+AF967*Pengaturan!$B$10)</f>
        <v/>
      </c>
      <c r="AN967" s="22" t="str">
        <f aca="false">IF(X967="","",N(G967)-AM967)</f>
        <v/>
      </c>
      <c r="AO967" s="25" t="str">
        <f aca="false">IF(OR(X967="",N(G967)=0),"",AN967/G967)</f>
        <v/>
      </c>
    </row>
    <row r="968" customFormat="false" ht="15" hidden="false" customHeight="false" outlineLevel="0" collapsed="false">
      <c r="A968" s="19"/>
      <c r="B968" s="20"/>
      <c r="C968" s="19"/>
      <c r="D968" s="19"/>
      <c r="E968" s="19"/>
      <c r="F968" s="19"/>
      <c r="G968" s="21"/>
      <c r="H968" s="19"/>
      <c r="I968" s="21"/>
      <c r="J968" s="19"/>
      <c r="K968" s="20"/>
      <c r="L968" s="20"/>
      <c r="M968" s="19"/>
      <c r="N968" s="19"/>
      <c r="O968" s="20"/>
      <c r="P968" s="20"/>
      <c r="Q968" s="19"/>
      <c r="R968" s="22" t="str">
        <f aca="false">IF(A968="","",N(G968)+N(I968))</f>
        <v/>
      </c>
      <c r="S968" s="23" t="str">
        <f aca="false">IF(OR(K968="",O968=""),"",O968-K968)</f>
        <v/>
      </c>
      <c r="T968" s="23" t="str">
        <f aca="true">IF(AND(C968="Cetak",L968&lt;&gt;"",L968&lt;TODAY()),"YA","")</f>
        <v/>
      </c>
      <c r="U968" s="23" t="str">
        <f aca="false">IF(B968="","",TEXT(B968,"yyyy-mm"))</f>
        <v/>
      </c>
      <c r="V968" s="23" t="str">
        <f aca="false">IF(K968="","",TEXT(K968,"yyyy-mm"))</f>
        <v/>
      </c>
      <c r="W968" s="23" t="n">
        <f aca="false">IF(OR(C968="Cetak",C968="Dikirim",C968="Selesai"),1,0)</f>
        <v>0</v>
      </c>
      <c r="X968" s="23" t="str">
        <f aca="false">IF(F968="","",SUBSTITUTE(SUBSTITUTE(MID(UPPER(TRIM(F968)),4,99),"-LED",""),"-TK",""))</f>
        <v/>
      </c>
      <c r="Y968" s="23" t="str">
        <f aca="false">IF(X968="","",(LEN(X968)+1)/7)</f>
        <v/>
      </c>
      <c r="Z968" s="23" t="str">
        <f aca="false">IF(X968="","",LEFT(X968,6))</f>
        <v/>
      </c>
      <c r="AA968" s="23" t="str">
        <f aca="false">IF(X968="","",IF(Y968&gt;=3,MID(X968,8,6),""))</f>
        <v/>
      </c>
      <c r="AB968" s="23" t="str">
        <f aca="false">IF(X968="","",IF(Y968&gt;=4,MID(X968,15,6),""))</f>
        <v/>
      </c>
      <c r="AC968" s="23" t="str">
        <f aca="false">IF(X968="","",IF(Y968&gt;=5,MID(X968,22,6),""))</f>
        <v/>
      </c>
      <c r="AD968" s="23" t="str">
        <f aca="false">IF(X968="","",RIGHT(X968,6))</f>
        <v/>
      </c>
      <c r="AE968" s="23" t="str">
        <f aca="false">IF(F968="","",IF(ISNUMBER(SEARCH("-TK",UPPER(F968))),0,1))</f>
        <v/>
      </c>
      <c r="AF968" s="23" t="str">
        <f aca="false">IF(F968="","",IF(ISNUMBER(SEARCH("-LED",UPPER(F968))),1,0))</f>
        <v/>
      </c>
      <c r="AG968" s="24" t="n">
        <f aca="false">IF(Z968="",0,IFERROR(INDEX(Resep!$C$5:$C$7,MATCH(LEFT(Z968,3),Resep!$B$5:$B$7,0)),0))</f>
        <v>0</v>
      </c>
      <c r="AH968" s="24" t="n">
        <f aca="false">IF(AA968="",0,IFERROR(INDEX(Resep!$C$9:$C$13,MATCH(LEFT(AA968,3),Resep!$B$9:$B$13,0)),0))</f>
        <v>0</v>
      </c>
      <c r="AI968" s="24" t="n">
        <f aca="false">IF(AB968="",0,IFERROR(INDEX(Resep!$C$9:$C$13,MATCH(LEFT(AB968,3),Resep!$B$9:$B$13,0)),0))</f>
        <v>0</v>
      </c>
      <c r="AJ968" s="24" t="n">
        <f aca="false">IF(AC968="",0,IFERROR(INDEX(Resep!$C$9:$C$13,MATCH(LEFT(AC968,3),Resep!$B$9:$B$13,0)),0))</f>
        <v>0</v>
      </c>
      <c r="AK968" s="24" t="n">
        <f aca="false">IF(AD968="",0,IFERROR(INDEX(Resep!$C$15:$C$18,MATCH(LEFT(AD968,3),Resep!$B$15:$B$18,0)),0))</f>
        <v>0</v>
      </c>
      <c r="AL968" s="24" t="str">
        <f aca="false">IF(X968="","",AG968+AH968+AI968+AJ968+AK968)</f>
        <v/>
      </c>
      <c r="AM968" s="22" t="str">
        <f aca="false">IF(X968="","",AL968*(Pengaturan!$B$6+Pengaturan!$B$7)+Pengaturan!$B$8+AE968*Pengaturan!$B$9+AF968*Pengaturan!$B$10)</f>
        <v/>
      </c>
      <c r="AN968" s="22" t="str">
        <f aca="false">IF(X968="","",N(G968)-AM968)</f>
        <v/>
      </c>
      <c r="AO968" s="25" t="str">
        <f aca="false">IF(OR(X968="",N(G968)=0),"",AN968/G968)</f>
        <v/>
      </c>
    </row>
    <row r="969" customFormat="false" ht="15" hidden="false" customHeight="false" outlineLevel="0" collapsed="false">
      <c r="A969" s="19"/>
      <c r="B969" s="20"/>
      <c r="C969" s="19"/>
      <c r="D969" s="19"/>
      <c r="E969" s="19"/>
      <c r="F969" s="19"/>
      <c r="G969" s="21"/>
      <c r="H969" s="19"/>
      <c r="I969" s="21"/>
      <c r="J969" s="19"/>
      <c r="K969" s="20"/>
      <c r="L969" s="20"/>
      <c r="M969" s="19"/>
      <c r="N969" s="19"/>
      <c r="O969" s="20"/>
      <c r="P969" s="20"/>
      <c r="Q969" s="19"/>
      <c r="R969" s="22" t="str">
        <f aca="false">IF(A969="","",N(G969)+N(I969))</f>
        <v/>
      </c>
      <c r="S969" s="23" t="str">
        <f aca="false">IF(OR(K969="",O969=""),"",O969-K969)</f>
        <v/>
      </c>
      <c r="T969" s="23" t="str">
        <f aca="true">IF(AND(C969="Cetak",L969&lt;&gt;"",L969&lt;TODAY()),"YA","")</f>
        <v/>
      </c>
      <c r="U969" s="23" t="str">
        <f aca="false">IF(B969="","",TEXT(B969,"yyyy-mm"))</f>
        <v/>
      </c>
      <c r="V969" s="23" t="str">
        <f aca="false">IF(K969="","",TEXT(K969,"yyyy-mm"))</f>
        <v/>
      </c>
      <c r="W969" s="23" t="n">
        <f aca="false">IF(OR(C969="Cetak",C969="Dikirim",C969="Selesai"),1,0)</f>
        <v>0</v>
      </c>
      <c r="X969" s="23" t="str">
        <f aca="false">IF(F969="","",SUBSTITUTE(SUBSTITUTE(MID(UPPER(TRIM(F969)),4,99),"-LED",""),"-TK",""))</f>
        <v/>
      </c>
      <c r="Y969" s="23" t="str">
        <f aca="false">IF(X969="","",(LEN(X969)+1)/7)</f>
        <v/>
      </c>
      <c r="Z969" s="23" t="str">
        <f aca="false">IF(X969="","",LEFT(X969,6))</f>
        <v/>
      </c>
      <c r="AA969" s="23" t="str">
        <f aca="false">IF(X969="","",IF(Y969&gt;=3,MID(X969,8,6),""))</f>
        <v/>
      </c>
      <c r="AB969" s="23" t="str">
        <f aca="false">IF(X969="","",IF(Y969&gt;=4,MID(X969,15,6),""))</f>
        <v/>
      </c>
      <c r="AC969" s="23" t="str">
        <f aca="false">IF(X969="","",IF(Y969&gt;=5,MID(X969,22,6),""))</f>
        <v/>
      </c>
      <c r="AD969" s="23" t="str">
        <f aca="false">IF(X969="","",RIGHT(X969,6))</f>
        <v/>
      </c>
      <c r="AE969" s="23" t="str">
        <f aca="false">IF(F969="","",IF(ISNUMBER(SEARCH("-TK",UPPER(F969))),0,1))</f>
        <v/>
      </c>
      <c r="AF969" s="23" t="str">
        <f aca="false">IF(F969="","",IF(ISNUMBER(SEARCH("-LED",UPPER(F969))),1,0))</f>
        <v/>
      </c>
      <c r="AG969" s="24" t="n">
        <f aca="false">IF(Z969="",0,IFERROR(INDEX(Resep!$C$5:$C$7,MATCH(LEFT(Z969,3),Resep!$B$5:$B$7,0)),0))</f>
        <v>0</v>
      </c>
      <c r="AH969" s="24" t="n">
        <f aca="false">IF(AA969="",0,IFERROR(INDEX(Resep!$C$9:$C$13,MATCH(LEFT(AA969,3),Resep!$B$9:$B$13,0)),0))</f>
        <v>0</v>
      </c>
      <c r="AI969" s="24" t="n">
        <f aca="false">IF(AB969="",0,IFERROR(INDEX(Resep!$C$9:$C$13,MATCH(LEFT(AB969,3),Resep!$B$9:$B$13,0)),0))</f>
        <v>0</v>
      </c>
      <c r="AJ969" s="24" t="n">
        <f aca="false">IF(AC969="",0,IFERROR(INDEX(Resep!$C$9:$C$13,MATCH(LEFT(AC969,3),Resep!$B$9:$B$13,0)),0))</f>
        <v>0</v>
      </c>
      <c r="AK969" s="24" t="n">
        <f aca="false">IF(AD969="",0,IFERROR(INDEX(Resep!$C$15:$C$18,MATCH(LEFT(AD969,3),Resep!$B$15:$B$18,0)),0))</f>
        <v>0</v>
      </c>
      <c r="AL969" s="24" t="str">
        <f aca="false">IF(X969="","",AG969+AH969+AI969+AJ969+AK969)</f>
        <v/>
      </c>
      <c r="AM969" s="22" t="str">
        <f aca="false">IF(X969="","",AL969*(Pengaturan!$B$6+Pengaturan!$B$7)+Pengaturan!$B$8+AE969*Pengaturan!$B$9+AF969*Pengaturan!$B$10)</f>
        <v/>
      </c>
      <c r="AN969" s="22" t="str">
        <f aca="false">IF(X969="","",N(G969)-AM969)</f>
        <v/>
      </c>
      <c r="AO969" s="25" t="str">
        <f aca="false">IF(OR(X969="",N(G969)=0),"",AN969/G969)</f>
        <v/>
      </c>
    </row>
    <row r="970" customFormat="false" ht="15" hidden="false" customHeight="false" outlineLevel="0" collapsed="false">
      <c r="A970" s="19"/>
      <c r="B970" s="20"/>
      <c r="C970" s="19"/>
      <c r="D970" s="19"/>
      <c r="E970" s="19"/>
      <c r="F970" s="19"/>
      <c r="G970" s="21"/>
      <c r="H970" s="19"/>
      <c r="I970" s="21"/>
      <c r="J970" s="19"/>
      <c r="K970" s="20"/>
      <c r="L970" s="20"/>
      <c r="M970" s="19"/>
      <c r="N970" s="19"/>
      <c r="O970" s="20"/>
      <c r="P970" s="20"/>
      <c r="Q970" s="19"/>
      <c r="R970" s="22" t="str">
        <f aca="false">IF(A970="","",N(G970)+N(I970))</f>
        <v/>
      </c>
      <c r="S970" s="23" t="str">
        <f aca="false">IF(OR(K970="",O970=""),"",O970-K970)</f>
        <v/>
      </c>
      <c r="T970" s="23" t="str">
        <f aca="true">IF(AND(C970="Cetak",L970&lt;&gt;"",L970&lt;TODAY()),"YA","")</f>
        <v/>
      </c>
      <c r="U970" s="23" t="str">
        <f aca="false">IF(B970="","",TEXT(B970,"yyyy-mm"))</f>
        <v/>
      </c>
      <c r="V970" s="23" t="str">
        <f aca="false">IF(K970="","",TEXT(K970,"yyyy-mm"))</f>
        <v/>
      </c>
      <c r="W970" s="23" t="n">
        <f aca="false">IF(OR(C970="Cetak",C970="Dikirim",C970="Selesai"),1,0)</f>
        <v>0</v>
      </c>
      <c r="X970" s="23" t="str">
        <f aca="false">IF(F970="","",SUBSTITUTE(SUBSTITUTE(MID(UPPER(TRIM(F970)),4,99),"-LED",""),"-TK",""))</f>
        <v/>
      </c>
      <c r="Y970" s="23" t="str">
        <f aca="false">IF(X970="","",(LEN(X970)+1)/7)</f>
        <v/>
      </c>
      <c r="Z970" s="23" t="str">
        <f aca="false">IF(X970="","",LEFT(X970,6))</f>
        <v/>
      </c>
      <c r="AA970" s="23" t="str">
        <f aca="false">IF(X970="","",IF(Y970&gt;=3,MID(X970,8,6),""))</f>
        <v/>
      </c>
      <c r="AB970" s="23" t="str">
        <f aca="false">IF(X970="","",IF(Y970&gt;=4,MID(X970,15,6),""))</f>
        <v/>
      </c>
      <c r="AC970" s="23" t="str">
        <f aca="false">IF(X970="","",IF(Y970&gt;=5,MID(X970,22,6),""))</f>
        <v/>
      </c>
      <c r="AD970" s="23" t="str">
        <f aca="false">IF(X970="","",RIGHT(X970,6))</f>
        <v/>
      </c>
      <c r="AE970" s="23" t="str">
        <f aca="false">IF(F970="","",IF(ISNUMBER(SEARCH("-TK",UPPER(F970))),0,1))</f>
        <v/>
      </c>
      <c r="AF970" s="23" t="str">
        <f aca="false">IF(F970="","",IF(ISNUMBER(SEARCH("-LED",UPPER(F970))),1,0))</f>
        <v/>
      </c>
      <c r="AG970" s="24" t="n">
        <f aca="false">IF(Z970="",0,IFERROR(INDEX(Resep!$C$5:$C$7,MATCH(LEFT(Z970,3),Resep!$B$5:$B$7,0)),0))</f>
        <v>0</v>
      </c>
      <c r="AH970" s="24" t="n">
        <f aca="false">IF(AA970="",0,IFERROR(INDEX(Resep!$C$9:$C$13,MATCH(LEFT(AA970,3),Resep!$B$9:$B$13,0)),0))</f>
        <v>0</v>
      </c>
      <c r="AI970" s="24" t="n">
        <f aca="false">IF(AB970="",0,IFERROR(INDEX(Resep!$C$9:$C$13,MATCH(LEFT(AB970,3),Resep!$B$9:$B$13,0)),0))</f>
        <v>0</v>
      </c>
      <c r="AJ970" s="24" t="n">
        <f aca="false">IF(AC970="",0,IFERROR(INDEX(Resep!$C$9:$C$13,MATCH(LEFT(AC970,3),Resep!$B$9:$B$13,0)),0))</f>
        <v>0</v>
      </c>
      <c r="AK970" s="24" t="n">
        <f aca="false">IF(AD970="",0,IFERROR(INDEX(Resep!$C$15:$C$18,MATCH(LEFT(AD970,3),Resep!$B$15:$B$18,0)),0))</f>
        <v>0</v>
      </c>
      <c r="AL970" s="24" t="str">
        <f aca="false">IF(X970="","",AG970+AH970+AI970+AJ970+AK970)</f>
        <v/>
      </c>
      <c r="AM970" s="22" t="str">
        <f aca="false">IF(X970="","",AL970*(Pengaturan!$B$6+Pengaturan!$B$7)+Pengaturan!$B$8+AE970*Pengaturan!$B$9+AF970*Pengaturan!$B$10)</f>
        <v/>
      </c>
      <c r="AN970" s="22" t="str">
        <f aca="false">IF(X970="","",N(G970)-AM970)</f>
        <v/>
      </c>
      <c r="AO970" s="25" t="str">
        <f aca="false">IF(OR(X970="",N(G970)=0),"",AN970/G970)</f>
        <v/>
      </c>
    </row>
    <row r="971" customFormat="false" ht="15" hidden="false" customHeight="false" outlineLevel="0" collapsed="false">
      <c r="A971" s="19"/>
      <c r="B971" s="20"/>
      <c r="C971" s="19"/>
      <c r="D971" s="19"/>
      <c r="E971" s="19"/>
      <c r="F971" s="19"/>
      <c r="G971" s="21"/>
      <c r="H971" s="19"/>
      <c r="I971" s="21"/>
      <c r="J971" s="19"/>
      <c r="K971" s="20"/>
      <c r="L971" s="20"/>
      <c r="M971" s="19"/>
      <c r="N971" s="19"/>
      <c r="O971" s="20"/>
      <c r="P971" s="20"/>
      <c r="Q971" s="19"/>
      <c r="R971" s="22" t="str">
        <f aca="false">IF(A971="","",N(G971)+N(I971))</f>
        <v/>
      </c>
      <c r="S971" s="23" t="str">
        <f aca="false">IF(OR(K971="",O971=""),"",O971-K971)</f>
        <v/>
      </c>
      <c r="T971" s="23" t="str">
        <f aca="true">IF(AND(C971="Cetak",L971&lt;&gt;"",L971&lt;TODAY()),"YA","")</f>
        <v/>
      </c>
      <c r="U971" s="23" t="str">
        <f aca="false">IF(B971="","",TEXT(B971,"yyyy-mm"))</f>
        <v/>
      </c>
      <c r="V971" s="23" t="str">
        <f aca="false">IF(K971="","",TEXT(K971,"yyyy-mm"))</f>
        <v/>
      </c>
      <c r="W971" s="23" t="n">
        <f aca="false">IF(OR(C971="Cetak",C971="Dikirim",C971="Selesai"),1,0)</f>
        <v>0</v>
      </c>
      <c r="X971" s="23" t="str">
        <f aca="false">IF(F971="","",SUBSTITUTE(SUBSTITUTE(MID(UPPER(TRIM(F971)),4,99),"-LED",""),"-TK",""))</f>
        <v/>
      </c>
      <c r="Y971" s="23" t="str">
        <f aca="false">IF(X971="","",(LEN(X971)+1)/7)</f>
        <v/>
      </c>
      <c r="Z971" s="23" t="str">
        <f aca="false">IF(X971="","",LEFT(X971,6))</f>
        <v/>
      </c>
      <c r="AA971" s="23" t="str">
        <f aca="false">IF(X971="","",IF(Y971&gt;=3,MID(X971,8,6),""))</f>
        <v/>
      </c>
      <c r="AB971" s="23" t="str">
        <f aca="false">IF(X971="","",IF(Y971&gt;=4,MID(X971,15,6),""))</f>
        <v/>
      </c>
      <c r="AC971" s="23" t="str">
        <f aca="false">IF(X971="","",IF(Y971&gt;=5,MID(X971,22,6),""))</f>
        <v/>
      </c>
      <c r="AD971" s="23" t="str">
        <f aca="false">IF(X971="","",RIGHT(X971,6))</f>
        <v/>
      </c>
      <c r="AE971" s="23" t="str">
        <f aca="false">IF(F971="","",IF(ISNUMBER(SEARCH("-TK",UPPER(F971))),0,1))</f>
        <v/>
      </c>
      <c r="AF971" s="23" t="str">
        <f aca="false">IF(F971="","",IF(ISNUMBER(SEARCH("-LED",UPPER(F971))),1,0))</f>
        <v/>
      </c>
      <c r="AG971" s="24" t="n">
        <f aca="false">IF(Z971="",0,IFERROR(INDEX(Resep!$C$5:$C$7,MATCH(LEFT(Z971,3),Resep!$B$5:$B$7,0)),0))</f>
        <v>0</v>
      </c>
      <c r="AH971" s="24" t="n">
        <f aca="false">IF(AA971="",0,IFERROR(INDEX(Resep!$C$9:$C$13,MATCH(LEFT(AA971,3),Resep!$B$9:$B$13,0)),0))</f>
        <v>0</v>
      </c>
      <c r="AI971" s="24" t="n">
        <f aca="false">IF(AB971="",0,IFERROR(INDEX(Resep!$C$9:$C$13,MATCH(LEFT(AB971,3),Resep!$B$9:$B$13,0)),0))</f>
        <v>0</v>
      </c>
      <c r="AJ971" s="24" t="n">
        <f aca="false">IF(AC971="",0,IFERROR(INDEX(Resep!$C$9:$C$13,MATCH(LEFT(AC971,3),Resep!$B$9:$B$13,0)),0))</f>
        <v>0</v>
      </c>
      <c r="AK971" s="24" t="n">
        <f aca="false">IF(AD971="",0,IFERROR(INDEX(Resep!$C$15:$C$18,MATCH(LEFT(AD971,3),Resep!$B$15:$B$18,0)),0))</f>
        <v>0</v>
      </c>
      <c r="AL971" s="24" t="str">
        <f aca="false">IF(X971="","",AG971+AH971+AI971+AJ971+AK971)</f>
        <v/>
      </c>
      <c r="AM971" s="22" t="str">
        <f aca="false">IF(X971="","",AL971*(Pengaturan!$B$6+Pengaturan!$B$7)+Pengaturan!$B$8+AE971*Pengaturan!$B$9+AF971*Pengaturan!$B$10)</f>
        <v/>
      </c>
      <c r="AN971" s="22" t="str">
        <f aca="false">IF(X971="","",N(G971)-AM971)</f>
        <v/>
      </c>
      <c r="AO971" s="25" t="str">
        <f aca="false">IF(OR(X971="",N(G971)=0),"",AN971/G971)</f>
        <v/>
      </c>
    </row>
    <row r="972" customFormat="false" ht="15" hidden="false" customHeight="false" outlineLevel="0" collapsed="false">
      <c r="A972" s="19"/>
      <c r="B972" s="20"/>
      <c r="C972" s="19"/>
      <c r="D972" s="19"/>
      <c r="E972" s="19"/>
      <c r="F972" s="19"/>
      <c r="G972" s="21"/>
      <c r="H972" s="19"/>
      <c r="I972" s="21"/>
      <c r="J972" s="19"/>
      <c r="K972" s="20"/>
      <c r="L972" s="20"/>
      <c r="M972" s="19"/>
      <c r="N972" s="19"/>
      <c r="O972" s="20"/>
      <c r="P972" s="20"/>
      <c r="Q972" s="19"/>
      <c r="R972" s="22" t="str">
        <f aca="false">IF(A972="","",N(G972)+N(I972))</f>
        <v/>
      </c>
      <c r="S972" s="23" t="str">
        <f aca="false">IF(OR(K972="",O972=""),"",O972-K972)</f>
        <v/>
      </c>
      <c r="T972" s="23" t="str">
        <f aca="true">IF(AND(C972="Cetak",L972&lt;&gt;"",L972&lt;TODAY()),"YA","")</f>
        <v/>
      </c>
      <c r="U972" s="23" t="str">
        <f aca="false">IF(B972="","",TEXT(B972,"yyyy-mm"))</f>
        <v/>
      </c>
      <c r="V972" s="23" t="str">
        <f aca="false">IF(K972="","",TEXT(K972,"yyyy-mm"))</f>
        <v/>
      </c>
      <c r="W972" s="23" t="n">
        <f aca="false">IF(OR(C972="Cetak",C972="Dikirim",C972="Selesai"),1,0)</f>
        <v>0</v>
      </c>
      <c r="X972" s="23" t="str">
        <f aca="false">IF(F972="","",SUBSTITUTE(SUBSTITUTE(MID(UPPER(TRIM(F972)),4,99),"-LED",""),"-TK",""))</f>
        <v/>
      </c>
      <c r="Y972" s="23" t="str">
        <f aca="false">IF(X972="","",(LEN(X972)+1)/7)</f>
        <v/>
      </c>
      <c r="Z972" s="23" t="str">
        <f aca="false">IF(X972="","",LEFT(X972,6))</f>
        <v/>
      </c>
      <c r="AA972" s="23" t="str">
        <f aca="false">IF(X972="","",IF(Y972&gt;=3,MID(X972,8,6),""))</f>
        <v/>
      </c>
      <c r="AB972" s="23" t="str">
        <f aca="false">IF(X972="","",IF(Y972&gt;=4,MID(X972,15,6),""))</f>
        <v/>
      </c>
      <c r="AC972" s="23" t="str">
        <f aca="false">IF(X972="","",IF(Y972&gt;=5,MID(X972,22,6),""))</f>
        <v/>
      </c>
      <c r="AD972" s="23" t="str">
        <f aca="false">IF(X972="","",RIGHT(X972,6))</f>
        <v/>
      </c>
      <c r="AE972" s="23" t="str">
        <f aca="false">IF(F972="","",IF(ISNUMBER(SEARCH("-TK",UPPER(F972))),0,1))</f>
        <v/>
      </c>
      <c r="AF972" s="23" t="str">
        <f aca="false">IF(F972="","",IF(ISNUMBER(SEARCH("-LED",UPPER(F972))),1,0))</f>
        <v/>
      </c>
      <c r="AG972" s="24" t="n">
        <f aca="false">IF(Z972="",0,IFERROR(INDEX(Resep!$C$5:$C$7,MATCH(LEFT(Z972,3),Resep!$B$5:$B$7,0)),0))</f>
        <v>0</v>
      </c>
      <c r="AH972" s="24" t="n">
        <f aca="false">IF(AA972="",0,IFERROR(INDEX(Resep!$C$9:$C$13,MATCH(LEFT(AA972,3),Resep!$B$9:$B$13,0)),0))</f>
        <v>0</v>
      </c>
      <c r="AI972" s="24" t="n">
        <f aca="false">IF(AB972="",0,IFERROR(INDEX(Resep!$C$9:$C$13,MATCH(LEFT(AB972,3),Resep!$B$9:$B$13,0)),0))</f>
        <v>0</v>
      </c>
      <c r="AJ972" s="24" t="n">
        <f aca="false">IF(AC972="",0,IFERROR(INDEX(Resep!$C$9:$C$13,MATCH(LEFT(AC972,3),Resep!$B$9:$B$13,0)),0))</f>
        <v>0</v>
      </c>
      <c r="AK972" s="24" t="n">
        <f aca="false">IF(AD972="",0,IFERROR(INDEX(Resep!$C$15:$C$18,MATCH(LEFT(AD972,3),Resep!$B$15:$B$18,0)),0))</f>
        <v>0</v>
      </c>
      <c r="AL972" s="24" t="str">
        <f aca="false">IF(X972="","",AG972+AH972+AI972+AJ972+AK972)</f>
        <v/>
      </c>
      <c r="AM972" s="22" t="str">
        <f aca="false">IF(X972="","",AL972*(Pengaturan!$B$6+Pengaturan!$B$7)+Pengaturan!$B$8+AE972*Pengaturan!$B$9+AF972*Pengaturan!$B$10)</f>
        <v/>
      </c>
      <c r="AN972" s="22" t="str">
        <f aca="false">IF(X972="","",N(G972)-AM972)</f>
        <v/>
      </c>
      <c r="AO972" s="25" t="str">
        <f aca="false">IF(OR(X972="",N(G972)=0),"",AN972/G972)</f>
        <v/>
      </c>
    </row>
    <row r="973" customFormat="false" ht="15" hidden="false" customHeight="false" outlineLevel="0" collapsed="false">
      <c r="A973" s="19"/>
      <c r="B973" s="20"/>
      <c r="C973" s="19"/>
      <c r="D973" s="19"/>
      <c r="E973" s="19"/>
      <c r="F973" s="19"/>
      <c r="G973" s="21"/>
      <c r="H973" s="19"/>
      <c r="I973" s="21"/>
      <c r="J973" s="19"/>
      <c r="K973" s="20"/>
      <c r="L973" s="20"/>
      <c r="M973" s="19"/>
      <c r="N973" s="19"/>
      <c r="O973" s="20"/>
      <c r="P973" s="20"/>
      <c r="Q973" s="19"/>
      <c r="R973" s="22" t="str">
        <f aca="false">IF(A973="","",N(G973)+N(I973))</f>
        <v/>
      </c>
      <c r="S973" s="23" t="str">
        <f aca="false">IF(OR(K973="",O973=""),"",O973-K973)</f>
        <v/>
      </c>
      <c r="T973" s="23" t="str">
        <f aca="true">IF(AND(C973="Cetak",L973&lt;&gt;"",L973&lt;TODAY()),"YA","")</f>
        <v/>
      </c>
      <c r="U973" s="23" t="str">
        <f aca="false">IF(B973="","",TEXT(B973,"yyyy-mm"))</f>
        <v/>
      </c>
      <c r="V973" s="23" t="str">
        <f aca="false">IF(K973="","",TEXT(K973,"yyyy-mm"))</f>
        <v/>
      </c>
      <c r="W973" s="23" t="n">
        <f aca="false">IF(OR(C973="Cetak",C973="Dikirim",C973="Selesai"),1,0)</f>
        <v>0</v>
      </c>
      <c r="X973" s="23" t="str">
        <f aca="false">IF(F973="","",SUBSTITUTE(SUBSTITUTE(MID(UPPER(TRIM(F973)),4,99),"-LED",""),"-TK",""))</f>
        <v/>
      </c>
      <c r="Y973" s="23" t="str">
        <f aca="false">IF(X973="","",(LEN(X973)+1)/7)</f>
        <v/>
      </c>
      <c r="Z973" s="23" t="str">
        <f aca="false">IF(X973="","",LEFT(X973,6))</f>
        <v/>
      </c>
      <c r="AA973" s="23" t="str">
        <f aca="false">IF(X973="","",IF(Y973&gt;=3,MID(X973,8,6),""))</f>
        <v/>
      </c>
      <c r="AB973" s="23" t="str">
        <f aca="false">IF(X973="","",IF(Y973&gt;=4,MID(X973,15,6),""))</f>
        <v/>
      </c>
      <c r="AC973" s="23" t="str">
        <f aca="false">IF(X973="","",IF(Y973&gt;=5,MID(X973,22,6),""))</f>
        <v/>
      </c>
      <c r="AD973" s="23" t="str">
        <f aca="false">IF(X973="","",RIGHT(X973,6))</f>
        <v/>
      </c>
      <c r="AE973" s="23" t="str">
        <f aca="false">IF(F973="","",IF(ISNUMBER(SEARCH("-TK",UPPER(F973))),0,1))</f>
        <v/>
      </c>
      <c r="AF973" s="23" t="str">
        <f aca="false">IF(F973="","",IF(ISNUMBER(SEARCH("-LED",UPPER(F973))),1,0))</f>
        <v/>
      </c>
      <c r="AG973" s="24" t="n">
        <f aca="false">IF(Z973="",0,IFERROR(INDEX(Resep!$C$5:$C$7,MATCH(LEFT(Z973,3),Resep!$B$5:$B$7,0)),0))</f>
        <v>0</v>
      </c>
      <c r="AH973" s="24" t="n">
        <f aca="false">IF(AA973="",0,IFERROR(INDEX(Resep!$C$9:$C$13,MATCH(LEFT(AA973,3),Resep!$B$9:$B$13,0)),0))</f>
        <v>0</v>
      </c>
      <c r="AI973" s="24" t="n">
        <f aca="false">IF(AB973="",0,IFERROR(INDEX(Resep!$C$9:$C$13,MATCH(LEFT(AB973,3),Resep!$B$9:$B$13,0)),0))</f>
        <v>0</v>
      </c>
      <c r="AJ973" s="24" t="n">
        <f aca="false">IF(AC973="",0,IFERROR(INDEX(Resep!$C$9:$C$13,MATCH(LEFT(AC973,3),Resep!$B$9:$B$13,0)),0))</f>
        <v>0</v>
      </c>
      <c r="AK973" s="24" t="n">
        <f aca="false">IF(AD973="",0,IFERROR(INDEX(Resep!$C$15:$C$18,MATCH(LEFT(AD973,3),Resep!$B$15:$B$18,0)),0))</f>
        <v>0</v>
      </c>
      <c r="AL973" s="24" t="str">
        <f aca="false">IF(X973="","",AG973+AH973+AI973+AJ973+AK973)</f>
        <v/>
      </c>
      <c r="AM973" s="22" t="str">
        <f aca="false">IF(X973="","",AL973*(Pengaturan!$B$6+Pengaturan!$B$7)+Pengaturan!$B$8+AE973*Pengaturan!$B$9+AF973*Pengaturan!$B$10)</f>
        <v/>
      </c>
      <c r="AN973" s="22" t="str">
        <f aca="false">IF(X973="","",N(G973)-AM973)</f>
        <v/>
      </c>
      <c r="AO973" s="25" t="str">
        <f aca="false">IF(OR(X973="",N(G973)=0),"",AN973/G973)</f>
        <v/>
      </c>
    </row>
    <row r="974" customFormat="false" ht="15" hidden="false" customHeight="false" outlineLevel="0" collapsed="false">
      <c r="A974" s="19"/>
      <c r="B974" s="20"/>
      <c r="C974" s="19"/>
      <c r="D974" s="19"/>
      <c r="E974" s="19"/>
      <c r="F974" s="19"/>
      <c r="G974" s="21"/>
      <c r="H974" s="19"/>
      <c r="I974" s="21"/>
      <c r="J974" s="19"/>
      <c r="K974" s="20"/>
      <c r="L974" s="20"/>
      <c r="M974" s="19"/>
      <c r="N974" s="19"/>
      <c r="O974" s="20"/>
      <c r="P974" s="20"/>
      <c r="Q974" s="19"/>
      <c r="R974" s="22" t="str">
        <f aca="false">IF(A974="","",N(G974)+N(I974))</f>
        <v/>
      </c>
      <c r="S974" s="23" t="str">
        <f aca="false">IF(OR(K974="",O974=""),"",O974-K974)</f>
        <v/>
      </c>
      <c r="T974" s="23" t="str">
        <f aca="true">IF(AND(C974="Cetak",L974&lt;&gt;"",L974&lt;TODAY()),"YA","")</f>
        <v/>
      </c>
      <c r="U974" s="23" t="str">
        <f aca="false">IF(B974="","",TEXT(B974,"yyyy-mm"))</f>
        <v/>
      </c>
      <c r="V974" s="23" t="str">
        <f aca="false">IF(K974="","",TEXT(K974,"yyyy-mm"))</f>
        <v/>
      </c>
      <c r="W974" s="23" t="n">
        <f aca="false">IF(OR(C974="Cetak",C974="Dikirim",C974="Selesai"),1,0)</f>
        <v>0</v>
      </c>
      <c r="X974" s="23" t="str">
        <f aca="false">IF(F974="","",SUBSTITUTE(SUBSTITUTE(MID(UPPER(TRIM(F974)),4,99),"-LED",""),"-TK",""))</f>
        <v/>
      </c>
      <c r="Y974" s="23" t="str">
        <f aca="false">IF(X974="","",(LEN(X974)+1)/7)</f>
        <v/>
      </c>
      <c r="Z974" s="23" t="str">
        <f aca="false">IF(X974="","",LEFT(X974,6))</f>
        <v/>
      </c>
      <c r="AA974" s="23" t="str">
        <f aca="false">IF(X974="","",IF(Y974&gt;=3,MID(X974,8,6),""))</f>
        <v/>
      </c>
      <c r="AB974" s="23" t="str">
        <f aca="false">IF(X974="","",IF(Y974&gt;=4,MID(X974,15,6),""))</f>
        <v/>
      </c>
      <c r="AC974" s="23" t="str">
        <f aca="false">IF(X974="","",IF(Y974&gt;=5,MID(X974,22,6),""))</f>
        <v/>
      </c>
      <c r="AD974" s="23" t="str">
        <f aca="false">IF(X974="","",RIGHT(X974,6))</f>
        <v/>
      </c>
      <c r="AE974" s="23" t="str">
        <f aca="false">IF(F974="","",IF(ISNUMBER(SEARCH("-TK",UPPER(F974))),0,1))</f>
        <v/>
      </c>
      <c r="AF974" s="23" t="str">
        <f aca="false">IF(F974="","",IF(ISNUMBER(SEARCH("-LED",UPPER(F974))),1,0))</f>
        <v/>
      </c>
      <c r="AG974" s="24" t="n">
        <f aca="false">IF(Z974="",0,IFERROR(INDEX(Resep!$C$5:$C$7,MATCH(LEFT(Z974,3),Resep!$B$5:$B$7,0)),0))</f>
        <v>0</v>
      </c>
      <c r="AH974" s="24" t="n">
        <f aca="false">IF(AA974="",0,IFERROR(INDEX(Resep!$C$9:$C$13,MATCH(LEFT(AA974,3),Resep!$B$9:$B$13,0)),0))</f>
        <v>0</v>
      </c>
      <c r="AI974" s="24" t="n">
        <f aca="false">IF(AB974="",0,IFERROR(INDEX(Resep!$C$9:$C$13,MATCH(LEFT(AB974,3),Resep!$B$9:$B$13,0)),0))</f>
        <v>0</v>
      </c>
      <c r="AJ974" s="24" t="n">
        <f aca="false">IF(AC974="",0,IFERROR(INDEX(Resep!$C$9:$C$13,MATCH(LEFT(AC974,3),Resep!$B$9:$B$13,0)),0))</f>
        <v>0</v>
      </c>
      <c r="AK974" s="24" t="n">
        <f aca="false">IF(AD974="",0,IFERROR(INDEX(Resep!$C$15:$C$18,MATCH(LEFT(AD974,3),Resep!$B$15:$B$18,0)),0))</f>
        <v>0</v>
      </c>
      <c r="AL974" s="24" t="str">
        <f aca="false">IF(X974="","",AG974+AH974+AI974+AJ974+AK974)</f>
        <v/>
      </c>
      <c r="AM974" s="22" t="str">
        <f aca="false">IF(X974="","",AL974*(Pengaturan!$B$6+Pengaturan!$B$7)+Pengaturan!$B$8+AE974*Pengaturan!$B$9+AF974*Pengaturan!$B$10)</f>
        <v/>
      </c>
      <c r="AN974" s="22" t="str">
        <f aca="false">IF(X974="","",N(G974)-AM974)</f>
        <v/>
      </c>
      <c r="AO974" s="25" t="str">
        <f aca="false">IF(OR(X974="",N(G974)=0),"",AN974/G974)</f>
        <v/>
      </c>
    </row>
    <row r="975" customFormat="false" ht="15" hidden="false" customHeight="false" outlineLevel="0" collapsed="false">
      <c r="A975" s="19"/>
      <c r="B975" s="20"/>
      <c r="C975" s="19"/>
      <c r="D975" s="19"/>
      <c r="E975" s="19"/>
      <c r="F975" s="19"/>
      <c r="G975" s="21"/>
      <c r="H975" s="19"/>
      <c r="I975" s="21"/>
      <c r="J975" s="19"/>
      <c r="K975" s="20"/>
      <c r="L975" s="20"/>
      <c r="M975" s="19"/>
      <c r="N975" s="19"/>
      <c r="O975" s="20"/>
      <c r="P975" s="20"/>
      <c r="Q975" s="19"/>
      <c r="R975" s="22" t="str">
        <f aca="false">IF(A975="","",N(G975)+N(I975))</f>
        <v/>
      </c>
      <c r="S975" s="23" t="str">
        <f aca="false">IF(OR(K975="",O975=""),"",O975-K975)</f>
        <v/>
      </c>
      <c r="T975" s="23" t="str">
        <f aca="true">IF(AND(C975="Cetak",L975&lt;&gt;"",L975&lt;TODAY()),"YA","")</f>
        <v/>
      </c>
      <c r="U975" s="23" t="str">
        <f aca="false">IF(B975="","",TEXT(B975,"yyyy-mm"))</f>
        <v/>
      </c>
      <c r="V975" s="23" t="str">
        <f aca="false">IF(K975="","",TEXT(K975,"yyyy-mm"))</f>
        <v/>
      </c>
      <c r="W975" s="23" t="n">
        <f aca="false">IF(OR(C975="Cetak",C975="Dikirim",C975="Selesai"),1,0)</f>
        <v>0</v>
      </c>
      <c r="X975" s="23" t="str">
        <f aca="false">IF(F975="","",SUBSTITUTE(SUBSTITUTE(MID(UPPER(TRIM(F975)),4,99),"-LED",""),"-TK",""))</f>
        <v/>
      </c>
      <c r="Y975" s="23" t="str">
        <f aca="false">IF(X975="","",(LEN(X975)+1)/7)</f>
        <v/>
      </c>
      <c r="Z975" s="23" t="str">
        <f aca="false">IF(X975="","",LEFT(X975,6))</f>
        <v/>
      </c>
      <c r="AA975" s="23" t="str">
        <f aca="false">IF(X975="","",IF(Y975&gt;=3,MID(X975,8,6),""))</f>
        <v/>
      </c>
      <c r="AB975" s="23" t="str">
        <f aca="false">IF(X975="","",IF(Y975&gt;=4,MID(X975,15,6),""))</f>
        <v/>
      </c>
      <c r="AC975" s="23" t="str">
        <f aca="false">IF(X975="","",IF(Y975&gt;=5,MID(X975,22,6),""))</f>
        <v/>
      </c>
      <c r="AD975" s="23" t="str">
        <f aca="false">IF(X975="","",RIGHT(X975,6))</f>
        <v/>
      </c>
      <c r="AE975" s="23" t="str">
        <f aca="false">IF(F975="","",IF(ISNUMBER(SEARCH("-TK",UPPER(F975))),0,1))</f>
        <v/>
      </c>
      <c r="AF975" s="23" t="str">
        <f aca="false">IF(F975="","",IF(ISNUMBER(SEARCH("-LED",UPPER(F975))),1,0))</f>
        <v/>
      </c>
      <c r="AG975" s="24" t="n">
        <f aca="false">IF(Z975="",0,IFERROR(INDEX(Resep!$C$5:$C$7,MATCH(LEFT(Z975,3),Resep!$B$5:$B$7,0)),0))</f>
        <v>0</v>
      </c>
      <c r="AH975" s="24" t="n">
        <f aca="false">IF(AA975="",0,IFERROR(INDEX(Resep!$C$9:$C$13,MATCH(LEFT(AA975,3),Resep!$B$9:$B$13,0)),0))</f>
        <v>0</v>
      </c>
      <c r="AI975" s="24" t="n">
        <f aca="false">IF(AB975="",0,IFERROR(INDEX(Resep!$C$9:$C$13,MATCH(LEFT(AB975,3),Resep!$B$9:$B$13,0)),0))</f>
        <v>0</v>
      </c>
      <c r="AJ975" s="24" t="n">
        <f aca="false">IF(AC975="",0,IFERROR(INDEX(Resep!$C$9:$C$13,MATCH(LEFT(AC975,3),Resep!$B$9:$B$13,0)),0))</f>
        <v>0</v>
      </c>
      <c r="AK975" s="24" t="n">
        <f aca="false">IF(AD975="",0,IFERROR(INDEX(Resep!$C$15:$C$18,MATCH(LEFT(AD975,3),Resep!$B$15:$B$18,0)),0))</f>
        <v>0</v>
      </c>
      <c r="AL975" s="24" t="str">
        <f aca="false">IF(X975="","",AG975+AH975+AI975+AJ975+AK975)</f>
        <v/>
      </c>
      <c r="AM975" s="22" t="str">
        <f aca="false">IF(X975="","",AL975*(Pengaturan!$B$6+Pengaturan!$B$7)+Pengaturan!$B$8+AE975*Pengaturan!$B$9+AF975*Pengaturan!$B$10)</f>
        <v/>
      </c>
      <c r="AN975" s="22" t="str">
        <f aca="false">IF(X975="","",N(G975)-AM975)</f>
        <v/>
      </c>
      <c r="AO975" s="25" t="str">
        <f aca="false">IF(OR(X975="",N(G975)=0),"",AN975/G975)</f>
        <v/>
      </c>
    </row>
    <row r="976" customFormat="false" ht="15" hidden="false" customHeight="false" outlineLevel="0" collapsed="false">
      <c r="A976" s="19"/>
      <c r="B976" s="20"/>
      <c r="C976" s="19"/>
      <c r="D976" s="19"/>
      <c r="E976" s="19"/>
      <c r="F976" s="19"/>
      <c r="G976" s="21"/>
      <c r="H976" s="19"/>
      <c r="I976" s="21"/>
      <c r="J976" s="19"/>
      <c r="K976" s="20"/>
      <c r="L976" s="20"/>
      <c r="M976" s="19"/>
      <c r="N976" s="19"/>
      <c r="O976" s="20"/>
      <c r="P976" s="20"/>
      <c r="Q976" s="19"/>
      <c r="R976" s="22" t="str">
        <f aca="false">IF(A976="","",N(G976)+N(I976))</f>
        <v/>
      </c>
      <c r="S976" s="23" t="str">
        <f aca="false">IF(OR(K976="",O976=""),"",O976-K976)</f>
        <v/>
      </c>
      <c r="T976" s="23" t="str">
        <f aca="true">IF(AND(C976="Cetak",L976&lt;&gt;"",L976&lt;TODAY()),"YA","")</f>
        <v/>
      </c>
      <c r="U976" s="23" t="str">
        <f aca="false">IF(B976="","",TEXT(B976,"yyyy-mm"))</f>
        <v/>
      </c>
      <c r="V976" s="23" t="str">
        <f aca="false">IF(K976="","",TEXT(K976,"yyyy-mm"))</f>
        <v/>
      </c>
      <c r="W976" s="23" t="n">
        <f aca="false">IF(OR(C976="Cetak",C976="Dikirim",C976="Selesai"),1,0)</f>
        <v>0</v>
      </c>
      <c r="X976" s="23" t="str">
        <f aca="false">IF(F976="","",SUBSTITUTE(SUBSTITUTE(MID(UPPER(TRIM(F976)),4,99),"-LED",""),"-TK",""))</f>
        <v/>
      </c>
      <c r="Y976" s="23" t="str">
        <f aca="false">IF(X976="","",(LEN(X976)+1)/7)</f>
        <v/>
      </c>
      <c r="Z976" s="23" t="str">
        <f aca="false">IF(X976="","",LEFT(X976,6))</f>
        <v/>
      </c>
      <c r="AA976" s="23" t="str">
        <f aca="false">IF(X976="","",IF(Y976&gt;=3,MID(X976,8,6),""))</f>
        <v/>
      </c>
      <c r="AB976" s="23" t="str">
        <f aca="false">IF(X976="","",IF(Y976&gt;=4,MID(X976,15,6),""))</f>
        <v/>
      </c>
      <c r="AC976" s="23" t="str">
        <f aca="false">IF(X976="","",IF(Y976&gt;=5,MID(X976,22,6),""))</f>
        <v/>
      </c>
      <c r="AD976" s="23" t="str">
        <f aca="false">IF(X976="","",RIGHT(X976,6))</f>
        <v/>
      </c>
      <c r="AE976" s="23" t="str">
        <f aca="false">IF(F976="","",IF(ISNUMBER(SEARCH("-TK",UPPER(F976))),0,1))</f>
        <v/>
      </c>
      <c r="AF976" s="23" t="str">
        <f aca="false">IF(F976="","",IF(ISNUMBER(SEARCH("-LED",UPPER(F976))),1,0))</f>
        <v/>
      </c>
      <c r="AG976" s="24" t="n">
        <f aca="false">IF(Z976="",0,IFERROR(INDEX(Resep!$C$5:$C$7,MATCH(LEFT(Z976,3),Resep!$B$5:$B$7,0)),0))</f>
        <v>0</v>
      </c>
      <c r="AH976" s="24" t="n">
        <f aca="false">IF(AA976="",0,IFERROR(INDEX(Resep!$C$9:$C$13,MATCH(LEFT(AA976,3),Resep!$B$9:$B$13,0)),0))</f>
        <v>0</v>
      </c>
      <c r="AI976" s="24" t="n">
        <f aca="false">IF(AB976="",0,IFERROR(INDEX(Resep!$C$9:$C$13,MATCH(LEFT(AB976,3),Resep!$B$9:$B$13,0)),0))</f>
        <v>0</v>
      </c>
      <c r="AJ976" s="24" t="n">
        <f aca="false">IF(AC976="",0,IFERROR(INDEX(Resep!$C$9:$C$13,MATCH(LEFT(AC976,3),Resep!$B$9:$B$13,0)),0))</f>
        <v>0</v>
      </c>
      <c r="AK976" s="24" t="n">
        <f aca="false">IF(AD976="",0,IFERROR(INDEX(Resep!$C$15:$C$18,MATCH(LEFT(AD976,3),Resep!$B$15:$B$18,0)),0))</f>
        <v>0</v>
      </c>
      <c r="AL976" s="24" t="str">
        <f aca="false">IF(X976="","",AG976+AH976+AI976+AJ976+AK976)</f>
        <v/>
      </c>
      <c r="AM976" s="22" t="str">
        <f aca="false">IF(X976="","",AL976*(Pengaturan!$B$6+Pengaturan!$B$7)+Pengaturan!$B$8+AE976*Pengaturan!$B$9+AF976*Pengaturan!$B$10)</f>
        <v/>
      </c>
      <c r="AN976" s="22" t="str">
        <f aca="false">IF(X976="","",N(G976)-AM976)</f>
        <v/>
      </c>
      <c r="AO976" s="25" t="str">
        <f aca="false">IF(OR(X976="",N(G976)=0),"",AN976/G976)</f>
        <v/>
      </c>
    </row>
    <row r="977" customFormat="false" ht="15" hidden="false" customHeight="false" outlineLevel="0" collapsed="false">
      <c r="A977" s="19"/>
      <c r="B977" s="20"/>
      <c r="C977" s="19"/>
      <c r="D977" s="19"/>
      <c r="E977" s="19"/>
      <c r="F977" s="19"/>
      <c r="G977" s="21"/>
      <c r="H977" s="19"/>
      <c r="I977" s="21"/>
      <c r="J977" s="19"/>
      <c r="K977" s="20"/>
      <c r="L977" s="20"/>
      <c r="M977" s="19"/>
      <c r="N977" s="19"/>
      <c r="O977" s="20"/>
      <c r="P977" s="20"/>
      <c r="Q977" s="19"/>
      <c r="R977" s="22" t="str">
        <f aca="false">IF(A977="","",N(G977)+N(I977))</f>
        <v/>
      </c>
      <c r="S977" s="23" t="str">
        <f aca="false">IF(OR(K977="",O977=""),"",O977-K977)</f>
        <v/>
      </c>
      <c r="T977" s="23" t="str">
        <f aca="true">IF(AND(C977="Cetak",L977&lt;&gt;"",L977&lt;TODAY()),"YA","")</f>
        <v/>
      </c>
      <c r="U977" s="23" t="str">
        <f aca="false">IF(B977="","",TEXT(B977,"yyyy-mm"))</f>
        <v/>
      </c>
      <c r="V977" s="23" t="str">
        <f aca="false">IF(K977="","",TEXT(K977,"yyyy-mm"))</f>
        <v/>
      </c>
      <c r="W977" s="23" t="n">
        <f aca="false">IF(OR(C977="Cetak",C977="Dikirim",C977="Selesai"),1,0)</f>
        <v>0</v>
      </c>
      <c r="X977" s="23" t="str">
        <f aca="false">IF(F977="","",SUBSTITUTE(SUBSTITUTE(MID(UPPER(TRIM(F977)),4,99),"-LED",""),"-TK",""))</f>
        <v/>
      </c>
      <c r="Y977" s="23" t="str">
        <f aca="false">IF(X977="","",(LEN(X977)+1)/7)</f>
        <v/>
      </c>
      <c r="Z977" s="23" t="str">
        <f aca="false">IF(X977="","",LEFT(X977,6))</f>
        <v/>
      </c>
      <c r="AA977" s="23" t="str">
        <f aca="false">IF(X977="","",IF(Y977&gt;=3,MID(X977,8,6),""))</f>
        <v/>
      </c>
      <c r="AB977" s="23" t="str">
        <f aca="false">IF(X977="","",IF(Y977&gt;=4,MID(X977,15,6),""))</f>
        <v/>
      </c>
      <c r="AC977" s="23" t="str">
        <f aca="false">IF(X977="","",IF(Y977&gt;=5,MID(X977,22,6),""))</f>
        <v/>
      </c>
      <c r="AD977" s="23" t="str">
        <f aca="false">IF(X977="","",RIGHT(X977,6))</f>
        <v/>
      </c>
      <c r="AE977" s="23" t="str">
        <f aca="false">IF(F977="","",IF(ISNUMBER(SEARCH("-TK",UPPER(F977))),0,1))</f>
        <v/>
      </c>
      <c r="AF977" s="23" t="str">
        <f aca="false">IF(F977="","",IF(ISNUMBER(SEARCH("-LED",UPPER(F977))),1,0))</f>
        <v/>
      </c>
      <c r="AG977" s="24" t="n">
        <f aca="false">IF(Z977="",0,IFERROR(INDEX(Resep!$C$5:$C$7,MATCH(LEFT(Z977,3),Resep!$B$5:$B$7,0)),0))</f>
        <v>0</v>
      </c>
      <c r="AH977" s="24" t="n">
        <f aca="false">IF(AA977="",0,IFERROR(INDEX(Resep!$C$9:$C$13,MATCH(LEFT(AA977,3),Resep!$B$9:$B$13,0)),0))</f>
        <v>0</v>
      </c>
      <c r="AI977" s="24" t="n">
        <f aca="false">IF(AB977="",0,IFERROR(INDEX(Resep!$C$9:$C$13,MATCH(LEFT(AB977,3),Resep!$B$9:$B$13,0)),0))</f>
        <v>0</v>
      </c>
      <c r="AJ977" s="24" t="n">
        <f aca="false">IF(AC977="",0,IFERROR(INDEX(Resep!$C$9:$C$13,MATCH(LEFT(AC977,3),Resep!$B$9:$B$13,0)),0))</f>
        <v>0</v>
      </c>
      <c r="AK977" s="24" t="n">
        <f aca="false">IF(AD977="",0,IFERROR(INDEX(Resep!$C$15:$C$18,MATCH(LEFT(AD977,3),Resep!$B$15:$B$18,0)),0))</f>
        <v>0</v>
      </c>
      <c r="AL977" s="24" t="str">
        <f aca="false">IF(X977="","",AG977+AH977+AI977+AJ977+AK977)</f>
        <v/>
      </c>
      <c r="AM977" s="22" t="str">
        <f aca="false">IF(X977="","",AL977*(Pengaturan!$B$6+Pengaturan!$B$7)+Pengaturan!$B$8+AE977*Pengaturan!$B$9+AF977*Pengaturan!$B$10)</f>
        <v/>
      </c>
      <c r="AN977" s="22" t="str">
        <f aca="false">IF(X977="","",N(G977)-AM977)</f>
        <v/>
      </c>
      <c r="AO977" s="25" t="str">
        <f aca="false">IF(OR(X977="",N(G977)=0),"",AN977/G977)</f>
        <v/>
      </c>
    </row>
    <row r="978" customFormat="false" ht="15" hidden="false" customHeight="false" outlineLevel="0" collapsed="false">
      <c r="A978" s="19"/>
      <c r="B978" s="20"/>
      <c r="C978" s="19"/>
      <c r="D978" s="19"/>
      <c r="E978" s="19"/>
      <c r="F978" s="19"/>
      <c r="G978" s="21"/>
      <c r="H978" s="19"/>
      <c r="I978" s="21"/>
      <c r="J978" s="19"/>
      <c r="K978" s="20"/>
      <c r="L978" s="20"/>
      <c r="M978" s="19"/>
      <c r="N978" s="19"/>
      <c r="O978" s="20"/>
      <c r="P978" s="20"/>
      <c r="Q978" s="19"/>
      <c r="R978" s="22" t="str">
        <f aca="false">IF(A978="","",N(G978)+N(I978))</f>
        <v/>
      </c>
      <c r="S978" s="23" t="str">
        <f aca="false">IF(OR(K978="",O978=""),"",O978-K978)</f>
        <v/>
      </c>
      <c r="T978" s="23" t="str">
        <f aca="true">IF(AND(C978="Cetak",L978&lt;&gt;"",L978&lt;TODAY()),"YA","")</f>
        <v/>
      </c>
      <c r="U978" s="23" t="str">
        <f aca="false">IF(B978="","",TEXT(B978,"yyyy-mm"))</f>
        <v/>
      </c>
      <c r="V978" s="23" t="str">
        <f aca="false">IF(K978="","",TEXT(K978,"yyyy-mm"))</f>
        <v/>
      </c>
      <c r="W978" s="23" t="n">
        <f aca="false">IF(OR(C978="Cetak",C978="Dikirim",C978="Selesai"),1,0)</f>
        <v>0</v>
      </c>
      <c r="X978" s="23" t="str">
        <f aca="false">IF(F978="","",SUBSTITUTE(SUBSTITUTE(MID(UPPER(TRIM(F978)),4,99),"-LED",""),"-TK",""))</f>
        <v/>
      </c>
      <c r="Y978" s="23" t="str">
        <f aca="false">IF(X978="","",(LEN(X978)+1)/7)</f>
        <v/>
      </c>
      <c r="Z978" s="23" t="str">
        <f aca="false">IF(X978="","",LEFT(X978,6))</f>
        <v/>
      </c>
      <c r="AA978" s="23" t="str">
        <f aca="false">IF(X978="","",IF(Y978&gt;=3,MID(X978,8,6),""))</f>
        <v/>
      </c>
      <c r="AB978" s="23" t="str">
        <f aca="false">IF(X978="","",IF(Y978&gt;=4,MID(X978,15,6),""))</f>
        <v/>
      </c>
      <c r="AC978" s="23" t="str">
        <f aca="false">IF(X978="","",IF(Y978&gt;=5,MID(X978,22,6),""))</f>
        <v/>
      </c>
      <c r="AD978" s="23" t="str">
        <f aca="false">IF(X978="","",RIGHT(X978,6))</f>
        <v/>
      </c>
      <c r="AE978" s="23" t="str">
        <f aca="false">IF(F978="","",IF(ISNUMBER(SEARCH("-TK",UPPER(F978))),0,1))</f>
        <v/>
      </c>
      <c r="AF978" s="23" t="str">
        <f aca="false">IF(F978="","",IF(ISNUMBER(SEARCH("-LED",UPPER(F978))),1,0))</f>
        <v/>
      </c>
      <c r="AG978" s="24" t="n">
        <f aca="false">IF(Z978="",0,IFERROR(INDEX(Resep!$C$5:$C$7,MATCH(LEFT(Z978,3),Resep!$B$5:$B$7,0)),0))</f>
        <v>0</v>
      </c>
      <c r="AH978" s="24" t="n">
        <f aca="false">IF(AA978="",0,IFERROR(INDEX(Resep!$C$9:$C$13,MATCH(LEFT(AA978,3),Resep!$B$9:$B$13,0)),0))</f>
        <v>0</v>
      </c>
      <c r="AI978" s="24" t="n">
        <f aca="false">IF(AB978="",0,IFERROR(INDEX(Resep!$C$9:$C$13,MATCH(LEFT(AB978,3),Resep!$B$9:$B$13,0)),0))</f>
        <v>0</v>
      </c>
      <c r="AJ978" s="24" t="n">
        <f aca="false">IF(AC978="",0,IFERROR(INDEX(Resep!$C$9:$C$13,MATCH(LEFT(AC978,3),Resep!$B$9:$B$13,0)),0))</f>
        <v>0</v>
      </c>
      <c r="AK978" s="24" t="n">
        <f aca="false">IF(AD978="",0,IFERROR(INDEX(Resep!$C$15:$C$18,MATCH(LEFT(AD978,3),Resep!$B$15:$B$18,0)),0))</f>
        <v>0</v>
      </c>
      <c r="AL978" s="24" t="str">
        <f aca="false">IF(X978="","",AG978+AH978+AI978+AJ978+AK978)</f>
        <v/>
      </c>
      <c r="AM978" s="22" t="str">
        <f aca="false">IF(X978="","",AL978*(Pengaturan!$B$6+Pengaturan!$B$7)+Pengaturan!$B$8+AE978*Pengaturan!$B$9+AF978*Pengaturan!$B$10)</f>
        <v/>
      </c>
      <c r="AN978" s="22" t="str">
        <f aca="false">IF(X978="","",N(G978)-AM978)</f>
        <v/>
      </c>
      <c r="AO978" s="25" t="str">
        <f aca="false">IF(OR(X978="",N(G978)=0),"",AN978/G978)</f>
        <v/>
      </c>
    </row>
    <row r="979" customFormat="false" ht="15" hidden="false" customHeight="false" outlineLevel="0" collapsed="false">
      <c r="A979" s="19"/>
      <c r="B979" s="20"/>
      <c r="C979" s="19"/>
      <c r="D979" s="19"/>
      <c r="E979" s="19"/>
      <c r="F979" s="19"/>
      <c r="G979" s="21"/>
      <c r="H979" s="19"/>
      <c r="I979" s="21"/>
      <c r="J979" s="19"/>
      <c r="K979" s="20"/>
      <c r="L979" s="20"/>
      <c r="M979" s="19"/>
      <c r="N979" s="19"/>
      <c r="O979" s="20"/>
      <c r="P979" s="20"/>
      <c r="Q979" s="19"/>
      <c r="R979" s="22" t="str">
        <f aca="false">IF(A979="","",N(G979)+N(I979))</f>
        <v/>
      </c>
      <c r="S979" s="23" t="str">
        <f aca="false">IF(OR(K979="",O979=""),"",O979-K979)</f>
        <v/>
      </c>
      <c r="T979" s="23" t="str">
        <f aca="true">IF(AND(C979="Cetak",L979&lt;&gt;"",L979&lt;TODAY()),"YA","")</f>
        <v/>
      </c>
      <c r="U979" s="23" t="str">
        <f aca="false">IF(B979="","",TEXT(B979,"yyyy-mm"))</f>
        <v/>
      </c>
      <c r="V979" s="23" t="str">
        <f aca="false">IF(K979="","",TEXT(K979,"yyyy-mm"))</f>
        <v/>
      </c>
      <c r="W979" s="23" t="n">
        <f aca="false">IF(OR(C979="Cetak",C979="Dikirim",C979="Selesai"),1,0)</f>
        <v>0</v>
      </c>
      <c r="X979" s="23" t="str">
        <f aca="false">IF(F979="","",SUBSTITUTE(SUBSTITUTE(MID(UPPER(TRIM(F979)),4,99),"-LED",""),"-TK",""))</f>
        <v/>
      </c>
      <c r="Y979" s="23" t="str">
        <f aca="false">IF(X979="","",(LEN(X979)+1)/7)</f>
        <v/>
      </c>
      <c r="Z979" s="23" t="str">
        <f aca="false">IF(X979="","",LEFT(X979,6))</f>
        <v/>
      </c>
      <c r="AA979" s="23" t="str">
        <f aca="false">IF(X979="","",IF(Y979&gt;=3,MID(X979,8,6),""))</f>
        <v/>
      </c>
      <c r="AB979" s="23" t="str">
        <f aca="false">IF(X979="","",IF(Y979&gt;=4,MID(X979,15,6),""))</f>
        <v/>
      </c>
      <c r="AC979" s="23" t="str">
        <f aca="false">IF(X979="","",IF(Y979&gt;=5,MID(X979,22,6),""))</f>
        <v/>
      </c>
      <c r="AD979" s="23" t="str">
        <f aca="false">IF(X979="","",RIGHT(X979,6))</f>
        <v/>
      </c>
      <c r="AE979" s="23" t="str">
        <f aca="false">IF(F979="","",IF(ISNUMBER(SEARCH("-TK",UPPER(F979))),0,1))</f>
        <v/>
      </c>
      <c r="AF979" s="23" t="str">
        <f aca="false">IF(F979="","",IF(ISNUMBER(SEARCH("-LED",UPPER(F979))),1,0))</f>
        <v/>
      </c>
      <c r="AG979" s="24" t="n">
        <f aca="false">IF(Z979="",0,IFERROR(INDEX(Resep!$C$5:$C$7,MATCH(LEFT(Z979,3),Resep!$B$5:$B$7,0)),0))</f>
        <v>0</v>
      </c>
      <c r="AH979" s="24" t="n">
        <f aca="false">IF(AA979="",0,IFERROR(INDEX(Resep!$C$9:$C$13,MATCH(LEFT(AA979,3),Resep!$B$9:$B$13,0)),0))</f>
        <v>0</v>
      </c>
      <c r="AI979" s="24" t="n">
        <f aca="false">IF(AB979="",0,IFERROR(INDEX(Resep!$C$9:$C$13,MATCH(LEFT(AB979,3),Resep!$B$9:$B$13,0)),0))</f>
        <v>0</v>
      </c>
      <c r="AJ979" s="24" t="n">
        <f aca="false">IF(AC979="",0,IFERROR(INDEX(Resep!$C$9:$C$13,MATCH(LEFT(AC979,3),Resep!$B$9:$B$13,0)),0))</f>
        <v>0</v>
      </c>
      <c r="AK979" s="24" t="n">
        <f aca="false">IF(AD979="",0,IFERROR(INDEX(Resep!$C$15:$C$18,MATCH(LEFT(AD979,3),Resep!$B$15:$B$18,0)),0))</f>
        <v>0</v>
      </c>
      <c r="AL979" s="24" t="str">
        <f aca="false">IF(X979="","",AG979+AH979+AI979+AJ979+AK979)</f>
        <v/>
      </c>
      <c r="AM979" s="22" t="str">
        <f aca="false">IF(X979="","",AL979*(Pengaturan!$B$6+Pengaturan!$B$7)+Pengaturan!$B$8+AE979*Pengaturan!$B$9+AF979*Pengaturan!$B$10)</f>
        <v/>
      </c>
      <c r="AN979" s="22" t="str">
        <f aca="false">IF(X979="","",N(G979)-AM979)</f>
        <v/>
      </c>
      <c r="AO979" s="25" t="str">
        <f aca="false">IF(OR(X979="",N(G979)=0),"",AN979/G979)</f>
        <v/>
      </c>
    </row>
    <row r="980" customFormat="false" ht="15" hidden="false" customHeight="false" outlineLevel="0" collapsed="false">
      <c r="A980" s="19"/>
      <c r="B980" s="20"/>
      <c r="C980" s="19"/>
      <c r="D980" s="19"/>
      <c r="E980" s="19"/>
      <c r="F980" s="19"/>
      <c r="G980" s="21"/>
      <c r="H980" s="19"/>
      <c r="I980" s="21"/>
      <c r="J980" s="19"/>
      <c r="K980" s="20"/>
      <c r="L980" s="20"/>
      <c r="M980" s="19"/>
      <c r="N980" s="19"/>
      <c r="O980" s="20"/>
      <c r="P980" s="20"/>
      <c r="Q980" s="19"/>
      <c r="R980" s="22" t="str">
        <f aca="false">IF(A980="","",N(G980)+N(I980))</f>
        <v/>
      </c>
      <c r="S980" s="23" t="str">
        <f aca="false">IF(OR(K980="",O980=""),"",O980-K980)</f>
        <v/>
      </c>
      <c r="T980" s="23" t="str">
        <f aca="true">IF(AND(C980="Cetak",L980&lt;&gt;"",L980&lt;TODAY()),"YA","")</f>
        <v/>
      </c>
      <c r="U980" s="23" t="str">
        <f aca="false">IF(B980="","",TEXT(B980,"yyyy-mm"))</f>
        <v/>
      </c>
      <c r="V980" s="23" t="str">
        <f aca="false">IF(K980="","",TEXT(K980,"yyyy-mm"))</f>
        <v/>
      </c>
      <c r="W980" s="23" t="n">
        <f aca="false">IF(OR(C980="Cetak",C980="Dikirim",C980="Selesai"),1,0)</f>
        <v>0</v>
      </c>
      <c r="X980" s="23" t="str">
        <f aca="false">IF(F980="","",SUBSTITUTE(SUBSTITUTE(MID(UPPER(TRIM(F980)),4,99),"-LED",""),"-TK",""))</f>
        <v/>
      </c>
      <c r="Y980" s="23" t="str">
        <f aca="false">IF(X980="","",(LEN(X980)+1)/7)</f>
        <v/>
      </c>
      <c r="Z980" s="23" t="str">
        <f aca="false">IF(X980="","",LEFT(X980,6))</f>
        <v/>
      </c>
      <c r="AA980" s="23" t="str">
        <f aca="false">IF(X980="","",IF(Y980&gt;=3,MID(X980,8,6),""))</f>
        <v/>
      </c>
      <c r="AB980" s="23" t="str">
        <f aca="false">IF(X980="","",IF(Y980&gt;=4,MID(X980,15,6),""))</f>
        <v/>
      </c>
      <c r="AC980" s="23" t="str">
        <f aca="false">IF(X980="","",IF(Y980&gt;=5,MID(X980,22,6),""))</f>
        <v/>
      </c>
      <c r="AD980" s="23" t="str">
        <f aca="false">IF(X980="","",RIGHT(X980,6))</f>
        <v/>
      </c>
      <c r="AE980" s="23" t="str">
        <f aca="false">IF(F980="","",IF(ISNUMBER(SEARCH("-TK",UPPER(F980))),0,1))</f>
        <v/>
      </c>
      <c r="AF980" s="23" t="str">
        <f aca="false">IF(F980="","",IF(ISNUMBER(SEARCH("-LED",UPPER(F980))),1,0))</f>
        <v/>
      </c>
      <c r="AG980" s="24" t="n">
        <f aca="false">IF(Z980="",0,IFERROR(INDEX(Resep!$C$5:$C$7,MATCH(LEFT(Z980,3),Resep!$B$5:$B$7,0)),0))</f>
        <v>0</v>
      </c>
      <c r="AH980" s="24" t="n">
        <f aca="false">IF(AA980="",0,IFERROR(INDEX(Resep!$C$9:$C$13,MATCH(LEFT(AA980,3),Resep!$B$9:$B$13,0)),0))</f>
        <v>0</v>
      </c>
      <c r="AI980" s="24" t="n">
        <f aca="false">IF(AB980="",0,IFERROR(INDEX(Resep!$C$9:$C$13,MATCH(LEFT(AB980,3),Resep!$B$9:$B$13,0)),0))</f>
        <v>0</v>
      </c>
      <c r="AJ980" s="24" t="n">
        <f aca="false">IF(AC980="",0,IFERROR(INDEX(Resep!$C$9:$C$13,MATCH(LEFT(AC980,3),Resep!$B$9:$B$13,0)),0))</f>
        <v>0</v>
      </c>
      <c r="AK980" s="24" t="n">
        <f aca="false">IF(AD980="",0,IFERROR(INDEX(Resep!$C$15:$C$18,MATCH(LEFT(AD980,3),Resep!$B$15:$B$18,0)),0))</f>
        <v>0</v>
      </c>
      <c r="AL980" s="24" t="str">
        <f aca="false">IF(X980="","",AG980+AH980+AI980+AJ980+AK980)</f>
        <v/>
      </c>
      <c r="AM980" s="22" t="str">
        <f aca="false">IF(X980="","",AL980*(Pengaturan!$B$6+Pengaturan!$B$7)+Pengaturan!$B$8+AE980*Pengaturan!$B$9+AF980*Pengaturan!$B$10)</f>
        <v/>
      </c>
      <c r="AN980" s="22" t="str">
        <f aca="false">IF(X980="","",N(G980)-AM980)</f>
        <v/>
      </c>
      <c r="AO980" s="25" t="str">
        <f aca="false">IF(OR(X980="",N(G980)=0),"",AN980/G980)</f>
        <v/>
      </c>
    </row>
    <row r="981" customFormat="false" ht="15" hidden="false" customHeight="false" outlineLevel="0" collapsed="false">
      <c r="A981" s="19"/>
      <c r="B981" s="20"/>
      <c r="C981" s="19"/>
      <c r="D981" s="19"/>
      <c r="E981" s="19"/>
      <c r="F981" s="19"/>
      <c r="G981" s="21"/>
      <c r="H981" s="19"/>
      <c r="I981" s="21"/>
      <c r="J981" s="19"/>
      <c r="K981" s="20"/>
      <c r="L981" s="20"/>
      <c r="M981" s="19"/>
      <c r="N981" s="19"/>
      <c r="O981" s="20"/>
      <c r="P981" s="20"/>
      <c r="Q981" s="19"/>
      <c r="R981" s="22" t="str">
        <f aca="false">IF(A981="","",N(G981)+N(I981))</f>
        <v/>
      </c>
      <c r="S981" s="23" t="str">
        <f aca="false">IF(OR(K981="",O981=""),"",O981-K981)</f>
        <v/>
      </c>
      <c r="T981" s="23" t="str">
        <f aca="true">IF(AND(C981="Cetak",L981&lt;&gt;"",L981&lt;TODAY()),"YA","")</f>
        <v/>
      </c>
      <c r="U981" s="23" t="str">
        <f aca="false">IF(B981="","",TEXT(B981,"yyyy-mm"))</f>
        <v/>
      </c>
      <c r="V981" s="23" t="str">
        <f aca="false">IF(K981="","",TEXT(K981,"yyyy-mm"))</f>
        <v/>
      </c>
      <c r="W981" s="23" t="n">
        <f aca="false">IF(OR(C981="Cetak",C981="Dikirim",C981="Selesai"),1,0)</f>
        <v>0</v>
      </c>
      <c r="X981" s="23" t="str">
        <f aca="false">IF(F981="","",SUBSTITUTE(SUBSTITUTE(MID(UPPER(TRIM(F981)),4,99),"-LED",""),"-TK",""))</f>
        <v/>
      </c>
      <c r="Y981" s="23" t="str">
        <f aca="false">IF(X981="","",(LEN(X981)+1)/7)</f>
        <v/>
      </c>
      <c r="Z981" s="23" t="str">
        <f aca="false">IF(X981="","",LEFT(X981,6))</f>
        <v/>
      </c>
      <c r="AA981" s="23" t="str">
        <f aca="false">IF(X981="","",IF(Y981&gt;=3,MID(X981,8,6),""))</f>
        <v/>
      </c>
      <c r="AB981" s="23" t="str">
        <f aca="false">IF(X981="","",IF(Y981&gt;=4,MID(X981,15,6),""))</f>
        <v/>
      </c>
      <c r="AC981" s="23" t="str">
        <f aca="false">IF(X981="","",IF(Y981&gt;=5,MID(X981,22,6),""))</f>
        <v/>
      </c>
      <c r="AD981" s="23" t="str">
        <f aca="false">IF(X981="","",RIGHT(X981,6))</f>
        <v/>
      </c>
      <c r="AE981" s="23" t="str">
        <f aca="false">IF(F981="","",IF(ISNUMBER(SEARCH("-TK",UPPER(F981))),0,1))</f>
        <v/>
      </c>
      <c r="AF981" s="23" t="str">
        <f aca="false">IF(F981="","",IF(ISNUMBER(SEARCH("-LED",UPPER(F981))),1,0))</f>
        <v/>
      </c>
      <c r="AG981" s="24" t="n">
        <f aca="false">IF(Z981="",0,IFERROR(INDEX(Resep!$C$5:$C$7,MATCH(LEFT(Z981,3),Resep!$B$5:$B$7,0)),0))</f>
        <v>0</v>
      </c>
      <c r="AH981" s="24" t="n">
        <f aca="false">IF(AA981="",0,IFERROR(INDEX(Resep!$C$9:$C$13,MATCH(LEFT(AA981,3),Resep!$B$9:$B$13,0)),0))</f>
        <v>0</v>
      </c>
      <c r="AI981" s="24" t="n">
        <f aca="false">IF(AB981="",0,IFERROR(INDEX(Resep!$C$9:$C$13,MATCH(LEFT(AB981,3),Resep!$B$9:$B$13,0)),0))</f>
        <v>0</v>
      </c>
      <c r="AJ981" s="24" t="n">
        <f aca="false">IF(AC981="",0,IFERROR(INDEX(Resep!$C$9:$C$13,MATCH(LEFT(AC981,3),Resep!$B$9:$B$13,0)),0))</f>
        <v>0</v>
      </c>
      <c r="AK981" s="24" t="n">
        <f aca="false">IF(AD981="",0,IFERROR(INDEX(Resep!$C$15:$C$18,MATCH(LEFT(AD981,3),Resep!$B$15:$B$18,0)),0))</f>
        <v>0</v>
      </c>
      <c r="AL981" s="24" t="str">
        <f aca="false">IF(X981="","",AG981+AH981+AI981+AJ981+AK981)</f>
        <v/>
      </c>
      <c r="AM981" s="22" t="str">
        <f aca="false">IF(X981="","",AL981*(Pengaturan!$B$6+Pengaturan!$B$7)+Pengaturan!$B$8+AE981*Pengaturan!$B$9+AF981*Pengaturan!$B$10)</f>
        <v/>
      </c>
      <c r="AN981" s="22" t="str">
        <f aca="false">IF(X981="","",N(G981)-AM981)</f>
        <v/>
      </c>
      <c r="AO981" s="25" t="str">
        <f aca="false">IF(OR(X981="",N(G981)=0),"",AN981/G981)</f>
        <v/>
      </c>
    </row>
    <row r="982" customFormat="false" ht="15" hidden="false" customHeight="false" outlineLevel="0" collapsed="false">
      <c r="A982" s="19"/>
      <c r="B982" s="20"/>
      <c r="C982" s="19"/>
      <c r="D982" s="19"/>
      <c r="E982" s="19"/>
      <c r="F982" s="19"/>
      <c r="G982" s="21"/>
      <c r="H982" s="19"/>
      <c r="I982" s="21"/>
      <c r="J982" s="19"/>
      <c r="K982" s="20"/>
      <c r="L982" s="20"/>
      <c r="M982" s="19"/>
      <c r="N982" s="19"/>
      <c r="O982" s="20"/>
      <c r="P982" s="20"/>
      <c r="Q982" s="19"/>
      <c r="R982" s="22" t="str">
        <f aca="false">IF(A982="","",N(G982)+N(I982))</f>
        <v/>
      </c>
      <c r="S982" s="23" t="str">
        <f aca="false">IF(OR(K982="",O982=""),"",O982-K982)</f>
        <v/>
      </c>
      <c r="T982" s="23" t="str">
        <f aca="true">IF(AND(C982="Cetak",L982&lt;&gt;"",L982&lt;TODAY()),"YA","")</f>
        <v/>
      </c>
      <c r="U982" s="23" t="str">
        <f aca="false">IF(B982="","",TEXT(B982,"yyyy-mm"))</f>
        <v/>
      </c>
      <c r="V982" s="23" t="str">
        <f aca="false">IF(K982="","",TEXT(K982,"yyyy-mm"))</f>
        <v/>
      </c>
      <c r="W982" s="23" t="n">
        <f aca="false">IF(OR(C982="Cetak",C982="Dikirim",C982="Selesai"),1,0)</f>
        <v>0</v>
      </c>
      <c r="X982" s="23" t="str">
        <f aca="false">IF(F982="","",SUBSTITUTE(SUBSTITUTE(MID(UPPER(TRIM(F982)),4,99),"-LED",""),"-TK",""))</f>
        <v/>
      </c>
      <c r="Y982" s="23" t="str">
        <f aca="false">IF(X982="","",(LEN(X982)+1)/7)</f>
        <v/>
      </c>
      <c r="Z982" s="23" t="str">
        <f aca="false">IF(X982="","",LEFT(X982,6))</f>
        <v/>
      </c>
      <c r="AA982" s="23" t="str">
        <f aca="false">IF(X982="","",IF(Y982&gt;=3,MID(X982,8,6),""))</f>
        <v/>
      </c>
      <c r="AB982" s="23" t="str">
        <f aca="false">IF(X982="","",IF(Y982&gt;=4,MID(X982,15,6),""))</f>
        <v/>
      </c>
      <c r="AC982" s="23" t="str">
        <f aca="false">IF(X982="","",IF(Y982&gt;=5,MID(X982,22,6),""))</f>
        <v/>
      </c>
      <c r="AD982" s="23" t="str">
        <f aca="false">IF(X982="","",RIGHT(X982,6))</f>
        <v/>
      </c>
      <c r="AE982" s="23" t="str">
        <f aca="false">IF(F982="","",IF(ISNUMBER(SEARCH("-TK",UPPER(F982))),0,1))</f>
        <v/>
      </c>
      <c r="AF982" s="23" t="str">
        <f aca="false">IF(F982="","",IF(ISNUMBER(SEARCH("-LED",UPPER(F982))),1,0))</f>
        <v/>
      </c>
      <c r="AG982" s="24" t="n">
        <f aca="false">IF(Z982="",0,IFERROR(INDEX(Resep!$C$5:$C$7,MATCH(LEFT(Z982,3),Resep!$B$5:$B$7,0)),0))</f>
        <v>0</v>
      </c>
      <c r="AH982" s="24" t="n">
        <f aca="false">IF(AA982="",0,IFERROR(INDEX(Resep!$C$9:$C$13,MATCH(LEFT(AA982,3),Resep!$B$9:$B$13,0)),0))</f>
        <v>0</v>
      </c>
      <c r="AI982" s="24" t="n">
        <f aca="false">IF(AB982="",0,IFERROR(INDEX(Resep!$C$9:$C$13,MATCH(LEFT(AB982,3),Resep!$B$9:$B$13,0)),0))</f>
        <v>0</v>
      </c>
      <c r="AJ982" s="24" t="n">
        <f aca="false">IF(AC982="",0,IFERROR(INDEX(Resep!$C$9:$C$13,MATCH(LEFT(AC982,3),Resep!$B$9:$B$13,0)),0))</f>
        <v>0</v>
      </c>
      <c r="AK982" s="24" t="n">
        <f aca="false">IF(AD982="",0,IFERROR(INDEX(Resep!$C$15:$C$18,MATCH(LEFT(AD982,3),Resep!$B$15:$B$18,0)),0))</f>
        <v>0</v>
      </c>
      <c r="AL982" s="24" t="str">
        <f aca="false">IF(X982="","",AG982+AH982+AI982+AJ982+AK982)</f>
        <v/>
      </c>
      <c r="AM982" s="22" t="str">
        <f aca="false">IF(X982="","",AL982*(Pengaturan!$B$6+Pengaturan!$B$7)+Pengaturan!$B$8+AE982*Pengaturan!$B$9+AF982*Pengaturan!$B$10)</f>
        <v/>
      </c>
      <c r="AN982" s="22" t="str">
        <f aca="false">IF(X982="","",N(G982)-AM982)</f>
        <v/>
      </c>
      <c r="AO982" s="25" t="str">
        <f aca="false">IF(OR(X982="",N(G982)=0),"",AN982/G982)</f>
        <v/>
      </c>
    </row>
    <row r="983" customFormat="false" ht="15" hidden="false" customHeight="false" outlineLevel="0" collapsed="false">
      <c r="A983" s="19"/>
      <c r="B983" s="20"/>
      <c r="C983" s="19"/>
      <c r="D983" s="19"/>
      <c r="E983" s="19"/>
      <c r="F983" s="19"/>
      <c r="G983" s="21"/>
      <c r="H983" s="19"/>
      <c r="I983" s="21"/>
      <c r="J983" s="19"/>
      <c r="K983" s="20"/>
      <c r="L983" s="20"/>
      <c r="M983" s="19"/>
      <c r="N983" s="19"/>
      <c r="O983" s="20"/>
      <c r="P983" s="20"/>
      <c r="Q983" s="19"/>
      <c r="R983" s="22" t="str">
        <f aca="false">IF(A983="","",N(G983)+N(I983))</f>
        <v/>
      </c>
      <c r="S983" s="23" t="str">
        <f aca="false">IF(OR(K983="",O983=""),"",O983-K983)</f>
        <v/>
      </c>
      <c r="T983" s="23" t="str">
        <f aca="true">IF(AND(C983="Cetak",L983&lt;&gt;"",L983&lt;TODAY()),"YA","")</f>
        <v/>
      </c>
      <c r="U983" s="23" t="str">
        <f aca="false">IF(B983="","",TEXT(B983,"yyyy-mm"))</f>
        <v/>
      </c>
      <c r="V983" s="23" t="str">
        <f aca="false">IF(K983="","",TEXT(K983,"yyyy-mm"))</f>
        <v/>
      </c>
      <c r="W983" s="23" t="n">
        <f aca="false">IF(OR(C983="Cetak",C983="Dikirim",C983="Selesai"),1,0)</f>
        <v>0</v>
      </c>
      <c r="X983" s="23" t="str">
        <f aca="false">IF(F983="","",SUBSTITUTE(SUBSTITUTE(MID(UPPER(TRIM(F983)),4,99),"-LED",""),"-TK",""))</f>
        <v/>
      </c>
      <c r="Y983" s="23" t="str">
        <f aca="false">IF(X983="","",(LEN(X983)+1)/7)</f>
        <v/>
      </c>
      <c r="Z983" s="23" t="str">
        <f aca="false">IF(X983="","",LEFT(X983,6))</f>
        <v/>
      </c>
      <c r="AA983" s="23" t="str">
        <f aca="false">IF(X983="","",IF(Y983&gt;=3,MID(X983,8,6),""))</f>
        <v/>
      </c>
      <c r="AB983" s="23" t="str">
        <f aca="false">IF(X983="","",IF(Y983&gt;=4,MID(X983,15,6),""))</f>
        <v/>
      </c>
      <c r="AC983" s="23" t="str">
        <f aca="false">IF(X983="","",IF(Y983&gt;=5,MID(X983,22,6),""))</f>
        <v/>
      </c>
      <c r="AD983" s="23" t="str">
        <f aca="false">IF(X983="","",RIGHT(X983,6))</f>
        <v/>
      </c>
      <c r="AE983" s="23" t="str">
        <f aca="false">IF(F983="","",IF(ISNUMBER(SEARCH("-TK",UPPER(F983))),0,1))</f>
        <v/>
      </c>
      <c r="AF983" s="23" t="str">
        <f aca="false">IF(F983="","",IF(ISNUMBER(SEARCH("-LED",UPPER(F983))),1,0))</f>
        <v/>
      </c>
      <c r="AG983" s="24" t="n">
        <f aca="false">IF(Z983="",0,IFERROR(INDEX(Resep!$C$5:$C$7,MATCH(LEFT(Z983,3),Resep!$B$5:$B$7,0)),0))</f>
        <v>0</v>
      </c>
      <c r="AH983" s="24" t="n">
        <f aca="false">IF(AA983="",0,IFERROR(INDEX(Resep!$C$9:$C$13,MATCH(LEFT(AA983,3),Resep!$B$9:$B$13,0)),0))</f>
        <v>0</v>
      </c>
      <c r="AI983" s="24" t="n">
        <f aca="false">IF(AB983="",0,IFERROR(INDEX(Resep!$C$9:$C$13,MATCH(LEFT(AB983,3),Resep!$B$9:$B$13,0)),0))</f>
        <v>0</v>
      </c>
      <c r="AJ983" s="24" t="n">
        <f aca="false">IF(AC983="",0,IFERROR(INDEX(Resep!$C$9:$C$13,MATCH(LEFT(AC983,3),Resep!$B$9:$B$13,0)),0))</f>
        <v>0</v>
      </c>
      <c r="AK983" s="24" t="n">
        <f aca="false">IF(AD983="",0,IFERROR(INDEX(Resep!$C$15:$C$18,MATCH(LEFT(AD983,3),Resep!$B$15:$B$18,0)),0))</f>
        <v>0</v>
      </c>
      <c r="AL983" s="24" t="str">
        <f aca="false">IF(X983="","",AG983+AH983+AI983+AJ983+AK983)</f>
        <v/>
      </c>
      <c r="AM983" s="22" t="str">
        <f aca="false">IF(X983="","",AL983*(Pengaturan!$B$6+Pengaturan!$B$7)+Pengaturan!$B$8+AE983*Pengaturan!$B$9+AF983*Pengaturan!$B$10)</f>
        <v/>
      </c>
      <c r="AN983" s="22" t="str">
        <f aca="false">IF(X983="","",N(G983)-AM983)</f>
        <v/>
      </c>
      <c r="AO983" s="25" t="str">
        <f aca="false">IF(OR(X983="",N(G983)=0),"",AN983/G983)</f>
        <v/>
      </c>
    </row>
    <row r="984" customFormat="false" ht="15" hidden="false" customHeight="false" outlineLevel="0" collapsed="false">
      <c r="A984" s="19"/>
      <c r="B984" s="20"/>
      <c r="C984" s="19"/>
      <c r="D984" s="19"/>
      <c r="E984" s="19"/>
      <c r="F984" s="19"/>
      <c r="G984" s="21"/>
      <c r="H984" s="19"/>
      <c r="I984" s="21"/>
      <c r="J984" s="19"/>
      <c r="K984" s="20"/>
      <c r="L984" s="20"/>
      <c r="M984" s="19"/>
      <c r="N984" s="19"/>
      <c r="O984" s="20"/>
      <c r="P984" s="20"/>
      <c r="Q984" s="19"/>
      <c r="R984" s="22" t="str">
        <f aca="false">IF(A984="","",N(G984)+N(I984))</f>
        <v/>
      </c>
      <c r="S984" s="23" t="str">
        <f aca="false">IF(OR(K984="",O984=""),"",O984-K984)</f>
        <v/>
      </c>
      <c r="T984" s="23" t="str">
        <f aca="true">IF(AND(C984="Cetak",L984&lt;&gt;"",L984&lt;TODAY()),"YA","")</f>
        <v/>
      </c>
      <c r="U984" s="23" t="str">
        <f aca="false">IF(B984="","",TEXT(B984,"yyyy-mm"))</f>
        <v/>
      </c>
      <c r="V984" s="23" t="str">
        <f aca="false">IF(K984="","",TEXT(K984,"yyyy-mm"))</f>
        <v/>
      </c>
      <c r="W984" s="23" t="n">
        <f aca="false">IF(OR(C984="Cetak",C984="Dikirim",C984="Selesai"),1,0)</f>
        <v>0</v>
      </c>
      <c r="X984" s="23" t="str">
        <f aca="false">IF(F984="","",SUBSTITUTE(SUBSTITUTE(MID(UPPER(TRIM(F984)),4,99),"-LED",""),"-TK",""))</f>
        <v/>
      </c>
      <c r="Y984" s="23" t="str">
        <f aca="false">IF(X984="","",(LEN(X984)+1)/7)</f>
        <v/>
      </c>
      <c r="Z984" s="23" t="str">
        <f aca="false">IF(X984="","",LEFT(X984,6))</f>
        <v/>
      </c>
      <c r="AA984" s="23" t="str">
        <f aca="false">IF(X984="","",IF(Y984&gt;=3,MID(X984,8,6),""))</f>
        <v/>
      </c>
      <c r="AB984" s="23" t="str">
        <f aca="false">IF(X984="","",IF(Y984&gt;=4,MID(X984,15,6),""))</f>
        <v/>
      </c>
      <c r="AC984" s="23" t="str">
        <f aca="false">IF(X984="","",IF(Y984&gt;=5,MID(X984,22,6),""))</f>
        <v/>
      </c>
      <c r="AD984" s="23" t="str">
        <f aca="false">IF(X984="","",RIGHT(X984,6))</f>
        <v/>
      </c>
      <c r="AE984" s="23" t="str">
        <f aca="false">IF(F984="","",IF(ISNUMBER(SEARCH("-TK",UPPER(F984))),0,1))</f>
        <v/>
      </c>
      <c r="AF984" s="23" t="str">
        <f aca="false">IF(F984="","",IF(ISNUMBER(SEARCH("-LED",UPPER(F984))),1,0))</f>
        <v/>
      </c>
      <c r="AG984" s="24" t="n">
        <f aca="false">IF(Z984="",0,IFERROR(INDEX(Resep!$C$5:$C$7,MATCH(LEFT(Z984,3),Resep!$B$5:$B$7,0)),0))</f>
        <v>0</v>
      </c>
      <c r="AH984" s="24" t="n">
        <f aca="false">IF(AA984="",0,IFERROR(INDEX(Resep!$C$9:$C$13,MATCH(LEFT(AA984,3),Resep!$B$9:$B$13,0)),0))</f>
        <v>0</v>
      </c>
      <c r="AI984" s="24" t="n">
        <f aca="false">IF(AB984="",0,IFERROR(INDEX(Resep!$C$9:$C$13,MATCH(LEFT(AB984,3),Resep!$B$9:$B$13,0)),0))</f>
        <v>0</v>
      </c>
      <c r="AJ984" s="24" t="n">
        <f aca="false">IF(AC984="",0,IFERROR(INDEX(Resep!$C$9:$C$13,MATCH(LEFT(AC984,3),Resep!$B$9:$B$13,0)),0))</f>
        <v>0</v>
      </c>
      <c r="AK984" s="24" t="n">
        <f aca="false">IF(AD984="",0,IFERROR(INDEX(Resep!$C$15:$C$18,MATCH(LEFT(AD984,3),Resep!$B$15:$B$18,0)),0))</f>
        <v>0</v>
      </c>
      <c r="AL984" s="24" t="str">
        <f aca="false">IF(X984="","",AG984+AH984+AI984+AJ984+AK984)</f>
        <v/>
      </c>
      <c r="AM984" s="22" t="str">
        <f aca="false">IF(X984="","",AL984*(Pengaturan!$B$6+Pengaturan!$B$7)+Pengaturan!$B$8+AE984*Pengaturan!$B$9+AF984*Pengaturan!$B$10)</f>
        <v/>
      </c>
      <c r="AN984" s="22" t="str">
        <f aca="false">IF(X984="","",N(G984)-AM984)</f>
        <v/>
      </c>
      <c r="AO984" s="25" t="str">
        <f aca="false">IF(OR(X984="",N(G984)=0),"",AN984/G984)</f>
        <v/>
      </c>
    </row>
    <row r="985" customFormat="false" ht="15" hidden="false" customHeight="false" outlineLevel="0" collapsed="false">
      <c r="A985" s="19"/>
      <c r="B985" s="20"/>
      <c r="C985" s="19"/>
      <c r="D985" s="19"/>
      <c r="E985" s="19"/>
      <c r="F985" s="19"/>
      <c r="G985" s="21"/>
      <c r="H985" s="19"/>
      <c r="I985" s="21"/>
      <c r="J985" s="19"/>
      <c r="K985" s="20"/>
      <c r="L985" s="20"/>
      <c r="M985" s="19"/>
      <c r="N985" s="19"/>
      <c r="O985" s="20"/>
      <c r="P985" s="20"/>
      <c r="Q985" s="19"/>
      <c r="R985" s="22" t="str">
        <f aca="false">IF(A985="","",N(G985)+N(I985))</f>
        <v/>
      </c>
      <c r="S985" s="23" t="str">
        <f aca="false">IF(OR(K985="",O985=""),"",O985-K985)</f>
        <v/>
      </c>
      <c r="T985" s="23" t="str">
        <f aca="true">IF(AND(C985="Cetak",L985&lt;&gt;"",L985&lt;TODAY()),"YA","")</f>
        <v/>
      </c>
      <c r="U985" s="23" t="str">
        <f aca="false">IF(B985="","",TEXT(B985,"yyyy-mm"))</f>
        <v/>
      </c>
      <c r="V985" s="23" t="str">
        <f aca="false">IF(K985="","",TEXT(K985,"yyyy-mm"))</f>
        <v/>
      </c>
      <c r="W985" s="23" t="n">
        <f aca="false">IF(OR(C985="Cetak",C985="Dikirim",C985="Selesai"),1,0)</f>
        <v>0</v>
      </c>
      <c r="X985" s="23" t="str">
        <f aca="false">IF(F985="","",SUBSTITUTE(SUBSTITUTE(MID(UPPER(TRIM(F985)),4,99),"-LED",""),"-TK",""))</f>
        <v/>
      </c>
      <c r="Y985" s="23" t="str">
        <f aca="false">IF(X985="","",(LEN(X985)+1)/7)</f>
        <v/>
      </c>
      <c r="Z985" s="23" t="str">
        <f aca="false">IF(X985="","",LEFT(X985,6))</f>
        <v/>
      </c>
      <c r="AA985" s="23" t="str">
        <f aca="false">IF(X985="","",IF(Y985&gt;=3,MID(X985,8,6),""))</f>
        <v/>
      </c>
      <c r="AB985" s="23" t="str">
        <f aca="false">IF(X985="","",IF(Y985&gt;=4,MID(X985,15,6),""))</f>
        <v/>
      </c>
      <c r="AC985" s="23" t="str">
        <f aca="false">IF(X985="","",IF(Y985&gt;=5,MID(X985,22,6),""))</f>
        <v/>
      </c>
      <c r="AD985" s="23" t="str">
        <f aca="false">IF(X985="","",RIGHT(X985,6))</f>
        <v/>
      </c>
      <c r="AE985" s="23" t="str">
        <f aca="false">IF(F985="","",IF(ISNUMBER(SEARCH("-TK",UPPER(F985))),0,1))</f>
        <v/>
      </c>
      <c r="AF985" s="23" t="str">
        <f aca="false">IF(F985="","",IF(ISNUMBER(SEARCH("-LED",UPPER(F985))),1,0))</f>
        <v/>
      </c>
      <c r="AG985" s="24" t="n">
        <f aca="false">IF(Z985="",0,IFERROR(INDEX(Resep!$C$5:$C$7,MATCH(LEFT(Z985,3),Resep!$B$5:$B$7,0)),0))</f>
        <v>0</v>
      </c>
      <c r="AH985" s="24" t="n">
        <f aca="false">IF(AA985="",0,IFERROR(INDEX(Resep!$C$9:$C$13,MATCH(LEFT(AA985,3),Resep!$B$9:$B$13,0)),0))</f>
        <v>0</v>
      </c>
      <c r="AI985" s="24" t="n">
        <f aca="false">IF(AB985="",0,IFERROR(INDEX(Resep!$C$9:$C$13,MATCH(LEFT(AB985,3),Resep!$B$9:$B$13,0)),0))</f>
        <v>0</v>
      </c>
      <c r="AJ985" s="24" t="n">
        <f aca="false">IF(AC985="",0,IFERROR(INDEX(Resep!$C$9:$C$13,MATCH(LEFT(AC985,3),Resep!$B$9:$B$13,0)),0))</f>
        <v>0</v>
      </c>
      <c r="AK985" s="24" t="n">
        <f aca="false">IF(AD985="",0,IFERROR(INDEX(Resep!$C$15:$C$18,MATCH(LEFT(AD985,3),Resep!$B$15:$B$18,0)),0))</f>
        <v>0</v>
      </c>
      <c r="AL985" s="24" t="str">
        <f aca="false">IF(X985="","",AG985+AH985+AI985+AJ985+AK985)</f>
        <v/>
      </c>
      <c r="AM985" s="22" t="str">
        <f aca="false">IF(X985="","",AL985*(Pengaturan!$B$6+Pengaturan!$B$7)+Pengaturan!$B$8+AE985*Pengaturan!$B$9+AF985*Pengaturan!$B$10)</f>
        <v/>
      </c>
      <c r="AN985" s="22" t="str">
        <f aca="false">IF(X985="","",N(G985)-AM985)</f>
        <v/>
      </c>
      <c r="AO985" s="25" t="str">
        <f aca="false">IF(OR(X985="",N(G985)=0),"",AN985/G985)</f>
        <v/>
      </c>
    </row>
    <row r="986" customFormat="false" ht="15" hidden="false" customHeight="false" outlineLevel="0" collapsed="false">
      <c r="A986" s="19"/>
      <c r="B986" s="20"/>
      <c r="C986" s="19"/>
      <c r="D986" s="19"/>
      <c r="E986" s="19"/>
      <c r="F986" s="19"/>
      <c r="G986" s="21"/>
      <c r="H986" s="19"/>
      <c r="I986" s="21"/>
      <c r="J986" s="19"/>
      <c r="K986" s="20"/>
      <c r="L986" s="20"/>
      <c r="M986" s="19"/>
      <c r="N986" s="19"/>
      <c r="O986" s="20"/>
      <c r="P986" s="20"/>
      <c r="Q986" s="19"/>
      <c r="R986" s="22" t="str">
        <f aca="false">IF(A986="","",N(G986)+N(I986))</f>
        <v/>
      </c>
      <c r="S986" s="23" t="str">
        <f aca="false">IF(OR(K986="",O986=""),"",O986-K986)</f>
        <v/>
      </c>
      <c r="T986" s="23" t="str">
        <f aca="true">IF(AND(C986="Cetak",L986&lt;&gt;"",L986&lt;TODAY()),"YA","")</f>
        <v/>
      </c>
      <c r="U986" s="23" t="str">
        <f aca="false">IF(B986="","",TEXT(B986,"yyyy-mm"))</f>
        <v/>
      </c>
      <c r="V986" s="23" t="str">
        <f aca="false">IF(K986="","",TEXT(K986,"yyyy-mm"))</f>
        <v/>
      </c>
      <c r="W986" s="23" t="n">
        <f aca="false">IF(OR(C986="Cetak",C986="Dikirim",C986="Selesai"),1,0)</f>
        <v>0</v>
      </c>
      <c r="X986" s="23" t="str">
        <f aca="false">IF(F986="","",SUBSTITUTE(SUBSTITUTE(MID(UPPER(TRIM(F986)),4,99),"-LED",""),"-TK",""))</f>
        <v/>
      </c>
      <c r="Y986" s="23" t="str">
        <f aca="false">IF(X986="","",(LEN(X986)+1)/7)</f>
        <v/>
      </c>
      <c r="Z986" s="23" t="str">
        <f aca="false">IF(X986="","",LEFT(X986,6))</f>
        <v/>
      </c>
      <c r="AA986" s="23" t="str">
        <f aca="false">IF(X986="","",IF(Y986&gt;=3,MID(X986,8,6),""))</f>
        <v/>
      </c>
      <c r="AB986" s="23" t="str">
        <f aca="false">IF(X986="","",IF(Y986&gt;=4,MID(X986,15,6),""))</f>
        <v/>
      </c>
      <c r="AC986" s="23" t="str">
        <f aca="false">IF(X986="","",IF(Y986&gt;=5,MID(X986,22,6),""))</f>
        <v/>
      </c>
      <c r="AD986" s="23" t="str">
        <f aca="false">IF(X986="","",RIGHT(X986,6))</f>
        <v/>
      </c>
      <c r="AE986" s="23" t="str">
        <f aca="false">IF(F986="","",IF(ISNUMBER(SEARCH("-TK",UPPER(F986))),0,1))</f>
        <v/>
      </c>
      <c r="AF986" s="23" t="str">
        <f aca="false">IF(F986="","",IF(ISNUMBER(SEARCH("-LED",UPPER(F986))),1,0))</f>
        <v/>
      </c>
      <c r="AG986" s="24" t="n">
        <f aca="false">IF(Z986="",0,IFERROR(INDEX(Resep!$C$5:$C$7,MATCH(LEFT(Z986,3),Resep!$B$5:$B$7,0)),0))</f>
        <v>0</v>
      </c>
      <c r="AH986" s="24" t="n">
        <f aca="false">IF(AA986="",0,IFERROR(INDEX(Resep!$C$9:$C$13,MATCH(LEFT(AA986,3),Resep!$B$9:$B$13,0)),0))</f>
        <v>0</v>
      </c>
      <c r="AI986" s="24" t="n">
        <f aca="false">IF(AB986="",0,IFERROR(INDEX(Resep!$C$9:$C$13,MATCH(LEFT(AB986,3),Resep!$B$9:$B$13,0)),0))</f>
        <v>0</v>
      </c>
      <c r="AJ986" s="24" t="n">
        <f aca="false">IF(AC986="",0,IFERROR(INDEX(Resep!$C$9:$C$13,MATCH(LEFT(AC986,3),Resep!$B$9:$B$13,0)),0))</f>
        <v>0</v>
      </c>
      <c r="AK986" s="24" t="n">
        <f aca="false">IF(AD986="",0,IFERROR(INDEX(Resep!$C$15:$C$18,MATCH(LEFT(AD986,3),Resep!$B$15:$B$18,0)),0))</f>
        <v>0</v>
      </c>
      <c r="AL986" s="24" t="str">
        <f aca="false">IF(X986="","",AG986+AH986+AI986+AJ986+AK986)</f>
        <v/>
      </c>
      <c r="AM986" s="22" t="str">
        <f aca="false">IF(X986="","",AL986*(Pengaturan!$B$6+Pengaturan!$B$7)+Pengaturan!$B$8+AE986*Pengaturan!$B$9+AF986*Pengaturan!$B$10)</f>
        <v/>
      </c>
      <c r="AN986" s="22" t="str">
        <f aca="false">IF(X986="","",N(G986)-AM986)</f>
        <v/>
      </c>
      <c r="AO986" s="25" t="str">
        <f aca="false">IF(OR(X986="",N(G986)=0),"",AN986/G986)</f>
        <v/>
      </c>
    </row>
    <row r="987" customFormat="false" ht="15" hidden="false" customHeight="false" outlineLevel="0" collapsed="false">
      <c r="A987" s="19"/>
      <c r="B987" s="20"/>
      <c r="C987" s="19"/>
      <c r="D987" s="19"/>
      <c r="E987" s="19"/>
      <c r="F987" s="19"/>
      <c r="G987" s="21"/>
      <c r="H987" s="19"/>
      <c r="I987" s="21"/>
      <c r="J987" s="19"/>
      <c r="K987" s="20"/>
      <c r="L987" s="20"/>
      <c r="M987" s="19"/>
      <c r="N987" s="19"/>
      <c r="O987" s="20"/>
      <c r="P987" s="20"/>
      <c r="Q987" s="19"/>
      <c r="R987" s="22" t="str">
        <f aca="false">IF(A987="","",N(G987)+N(I987))</f>
        <v/>
      </c>
      <c r="S987" s="23" t="str">
        <f aca="false">IF(OR(K987="",O987=""),"",O987-K987)</f>
        <v/>
      </c>
      <c r="T987" s="23" t="str">
        <f aca="true">IF(AND(C987="Cetak",L987&lt;&gt;"",L987&lt;TODAY()),"YA","")</f>
        <v/>
      </c>
      <c r="U987" s="23" t="str">
        <f aca="false">IF(B987="","",TEXT(B987,"yyyy-mm"))</f>
        <v/>
      </c>
      <c r="V987" s="23" t="str">
        <f aca="false">IF(K987="","",TEXT(K987,"yyyy-mm"))</f>
        <v/>
      </c>
      <c r="W987" s="23" t="n">
        <f aca="false">IF(OR(C987="Cetak",C987="Dikirim",C987="Selesai"),1,0)</f>
        <v>0</v>
      </c>
      <c r="X987" s="23" t="str">
        <f aca="false">IF(F987="","",SUBSTITUTE(SUBSTITUTE(MID(UPPER(TRIM(F987)),4,99),"-LED",""),"-TK",""))</f>
        <v/>
      </c>
      <c r="Y987" s="23" t="str">
        <f aca="false">IF(X987="","",(LEN(X987)+1)/7)</f>
        <v/>
      </c>
      <c r="Z987" s="23" t="str">
        <f aca="false">IF(X987="","",LEFT(X987,6))</f>
        <v/>
      </c>
      <c r="AA987" s="23" t="str">
        <f aca="false">IF(X987="","",IF(Y987&gt;=3,MID(X987,8,6),""))</f>
        <v/>
      </c>
      <c r="AB987" s="23" t="str">
        <f aca="false">IF(X987="","",IF(Y987&gt;=4,MID(X987,15,6),""))</f>
        <v/>
      </c>
      <c r="AC987" s="23" t="str">
        <f aca="false">IF(X987="","",IF(Y987&gt;=5,MID(X987,22,6),""))</f>
        <v/>
      </c>
      <c r="AD987" s="23" t="str">
        <f aca="false">IF(X987="","",RIGHT(X987,6))</f>
        <v/>
      </c>
      <c r="AE987" s="23" t="str">
        <f aca="false">IF(F987="","",IF(ISNUMBER(SEARCH("-TK",UPPER(F987))),0,1))</f>
        <v/>
      </c>
      <c r="AF987" s="23" t="str">
        <f aca="false">IF(F987="","",IF(ISNUMBER(SEARCH("-LED",UPPER(F987))),1,0))</f>
        <v/>
      </c>
      <c r="AG987" s="24" t="n">
        <f aca="false">IF(Z987="",0,IFERROR(INDEX(Resep!$C$5:$C$7,MATCH(LEFT(Z987,3),Resep!$B$5:$B$7,0)),0))</f>
        <v>0</v>
      </c>
      <c r="AH987" s="24" t="n">
        <f aca="false">IF(AA987="",0,IFERROR(INDEX(Resep!$C$9:$C$13,MATCH(LEFT(AA987,3),Resep!$B$9:$B$13,0)),0))</f>
        <v>0</v>
      </c>
      <c r="AI987" s="24" t="n">
        <f aca="false">IF(AB987="",0,IFERROR(INDEX(Resep!$C$9:$C$13,MATCH(LEFT(AB987,3),Resep!$B$9:$B$13,0)),0))</f>
        <v>0</v>
      </c>
      <c r="AJ987" s="24" t="n">
        <f aca="false">IF(AC987="",0,IFERROR(INDEX(Resep!$C$9:$C$13,MATCH(LEFT(AC987,3),Resep!$B$9:$B$13,0)),0))</f>
        <v>0</v>
      </c>
      <c r="AK987" s="24" t="n">
        <f aca="false">IF(AD987="",0,IFERROR(INDEX(Resep!$C$15:$C$18,MATCH(LEFT(AD987,3),Resep!$B$15:$B$18,0)),0))</f>
        <v>0</v>
      </c>
      <c r="AL987" s="24" t="str">
        <f aca="false">IF(X987="","",AG987+AH987+AI987+AJ987+AK987)</f>
        <v/>
      </c>
      <c r="AM987" s="22" t="str">
        <f aca="false">IF(X987="","",AL987*(Pengaturan!$B$6+Pengaturan!$B$7)+Pengaturan!$B$8+AE987*Pengaturan!$B$9+AF987*Pengaturan!$B$10)</f>
        <v/>
      </c>
      <c r="AN987" s="22" t="str">
        <f aca="false">IF(X987="","",N(G987)-AM987)</f>
        <v/>
      </c>
      <c r="AO987" s="25" t="str">
        <f aca="false">IF(OR(X987="",N(G987)=0),"",AN987/G987)</f>
        <v/>
      </c>
    </row>
    <row r="988" customFormat="false" ht="15" hidden="false" customHeight="false" outlineLevel="0" collapsed="false">
      <c r="A988" s="19"/>
      <c r="B988" s="20"/>
      <c r="C988" s="19"/>
      <c r="D988" s="19"/>
      <c r="E988" s="19"/>
      <c r="F988" s="19"/>
      <c r="G988" s="21"/>
      <c r="H988" s="19"/>
      <c r="I988" s="21"/>
      <c r="J988" s="19"/>
      <c r="K988" s="20"/>
      <c r="L988" s="20"/>
      <c r="M988" s="19"/>
      <c r="N988" s="19"/>
      <c r="O988" s="20"/>
      <c r="P988" s="20"/>
      <c r="Q988" s="19"/>
      <c r="R988" s="22" t="str">
        <f aca="false">IF(A988="","",N(G988)+N(I988))</f>
        <v/>
      </c>
      <c r="S988" s="23" t="str">
        <f aca="false">IF(OR(K988="",O988=""),"",O988-K988)</f>
        <v/>
      </c>
      <c r="T988" s="23" t="str">
        <f aca="true">IF(AND(C988="Cetak",L988&lt;&gt;"",L988&lt;TODAY()),"YA","")</f>
        <v/>
      </c>
      <c r="U988" s="23" t="str">
        <f aca="false">IF(B988="","",TEXT(B988,"yyyy-mm"))</f>
        <v/>
      </c>
      <c r="V988" s="23" t="str">
        <f aca="false">IF(K988="","",TEXT(K988,"yyyy-mm"))</f>
        <v/>
      </c>
      <c r="W988" s="23" t="n">
        <f aca="false">IF(OR(C988="Cetak",C988="Dikirim",C988="Selesai"),1,0)</f>
        <v>0</v>
      </c>
      <c r="X988" s="23" t="str">
        <f aca="false">IF(F988="","",SUBSTITUTE(SUBSTITUTE(MID(UPPER(TRIM(F988)),4,99),"-LED",""),"-TK",""))</f>
        <v/>
      </c>
      <c r="Y988" s="23" t="str">
        <f aca="false">IF(X988="","",(LEN(X988)+1)/7)</f>
        <v/>
      </c>
      <c r="Z988" s="23" t="str">
        <f aca="false">IF(X988="","",LEFT(X988,6))</f>
        <v/>
      </c>
      <c r="AA988" s="23" t="str">
        <f aca="false">IF(X988="","",IF(Y988&gt;=3,MID(X988,8,6),""))</f>
        <v/>
      </c>
      <c r="AB988" s="23" t="str">
        <f aca="false">IF(X988="","",IF(Y988&gt;=4,MID(X988,15,6),""))</f>
        <v/>
      </c>
      <c r="AC988" s="23" t="str">
        <f aca="false">IF(X988="","",IF(Y988&gt;=5,MID(X988,22,6),""))</f>
        <v/>
      </c>
      <c r="AD988" s="23" t="str">
        <f aca="false">IF(X988="","",RIGHT(X988,6))</f>
        <v/>
      </c>
      <c r="AE988" s="23" t="str">
        <f aca="false">IF(F988="","",IF(ISNUMBER(SEARCH("-TK",UPPER(F988))),0,1))</f>
        <v/>
      </c>
      <c r="AF988" s="23" t="str">
        <f aca="false">IF(F988="","",IF(ISNUMBER(SEARCH("-LED",UPPER(F988))),1,0))</f>
        <v/>
      </c>
      <c r="AG988" s="24" t="n">
        <f aca="false">IF(Z988="",0,IFERROR(INDEX(Resep!$C$5:$C$7,MATCH(LEFT(Z988,3),Resep!$B$5:$B$7,0)),0))</f>
        <v>0</v>
      </c>
      <c r="AH988" s="24" t="n">
        <f aca="false">IF(AA988="",0,IFERROR(INDEX(Resep!$C$9:$C$13,MATCH(LEFT(AA988,3),Resep!$B$9:$B$13,0)),0))</f>
        <v>0</v>
      </c>
      <c r="AI988" s="24" t="n">
        <f aca="false">IF(AB988="",0,IFERROR(INDEX(Resep!$C$9:$C$13,MATCH(LEFT(AB988,3),Resep!$B$9:$B$13,0)),0))</f>
        <v>0</v>
      </c>
      <c r="AJ988" s="24" t="n">
        <f aca="false">IF(AC988="",0,IFERROR(INDEX(Resep!$C$9:$C$13,MATCH(LEFT(AC988,3),Resep!$B$9:$B$13,0)),0))</f>
        <v>0</v>
      </c>
      <c r="AK988" s="24" t="n">
        <f aca="false">IF(AD988="",0,IFERROR(INDEX(Resep!$C$15:$C$18,MATCH(LEFT(AD988,3),Resep!$B$15:$B$18,0)),0))</f>
        <v>0</v>
      </c>
      <c r="AL988" s="24" t="str">
        <f aca="false">IF(X988="","",AG988+AH988+AI988+AJ988+AK988)</f>
        <v/>
      </c>
      <c r="AM988" s="22" t="str">
        <f aca="false">IF(X988="","",AL988*(Pengaturan!$B$6+Pengaturan!$B$7)+Pengaturan!$B$8+AE988*Pengaturan!$B$9+AF988*Pengaturan!$B$10)</f>
        <v/>
      </c>
      <c r="AN988" s="22" t="str">
        <f aca="false">IF(X988="","",N(G988)-AM988)</f>
        <v/>
      </c>
      <c r="AO988" s="25" t="str">
        <f aca="false">IF(OR(X988="",N(G988)=0),"",AN988/G988)</f>
        <v/>
      </c>
    </row>
    <row r="989" customFormat="false" ht="15" hidden="false" customHeight="false" outlineLevel="0" collapsed="false">
      <c r="A989" s="19"/>
      <c r="B989" s="20"/>
      <c r="C989" s="19"/>
      <c r="D989" s="19"/>
      <c r="E989" s="19"/>
      <c r="F989" s="19"/>
      <c r="G989" s="21"/>
      <c r="H989" s="19"/>
      <c r="I989" s="21"/>
      <c r="J989" s="19"/>
      <c r="K989" s="20"/>
      <c r="L989" s="20"/>
      <c r="M989" s="19"/>
      <c r="N989" s="19"/>
      <c r="O989" s="20"/>
      <c r="P989" s="20"/>
      <c r="Q989" s="19"/>
      <c r="R989" s="22" t="str">
        <f aca="false">IF(A989="","",N(G989)+N(I989))</f>
        <v/>
      </c>
      <c r="S989" s="23" t="str">
        <f aca="false">IF(OR(K989="",O989=""),"",O989-K989)</f>
        <v/>
      </c>
      <c r="T989" s="23" t="str">
        <f aca="true">IF(AND(C989="Cetak",L989&lt;&gt;"",L989&lt;TODAY()),"YA","")</f>
        <v/>
      </c>
      <c r="U989" s="23" t="str">
        <f aca="false">IF(B989="","",TEXT(B989,"yyyy-mm"))</f>
        <v/>
      </c>
      <c r="V989" s="23" t="str">
        <f aca="false">IF(K989="","",TEXT(K989,"yyyy-mm"))</f>
        <v/>
      </c>
      <c r="W989" s="23" t="n">
        <f aca="false">IF(OR(C989="Cetak",C989="Dikirim",C989="Selesai"),1,0)</f>
        <v>0</v>
      </c>
      <c r="X989" s="23" t="str">
        <f aca="false">IF(F989="","",SUBSTITUTE(SUBSTITUTE(MID(UPPER(TRIM(F989)),4,99),"-LED",""),"-TK",""))</f>
        <v/>
      </c>
      <c r="Y989" s="23" t="str">
        <f aca="false">IF(X989="","",(LEN(X989)+1)/7)</f>
        <v/>
      </c>
      <c r="Z989" s="23" t="str">
        <f aca="false">IF(X989="","",LEFT(X989,6))</f>
        <v/>
      </c>
      <c r="AA989" s="23" t="str">
        <f aca="false">IF(X989="","",IF(Y989&gt;=3,MID(X989,8,6),""))</f>
        <v/>
      </c>
      <c r="AB989" s="23" t="str">
        <f aca="false">IF(X989="","",IF(Y989&gt;=4,MID(X989,15,6),""))</f>
        <v/>
      </c>
      <c r="AC989" s="23" t="str">
        <f aca="false">IF(X989="","",IF(Y989&gt;=5,MID(X989,22,6),""))</f>
        <v/>
      </c>
      <c r="AD989" s="23" t="str">
        <f aca="false">IF(X989="","",RIGHT(X989,6))</f>
        <v/>
      </c>
      <c r="AE989" s="23" t="str">
        <f aca="false">IF(F989="","",IF(ISNUMBER(SEARCH("-TK",UPPER(F989))),0,1))</f>
        <v/>
      </c>
      <c r="AF989" s="23" t="str">
        <f aca="false">IF(F989="","",IF(ISNUMBER(SEARCH("-LED",UPPER(F989))),1,0))</f>
        <v/>
      </c>
      <c r="AG989" s="24" t="n">
        <f aca="false">IF(Z989="",0,IFERROR(INDEX(Resep!$C$5:$C$7,MATCH(LEFT(Z989,3),Resep!$B$5:$B$7,0)),0))</f>
        <v>0</v>
      </c>
      <c r="AH989" s="24" t="n">
        <f aca="false">IF(AA989="",0,IFERROR(INDEX(Resep!$C$9:$C$13,MATCH(LEFT(AA989,3),Resep!$B$9:$B$13,0)),0))</f>
        <v>0</v>
      </c>
      <c r="AI989" s="24" t="n">
        <f aca="false">IF(AB989="",0,IFERROR(INDEX(Resep!$C$9:$C$13,MATCH(LEFT(AB989,3),Resep!$B$9:$B$13,0)),0))</f>
        <v>0</v>
      </c>
      <c r="AJ989" s="24" t="n">
        <f aca="false">IF(AC989="",0,IFERROR(INDEX(Resep!$C$9:$C$13,MATCH(LEFT(AC989,3),Resep!$B$9:$B$13,0)),0))</f>
        <v>0</v>
      </c>
      <c r="AK989" s="24" t="n">
        <f aca="false">IF(AD989="",0,IFERROR(INDEX(Resep!$C$15:$C$18,MATCH(LEFT(AD989,3),Resep!$B$15:$B$18,0)),0))</f>
        <v>0</v>
      </c>
      <c r="AL989" s="24" t="str">
        <f aca="false">IF(X989="","",AG989+AH989+AI989+AJ989+AK989)</f>
        <v/>
      </c>
      <c r="AM989" s="22" t="str">
        <f aca="false">IF(X989="","",AL989*(Pengaturan!$B$6+Pengaturan!$B$7)+Pengaturan!$B$8+AE989*Pengaturan!$B$9+AF989*Pengaturan!$B$10)</f>
        <v/>
      </c>
      <c r="AN989" s="22" t="str">
        <f aca="false">IF(X989="","",N(G989)-AM989)</f>
        <v/>
      </c>
      <c r="AO989" s="25" t="str">
        <f aca="false">IF(OR(X989="",N(G989)=0),"",AN989/G989)</f>
        <v/>
      </c>
    </row>
    <row r="990" customFormat="false" ht="15" hidden="false" customHeight="false" outlineLevel="0" collapsed="false">
      <c r="A990" s="19"/>
      <c r="B990" s="20"/>
      <c r="C990" s="19"/>
      <c r="D990" s="19"/>
      <c r="E990" s="19"/>
      <c r="F990" s="19"/>
      <c r="G990" s="21"/>
      <c r="H990" s="19"/>
      <c r="I990" s="21"/>
      <c r="J990" s="19"/>
      <c r="K990" s="20"/>
      <c r="L990" s="20"/>
      <c r="M990" s="19"/>
      <c r="N990" s="19"/>
      <c r="O990" s="20"/>
      <c r="P990" s="20"/>
      <c r="Q990" s="19"/>
      <c r="R990" s="22" t="str">
        <f aca="false">IF(A990="","",N(G990)+N(I990))</f>
        <v/>
      </c>
      <c r="S990" s="23" t="str">
        <f aca="false">IF(OR(K990="",O990=""),"",O990-K990)</f>
        <v/>
      </c>
      <c r="T990" s="23" t="str">
        <f aca="true">IF(AND(C990="Cetak",L990&lt;&gt;"",L990&lt;TODAY()),"YA","")</f>
        <v/>
      </c>
      <c r="U990" s="23" t="str">
        <f aca="false">IF(B990="","",TEXT(B990,"yyyy-mm"))</f>
        <v/>
      </c>
      <c r="V990" s="23" t="str">
        <f aca="false">IF(K990="","",TEXT(K990,"yyyy-mm"))</f>
        <v/>
      </c>
      <c r="W990" s="23" t="n">
        <f aca="false">IF(OR(C990="Cetak",C990="Dikirim",C990="Selesai"),1,0)</f>
        <v>0</v>
      </c>
      <c r="X990" s="23" t="str">
        <f aca="false">IF(F990="","",SUBSTITUTE(SUBSTITUTE(MID(UPPER(TRIM(F990)),4,99),"-LED",""),"-TK",""))</f>
        <v/>
      </c>
      <c r="Y990" s="23" t="str">
        <f aca="false">IF(X990="","",(LEN(X990)+1)/7)</f>
        <v/>
      </c>
      <c r="Z990" s="23" t="str">
        <f aca="false">IF(X990="","",LEFT(X990,6))</f>
        <v/>
      </c>
      <c r="AA990" s="23" t="str">
        <f aca="false">IF(X990="","",IF(Y990&gt;=3,MID(X990,8,6),""))</f>
        <v/>
      </c>
      <c r="AB990" s="23" t="str">
        <f aca="false">IF(X990="","",IF(Y990&gt;=4,MID(X990,15,6),""))</f>
        <v/>
      </c>
      <c r="AC990" s="23" t="str">
        <f aca="false">IF(X990="","",IF(Y990&gt;=5,MID(X990,22,6),""))</f>
        <v/>
      </c>
      <c r="AD990" s="23" t="str">
        <f aca="false">IF(X990="","",RIGHT(X990,6))</f>
        <v/>
      </c>
      <c r="AE990" s="23" t="str">
        <f aca="false">IF(F990="","",IF(ISNUMBER(SEARCH("-TK",UPPER(F990))),0,1))</f>
        <v/>
      </c>
      <c r="AF990" s="23" t="str">
        <f aca="false">IF(F990="","",IF(ISNUMBER(SEARCH("-LED",UPPER(F990))),1,0))</f>
        <v/>
      </c>
      <c r="AG990" s="24" t="n">
        <f aca="false">IF(Z990="",0,IFERROR(INDEX(Resep!$C$5:$C$7,MATCH(LEFT(Z990,3),Resep!$B$5:$B$7,0)),0))</f>
        <v>0</v>
      </c>
      <c r="AH990" s="24" t="n">
        <f aca="false">IF(AA990="",0,IFERROR(INDEX(Resep!$C$9:$C$13,MATCH(LEFT(AA990,3),Resep!$B$9:$B$13,0)),0))</f>
        <v>0</v>
      </c>
      <c r="AI990" s="24" t="n">
        <f aca="false">IF(AB990="",0,IFERROR(INDEX(Resep!$C$9:$C$13,MATCH(LEFT(AB990,3),Resep!$B$9:$B$13,0)),0))</f>
        <v>0</v>
      </c>
      <c r="AJ990" s="24" t="n">
        <f aca="false">IF(AC990="",0,IFERROR(INDEX(Resep!$C$9:$C$13,MATCH(LEFT(AC990,3),Resep!$B$9:$B$13,0)),0))</f>
        <v>0</v>
      </c>
      <c r="AK990" s="24" t="n">
        <f aca="false">IF(AD990="",0,IFERROR(INDEX(Resep!$C$15:$C$18,MATCH(LEFT(AD990,3),Resep!$B$15:$B$18,0)),0))</f>
        <v>0</v>
      </c>
      <c r="AL990" s="24" t="str">
        <f aca="false">IF(X990="","",AG990+AH990+AI990+AJ990+AK990)</f>
        <v/>
      </c>
      <c r="AM990" s="22" t="str">
        <f aca="false">IF(X990="","",AL990*(Pengaturan!$B$6+Pengaturan!$B$7)+Pengaturan!$B$8+AE990*Pengaturan!$B$9+AF990*Pengaturan!$B$10)</f>
        <v/>
      </c>
      <c r="AN990" s="22" t="str">
        <f aca="false">IF(X990="","",N(G990)-AM990)</f>
        <v/>
      </c>
      <c r="AO990" s="25" t="str">
        <f aca="false">IF(OR(X990="",N(G990)=0),"",AN990/G990)</f>
        <v/>
      </c>
    </row>
    <row r="991" customFormat="false" ht="15" hidden="false" customHeight="false" outlineLevel="0" collapsed="false">
      <c r="A991" s="19"/>
      <c r="B991" s="20"/>
      <c r="C991" s="19"/>
      <c r="D991" s="19"/>
      <c r="E991" s="19"/>
      <c r="F991" s="19"/>
      <c r="G991" s="21"/>
      <c r="H991" s="19"/>
      <c r="I991" s="21"/>
      <c r="J991" s="19"/>
      <c r="K991" s="20"/>
      <c r="L991" s="20"/>
      <c r="M991" s="19"/>
      <c r="N991" s="19"/>
      <c r="O991" s="20"/>
      <c r="P991" s="20"/>
      <c r="Q991" s="19"/>
      <c r="R991" s="22" t="str">
        <f aca="false">IF(A991="","",N(G991)+N(I991))</f>
        <v/>
      </c>
      <c r="S991" s="23" t="str">
        <f aca="false">IF(OR(K991="",O991=""),"",O991-K991)</f>
        <v/>
      </c>
      <c r="T991" s="23" t="str">
        <f aca="true">IF(AND(C991="Cetak",L991&lt;&gt;"",L991&lt;TODAY()),"YA","")</f>
        <v/>
      </c>
      <c r="U991" s="23" t="str">
        <f aca="false">IF(B991="","",TEXT(B991,"yyyy-mm"))</f>
        <v/>
      </c>
      <c r="V991" s="23" t="str">
        <f aca="false">IF(K991="","",TEXT(K991,"yyyy-mm"))</f>
        <v/>
      </c>
      <c r="W991" s="23" t="n">
        <f aca="false">IF(OR(C991="Cetak",C991="Dikirim",C991="Selesai"),1,0)</f>
        <v>0</v>
      </c>
      <c r="X991" s="23" t="str">
        <f aca="false">IF(F991="","",SUBSTITUTE(SUBSTITUTE(MID(UPPER(TRIM(F991)),4,99),"-LED",""),"-TK",""))</f>
        <v/>
      </c>
      <c r="Y991" s="23" t="str">
        <f aca="false">IF(X991="","",(LEN(X991)+1)/7)</f>
        <v/>
      </c>
      <c r="Z991" s="23" t="str">
        <f aca="false">IF(X991="","",LEFT(X991,6))</f>
        <v/>
      </c>
      <c r="AA991" s="23" t="str">
        <f aca="false">IF(X991="","",IF(Y991&gt;=3,MID(X991,8,6),""))</f>
        <v/>
      </c>
      <c r="AB991" s="23" t="str">
        <f aca="false">IF(X991="","",IF(Y991&gt;=4,MID(X991,15,6),""))</f>
        <v/>
      </c>
      <c r="AC991" s="23" t="str">
        <f aca="false">IF(X991="","",IF(Y991&gt;=5,MID(X991,22,6),""))</f>
        <v/>
      </c>
      <c r="AD991" s="23" t="str">
        <f aca="false">IF(X991="","",RIGHT(X991,6))</f>
        <v/>
      </c>
      <c r="AE991" s="23" t="str">
        <f aca="false">IF(F991="","",IF(ISNUMBER(SEARCH("-TK",UPPER(F991))),0,1))</f>
        <v/>
      </c>
      <c r="AF991" s="23" t="str">
        <f aca="false">IF(F991="","",IF(ISNUMBER(SEARCH("-LED",UPPER(F991))),1,0))</f>
        <v/>
      </c>
      <c r="AG991" s="24" t="n">
        <f aca="false">IF(Z991="",0,IFERROR(INDEX(Resep!$C$5:$C$7,MATCH(LEFT(Z991,3),Resep!$B$5:$B$7,0)),0))</f>
        <v>0</v>
      </c>
      <c r="AH991" s="24" t="n">
        <f aca="false">IF(AA991="",0,IFERROR(INDEX(Resep!$C$9:$C$13,MATCH(LEFT(AA991,3),Resep!$B$9:$B$13,0)),0))</f>
        <v>0</v>
      </c>
      <c r="AI991" s="24" t="n">
        <f aca="false">IF(AB991="",0,IFERROR(INDEX(Resep!$C$9:$C$13,MATCH(LEFT(AB991,3),Resep!$B$9:$B$13,0)),0))</f>
        <v>0</v>
      </c>
      <c r="AJ991" s="24" t="n">
        <f aca="false">IF(AC991="",0,IFERROR(INDEX(Resep!$C$9:$C$13,MATCH(LEFT(AC991,3),Resep!$B$9:$B$13,0)),0))</f>
        <v>0</v>
      </c>
      <c r="AK991" s="24" t="n">
        <f aca="false">IF(AD991="",0,IFERROR(INDEX(Resep!$C$15:$C$18,MATCH(LEFT(AD991,3),Resep!$B$15:$B$18,0)),0))</f>
        <v>0</v>
      </c>
      <c r="AL991" s="24" t="str">
        <f aca="false">IF(X991="","",AG991+AH991+AI991+AJ991+AK991)</f>
        <v/>
      </c>
      <c r="AM991" s="22" t="str">
        <f aca="false">IF(X991="","",AL991*(Pengaturan!$B$6+Pengaturan!$B$7)+Pengaturan!$B$8+AE991*Pengaturan!$B$9+AF991*Pengaturan!$B$10)</f>
        <v/>
      </c>
      <c r="AN991" s="22" t="str">
        <f aca="false">IF(X991="","",N(G991)-AM991)</f>
        <v/>
      </c>
      <c r="AO991" s="25" t="str">
        <f aca="false">IF(OR(X991="",N(G991)=0),"",AN991/G991)</f>
        <v/>
      </c>
    </row>
    <row r="992" customFormat="false" ht="15" hidden="false" customHeight="false" outlineLevel="0" collapsed="false">
      <c r="A992" s="19"/>
      <c r="B992" s="20"/>
      <c r="C992" s="19"/>
      <c r="D992" s="19"/>
      <c r="E992" s="19"/>
      <c r="F992" s="19"/>
      <c r="G992" s="21"/>
      <c r="H992" s="19"/>
      <c r="I992" s="21"/>
      <c r="J992" s="19"/>
      <c r="K992" s="20"/>
      <c r="L992" s="20"/>
      <c r="M992" s="19"/>
      <c r="N992" s="19"/>
      <c r="O992" s="20"/>
      <c r="P992" s="20"/>
      <c r="Q992" s="19"/>
      <c r="R992" s="22" t="str">
        <f aca="false">IF(A992="","",N(G992)+N(I992))</f>
        <v/>
      </c>
      <c r="S992" s="23" t="str">
        <f aca="false">IF(OR(K992="",O992=""),"",O992-K992)</f>
        <v/>
      </c>
      <c r="T992" s="23" t="str">
        <f aca="true">IF(AND(C992="Cetak",L992&lt;&gt;"",L992&lt;TODAY()),"YA","")</f>
        <v/>
      </c>
      <c r="U992" s="23" t="str">
        <f aca="false">IF(B992="","",TEXT(B992,"yyyy-mm"))</f>
        <v/>
      </c>
      <c r="V992" s="23" t="str">
        <f aca="false">IF(K992="","",TEXT(K992,"yyyy-mm"))</f>
        <v/>
      </c>
      <c r="W992" s="23" t="n">
        <f aca="false">IF(OR(C992="Cetak",C992="Dikirim",C992="Selesai"),1,0)</f>
        <v>0</v>
      </c>
      <c r="X992" s="23" t="str">
        <f aca="false">IF(F992="","",SUBSTITUTE(SUBSTITUTE(MID(UPPER(TRIM(F992)),4,99),"-LED",""),"-TK",""))</f>
        <v/>
      </c>
      <c r="Y992" s="23" t="str">
        <f aca="false">IF(X992="","",(LEN(X992)+1)/7)</f>
        <v/>
      </c>
      <c r="Z992" s="23" t="str">
        <f aca="false">IF(X992="","",LEFT(X992,6))</f>
        <v/>
      </c>
      <c r="AA992" s="23" t="str">
        <f aca="false">IF(X992="","",IF(Y992&gt;=3,MID(X992,8,6),""))</f>
        <v/>
      </c>
      <c r="AB992" s="23" t="str">
        <f aca="false">IF(X992="","",IF(Y992&gt;=4,MID(X992,15,6),""))</f>
        <v/>
      </c>
      <c r="AC992" s="23" t="str">
        <f aca="false">IF(X992="","",IF(Y992&gt;=5,MID(X992,22,6),""))</f>
        <v/>
      </c>
      <c r="AD992" s="23" t="str">
        <f aca="false">IF(X992="","",RIGHT(X992,6))</f>
        <v/>
      </c>
      <c r="AE992" s="23" t="str">
        <f aca="false">IF(F992="","",IF(ISNUMBER(SEARCH("-TK",UPPER(F992))),0,1))</f>
        <v/>
      </c>
      <c r="AF992" s="23" t="str">
        <f aca="false">IF(F992="","",IF(ISNUMBER(SEARCH("-LED",UPPER(F992))),1,0))</f>
        <v/>
      </c>
      <c r="AG992" s="24" t="n">
        <f aca="false">IF(Z992="",0,IFERROR(INDEX(Resep!$C$5:$C$7,MATCH(LEFT(Z992,3),Resep!$B$5:$B$7,0)),0))</f>
        <v>0</v>
      </c>
      <c r="AH992" s="24" t="n">
        <f aca="false">IF(AA992="",0,IFERROR(INDEX(Resep!$C$9:$C$13,MATCH(LEFT(AA992,3),Resep!$B$9:$B$13,0)),0))</f>
        <v>0</v>
      </c>
      <c r="AI992" s="24" t="n">
        <f aca="false">IF(AB992="",0,IFERROR(INDEX(Resep!$C$9:$C$13,MATCH(LEFT(AB992,3),Resep!$B$9:$B$13,0)),0))</f>
        <v>0</v>
      </c>
      <c r="AJ992" s="24" t="n">
        <f aca="false">IF(AC992="",0,IFERROR(INDEX(Resep!$C$9:$C$13,MATCH(LEFT(AC992,3),Resep!$B$9:$B$13,0)),0))</f>
        <v>0</v>
      </c>
      <c r="AK992" s="24" t="n">
        <f aca="false">IF(AD992="",0,IFERROR(INDEX(Resep!$C$15:$C$18,MATCH(LEFT(AD992,3),Resep!$B$15:$B$18,0)),0))</f>
        <v>0</v>
      </c>
      <c r="AL992" s="24" t="str">
        <f aca="false">IF(X992="","",AG992+AH992+AI992+AJ992+AK992)</f>
        <v/>
      </c>
      <c r="AM992" s="22" t="str">
        <f aca="false">IF(X992="","",AL992*(Pengaturan!$B$6+Pengaturan!$B$7)+Pengaturan!$B$8+AE992*Pengaturan!$B$9+AF992*Pengaturan!$B$10)</f>
        <v/>
      </c>
      <c r="AN992" s="22" t="str">
        <f aca="false">IF(X992="","",N(G992)-AM992)</f>
        <v/>
      </c>
      <c r="AO992" s="25" t="str">
        <f aca="false">IF(OR(X992="",N(G992)=0),"",AN992/G992)</f>
        <v/>
      </c>
    </row>
    <row r="993" customFormat="false" ht="15" hidden="false" customHeight="false" outlineLevel="0" collapsed="false">
      <c r="A993" s="19"/>
      <c r="B993" s="20"/>
      <c r="C993" s="19"/>
      <c r="D993" s="19"/>
      <c r="E993" s="19"/>
      <c r="F993" s="19"/>
      <c r="G993" s="21"/>
      <c r="H993" s="19"/>
      <c r="I993" s="21"/>
      <c r="J993" s="19"/>
      <c r="K993" s="20"/>
      <c r="L993" s="20"/>
      <c r="M993" s="19"/>
      <c r="N993" s="19"/>
      <c r="O993" s="20"/>
      <c r="P993" s="20"/>
      <c r="Q993" s="19"/>
      <c r="R993" s="22" t="str">
        <f aca="false">IF(A993="","",N(G993)+N(I993))</f>
        <v/>
      </c>
      <c r="S993" s="23" t="str">
        <f aca="false">IF(OR(K993="",O993=""),"",O993-K993)</f>
        <v/>
      </c>
      <c r="T993" s="23" t="str">
        <f aca="true">IF(AND(C993="Cetak",L993&lt;&gt;"",L993&lt;TODAY()),"YA","")</f>
        <v/>
      </c>
      <c r="U993" s="23" t="str">
        <f aca="false">IF(B993="","",TEXT(B993,"yyyy-mm"))</f>
        <v/>
      </c>
      <c r="V993" s="23" t="str">
        <f aca="false">IF(K993="","",TEXT(K993,"yyyy-mm"))</f>
        <v/>
      </c>
      <c r="W993" s="23" t="n">
        <f aca="false">IF(OR(C993="Cetak",C993="Dikirim",C993="Selesai"),1,0)</f>
        <v>0</v>
      </c>
      <c r="X993" s="23" t="str">
        <f aca="false">IF(F993="","",SUBSTITUTE(SUBSTITUTE(MID(UPPER(TRIM(F993)),4,99),"-LED",""),"-TK",""))</f>
        <v/>
      </c>
      <c r="Y993" s="23" t="str">
        <f aca="false">IF(X993="","",(LEN(X993)+1)/7)</f>
        <v/>
      </c>
      <c r="Z993" s="23" t="str">
        <f aca="false">IF(X993="","",LEFT(X993,6))</f>
        <v/>
      </c>
      <c r="AA993" s="23" t="str">
        <f aca="false">IF(X993="","",IF(Y993&gt;=3,MID(X993,8,6),""))</f>
        <v/>
      </c>
      <c r="AB993" s="23" t="str">
        <f aca="false">IF(X993="","",IF(Y993&gt;=4,MID(X993,15,6),""))</f>
        <v/>
      </c>
      <c r="AC993" s="23" t="str">
        <f aca="false">IF(X993="","",IF(Y993&gt;=5,MID(X993,22,6),""))</f>
        <v/>
      </c>
      <c r="AD993" s="23" t="str">
        <f aca="false">IF(X993="","",RIGHT(X993,6))</f>
        <v/>
      </c>
      <c r="AE993" s="23" t="str">
        <f aca="false">IF(F993="","",IF(ISNUMBER(SEARCH("-TK",UPPER(F993))),0,1))</f>
        <v/>
      </c>
      <c r="AF993" s="23" t="str">
        <f aca="false">IF(F993="","",IF(ISNUMBER(SEARCH("-LED",UPPER(F993))),1,0))</f>
        <v/>
      </c>
      <c r="AG993" s="24" t="n">
        <f aca="false">IF(Z993="",0,IFERROR(INDEX(Resep!$C$5:$C$7,MATCH(LEFT(Z993,3),Resep!$B$5:$B$7,0)),0))</f>
        <v>0</v>
      </c>
      <c r="AH993" s="24" t="n">
        <f aca="false">IF(AA993="",0,IFERROR(INDEX(Resep!$C$9:$C$13,MATCH(LEFT(AA993,3),Resep!$B$9:$B$13,0)),0))</f>
        <v>0</v>
      </c>
      <c r="AI993" s="24" t="n">
        <f aca="false">IF(AB993="",0,IFERROR(INDEX(Resep!$C$9:$C$13,MATCH(LEFT(AB993,3),Resep!$B$9:$B$13,0)),0))</f>
        <v>0</v>
      </c>
      <c r="AJ993" s="24" t="n">
        <f aca="false">IF(AC993="",0,IFERROR(INDEX(Resep!$C$9:$C$13,MATCH(LEFT(AC993,3),Resep!$B$9:$B$13,0)),0))</f>
        <v>0</v>
      </c>
      <c r="AK993" s="24" t="n">
        <f aca="false">IF(AD993="",0,IFERROR(INDEX(Resep!$C$15:$C$18,MATCH(LEFT(AD993,3),Resep!$B$15:$B$18,0)),0))</f>
        <v>0</v>
      </c>
      <c r="AL993" s="24" t="str">
        <f aca="false">IF(X993="","",AG993+AH993+AI993+AJ993+AK993)</f>
        <v/>
      </c>
      <c r="AM993" s="22" t="str">
        <f aca="false">IF(X993="","",AL993*(Pengaturan!$B$6+Pengaturan!$B$7)+Pengaturan!$B$8+AE993*Pengaturan!$B$9+AF993*Pengaturan!$B$10)</f>
        <v/>
      </c>
      <c r="AN993" s="22" t="str">
        <f aca="false">IF(X993="","",N(G993)-AM993)</f>
        <v/>
      </c>
      <c r="AO993" s="25" t="str">
        <f aca="false">IF(OR(X993="",N(G993)=0),"",AN993/G993)</f>
        <v/>
      </c>
    </row>
    <row r="994" customFormat="false" ht="15" hidden="false" customHeight="false" outlineLevel="0" collapsed="false">
      <c r="A994" s="19"/>
      <c r="B994" s="20"/>
      <c r="C994" s="19"/>
      <c r="D994" s="19"/>
      <c r="E994" s="19"/>
      <c r="F994" s="19"/>
      <c r="G994" s="21"/>
      <c r="H994" s="19"/>
      <c r="I994" s="21"/>
      <c r="J994" s="19"/>
      <c r="K994" s="20"/>
      <c r="L994" s="20"/>
      <c r="M994" s="19"/>
      <c r="N994" s="19"/>
      <c r="O994" s="20"/>
      <c r="P994" s="20"/>
      <c r="Q994" s="19"/>
      <c r="R994" s="22" t="str">
        <f aca="false">IF(A994="","",N(G994)+N(I994))</f>
        <v/>
      </c>
      <c r="S994" s="23" t="str">
        <f aca="false">IF(OR(K994="",O994=""),"",O994-K994)</f>
        <v/>
      </c>
      <c r="T994" s="23" t="str">
        <f aca="true">IF(AND(C994="Cetak",L994&lt;&gt;"",L994&lt;TODAY()),"YA","")</f>
        <v/>
      </c>
      <c r="U994" s="23" t="str">
        <f aca="false">IF(B994="","",TEXT(B994,"yyyy-mm"))</f>
        <v/>
      </c>
      <c r="V994" s="23" t="str">
        <f aca="false">IF(K994="","",TEXT(K994,"yyyy-mm"))</f>
        <v/>
      </c>
      <c r="W994" s="23" t="n">
        <f aca="false">IF(OR(C994="Cetak",C994="Dikirim",C994="Selesai"),1,0)</f>
        <v>0</v>
      </c>
      <c r="X994" s="23" t="str">
        <f aca="false">IF(F994="","",SUBSTITUTE(SUBSTITUTE(MID(UPPER(TRIM(F994)),4,99),"-LED",""),"-TK",""))</f>
        <v/>
      </c>
      <c r="Y994" s="23" t="str">
        <f aca="false">IF(X994="","",(LEN(X994)+1)/7)</f>
        <v/>
      </c>
      <c r="Z994" s="23" t="str">
        <f aca="false">IF(X994="","",LEFT(X994,6))</f>
        <v/>
      </c>
      <c r="AA994" s="23" t="str">
        <f aca="false">IF(X994="","",IF(Y994&gt;=3,MID(X994,8,6),""))</f>
        <v/>
      </c>
      <c r="AB994" s="23" t="str">
        <f aca="false">IF(X994="","",IF(Y994&gt;=4,MID(X994,15,6),""))</f>
        <v/>
      </c>
      <c r="AC994" s="23" t="str">
        <f aca="false">IF(X994="","",IF(Y994&gt;=5,MID(X994,22,6),""))</f>
        <v/>
      </c>
      <c r="AD994" s="23" t="str">
        <f aca="false">IF(X994="","",RIGHT(X994,6))</f>
        <v/>
      </c>
      <c r="AE994" s="23" t="str">
        <f aca="false">IF(F994="","",IF(ISNUMBER(SEARCH("-TK",UPPER(F994))),0,1))</f>
        <v/>
      </c>
      <c r="AF994" s="23" t="str">
        <f aca="false">IF(F994="","",IF(ISNUMBER(SEARCH("-LED",UPPER(F994))),1,0))</f>
        <v/>
      </c>
      <c r="AG994" s="24" t="n">
        <f aca="false">IF(Z994="",0,IFERROR(INDEX(Resep!$C$5:$C$7,MATCH(LEFT(Z994,3),Resep!$B$5:$B$7,0)),0))</f>
        <v>0</v>
      </c>
      <c r="AH994" s="24" t="n">
        <f aca="false">IF(AA994="",0,IFERROR(INDEX(Resep!$C$9:$C$13,MATCH(LEFT(AA994,3),Resep!$B$9:$B$13,0)),0))</f>
        <v>0</v>
      </c>
      <c r="AI994" s="24" t="n">
        <f aca="false">IF(AB994="",0,IFERROR(INDEX(Resep!$C$9:$C$13,MATCH(LEFT(AB994,3),Resep!$B$9:$B$13,0)),0))</f>
        <v>0</v>
      </c>
      <c r="AJ994" s="24" t="n">
        <f aca="false">IF(AC994="",0,IFERROR(INDEX(Resep!$C$9:$C$13,MATCH(LEFT(AC994,3),Resep!$B$9:$B$13,0)),0))</f>
        <v>0</v>
      </c>
      <c r="AK994" s="24" t="n">
        <f aca="false">IF(AD994="",0,IFERROR(INDEX(Resep!$C$15:$C$18,MATCH(LEFT(AD994,3),Resep!$B$15:$B$18,0)),0))</f>
        <v>0</v>
      </c>
      <c r="AL994" s="24" t="str">
        <f aca="false">IF(X994="","",AG994+AH994+AI994+AJ994+AK994)</f>
        <v/>
      </c>
      <c r="AM994" s="22" t="str">
        <f aca="false">IF(X994="","",AL994*(Pengaturan!$B$6+Pengaturan!$B$7)+Pengaturan!$B$8+AE994*Pengaturan!$B$9+AF994*Pengaturan!$B$10)</f>
        <v/>
      </c>
      <c r="AN994" s="22" t="str">
        <f aca="false">IF(X994="","",N(G994)-AM994)</f>
        <v/>
      </c>
      <c r="AO994" s="25" t="str">
        <f aca="false">IF(OR(X994="",N(G994)=0),"",AN994/G994)</f>
        <v/>
      </c>
    </row>
    <row r="995" customFormat="false" ht="15" hidden="false" customHeight="false" outlineLevel="0" collapsed="false">
      <c r="A995" s="19"/>
      <c r="B995" s="20"/>
      <c r="C995" s="19"/>
      <c r="D995" s="19"/>
      <c r="E995" s="19"/>
      <c r="F995" s="19"/>
      <c r="G995" s="21"/>
      <c r="H995" s="19"/>
      <c r="I995" s="21"/>
      <c r="J995" s="19"/>
      <c r="K995" s="20"/>
      <c r="L995" s="20"/>
      <c r="M995" s="19"/>
      <c r="N995" s="19"/>
      <c r="O995" s="20"/>
      <c r="P995" s="20"/>
      <c r="Q995" s="19"/>
      <c r="R995" s="22" t="str">
        <f aca="false">IF(A995="","",N(G995)+N(I995))</f>
        <v/>
      </c>
      <c r="S995" s="23" t="str">
        <f aca="false">IF(OR(K995="",O995=""),"",O995-K995)</f>
        <v/>
      </c>
      <c r="T995" s="23" t="str">
        <f aca="true">IF(AND(C995="Cetak",L995&lt;&gt;"",L995&lt;TODAY()),"YA","")</f>
        <v/>
      </c>
      <c r="U995" s="23" t="str">
        <f aca="false">IF(B995="","",TEXT(B995,"yyyy-mm"))</f>
        <v/>
      </c>
      <c r="V995" s="23" t="str">
        <f aca="false">IF(K995="","",TEXT(K995,"yyyy-mm"))</f>
        <v/>
      </c>
      <c r="W995" s="23" t="n">
        <f aca="false">IF(OR(C995="Cetak",C995="Dikirim",C995="Selesai"),1,0)</f>
        <v>0</v>
      </c>
      <c r="X995" s="23" t="str">
        <f aca="false">IF(F995="","",SUBSTITUTE(SUBSTITUTE(MID(UPPER(TRIM(F995)),4,99),"-LED",""),"-TK",""))</f>
        <v/>
      </c>
      <c r="Y995" s="23" t="str">
        <f aca="false">IF(X995="","",(LEN(X995)+1)/7)</f>
        <v/>
      </c>
      <c r="Z995" s="23" t="str">
        <f aca="false">IF(X995="","",LEFT(X995,6))</f>
        <v/>
      </c>
      <c r="AA995" s="23" t="str">
        <f aca="false">IF(X995="","",IF(Y995&gt;=3,MID(X995,8,6),""))</f>
        <v/>
      </c>
      <c r="AB995" s="23" t="str">
        <f aca="false">IF(X995="","",IF(Y995&gt;=4,MID(X995,15,6),""))</f>
        <v/>
      </c>
      <c r="AC995" s="23" t="str">
        <f aca="false">IF(X995="","",IF(Y995&gt;=5,MID(X995,22,6),""))</f>
        <v/>
      </c>
      <c r="AD995" s="23" t="str">
        <f aca="false">IF(X995="","",RIGHT(X995,6))</f>
        <v/>
      </c>
      <c r="AE995" s="23" t="str">
        <f aca="false">IF(F995="","",IF(ISNUMBER(SEARCH("-TK",UPPER(F995))),0,1))</f>
        <v/>
      </c>
      <c r="AF995" s="23" t="str">
        <f aca="false">IF(F995="","",IF(ISNUMBER(SEARCH("-LED",UPPER(F995))),1,0))</f>
        <v/>
      </c>
      <c r="AG995" s="24" t="n">
        <f aca="false">IF(Z995="",0,IFERROR(INDEX(Resep!$C$5:$C$7,MATCH(LEFT(Z995,3),Resep!$B$5:$B$7,0)),0))</f>
        <v>0</v>
      </c>
      <c r="AH995" s="24" t="n">
        <f aca="false">IF(AA995="",0,IFERROR(INDEX(Resep!$C$9:$C$13,MATCH(LEFT(AA995,3),Resep!$B$9:$B$13,0)),0))</f>
        <v>0</v>
      </c>
      <c r="AI995" s="24" t="n">
        <f aca="false">IF(AB995="",0,IFERROR(INDEX(Resep!$C$9:$C$13,MATCH(LEFT(AB995,3),Resep!$B$9:$B$13,0)),0))</f>
        <v>0</v>
      </c>
      <c r="AJ995" s="24" t="n">
        <f aca="false">IF(AC995="",0,IFERROR(INDEX(Resep!$C$9:$C$13,MATCH(LEFT(AC995,3),Resep!$B$9:$B$13,0)),0))</f>
        <v>0</v>
      </c>
      <c r="AK995" s="24" t="n">
        <f aca="false">IF(AD995="",0,IFERROR(INDEX(Resep!$C$15:$C$18,MATCH(LEFT(AD995,3),Resep!$B$15:$B$18,0)),0))</f>
        <v>0</v>
      </c>
      <c r="AL995" s="24" t="str">
        <f aca="false">IF(X995="","",AG995+AH995+AI995+AJ995+AK995)</f>
        <v/>
      </c>
      <c r="AM995" s="22" t="str">
        <f aca="false">IF(X995="","",AL995*(Pengaturan!$B$6+Pengaturan!$B$7)+Pengaturan!$B$8+AE995*Pengaturan!$B$9+AF995*Pengaturan!$B$10)</f>
        <v/>
      </c>
      <c r="AN995" s="22" t="str">
        <f aca="false">IF(X995="","",N(G995)-AM995)</f>
        <v/>
      </c>
      <c r="AO995" s="25" t="str">
        <f aca="false">IF(OR(X995="",N(G995)=0),"",AN995/G995)</f>
        <v/>
      </c>
    </row>
    <row r="996" customFormat="false" ht="15" hidden="false" customHeight="false" outlineLevel="0" collapsed="false">
      <c r="A996" s="19"/>
      <c r="B996" s="20"/>
      <c r="C996" s="19"/>
      <c r="D996" s="19"/>
      <c r="E996" s="19"/>
      <c r="F996" s="19"/>
      <c r="G996" s="21"/>
      <c r="H996" s="19"/>
      <c r="I996" s="21"/>
      <c r="J996" s="19"/>
      <c r="K996" s="20"/>
      <c r="L996" s="20"/>
      <c r="M996" s="19"/>
      <c r="N996" s="19"/>
      <c r="O996" s="20"/>
      <c r="P996" s="20"/>
      <c r="Q996" s="19"/>
      <c r="R996" s="22" t="str">
        <f aca="false">IF(A996="","",N(G996)+N(I996))</f>
        <v/>
      </c>
      <c r="S996" s="23" t="str">
        <f aca="false">IF(OR(K996="",O996=""),"",O996-K996)</f>
        <v/>
      </c>
      <c r="T996" s="23" t="str">
        <f aca="true">IF(AND(C996="Cetak",L996&lt;&gt;"",L996&lt;TODAY()),"YA","")</f>
        <v/>
      </c>
      <c r="U996" s="23" t="str">
        <f aca="false">IF(B996="","",TEXT(B996,"yyyy-mm"))</f>
        <v/>
      </c>
      <c r="V996" s="23" t="str">
        <f aca="false">IF(K996="","",TEXT(K996,"yyyy-mm"))</f>
        <v/>
      </c>
      <c r="W996" s="23" t="n">
        <f aca="false">IF(OR(C996="Cetak",C996="Dikirim",C996="Selesai"),1,0)</f>
        <v>0</v>
      </c>
      <c r="X996" s="23" t="str">
        <f aca="false">IF(F996="","",SUBSTITUTE(SUBSTITUTE(MID(UPPER(TRIM(F996)),4,99),"-LED",""),"-TK",""))</f>
        <v/>
      </c>
      <c r="Y996" s="23" t="str">
        <f aca="false">IF(X996="","",(LEN(X996)+1)/7)</f>
        <v/>
      </c>
      <c r="Z996" s="23" t="str">
        <f aca="false">IF(X996="","",LEFT(X996,6))</f>
        <v/>
      </c>
      <c r="AA996" s="23" t="str">
        <f aca="false">IF(X996="","",IF(Y996&gt;=3,MID(X996,8,6),""))</f>
        <v/>
      </c>
      <c r="AB996" s="23" t="str">
        <f aca="false">IF(X996="","",IF(Y996&gt;=4,MID(X996,15,6),""))</f>
        <v/>
      </c>
      <c r="AC996" s="23" t="str">
        <f aca="false">IF(X996="","",IF(Y996&gt;=5,MID(X996,22,6),""))</f>
        <v/>
      </c>
      <c r="AD996" s="23" t="str">
        <f aca="false">IF(X996="","",RIGHT(X996,6))</f>
        <v/>
      </c>
      <c r="AE996" s="23" t="str">
        <f aca="false">IF(F996="","",IF(ISNUMBER(SEARCH("-TK",UPPER(F996))),0,1))</f>
        <v/>
      </c>
      <c r="AF996" s="23" t="str">
        <f aca="false">IF(F996="","",IF(ISNUMBER(SEARCH("-LED",UPPER(F996))),1,0))</f>
        <v/>
      </c>
      <c r="AG996" s="24" t="n">
        <f aca="false">IF(Z996="",0,IFERROR(INDEX(Resep!$C$5:$C$7,MATCH(LEFT(Z996,3),Resep!$B$5:$B$7,0)),0))</f>
        <v>0</v>
      </c>
      <c r="AH996" s="24" t="n">
        <f aca="false">IF(AA996="",0,IFERROR(INDEX(Resep!$C$9:$C$13,MATCH(LEFT(AA996,3),Resep!$B$9:$B$13,0)),0))</f>
        <v>0</v>
      </c>
      <c r="AI996" s="24" t="n">
        <f aca="false">IF(AB996="",0,IFERROR(INDEX(Resep!$C$9:$C$13,MATCH(LEFT(AB996,3),Resep!$B$9:$B$13,0)),0))</f>
        <v>0</v>
      </c>
      <c r="AJ996" s="24" t="n">
        <f aca="false">IF(AC996="",0,IFERROR(INDEX(Resep!$C$9:$C$13,MATCH(LEFT(AC996,3),Resep!$B$9:$B$13,0)),0))</f>
        <v>0</v>
      </c>
      <c r="AK996" s="24" t="n">
        <f aca="false">IF(AD996="",0,IFERROR(INDEX(Resep!$C$15:$C$18,MATCH(LEFT(AD996,3),Resep!$B$15:$B$18,0)),0))</f>
        <v>0</v>
      </c>
      <c r="AL996" s="24" t="str">
        <f aca="false">IF(X996="","",AG996+AH996+AI996+AJ996+AK996)</f>
        <v/>
      </c>
      <c r="AM996" s="22" t="str">
        <f aca="false">IF(X996="","",AL996*(Pengaturan!$B$6+Pengaturan!$B$7)+Pengaturan!$B$8+AE996*Pengaturan!$B$9+AF996*Pengaturan!$B$10)</f>
        <v/>
      </c>
      <c r="AN996" s="22" t="str">
        <f aca="false">IF(X996="","",N(G996)-AM996)</f>
        <v/>
      </c>
      <c r="AO996" s="25" t="str">
        <f aca="false">IF(OR(X996="",N(G996)=0),"",AN996/G996)</f>
        <v/>
      </c>
    </row>
    <row r="997" customFormat="false" ht="15" hidden="false" customHeight="false" outlineLevel="0" collapsed="false">
      <c r="A997" s="19"/>
      <c r="B997" s="20"/>
      <c r="C997" s="19"/>
      <c r="D997" s="19"/>
      <c r="E997" s="19"/>
      <c r="F997" s="19"/>
      <c r="G997" s="21"/>
      <c r="H997" s="19"/>
      <c r="I997" s="21"/>
      <c r="J997" s="19"/>
      <c r="K997" s="20"/>
      <c r="L997" s="20"/>
      <c r="M997" s="19"/>
      <c r="N997" s="19"/>
      <c r="O997" s="20"/>
      <c r="P997" s="20"/>
      <c r="Q997" s="19"/>
      <c r="R997" s="22" t="str">
        <f aca="false">IF(A997="","",N(G997)+N(I997))</f>
        <v/>
      </c>
      <c r="S997" s="23" t="str">
        <f aca="false">IF(OR(K997="",O997=""),"",O997-K997)</f>
        <v/>
      </c>
      <c r="T997" s="23" t="str">
        <f aca="true">IF(AND(C997="Cetak",L997&lt;&gt;"",L997&lt;TODAY()),"YA","")</f>
        <v/>
      </c>
      <c r="U997" s="23" t="str">
        <f aca="false">IF(B997="","",TEXT(B997,"yyyy-mm"))</f>
        <v/>
      </c>
      <c r="V997" s="23" t="str">
        <f aca="false">IF(K997="","",TEXT(K997,"yyyy-mm"))</f>
        <v/>
      </c>
      <c r="W997" s="23" t="n">
        <f aca="false">IF(OR(C997="Cetak",C997="Dikirim",C997="Selesai"),1,0)</f>
        <v>0</v>
      </c>
      <c r="X997" s="23" t="str">
        <f aca="false">IF(F997="","",SUBSTITUTE(SUBSTITUTE(MID(UPPER(TRIM(F997)),4,99),"-LED",""),"-TK",""))</f>
        <v/>
      </c>
      <c r="Y997" s="23" t="str">
        <f aca="false">IF(X997="","",(LEN(X997)+1)/7)</f>
        <v/>
      </c>
      <c r="Z997" s="23" t="str">
        <f aca="false">IF(X997="","",LEFT(X997,6))</f>
        <v/>
      </c>
      <c r="AA997" s="23" t="str">
        <f aca="false">IF(X997="","",IF(Y997&gt;=3,MID(X997,8,6),""))</f>
        <v/>
      </c>
      <c r="AB997" s="23" t="str">
        <f aca="false">IF(X997="","",IF(Y997&gt;=4,MID(X997,15,6),""))</f>
        <v/>
      </c>
      <c r="AC997" s="23" t="str">
        <f aca="false">IF(X997="","",IF(Y997&gt;=5,MID(X997,22,6),""))</f>
        <v/>
      </c>
      <c r="AD997" s="23" t="str">
        <f aca="false">IF(X997="","",RIGHT(X997,6))</f>
        <v/>
      </c>
      <c r="AE997" s="23" t="str">
        <f aca="false">IF(F997="","",IF(ISNUMBER(SEARCH("-TK",UPPER(F997))),0,1))</f>
        <v/>
      </c>
      <c r="AF997" s="23" t="str">
        <f aca="false">IF(F997="","",IF(ISNUMBER(SEARCH("-LED",UPPER(F997))),1,0))</f>
        <v/>
      </c>
      <c r="AG997" s="24" t="n">
        <f aca="false">IF(Z997="",0,IFERROR(INDEX(Resep!$C$5:$C$7,MATCH(LEFT(Z997,3),Resep!$B$5:$B$7,0)),0))</f>
        <v>0</v>
      </c>
      <c r="AH997" s="24" t="n">
        <f aca="false">IF(AA997="",0,IFERROR(INDEX(Resep!$C$9:$C$13,MATCH(LEFT(AA997,3),Resep!$B$9:$B$13,0)),0))</f>
        <v>0</v>
      </c>
      <c r="AI997" s="24" t="n">
        <f aca="false">IF(AB997="",0,IFERROR(INDEX(Resep!$C$9:$C$13,MATCH(LEFT(AB997,3),Resep!$B$9:$B$13,0)),0))</f>
        <v>0</v>
      </c>
      <c r="AJ997" s="24" t="n">
        <f aca="false">IF(AC997="",0,IFERROR(INDEX(Resep!$C$9:$C$13,MATCH(LEFT(AC997,3),Resep!$B$9:$B$13,0)),0))</f>
        <v>0</v>
      </c>
      <c r="AK997" s="24" t="n">
        <f aca="false">IF(AD997="",0,IFERROR(INDEX(Resep!$C$15:$C$18,MATCH(LEFT(AD997,3),Resep!$B$15:$B$18,0)),0))</f>
        <v>0</v>
      </c>
      <c r="AL997" s="24" t="str">
        <f aca="false">IF(X997="","",AG997+AH997+AI997+AJ997+AK997)</f>
        <v/>
      </c>
      <c r="AM997" s="22" t="str">
        <f aca="false">IF(X997="","",AL997*(Pengaturan!$B$6+Pengaturan!$B$7)+Pengaturan!$B$8+AE997*Pengaturan!$B$9+AF997*Pengaturan!$B$10)</f>
        <v/>
      </c>
      <c r="AN997" s="22" t="str">
        <f aca="false">IF(X997="","",N(G997)-AM997)</f>
        <v/>
      </c>
      <c r="AO997" s="25" t="str">
        <f aca="false">IF(OR(X997="",N(G997)=0),"",AN997/G997)</f>
        <v/>
      </c>
    </row>
    <row r="998" customFormat="false" ht="15" hidden="false" customHeight="false" outlineLevel="0" collapsed="false">
      <c r="A998" s="19"/>
      <c r="B998" s="20"/>
      <c r="C998" s="19"/>
      <c r="D998" s="19"/>
      <c r="E998" s="19"/>
      <c r="F998" s="19"/>
      <c r="G998" s="21"/>
      <c r="H998" s="19"/>
      <c r="I998" s="21"/>
      <c r="J998" s="19"/>
      <c r="K998" s="20"/>
      <c r="L998" s="20"/>
      <c r="M998" s="19"/>
      <c r="N998" s="19"/>
      <c r="O998" s="20"/>
      <c r="P998" s="20"/>
      <c r="Q998" s="19"/>
      <c r="R998" s="22" t="str">
        <f aca="false">IF(A998="","",N(G998)+N(I998))</f>
        <v/>
      </c>
      <c r="S998" s="23" t="str">
        <f aca="false">IF(OR(K998="",O998=""),"",O998-K998)</f>
        <v/>
      </c>
      <c r="T998" s="23" t="str">
        <f aca="true">IF(AND(C998="Cetak",L998&lt;&gt;"",L998&lt;TODAY()),"YA","")</f>
        <v/>
      </c>
      <c r="U998" s="23" t="str">
        <f aca="false">IF(B998="","",TEXT(B998,"yyyy-mm"))</f>
        <v/>
      </c>
      <c r="V998" s="23" t="str">
        <f aca="false">IF(K998="","",TEXT(K998,"yyyy-mm"))</f>
        <v/>
      </c>
      <c r="W998" s="23" t="n">
        <f aca="false">IF(OR(C998="Cetak",C998="Dikirim",C998="Selesai"),1,0)</f>
        <v>0</v>
      </c>
      <c r="X998" s="23" t="str">
        <f aca="false">IF(F998="","",SUBSTITUTE(SUBSTITUTE(MID(UPPER(TRIM(F998)),4,99),"-LED",""),"-TK",""))</f>
        <v/>
      </c>
      <c r="Y998" s="23" t="str">
        <f aca="false">IF(X998="","",(LEN(X998)+1)/7)</f>
        <v/>
      </c>
      <c r="Z998" s="23" t="str">
        <f aca="false">IF(X998="","",LEFT(X998,6))</f>
        <v/>
      </c>
      <c r="AA998" s="23" t="str">
        <f aca="false">IF(X998="","",IF(Y998&gt;=3,MID(X998,8,6),""))</f>
        <v/>
      </c>
      <c r="AB998" s="23" t="str">
        <f aca="false">IF(X998="","",IF(Y998&gt;=4,MID(X998,15,6),""))</f>
        <v/>
      </c>
      <c r="AC998" s="23" t="str">
        <f aca="false">IF(X998="","",IF(Y998&gt;=5,MID(X998,22,6),""))</f>
        <v/>
      </c>
      <c r="AD998" s="23" t="str">
        <f aca="false">IF(X998="","",RIGHT(X998,6))</f>
        <v/>
      </c>
      <c r="AE998" s="23" t="str">
        <f aca="false">IF(F998="","",IF(ISNUMBER(SEARCH("-TK",UPPER(F998))),0,1))</f>
        <v/>
      </c>
      <c r="AF998" s="23" t="str">
        <f aca="false">IF(F998="","",IF(ISNUMBER(SEARCH("-LED",UPPER(F998))),1,0))</f>
        <v/>
      </c>
      <c r="AG998" s="24" t="n">
        <f aca="false">IF(Z998="",0,IFERROR(INDEX(Resep!$C$5:$C$7,MATCH(LEFT(Z998,3),Resep!$B$5:$B$7,0)),0))</f>
        <v>0</v>
      </c>
      <c r="AH998" s="24" t="n">
        <f aca="false">IF(AA998="",0,IFERROR(INDEX(Resep!$C$9:$C$13,MATCH(LEFT(AA998,3),Resep!$B$9:$B$13,0)),0))</f>
        <v>0</v>
      </c>
      <c r="AI998" s="24" t="n">
        <f aca="false">IF(AB998="",0,IFERROR(INDEX(Resep!$C$9:$C$13,MATCH(LEFT(AB998,3),Resep!$B$9:$B$13,0)),0))</f>
        <v>0</v>
      </c>
      <c r="AJ998" s="24" t="n">
        <f aca="false">IF(AC998="",0,IFERROR(INDEX(Resep!$C$9:$C$13,MATCH(LEFT(AC998,3),Resep!$B$9:$B$13,0)),0))</f>
        <v>0</v>
      </c>
      <c r="AK998" s="24" t="n">
        <f aca="false">IF(AD998="",0,IFERROR(INDEX(Resep!$C$15:$C$18,MATCH(LEFT(AD998,3),Resep!$B$15:$B$18,0)),0))</f>
        <v>0</v>
      </c>
      <c r="AL998" s="24" t="str">
        <f aca="false">IF(X998="","",AG998+AH998+AI998+AJ998+AK998)</f>
        <v/>
      </c>
      <c r="AM998" s="22" t="str">
        <f aca="false">IF(X998="","",AL998*(Pengaturan!$B$6+Pengaturan!$B$7)+Pengaturan!$B$8+AE998*Pengaturan!$B$9+AF998*Pengaturan!$B$10)</f>
        <v/>
      </c>
      <c r="AN998" s="22" t="str">
        <f aca="false">IF(X998="","",N(G998)-AM998)</f>
        <v/>
      </c>
      <c r="AO998" s="25" t="str">
        <f aca="false">IF(OR(X998="",N(G998)=0),"",AN998/G998)</f>
        <v/>
      </c>
    </row>
    <row r="999" customFormat="false" ht="15" hidden="false" customHeight="false" outlineLevel="0" collapsed="false">
      <c r="A999" s="19"/>
      <c r="B999" s="20"/>
      <c r="C999" s="19"/>
      <c r="D999" s="19"/>
      <c r="E999" s="19"/>
      <c r="F999" s="19"/>
      <c r="G999" s="21"/>
      <c r="H999" s="19"/>
      <c r="I999" s="21"/>
      <c r="J999" s="19"/>
      <c r="K999" s="20"/>
      <c r="L999" s="20"/>
      <c r="M999" s="19"/>
      <c r="N999" s="19"/>
      <c r="O999" s="20"/>
      <c r="P999" s="20"/>
      <c r="Q999" s="19"/>
      <c r="R999" s="22" t="str">
        <f aca="false">IF(A999="","",N(G999)+N(I999))</f>
        <v/>
      </c>
      <c r="S999" s="23" t="str">
        <f aca="false">IF(OR(K999="",O999=""),"",O999-K999)</f>
        <v/>
      </c>
      <c r="T999" s="23" t="str">
        <f aca="true">IF(AND(C999="Cetak",L999&lt;&gt;"",L999&lt;TODAY()),"YA","")</f>
        <v/>
      </c>
      <c r="U999" s="23" t="str">
        <f aca="false">IF(B999="","",TEXT(B999,"yyyy-mm"))</f>
        <v/>
      </c>
      <c r="V999" s="23" t="str">
        <f aca="false">IF(K999="","",TEXT(K999,"yyyy-mm"))</f>
        <v/>
      </c>
      <c r="W999" s="23" t="n">
        <f aca="false">IF(OR(C999="Cetak",C999="Dikirim",C999="Selesai"),1,0)</f>
        <v>0</v>
      </c>
      <c r="X999" s="23" t="str">
        <f aca="false">IF(F999="","",SUBSTITUTE(SUBSTITUTE(MID(UPPER(TRIM(F999)),4,99),"-LED",""),"-TK",""))</f>
        <v/>
      </c>
      <c r="Y999" s="23" t="str">
        <f aca="false">IF(X999="","",(LEN(X999)+1)/7)</f>
        <v/>
      </c>
      <c r="Z999" s="23" t="str">
        <f aca="false">IF(X999="","",LEFT(X999,6))</f>
        <v/>
      </c>
      <c r="AA999" s="23" t="str">
        <f aca="false">IF(X999="","",IF(Y999&gt;=3,MID(X999,8,6),""))</f>
        <v/>
      </c>
      <c r="AB999" s="23" t="str">
        <f aca="false">IF(X999="","",IF(Y999&gt;=4,MID(X999,15,6),""))</f>
        <v/>
      </c>
      <c r="AC999" s="23" t="str">
        <f aca="false">IF(X999="","",IF(Y999&gt;=5,MID(X999,22,6),""))</f>
        <v/>
      </c>
      <c r="AD999" s="23" t="str">
        <f aca="false">IF(X999="","",RIGHT(X999,6))</f>
        <v/>
      </c>
      <c r="AE999" s="23" t="str">
        <f aca="false">IF(F999="","",IF(ISNUMBER(SEARCH("-TK",UPPER(F999))),0,1))</f>
        <v/>
      </c>
      <c r="AF999" s="23" t="str">
        <f aca="false">IF(F999="","",IF(ISNUMBER(SEARCH("-LED",UPPER(F999))),1,0))</f>
        <v/>
      </c>
      <c r="AG999" s="24" t="n">
        <f aca="false">IF(Z999="",0,IFERROR(INDEX(Resep!$C$5:$C$7,MATCH(LEFT(Z999,3),Resep!$B$5:$B$7,0)),0))</f>
        <v>0</v>
      </c>
      <c r="AH999" s="24" t="n">
        <f aca="false">IF(AA999="",0,IFERROR(INDEX(Resep!$C$9:$C$13,MATCH(LEFT(AA999,3),Resep!$B$9:$B$13,0)),0))</f>
        <v>0</v>
      </c>
      <c r="AI999" s="24" t="n">
        <f aca="false">IF(AB999="",0,IFERROR(INDEX(Resep!$C$9:$C$13,MATCH(LEFT(AB999,3),Resep!$B$9:$B$13,0)),0))</f>
        <v>0</v>
      </c>
      <c r="AJ999" s="24" t="n">
        <f aca="false">IF(AC999="",0,IFERROR(INDEX(Resep!$C$9:$C$13,MATCH(LEFT(AC999,3),Resep!$B$9:$B$13,0)),0))</f>
        <v>0</v>
      </c>
      <c r="AK999" s="24" t="n">
        <f aca="false">IF(AD999="",0,IFERROR(INDEX(Resep!$C$15:$C$18,MATCH(LEFT(AD999,3),Resep!$B$15:$B$18,0)),0))</f>
        <v>0</v>
      </c>
      <c r="AL999" s="24" t="str">
        <f aca="false">IF(X999="","",AG999+AH999+AI999+AJ999+AK999)</f>
        <v/>
      </c>
      <c r="AM999" s="22" t="str">
        <f aca="false">IF(X999="","",AL999*(Pengaturan!$B$6+Pengaturan!$B$7)+Pengaturan!$B$8+AE999*Pengaturan!$B$9+AF999*Pengaturan!$B$10)</f>
        <v/>
      </c>
      <c r="AN999" s="22" t="str">
        <f aca="false">IF(X999="","",N(G999)-AM999)</f>
        <v/>
      </c>
      <c r="AO999" s="25" t="str">
        <f aca="false">IF(OR(X999="",N(G999)=0),"",AN999/G999)</f>
        <v/>
      </c>
    </row>
    <row r="1000" customFormat="false" ht="15" hidden="false" customHeight="false" outlineLevel="0" collapsed="false">
      <c r="A1000" s="19"/>
      <c r="B1000" s="20"/>
      <c r="C1000" s="19"/>
      <c r="D1000" s="19"/>
      <c r="E1000" s="19"/>
      <c r="F1000" s="19"/>
      <c r="G1000" s="21"/>
      <c r="H1000" s="19"/>
      <c r="I1000" s="21"/>
      <c r="J1000" s="19"/>
      <c r="K1000" s="20"/>
      <c r="L1000" s="20"/>
      <c r="M1000" s="19"/>
      <c r="N1000" s="19"/>
      <c r="O1000" s="20"/>
      <c r="P1000" s="20"/>
      <c r="Q1000" s="19"/>
      <c r="R1000" s="22" t="str">
        <f aca="false">IF(A1000="","",N(G1000)+N(I1000))</f>
        <v/>
      </c>
      <c r="S1000" s="23" t="str">
        <f aca="false">IF(OR(K1000="",O1000=""),"",O1000-K1000)</f>
        <v/>
      </c>
      <c r="T1000" s="23" t="str">
        <f aca="true">IF(AND(C1000="Cetak",L1000&lt;&gt;"",L1000&lt;TODAY()),"YA","")</f>
        <v/>
      </c>
      <c r="U1000" s="23" t="str">
        <f aca="false">IF(B1000="","",TEXT(B1000,"yyyy-mm"))</f>
        <v/>
      </c>
      <c r="V1000" s="23" t="str">
        <f aca="false">IF(K1000="","",TEXT(K1000,"yyyy-mm"))</f>
        <v/>
      </c>
      <c r="W1000" s="23" t="n">
        <f aca="false">IF(OR(C1000="Cetak",C1000="Dikirim",C1000="Selesai"),1,0)</f>
        <v>0</v>
      </c>
      <c r="X1000" s="23" t="str">
        <f aca="false">IF(F1000="","",SUBSTITUTE(SUBSTITUTE(MID(UPPER(TRIM(F1000)),4,99),"-LED",""),"-TK",""))</f>
        <v/>
      </c>
      <c r="Y1000" s="23" t="str">
        <f aca="false">IF(X1000="","",(LEN(X1000)+1)/7)</f>
        <v/>
      </c>
      <c r="Z1000" s="23" t="str">
        <f aca="false">IF(X1000="","",LEFT(X1000,6))</f>
        <v/>
      </c>
      <c r="AA1000" s="23" t="str">
        <f aca="false">IF(X1000="","",IF(Y1000&gt;=3,MID(X1000,8,6),""))</f>
        <v/>
      </c>
      <c r="AB1000" s="23" t="str">
        <f aca="false">IF(X1000="","",IF(Y1000&gt;=4,MID(X1000,15,6),""))</f>
        <v/>
      </c>
      <c r="AC1000" s="23" t="str">
        <f aca="false">IF(X1000="","",IF(Y1000&gt;=5,MID(X1000,22,6),""))</f>
        <v/>
      </c>
      <c r="AD1000" s="23" t="str">
        <f aca="false">IF(X1000="","",RIGHT(X1000,6))</f>
        <v/>
      </c>
      <c r="AE1000" s="23" t="str">
        <f aca="false">IF(F1000="","",IF(ISNUMBER(SEARCH("-TK",UPPER(F1000))),0,1))</f>
        <v/>
      </c>
      <c r="AF1000" s="23" t="str">
        <f aca="false">IF(F1000="","",IF(ISNUMBER(SEARCH("-LED",UPPER(F1000))),1,0))</f>
        <v/>
      </c>
      <c r="AG1000" s="24" t="n">
        <f aca="false">IF(Z1000="",0,IFERROR(INDEX(Resep!$C$5:$C$7,MATCH(LEFT(Z1000,3),Resep!$B$5:$B$7,0)),0))</f>
        <v>0</v>
      </c>
      <c r="AH1000" s="24" t="n">
        <f aca="false">IF(AA1000="",0,IFERROR(INDEX(Resep!$C$9:$C$13,MATCH(LEFT(AA1000,3),Resep!$B$9:$B$13,0)),0))</f>
        <v>0</v>
      </c>
      <c r="AI1000" s="24" t="n">
        <f aca="false">IF(AB1000="",0,IFERROR(INDEX(Resep!$C$9:$C$13,MATCH(LEFT(AB1000,3),Resep!$B$9:$B$13,0)),0))</f>
        <v>0</v>
      </c>
      <c r="AJ1000" s="24" t="n">
        <f aca="false">IF(AC1000="",0,IFERROR(INDEX(Resep!$C$9:$C$13,MATCH(LEFT(AC1000,3),Resep!$B$9:$B$13,0)),0))</f>
        <v>0</v>
      </c>
      <c r="AK1000" s="24" t="n">
        <f aca="false">IF(AD1000="",0,IFERROR(INDEX(Resep!$C$15:$C$18,MATCH(LEFT(AD1000,3),Resep!$B$15:$B$18,0)),0))</f>
        <v>0</v>
      </c>
      <c r="AL1000" s="24" t="str">
        <f aca="false">IF(X1000="","",AG1000+AH1000+AI1000+AJ1000+AK1000)</f>
        <v/>
      </c>
      <c r="AM1000" s="22" t="str">
        <f aca="false">IF(X1000="","",AL1000*(Pengaturan!$B$6+Pengaturan!$B$7)+Pengaturan!$B$8+AE1000*Pengaturan!$B$9+AF1000*Pengaturan!$B$10)</f>
        <v/>
      </c>
      <c r="AN1000" s="22" t="str">
        <f aca="false">IF(X1000="","",N(G1000)-AM1000)</f>
        <v/>
      </c>
      <c r="AO1000" s="25" t="str">
        <f aca="false">IF(OR(X1000="",N(G1000)=0),"",AN1000/G1000)</f>
        <v/>
      </c>
    </row>
  </sheetData>
  <conditionalFormatting sqref="A2:Q1000">
    <cfRule type="expression" priority="2" aboveAverage="0" equalAverage="0" bottom="0" percent="0" rank="0" text="" dxfId="0">
      <formula>$T2="YA"</formula>
    </cfRule>
    <cfRule type="expression" priority="3" aboveAverage="0" equalAverage="0" bottom="0" percent="0" rank="0" text="" dxfId="1">
      <formula>$C2="Baru"</formula>
    </cfRule>
  </conditionalFormatting>
  <dataValidations count="2">
    <dataValidation allowBlank="true" errorStyle="stop" operator="between" showDropDown="false" showErrorMessage="false" showInputMessage="false" sqref="C2:C1000" type="list">
      <formula1>"Baru,Konfirmasi,Tunggu bayar,Cetak,Dikirim,Selesai,Batal"</formula1>
      <formula2>0</formula2>
    </dataValidation>
    <dataValidation allowBlank="true" errorStyle="stop" operator="between" showDropDown="false" showErrorMessage="false" showInputMessage="false" sqref="H2:H1000" type="list">
      <formula1>"Jabodetabek,Pulau Jawa,Luar Jawa"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B4DE"/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25.5" hidden="false" customHeight="true" outlineLevel="0" collapsed="false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0" hidden="false" customHeight="true" outlineLevel="0" collapsed="false">
      <c r="A4" s="7" t="s">
        <v>120</v>
      </c>
      <c r="B4" s="7" t="s">
        <v>121</v>
      </c>
      <c r="C4" s="7" t="s">
        <v>122</v>
      </c>
      <c r="D4" s="7" t="s">
        <v>123</v>
      </c>
      <c r="E4" s="7" t="s">
        <v>124</v>
      </c>
      <c r="F4" s="7" t="s">
        <v>125</v>
      </c>
      <c r="G4" s="7" t="s">
        <v>126</v>
      </c>
      <c r="H4" s="7" t="s">
        <v>127</v>
      </c>
      <c r="I4" s="7" t="s">
        <v>13</v>
      </c>
      <c r="J4" s="7" t="s">
        <v>128</v>
      </c>
      <c r="K4" s="7" t="s">
        <v>129</v>
      </c>
      <c r="L4" s="7" t="s">
        <v>14</v>
      </c>
      <c r="M4" s="7" t="s">
        <v>58</v>
      </c>
      <c r="N4" s="7" t="s">
        <v>130</v>
      </c>
    </row>
    <row r="5" customFormat="false" ht="15" hidden="false" customHeight="false" outlineLevel="0" collapsed="false">
      <c r="A5" s="26" t="s">
        <v>131</v>
      </c>
      <c r="B5" s="27" t="s">
        <v>132</v>
      </c>
      <c r="C5" s="27" t="s">
        <v>133</v>
      </c>
      <c r="D5" s="28"/>
      <c r="E5" s="13" t="n">
        <f aca="false">SUMIFS('Mutasi stok'!$E$2:$E$2000,'Mutasi stok'!$B$2:$B$2000,"Masuk",'Mutasi stok'!$C$2:$C$2000,"Filamen",'Mutasi stok'!$D$2:$D$2000,$A5)</f>
        <v>1000</v>
      </c>
      <c r="F5" s="13" t="n">
        <f aca="false">SUMIFS('Mutasi stok'!$E$2:$E$2000,'Mutasi stok'!$B$2:$B$2000,"Koreksi",'Mutasi stok'!$C$2:$C$2000,"Filamen",'Mutasi stok'!$D$2:$D$2000,$A5)</f>
        <v>0</v>
      </c>
      <c r="G5" s="13" t="n">
        <f aca="false">SUMPRODUCT(Pesanan!$W$2:$W$1000*((RIGHT(Pesanan!$Z$2:$Z$1000,3)=$A5)*Pesanan!$AG$2:$AG$1000+(RIGHT(Pesanan!$AA$2:$AA$1000,3)=$A5)*Pesanan!$AH$2:$AH$1000+(RIGHT(Pesanan!$AB$2:$AB$1000,3)=$A5)*Pesanan!$AI$2:$AI$1000+(RIGHT(Pesanan!$AC$2:$AC$1000,3)=$A5)*Pesanan!$AJ$2:$AJ$1000+(RIGHT(Pesanan!$AD$2:$AD$1000,3)=$A5)*Pesanan!$AK$2:$AK$1000))</f>
        <v>190</v>
      </c>
      <c r="H5" s="13" t="n">
        <f aca="false">SUMIFS('Mutasi stok'!$E$2:$E$2000,'Mutasi stok'!$B$2:$B$2000,"Pakai",'Mutasi stok'!$C$2:$C$2000,"Filamen",'Mutasi stok'!$D$2:$D$2000,$A5)</f>
        <v>0</v>
      </c>
      <c r="I5" s="13" t="n">
        <f aca="false">E5+F5-G5-H5</f>
        <v>810</v>
      </c>
      <c r="J5" s="17" t="n">
        <f aca="false">IF(Pengaturan!$B$14=0,"",I5/Pengaturan!$B$14)</f>
        <v>0.81</v>
      </c>
      <c r="K5" s="13" t="n">
        <f aca="true">SUMPRODUCT(Pesanan!$W$2:$W$1000*(Pesanan!$K$2:$K$1000&gt;=TODAY()-30)*((RIGHT(Pesanan!$Z$2:$Z$1000,3)=$A5)*Pesanan!$AG$2:$AG$1000+(RIGHT(Pesanan!$AA$2:$AA$1000,3)=$A5)*Pesanan!$AH$2:$AH$1000+(RIGHT(Pesanan!$AB$2:$AB$1000,3)=$A5)*Pesanan!$AI$2:$AI$1000+(RIGHT(Pesanan!$AC$2:$AC$1000,3)=$A5)*Pesanan!$AJ$2:$AJ$1000+(RIGHT(Pesanan!$AD$2:$AD$1000,3)=$A5)*Pesanan!$AK$2:$AK$1000))+SUMIFS('Mutasi stok'!$E$2:$E$2000,'Mutasi stok'!$B$2:$B$2000,"Pakai",'Mutasi stok'!$C$2:$C$2000,"Filamen",'Mutasi stok'!$D$2:$D$2000,$A5,'Mutasi stok'!$A$2:$A$2000,"&gt;="&amp;(TODAY()-30))</f>
        <v>0</v>
      </c>
      <c r="L5" s="13" t="str">
        <f aca="false">IF(K5&lt;=0,"",ROUND(I5/(K5/30),0))</f>
        <v/>
      </c>
      <c r="M5" s="12" t="str">
        <f aca="false">IF(I5&lt;Pengaturan!$B$13,"PESAN","OK")</f>
        <v>OK</v>
      </c>
      <c r="N5" s="12" t="str">
        <f aca="false">IF(M5="PESAN",COUNTIF($M$5:M5,"PESAN"),"")</f>
        <v/>
      </c>
    </row>
    <row r="6" customFormat="false" ht="15" hidden="false" customHeight="false" outlineLevel="0" collapsed="false">
      <c r="A6" s="26" t="s">
        <v>134</v>
      </c>
      <c r="B6" s="27" t="s">
        <v>135</v>
      </c>
      <c r="C6" s="27" t="s">
        <v>133</v>
      </c>
      <c r="D6" s="28"/>
      <c r="E6" s="13" t="n">
        <f aca="false">SUMIFS('Mutasi stok'!$E$2:$E$2000,'Mutasi stok'!$B$2:$B$2000,"Masuk",'Mutasi stok'!$C$2:$C$2000,"Filamen",'Mutasi stok'!$D$2:$D$2000,$A6)</f>
        <v>1000</v>
      </c>
      <c r="F6" s="13" t="n">
        <f aca="false">SUMIFS('Mutasi stok'!$E$2:$E$2000,'Mutasi stok'!$B$2:$B$2000,"Koreksi",'Mutasi stok'!$C$2:$C$2000,"Filamen",'Mutasi stok'!$D$2:$D$2000,$A6)</f>
        <v>0</v>
      </c>
      <c r="G6" s="13" t="n">
        <f aca="false">SUMPRODUCT(Pesanan!$W$2:$W$1000*((RIGHT(Pesanan!$Z$2:$Z$1000,3)=$A6)*Pesanan!$AG$2:$AG$1000+(RIGHT(Pesanan!$AA$2:$AA$1000,3)=$A6)*Pesanan!$AH$2:$AH$1000+(RIGHT(Pesanan!$AB$2:$AB$1000,3)=$A6)*Pesanan!$AI$2:$AI$1000+(RIGHT(Pesanan!$AC$2:$AC$1000,3)=$A6)*Pesanan!$AJ$2:$AJ$1000+(RIGHT(Pesanan!$AD$2:$AD$1000,3)=$A6)*Pesanan!$AK$2:$AK$1000))</f>
        <v>220</v>
      </c>
      <c r="H6" s="13" t="n">
        <f aca="false">SUMIFS('Mutasi stok'!$E$2:$E$2000,'Mutasi stok'!$B$2:$B$2000,"Pakai",'Mutasi stok'!$C$2:$C$2000,"Filamen",'Mutasi stok'!$D$2:$D$2000,$A6)</f>
        <v>0</v>
      </c>
      <c r="I6" s="13" t="n">
        <f aca="false">E6+F6-G6-H6</f>
        <v>780</v>
      </c>
      <c r="J6" s="17" t="n">
        <f aca="false">IF(Pengaturan!$B$14=0,"",I6/Pengaturan!$B$14)</f>
        <v>0.78</v>
      </c>
      <c r="K6" s="13" t="n">
        <f aca="true">SUMPRODUCT(Pesanan!$W$2:$W$1000*(Pesanan!$K$2:$K$1000&gt;=TODAY()-30)*((RIGHT(Pesanan!$Z$2:$Z$1000,3)=$A6)*Pesanan!$AG$2:$AG$1000+(RIGHT(Pesanan!$AA$2:$AA$1000,3)=$A6)*Pesanan!$AH$2:$AH$1000+(RIGHT(Pesanan!$AB$2:$AB$1000,3)=$A6)*Pesanan!$AI$2:$AI$1000+(RIGHT(Pesanan!$AC$2:$AC$1000,3)=$A6)*Pesanan!$AJ$2:$AJ$1000+(RIGHT(Pesanan!$AD$2:$AD$1000,3)=$A6)*Pesanan!$AK$2:$AK$1000))+SUMIFS('Mutasi stok'!$E$2:$E$2000,'Mutasi stok'!$B$2:$B$2000,"Pakai",'Mutasi stok'!$C$2:$C$2000,"Filamen",'Mutasi stok'!$D$2:$D$2000,$A6,'Mutasi stok'!$A$2:$A$2000,"&gt;="&amp;(TODAY()-30))</f>
        <v>0</v>
      </c>
      <c r="L6" s="13" t="str">
        <f aca="false">IF(K6&lt;=0,"",ROUND(I6/(K6/30),0))</f>
        <v/>
      </c>
      <c r="M6" s="12" t="str">
        <f aca="false">IF(I6&lt;Pengaturan!$B$13,"PESAN","OK")</f>
        <v>OK</v>
      </c>
      <c r="N6" s="12" t="str">
        <f aca="false">IF(M6="PESAN",COUNTIF($M$5:M6,"PESAN"),"")</f>
        <v/>
      </c>
    </row>
    <row r="7" customFormat="false" ht="15" hidden="false" customHeight="false" outlineLevel="0" collapsed="false">
      <c r="A7" s="26" t="s">
        <v>136</v>
      </c>
      <c r="B7" s="27" t="s">
        <v>137</v>
      </c>
      <c r="C7" s="27" t="s">
        <v>133</v>
      </c>
      <c r="D7" s="28"/>
      <c r="E7" s="13" t="n">
        <f aca="false">SUMIFS('Mutasi stok'!$E$2:$E$2000,'Mutasi stok'!$B$2:$B$2000,"Masuk",'Mutasi stok'!$C$2:$C$2000,"Filamen",'Mutasi stok'!$D$2:$D$2000,$A7)</f>
        <v>1000</v>
      </c>
      <c r="F7" s="13" t="n">
        <f aca="false">SUMIFS('Mutasi stok'!$E$2:$E$2000,'Mutasi stok'!$B$2:$B$2000,"Koreksi",'Mutasi stok'!$C$2:$C$2000,"Filamen",'Mutasi stok'!$D$2:$D$2000,$A7)</f>
        <v>0</v>
      </c>
      <c r="G7" s="13" t="n">
        <f aca="false">SUMPRODUCT(Pesanan!$W$2:$W$1000*((RIGHT(Pesanan!$Z$2:$Z$1000,3)=$A7)*Pesanan!$AG$2:$AG$1000+(RIGHT(Pesanan!$AA$2:$AA$1000,3)=$A7)*Pesanan!$AH$2:$AH$1000+(RIGHT(Pesanan!$AB$2:$AB$1000,3)=$A7)*Pesanan!$AI$2:$AI$1000+(RIGHT(Pesanan!$AC$2:$AC$1000,3)=$A7)*Pesanan!$AJ$2:$AJ$1000+(RIGHT(Pesanan!$AD$2:$AD$1000,3)=$A7)*Pesanan!$AK$2:$AK$1000))</f>
        <v>390</v>
      </c>
      <c r="H7" s="13" t="n">
        <f aca="false">SUMIFS('Mutasi stok'!$E$2:$E$2000,'Mutasi stok'!$B$2:$B$2000,"Pakai",'Mutasi stok'!$C$2:$C$2000,"Filamen",'Mutasi stok'!$D$2:$D$2000,$A7)</f>
        <v>90</v>
      </c>
      <c r="I7" s="13" t="n">
        <f aca="false">E7+F7-G7-H7</f>
        <v>520</v>
      </c>
      <c r="J7" s="17" t="n">
        <f aca="false">IF(Pengaturan!$B$14=0,"",I7/Pengaturan!$B$14)</f>
        <v>0.52</v>
      </c>
      <c r="K7" s="13" t="n">
        <f aca="true">SUMPRODUCT(Pesanan!$W$2:$W$1000*(Pesanan!$K$2:$K$1000&gt;=TODAY()-30)*((RIGHT(Pesanan!$Z$2:$Z$1000,3)=$A7)*Pesanan!$AG$2:$AG$1000+(RIGHT(Pesanan!$AA$2:$AA$1000,3)=$A7)*Pesanan!$AH$2:$AH$1000+(RIGHT(Pesanan!$AB$2:$AB$1000,3)=$A7)*Pesanan!$AI$2:$AI$1000+(RIGHT(Pesanan!$AC$2:$AC$1000,3)=$A7)*Pesanan!$AJ$2:$AJ$1000+(RIGHT(Pesanan!$AD$2:$AD$1000,3)=$A7)*Pesanan!$AK$2:$AK$1000))+SUMIFS('Mutasi stok'!$E$2:$E$2000,'Mutasi stok'!$B$2:$B$2000,"Pakai",'Mutasi stok'!$C$2:$C$2000,"Filamen",'Mutasi stok'!$D$2:$D$2000,$A7,'Mutasi stok'!$A$2:$A$2000,"&gt;="&amp;(TODAY()-30))</f>
        <v>0</v>
      </c>
      <c r="L7" s="13" t="str">
        <f aca="false">IF(K7&lt;=0,"",ROUND(I7/(K7/30),0))</f>
        <v/>
      </c>
      <c r="M7" s="12" t="str">
        <f aca="false">IF(I7&lt;Pengaturan!$B$13,"PESAN","OK")</f>
        <v>OK</v>
      </c>
      <c r="N7" s="12" t="str">
        <f aca="false">IF(M7="PESAN",COUNTIF($M$5:M7,"PESAN"),"")</f>
        <v/>
      </c>
    </row>
    <row r="8" customFormat="false" ht="15" hidden="false" customHeight="false" outlineLevel="0" collapsed="false">
      <c r="A8" s="26" t="s">
        <v>138</v>
      </c>
      <c r="B8" s="27" t="s">
        <v>139</v>
      </c>
      <c r="C8" s="27" t="s">
        <v>133</v>
      </c>
      <c r="D8" s="28"/>
      <c r="E8" s="13" t="n">
        <f aca="false">SUMIFS('Mutasi stok'!$E$2:$E$2000,'Mutasi stok'!$B$2:$B$2000,"Masuk",'Mutasi stok'!$C$2:$C$2000,"Filamen",'Mutasi stok'!$D$2:$D$2000,$A8)</f>
        <v>1000</v>
      </c>
      <c r="F8" s="13" t="n">
        <f aca="false">SUMIFS('Mutasi stok'!$E$2:$E$2000,'Mutasi stok'!$B$2:$B$2000,"Koreksi",'Mutasi stok'!$C$2:$C$2000,"Filamen",'Mutasi stok'!$D$2:$D$2000,$A8)</f>
        <v>0</v>
      </c>
      <c r="G8" s="13" t="n">
        <f aca="false">SUMPRODUCT(Pesanan!$W$2:$W$1000*((RIGHT(Pesanan!$Z$2:$Z$1000,3)=$A8)*Pesanan!$AG$2:$AG$1000+(RIGHT(Pesanan!$AA$2:$AA$1000,3)=$A8)*Pesanan!$AH$2:$AH$1000+(RIGHT(Pesanan!$AB$2:$AB$1000,3)=$A8)*Pesanan!$AI$2:$AI$1000+(RIGHT(Pesanan!$AC$2:$AC$1000,3)=$A8)*Pesanan!$AJ$2:$AJ$1000+(RIGHT(Pesanan!$AD$2:$AD$1000,3)=$A8)*Pesanan!$AK$2:$AK$1000))</f>
        <v>180</v>
      </c>
      <c r="H8" s="13" t="n">
        <f aca="false">SUMIFS('Mutasi stok'!$E$2:$E$2000,'Mutasi stok'!$B$2:$B$2000,"Pakai",'Mutasi stok'!$C$2:$C$2000,"Filamen",'Mutasi stok'!$D$2:$D$2000,$A8)</f>
        <v>0</v>
      </c>
      <c r="I8" s="13" t="n">
        <f aca="false">E8+F8-G8-H8</f>
        <v>820</v>
      </c>
      <c r="J8" s="17" t="n">
        <f aca="false">IF(Pengaturan!$B$14=0,"",I8/Pengaturan!$B$14)</f>
        <v>0.82</v>
      </c>
      <c r="K8" s="13" t="n">
        <f aca="true">SUMPRODUCT(Pesanan!$W$2:$W$1000*(Pesanan!$K$2:$K$1000&gt;=TODAY()-30)*((RIGHT(Pesanan!$Z$2:$Z$1000,3)=$A8)*Pesanan!$AG$2:$AG$1000+(RIGHT(Pesanan!$AA$2:$AA$1000,3)=$A8)*Pesanan!$AH$2:$AH$1000+(RIGHT(Pesanan!$AB$2:$AB$1000,3)=$A8)*Pesanan!$AI$2:$AI$1000+(RIGHT(Pesanan!$AC$2:$AC$1000,3)=$A8)*Pesanan!$AJ$2:$AJ$1000+(RIGHT(Pesanan!$AD$2:$AD$1000,3)=$A8)*Pesanan!$AK$2:$AK$1000))+SUMIFS('Mutasi stok'!$E$2:$E$2000,'Mutasi stok'!$B$2:$B$2000,"Pakai",'Mutasi stok'!$C$2:$C$2000,"Filamen",'Mutasi stok'!$D$2:$D$2000,$A8,'Mutasi stok'!$A$2:$A$2000,"&gt;="&amp;(TODAY()-30))</f>
        <v>0</v>
      </c>
      <c r="L8" s="13" t="str">
        <f aca="false">IF(K8&lt;=0,"",ROUND(I8/(K8/30),0))</f>
        <v/>
      </c>
      <c r="M8" s="12" t="str">
        <f aca="false">IF(I8&lt;Pengaturan!$B$13,"PESAN","OK")</f>
        <v>OK</v>
      </c>
      <c r="N8" s="12" t="str">
        <f aca="false">IF(M8="PESAN",COUNTIF($M$5:M8,"PESAN"),"")</f>
        <v/>
      </c>
    </row>
    <row r="9" customFormat="false" ht="15" hidden="false" customHeight="false" outlineLevel="0" collapsed="false">
      <c r="A9" s="26" t="s">
        <v>140</v>
      </c>
      <c r="B9" s="27" t="s">
        <v>141</v>
      </c>
      <c r="C9" s="27" t="s">
        <v>133</v>
      </c>
      <c r="D9" s="28"/>
      <c r="E9" s="13" t="n">
        <f aca="false">SUMIFS('Mutasi stok'!$E$2:$E$2000,'Mutasi stok'!$B$2:$B$2000,"Masuk",'Mutasi stok'!$C$2:$C$2000,"Filamen",'Mutasi stok'!$D$2:$D$2000,$A9)</f>
        <v>1000</v>
      </c>
      <c r="F9" s="13" t="n">
        <f aca="false">SUMIFS('Mutasi stok'!$E$2:$E$2000,'Mutasi stok'!$B$2:$B$2000,"Koreksi",'Mutasi stok'!$C$2:$C$2000,"Filamen",'Mutasi stok'!$D$2:$D$2000,$A9)</f>
        <v>0</v>
      </c>
      <c r="G9" s="13" t="n">
        <f aca="false">SUMPRODUCT(Pesanan!$W$2:$W$1000*((RIGHT(Pesanan!$Z$2:$Z$1000,3)=$A9)*Pesanan!$AG$2:$AG$1000+(RIGHT(Pesanan!$AA$2:$AA$1000,3)=$A9)*Pesanan!$AH$2:$AH$1000+(RIGHT(Pesanan!$AB$2:$AB$1000,3)=$A9)*Pesanan!$AI$2:$AI$1000+(RIGHT(Pesanan!$AC$2:$AC$1000,3)=$A9)*Pesanan!$AJ$2:$AJ$1000+(RIGHT(Pesanan!$AD$2:$AD$1000,3)=$A9)*Pesanan!$AK$2:$AK$1000))</f>
        <v>180</v>
      </c>
      <c r="H9" s="13" t="n">
        <f aca="false">SUMIFS('Mutasi stok'!$E$2:$E$2000,'Mutasi stok'!$B$2:$B$2000,"Pakai",'Mutasi stok'!$C$2:$C$2000,"Filamen",'Mutasi stok'!$D$2:$D$2000,$A9)</f>
        <v>0</v>
      </c>
      <c r="I9" s="13" t="n">
        <f aca="false">E9+F9-G9-H9</f>
        <v>820</v>
      </c>
      <c r="J9" s="17" t="n">
        <f aca="false">IF(Pengaturan!$B$14=0,"",I9/Pengaturan!$B$14)</f>
        <v>0.82</v>
      </c>
      <c r="K9" s="13" t="n">
        <f aca="true">SUMPRODUCT(Pesanan!$W$2:$W$1000*(Pesanan!$K$2:$K$1000&gt;=TODAY()-30)*((RIGHT(Pesanan!$Z$2:$Z$1000,3)=$A9)*Pesanan!$AG$2:$AG$1000+(RIGHT(Pesanan!$AA$2:$AA$1000,3)=$A9)*Pesanan!$AH$2:$AH$1000+(RIGHT(Pesanan!$AB$2:$AB$1000,3)=$A9)*Pesanan!$AI$2:$AI$1000+(RIGHT(Pesanan!$AC$2:$AC$1000,3)=$A9)*Pesanan!$AJ$2:$AJ$1000+(RIGHT(Pesanan!$AD$2:$AD$1000,3)=$A9)*Pesanan!$AK$2:$AK$1000))+SUMIFS('Mutasi stok'!$E$2:$E$2000,'Mutasi stok'!$B$2:$B$2000,"Pakai",'Mutasi stok'!$C$2:$C$2000,"Filamen",'Mutasi stok'!$D$2:$D$2000,$A9,'Mutasi stok'!$A$2:$A$2000,"&gt;="&amp;(TODAY()-30))</f>
        <v>0</v>
      </c>
      <c r="L9" s="13" t="str">
        <f aca="false">IF(K9&lt;=0,"",ROUND(I9/(K9/30),0))</f>
        <v/>
      </c>
      <c r="M9" s="12" t="str">
        <f aca="false">IF(I9&lt;Pengaturan!$B$13,"PESAN","OK")</f>
        <v>OK</v>
      </c>
      <c r="N9" s="12" t="str">
        <f aca="false">IF(M9="PESAN",COUNTIF($M$5:M9,"PESAN"),"")</f>
        <v/>
      </c>
    </row>
    <row r="10" customFormat="false" ht="15" hidden="false" customHeight="false" outlineLevel="0" collapsed="false">
      <c r="A10" s="26" t="s">
        <v>142</v>
      </c>
      <c r="B10" s="27" t="s">
        <v>143</v>
      </c>
      <c r="C10" s="27" t="s">
        <v>80</v>
      </c>
      <c r="D10" s="28"/>
      <c r="E10" s="13" t="n">
        <f aca="false">SUMIFS('Mutasi stok'!$E$2:$E$2000,'Mutasi stok'!$B$2:$B$2000,"Masuk",'Mutasi stok'!$C$2:$C$2000,"Filamen",'Mutasi stok'!$D$2:$D$2000,$A10)</f>
        <v>1000</v>
      </c>
      <c r="F10" s="13" t="n">
        <f aca="false">SUMIFS('Mutasi stok'!$E$2:$E$2000,'Mutasi stok'!$B$2:$B$2000,"Koreksi",'Mutasi stok'!$C$2:$C$2000,"Filamen",'Mutasi stok'!$D$2:$D$2000,$A10)</f>
        <v>0</v>
      </c>
      <c r="G10" s="13" t="n">
        <f aca="false">SUMPRODUCT(Pesanan!$W$2:$W$1000*((RIGHT(Pesanan!$Z$2:$Z$1000,3)=$A10)*Pesanan!$AG$2:$AG$1000+(RIGHT(Pesanan!$AA$2:$AA$1000,3)=$A10)*Pesanan!$AH$2:$AH$1000+(RIGHT(Pesanan!$AB$2:$AB$1000,3)=$A10)*Pesanan!$AI$2:$AI$1000+(RIGHT(Pesanan!$AC$2:$AC$1000,3)=$A10)*Pesanan!$AJ$2:$AJ$1000+(RIGHT(Pesanan!$AD$2:$AD$1000,3)=$A10)*Pesanan!$AK$2:$AK$1000))</f>
        <v>370</v>
      </c>
      <c r="H10" s="13" t="n">
        <f aca="false">SUMIFS('Mutasi stok'!$E$2:$E$2000,'Mutasi stok'!$B$2:$B$2000,"Pakai",'Mutasi stok'!$C$2:$C$2000,"Filamen",'Mutasi stok'!$D$2:$D$2000,$A10)</f>
        <v>0</v>
      </c>
      <c r="I10" s="13" t="n">
        <f aca="false">E10+F10-G10-H10</f>
        <v>630</v>
      </c>
      <c r="J10" s="17" t="n">
        <f aca="false">IF(Pengaturan!$B$14=0,"",I10/Pengaturan!$B$14)</f>
        <v>0.63</v>
      </c>
      <c r="K10" s="13" t="n">
        <f aca="true">SUMPRODUCT(Pesanan!$W$2:$W$1000*(Pesanan!$K$2:$K$1000&gt;=TODAY()-30)*((RIGHT(Pesanan!$Z$2:$Z$1000,3)=$A10)*Pesanan!$AG$2:$AG$1000+(RIGHT(Pesanan!$AA$2:$AA$1000,3)=$A10)*Pesanan!$AH$2:$AH$1000+(RIGHT(Pesanan!$AB$2:$AB$1000,3)=$A10)*Pesanan!$AI$2:$AI$1000+(RIGHT(Pesanan!$AC$2:$AC$1000,3)=$A10)*Pesanan!$AJ$2:$AJ$1000+(RIGHT(Pesanan!$AD$2:$AD$1000,3)=$A10)*Pesanan!$AK$2:$AK$1000))+SUMIFS('Mutasi stok'!$E$2:$E$2000,'Mutasi stok'!$B$2:$B$2000,"Pakai",'Mutasi stok'!$C$2:$C$2000,"Filamen",'Mutasi stok'!$D$2:$D$2000,$A10,'Mutasi stok'!$A$2:$A$2000,"&gt;="&amp;(TODAY()-30))</f>
        <v>0</v>
      </c>
      <c r="L10" s="13" t="str">
        <f aca="false">IF(K10&lt;=0,"",ROUND(I10/(K10/30),0))</f>
        <v/>
      </c>
      <c r="M10" s="12" t="str">
        <f aca="false">IF(I10&lt;Pengaturan!$B$13,"PESAN","OK")</f>
        <v>OK</v>
      </c>
      <c r="N10" s="12" t="str">
        <f aca="false">IF(M10="PESAN",COUNTIF($M$5:M10,"PESAN"),"")</f>
        <v/>
      </c>
    </row>
    <row r="11" customFormat="false" ht="15" hidden="false" customHeight="false" outlineLevel="0" collapsed="false">
      <c r="A11" s="26" t="s">
        <v>144</v>
      </c>
      <c r="B11" s="27" t="s">
        <v>145</v>
      </c>
      <c r="C11" s="27" t="s">
        <v>80</v>
      </c>
      <c r="D11" s="28"/>
      <c r="E11" s="13" t="n">
        <f aca="false">SUMIFS('Mutasi stok'!$E$2:$E$2000,'Mutasi stok'!$B$2:$B$2000,"Masuk",'Mutasi stok'!$C$2:$C$2000,"Filamen",'Mutasi stok'!$D$2:$D$2000,$A11)</f>
        <v>1000</v>
      </c>
      <c r="F11" s="13" t="n">
        <f aca="false">SUMIFS('Mutasi stok'!$E$2:$E$2000,'Mutasi stok'!$B$2:$B$2000,"Koreksi",'Mutasi stok'!$C$2:$C$2000,"Filamen",'Mutasi stok'!$D$2:$D$2000,$A11)</f>
        <v>0</v>
      </c>
      <c r="G11" s="13" t="n">
        <f aca="false">SUMPRODUCT(Pesanan!$W$2:$W$1000*((RIGHT(Pesanan!$Z$2:$Z$1000,3)=$A11)*Pesanan!$AG$2:$AG$1000+(RIGHT(Pesanan!$AA$2:$AA$1000,3)=$A11)*Pesanan!$AH$2:$AH$1000+(RIGHT(Pesanan!$AB$2:$AB$1000,3)=$A11)*Pesanan!$AI$2:$AI$1000+(RIGHT(Pesanan!$AC$2:$AC$1000,3)=$A11)*Pesanan!$AJ$2:$AJ$1000+(RIGHT(Pesanan!$AD$2:$AD$1000,3)=$A11)*Pesanan!$AK$2:$AK$1000))</f>
        <v>0</v>
      </c>
      <c r="H11" s="13" t="n">
        <f aca="false">SUMIFS('Mutasi stok'!$E$2:$E$2000,'Mutasi stok'!$B$2:$B$2000,"Pakai",'Mutasi stok'!$C$2:$C$2000,"Filamen",'Mutasi stok'!$D$2:$D$2000,$A11)</f>
        <v>0</v>
      </c>
      <c r="I11" s="13" t="n">
        <f aca="false">E11+F11-G11-H11</f>
        <v>1000</v>
      </c>
      <c r="J11" s="17" t="n">
        <f aca="false">IF(Pengaturan!$B$14=0,"",I11/Pengaturan!$B$14)</f>
        <v>1</v>
      </c>
      <c r="K11" s="13" t="n">
        <f aca="true">SUMPRODUCT(Pesanan!$W$2:$W$1000*(Pesanan!$K$2:$K$1000&gt;=TODAY()-30)*((RIGHT(Pesanan!$Z$2:$Z$1000,3)=$A11)*Pesanan!$AG$2:$AG$1000+(RIGHT(Pesanan!$AA$2:$AA$1000,3)=$A11)*Pesanan!$AH$2:$AH$1000+(RIGHT(Pesanan!$AB$2:$AB$1000,3)=$A11)*Pesanan!$AI$2:$AI$1000+(RIGHT(Pesanan!$AC$2:$AC$1000,3)=$A11)*Pesanan!$AJ$2:$AJ$1000+(RIGHT(Pesanan!$AD$2:$AD$1000,3)=$A11)*Pesanan!$AK$2:$AK$1000))+SUMIFS('Mutasi stok'!$E$2:$E$2000,'Mutasi stok'!$B$2:$B$2000,"Pakai",'Mutasi stok'!$C$2:$C$2000,"Filamen",'Mutasi stok'!$D$2:$D$2000,$A11,'Mutasi stok'!$A$2:$A$2000,"&gt;="&amp;(TODAY()-30))</f>
        <v>0</v>
      </c>
      <c r="L11" s="13" t="str">
        <f aca="false">IF(K11&lt;=0,"",ROUND(I11/(K11/30),0))</f>
        <v/>
      </c>
      <c r="M11" s="12" t="str">
        <f aca="false">IF(I11&lt;Pengaturan!$B$13,"PESAN","OK")</f>
        <v>OK</v>
      </c>
      <c r="N11" s="12" t="str">
        <f aca="false">IF(M11="PESAN",COUNTIF($M$5:M11,"PESAN"),"")</f>
        <v/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3" t="s">
        <v>146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3" t="s">
        <v>147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19" t="s">
        <v>148</v>
      </c>
      <c r="B16" s="29" t="s">
        <v>149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</sheetData>
  <conditionalFormatting sqref="M5:M11">
    <cfRule type="cellIs" priority="2" operator="equal" aboveAverage="0" equalAverage="0" bottom="0" percent="0" rank="0" text="" dxfId="2">
      <formula>"PESAN"</formula>
    </cfRule>
    <cfRule type="cellIs" priority="3" operator="equal" aboveAverage="0" equalAverage="0" bottom="0" percent="0" rank="0" text="" dxfId="3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B4DE"/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9"/>
    <col collapsed="false" customWidth="true" hidden="false" outlineLevel="0" max="12" min="12" style="0" width="44"/>
    <col collapsed="false" customWidth="true" hidden="false" outlineLevel="0" max="13" min="13" style="0" width="14"/>
    <col collapsed="false" customWidth="true" hidden="false" outlineLevel="0" max="15" min="14" style="0" width="11"/>
  </cols>
  <sheetData>
    <row r="1" customFormat="false" ht="25.5" hidden="false" customHeight="true" outlineLevel="0" collapsed="false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30" hidden="false" customHeight="true" outlineLevel="0" collapsed="false">
      <c r="A4" s="7" t="s">
        <v>152</v>
      </c>
      <c r="B4" s="7" t="s">
        <v>153</v>
      </c>
      <c r="C4" s="7" t="s">
        <v>154</v>
      </c>
      <c r="D4" s="7" t="s">
        <v>155</v>
      </c>
      <c r="E4" s="7" t="s">
        <v>156</v>
      </c>
      <c r="F4" s="7" t="s">
        <v>157</v>
      </c>
      <c r="G4" s="7" t="s">
        <v>158</v>
      </c>
      <c r="H4" s="7" t="s">
        <v>159</v>
      </c>
      <c r="I4" s="7" t="s">
        <v>36</v>
      </c>
      <c r="J4" s="7" t="s">
        <v>37</v>
      </c>
      <c r="K4" s="7" t="s">
        <v>58</v>
      </c>
      <c r="L4" s="7" t="s">
        <v>160</v>
      </c>
      <c r="M4" s="7" t="s">
        <v>161</v>
      </c>
      <c r="N4" s="7" t="s">
        <v>130</v>
      </c>
      <c r="O4" s="7" t="s">
        <v>162</v>
      </c>
    </row>
    <row r="5" customFormat="false" ht="15" hidden="false" customHeight="false" outlineLevel="0" collapsed="false">
      <c r="A5" s="30" t="s">
        <v>163</v>
      </c>
      <c r="B5" s="30" t="s">
        <v>164</v>
      </c>
      <c r="C5" s="30" t="s">
        <v>165</v>
      </c>
      <c r="D5" s="30" t="n">
        <v>1</v>
      </c>
      <c r="E5" s="31" t="n">
        <f aca="false">SUMIFS('Mutasi stok'!$E$2:$E$2000,'Mutasi stok'!$B$2:$B$2000,"Masuk",'Mutasi stok'!$C$2:$C$2000,"Bahan",'Mutasi stok'!$D$2:$D$2000,$A5)</f>
        <v>50</v>
      </c>
      <c r="F5" s="31" t="n">
        <f aca="false">SUMIFS('Mutasi stok'!$E$2:$E$2000,'Mutasi stok'!$B$2:$B$2000,"Koreksi",'Mutasi stok'!$C$2:$C$2000,"Bahan",'Mutasi stok'!$D$2:$D$2000,$A5)</f>
        <v>0</v>
      </c>
      <c r="G5" s="31" t="n">
        <f aca="false">IF(C5="Per pesanan",D5*SUMPRODUCT(Pesanan!$W$2:$W$1000),IF(C5="Per kit",D5*SUMPRODUCT(Pesanan!$W$2:$W$1000*(Pesanan!$AE$2:$AE$1000=1)),IF(C5="Per LED",D5*SUMPRODUCT(Pesanan!$W$2:$W$1000*(Pesanan!$AF$2:$AF$1000=1)),0)))</f>
        <v>2</v>
      </c>
      <c r="H5" s="31" t="n">
        <f aca="false">SUMIFS('Mutasi stok'!$E$2:$E$2000,'Mutasi stok'!$B$2:$B$2000,"Pakai",'Mutasi stok'!$C$2:$C$2000,"Bahan",'Mutasi stok'!$D$2:$D$2000,$A5)</f>
        <v>0</v>
      </c>
      <c r="I5" s="31" t="n">
        <f aca="false">E5+F5-G5-H5</f>
        <v>48</v>
      </c>
      <c r="J5" s="30" t="n">
        <v>20</v>
      </c>
      <c r="K5" s="12" t="str">
        <f aca="false">IF(I5&lt;J5,"PESAN","OK")</f>
        <v>OK</v>
      </c>
      <c r="L5" s="30" t="s">
        <v>166</v>
      </c>
      <c r="M5" s="16" t="n">
        <f aca="false">IF(O5=0,"",INDEX('Mutasi stok'!$G$2:$G$2000,O5)/INDEX('Mutasi stok'!$E$2:$E$2000,O5))</f>
        <v>12000</v>
      </c>
      <c r="N5" s="12" t="str">
        <f aca="false">IF(K5="PESAN",COUNTIF($K$5:K5,"PESAN"),"")</f>
        <v/>
      </c>
      <c r="O5" s="12" t="n">
        <f aca="false">SUMPRODUCT(MAX(('Mutasi stok'!$D$2:$D$2000=$A5)*('Mutasi stok'!$B$2:$B$2000="Masuk")*('Mutasi stok'!$G$2:$G$2000&gt;0)*(ROW('Mutasi stok'!$D$2:$D$2000)-1)))</f>
        <v>9</v>
      </c>
    </row>
    <row r="6" customFormat="false" ht="15" hidden="false" customHeight="false" outlineLevel="0" collapsed="false">
      <c r="A6" s="30" t="s">
        <v>167</v>
      </c>
      <c r="B6" s="30" t="s">
        <v>168</v>
      </c>
      <c r="C6" s="30" t="s">
        <v>165</v>
      </c>
      <c r="D6" s="30" t="n">
        <v>1</v>
      </c>
      <c r="E6" s="31" t="n">
        <f aca="false">SUMIFS('Mutasi stok'!$E$2:$E$2000,'Mutasi stok'!$B$2:$B$2000,"Masuk",'Mutasi stok'!$C$2:$C$2000,"Bahan",'Mutasi stok'!$D$2:$D$2000,$A6)</f>
        <v>50</v>
      </c>
      <c r="F6" s="31" t="n">
        <f aca="false">SUMIFS('Mutasi stok'!$E$2:$E$2000,'Mutasi stok'!$B$2:$B$2000,"Koreksi",'Mutasi stok'!$C$2:$C$2000,"Bahan",'Mutasi stok'!$D$2:$D$2000,$A6)</f>
        <v>0</v>
      </c>
      <c r="G6" s="31" t="n">
        <f aca="false">IF(C6="Per pesanan",D6*SUMPRODUCT(Pesanan!$W$2:$W$1000),IF(C6="Per kit",D6*SUMPRODUCT(Pesanan!$W$2:$W$1000*(Pesanan!$AE$2:$AE$1000=1)),IF(C6="Per LED",D6*SUMPRODUCT(Pesanan!$W$2:$W$1000*(Pesanan!$AF$2:$AF$1000=1)),0)))</f>
        <v>2</v>
      </c>
      <c r="H6" s="31" t="n">
        <f aca="false">SUMIFS('Mutasi stok'!$E$2:$E$2000,'Mutasi stok'!$B$2:$B$2000,"Pakai",'Mutasi stok'!$C$2:$C$2000,"Bahan",'Mutasi stok'!$D$2:$D$2000,$A6)</f>
        <v>0</v>
      </c>
      <c r="I6" s="31" t="n">
        <f aca="false">E6+F6-G6-H6</f>
        <v>48</v>
      </c>
      <c r="J6" s="30" t="n">
        <v>20</v>
      </c>
      <c r="K6" s="12" t="str">
        <f aca="false">IF(I6&lt;J6,"PESAN","OK")</f>
        <v>OK</v>
      </c>
      <c r="L6" s="30" t="s">
        <v>169</v>
      </c>
      <c r="M6" s="16" t="n">
        <f aca="false">IF(O6=0,"",INDEX('Mutasi stok'!$G$2:$G$2000,O6)/INDEX('Mutasi stok'!$E$2:$E$2000,O6))</f>
        <v>4000</v>
      </c>
      <c r="N6" s="12" t="str">
        <f aca="false">IF(K6="PESAN",COUNTIF($K$5:K6,"PESAN"),"")</f>
        <v/>
      </c>
      <c r="O6" s="12" t="n">
        <f aca="false">SUMPRODUCT(MAX(('Mutasi stok'!$D$2:$D$2000=$A6)*('Mutasi stok'!$B$2:$B$2000="Masuk")*('Mutasi stok'!$G$2:$G$2000&gt;0)*(ROW('Mutasi stok'!$D$2:$D$2000)-1)))</f>
        <v>10</v>
      </c>
    </row>
    <row r="7" customFormat="false" ht="15" hidden="false" customHeight="false" outlineLevel="0" collapsed="false">
      <c r="A7" s="30" t="s">
        <v>170</v>
      </c>
      <c r="B7" s="30" t="s">
        <v>164</v>
      </c>
      <c r="C7" s="30" t="s">
        <v>165</v>
      </c>
      <c r="D7" s="30" t="n">
        <v>1</v>
      </c>
      <c r="E7" s="31" t="n">
        <f aca="false">SUMIFS('Mutasi stok'!$E$2:$E$2000,'Mutasi stok'!$B$2:$B$2000,"Masuk",'Mutasi stok'!$C$2:$C$2000,"Bahan",'Mutasi stok'!$D$2:$D$2000,$A7)</f>
        <v>100</v>
      </c>
      <c r="F7" s="31" t="n">
        <f aca="false">SUMIFS('Mutasi stok'!$E$2:$E$2000,'Mutasi stok'!$B$2:$B$2000,"Koreksi",'Mutasi stok'!$C$2:$C$2000,"Bahan",'Mutasi stok'!$D$2:$D$2000,$A7)</f>
        <v>0</v>
      </c>
      <c r="G7" s="31" t="n">
        <f aca="false">IF(C7="Per pesanan",D7*SUMPRODUCT(Pesanan!$W$2:$W$1000),IF(C7="Per kit",D7*SUMPRODUCT(Pesanan!$W$2:$W$1000*(Pesanan!$AE$2:$AE$1000=1)),IF(C7="Per LED",D7*SUMPRODUCT(Pesanan!$W$2:$W$1000*(Pesanan!$AF$2:$AF$1000=1)),0)))</f>
        <v>2</v>
      </c>
      <c r="H7" s="31" t="n">
        <f aca="false">SUMIFS('Mutasi stok'!$E$2:$E$2000,'Mutasi stok'!$B$2:$B$2000,"Pakai",'Mutasi stok'!$C$2:$C$2000,"Bahan",'Mutasi stok'!$D$2:$D$2000,$A7)</f>
        <v>0</v>
      </c>
      <c r="I7" s="31" t="n">
        <f aca="false">E7+F7-G7-H7</f>
        <v>98</v>
      </c>
      <c r="J7" s="30" t="n">
        <v>30</v>
      </c>
      <c r="K7" s="12" t="str">
        <f aca="false">IF(I7&lt;J7,"PESAN","OK")</f>
        <v>OK</v>
      </c>
      <c r="L7" s="30" t="s">
        <v>171</v>
      </c>
      <c r="M7" s="16" t="n">
        <f aca="false">IF(O7=0,"",INDEX('Mutasi stok'!$G$2:$G$2000,O7)/INDEX('Mutasi stok'!$E$2:$E$2000,O7))</f>
        <v>600</v>
      </c>
      <c r="N7" s="12" t="str">
        <f aca="false">IF(K7="PESAN",COUNTIF($K$5:K7,"PESAN"),"")</f>
        <v/>
      </c>
      <c r="O7" s="12" t="n">
        <f aca="false">SUMPRODUCT(MAX(('Mutasi stok'!$D$2:$D$2000=$A7)*('Mutasi stok'!$B$2:$B$2000="Masuk")*('Mutasi stok'!$G$2:$G$2000&gt;0)*(ROW('Mutasi stok'!$D$2:$D$2000)-1)))</f>
        <v>13</v>
      </c>
    </row>
    <row r="8" customFormat="false" ht="15" hidden="false" customHeight="false" outlineLevel="0" collapsed="false">
      <c r="A8" s="30" t="s">
        <v>172</v>
      </c>
      <c r="B8" s="30" t="s">
        <v>173</v>
      </c>
      <c r="C8" s="30" t="s">
        <v>165</v>
      </c>
      <c r="D8" s="30" t="n">
        <v>5</v>
      </c>
      <c r="E8" s="31" t="n">
        <f aca="false">SUMIFS('Mutasi stok'!$E$2:$E$2000,'Mutasi stok'!$B$2:$B$2000,"Masuk",'Mutasi stok'!$C$2:$C$2000,"Bahan",'Mutasi stok'!$D$2:$D$2000,$A8)</f>
        <v>100</v>
      </c>
      <c r="F8" s="31" t="n">
        <f aca="false">SUMIFS('Mutasi stok'!$E$2:$E$2000,'Mutasi stok'!$B$2:$B$2000,"Koreksi",'Mutasi stok'!$C$2:$C$2000,"Bahan",'Mutasi stok'!$D$2:$D$2000,$A8)</f>
        <v>0</v>
      </c>
      <c r="G8" s="31" t="n">
        <f aca="false">IF(C8="Per pesanan",D8*SUMPRODUCT(Pesanan!$W$2:$W$1000),IF(C8="Per kit",D8*SUMPRODUCT(Pesanan!$W$2:$W$1000*(Pesanan!$AE$2:$AE$1000=1)),IF(C8="Per LED",D8*SUMPRODUCT(Pesanan!$W$2:$W$1000*(Pesanan!$AF$2:$AF$1000=1)),0)))</f>
        <v>10</v>
      </c>
      <c r="H8" s="31" t="n">
        <f aca="false">SUMIFS('Mutasi stok'!$E$2:$E$2000,'Mutasi stok'!$B$2:$B$2000,"Pakai",'Mutasi stok'!$C$2:$C$2000,"Bahan",'Mutasi stok'!$D$2:$D$2000,$A8)</f>
        <v>0</v>
      </c>
      <c r="I8" s="31" t="n">
        <f aca="false">E8+F8-G8-H8</f>
        <v>90</v>
      </c>
      <c r="J8" s="30" t="n">
        <v>50</v>
      </c>
      <c r="K8" s="12" t="str">
        <f aca="false">IF(I8&lt;J8,"PESAN","OK")</f>
        <v>OK</v>
      </c>
      <c r="L8" s="30" t="s">
        <v>174</v>
      </c>
      <c r="M8" s="16" t="n">
        <f aca="false">IF(O8=0,"",INDEX('Mutasi stok'!$G$2:$G$2000,O8)/INDEX('Mutasi stok'!$E$2:$E$2000,O8))</f>
        <v>500</v>
      </c>
      <c r="N8" s="12" t="str">
        <f aca="false">IF(K8="PESAN",COUNTIF($K$5:K8,"PESAN"),"")</f>
        <v/>
      </c>
      <c r="O8" s="12" t="n">
        <f aca="false">SUMPRODUCT(MAX(('Mutasi stok'!$D$2:$D$2000=$A8)*('Mutasi stok'!$B$2:$B$2000="Masuk")*('Mutasi stok'!$G$2:$G$2000&gt;0)*(ROW('Mutasi stok'!$D$2:$D$2000)-1)))</f>
        <v>14</v>
      </c>
    </row>
    <row r="9" customFormat="false" ht="15" hidden="false" customHeight="false" outlineLevel="0" collapsed="false">
      <c r="A9" s="30" t="s">
        <v>175</v>
      </c>
      <c r="B9" s="30" t="s">
        <v>176</v>
      </c>
      <c r="C9" s="30" t="s">
        <v>165</v>
      </c>
      <c r="D9" s="30" t="n">
        <v>1.5</v>
      </c>
      <c r="E9" s="31" t="n">
        <f aca="false">SUMIFS('Mutasi stok'!$E$2:$E$2000,'Mutasi stok'!$B$2:$B$2000,"Masuk",'Mutasi stok'!$C$2:$C$2000,"Bahan",'Mutasi stok'!$D$2:$D$2000,$A9)</f>
        <v>20</v>
      </c>
      <c r="F9" s="31" t="n">
        <f aca="false">SUMIFS('Mutasi stok'!$E$2:$E$2000,'Mutasi stok'!$B$2:$B$2000,"Koreksi",'Mutasi stok'!$C$2:$C$2000,"Bahan",'Mutasi stok'!$D$2:$D$2000,$A9)</f>
        <v>0</v>
      </c>
      <c r="G9" s="31" t="n">
        <f aca="false">IF(C9="Per pesanan",D9*SUMPRODUCT(Pesanan!$W$2:$W$1000),IF(C9="Per kit",D9*SUMPRODUCT(Pesanan!$W$2:$W$1000*(Pesanan!$AE$2:$AE$1000=1)),IF(C9="Per LED",D9*SUMPRODUCT(Pesanan!$W$2:$W$1000*(Pesanan!$AF$2:$AF$1000=1)),0)))</f>
        <v>3</v>
      </c>
      <c r="H9" s="31" t="n">
        <f aca="false">SUMIFS('Mutasi stok'!$E$2:$E$2000,'Mutasi stok'!$B$2:$B$2000,"Pakai",'Mutasi stok'!$C$2:$C$2000,"Bahan",'Mutasi stok'!$D$2:$D$2000,$A9)</f>
        <v>0</v>
      </c>
      <c r="I9" s="31" t="n">
        <f aca="false">E9+F9-G9-H9</f>
        <v>17</v>
      </c>
      <c r="J9" s="30" t="n">
        <v>10</v>
      </c>
      <c r="K9" s="12" t="str">
        <f aca="false">IF(I9&lt;J9,"PESAN","OK")</f>
        <v>OK</v>
      </c>
      <c r="L9" s="30" t="s">
        <v>177</v>
      </c>
      <c r="M9" s="16" t="n">
        <f aca="false">IF(O9=0,"",INDEX('Mutasi stok'!$G$2:$G$2000,O9)/INDEX('Mutasi stok'!$E$2:$E$2000,O9))</f>
        <v>3000</v>
      </c>
      <c r="N9" s="12" t="str">
        <f aca="false">IF(K9="PESAN",COUNTIF($K$5:K9,"PESAN"),"")</f>
        <v/>
      </c>
      <c r="O9" s="12" t="n">
        <f aca="false">SUMPRODUCT(MAX(('Mutasi stok'!$D$2:$D$2000=$A9)*('Mutasi stok'!$B$2:$B$2000="Masuk")*('Mutasi stok'!$G$2:$G$2000&gt;0)*(ROW('Mutasi stok'!$D$2:$D$2000)-1)))</f>
        <v>15</v>
      </c>
    </row>
    <row r="10" customFormat="false" ht="15" hidden="false" customHeight="false" outlineLevel="0" collapsed="false">
      <c r="A10" s="30" t="s">
        <v>178</v>
      </c>
      <c r="B10" s="30" t="s">
        <v>164</v>
      </c>
      <c r="C10" s="30" t="s">
        <v>179</v>
      </c>
      <c r="D10" s="30" t="n">
        <v>1</v>
      </c>
      <c r="E10" s="31" t="n">
        <f aca="false">SUMIFS('Mutasi stok'!$E$2:$E$2000,'Mutasi stok'!$B$2:$B$2000,"Masuk",'Mutasi stok'!$C$2:$C$2000,"Bahan",'Mutasi stok'!$D$2:$D$2000,$A10)</f>
        <v>10</v>
      </c>
      <c r="F10" s="31" t="n">
        <f aca="false">SUMIFS('Mutasi stok'!$E$2:$E$2000,'Mutasi stok'!$B$2:$B$2000,"Koreksi",'Mutasi stok'!$C$2:$C$2000,"Bahan",'Mutasi stok'!$D$2:$D$2000,$A10)</f>
        <v>0</v>
      </c>
      <c r="G10" s="31" t="n">
        <f aca="false">IF(C10="Per pesanan",D10*SUMPRODUCT(Pesanan!$W$2:$W$1000),IF(C10="Per kit",D10*SUMPRODUCT(Pesanan!$W$2:$W$1000*(Pesanan!$AE$2:$AE$1000=1)),IF(C10="Per LED",D10*SUMPRODUCT(Pesanan!$W$2:$W$1000*(Pesanan!$AF$2:$AF$1000=1)),0)))</f>
        <v>2</v>
      </c>
      <c r="H10" s="31" t="n">
        <f aca="false">SUMIFS('Mutasi stok'!$E$2:$E$2000,'Mutasi stok'!$B$2:$B$2000,"Pakai",'Mutasi stok'!$C$2:$C$2000,"Bahan",'Mutasi stok'!$D$2:$D$2000,$A10)</f>
        <v>0</v>
      </c>
      <c r="I10" s="31" t="n">
        <f aca="false">E10+F10-G10-H10</f>
        <v>8</v>
      </c>
      <c r="J10" s="30" t="n">
        <v>5</v>
      </c>
      <c r="K10" s="12" t="str">
        <f aca="false">IF(I10&lt;J10,"PESAN","OK")</f>
        <v>OK</v>
      </c>
      <c r="L10" s="30" t="s">
        <v>180</v>
      </c>
      <c r="M10" s="16" t="n">
        <f aca="false">IF(O10=0,"",INDEX('Mutasi stok'!$G$2:$G$2000,O10)/INDEX('Mutasi stok'!$E$2:$E$2000,O10))</f>
        <v>35000</v>
      </c>
      <c r="N10" s="12" t="str">
        <f aca="false">IF(K10="PESAN",COUNTIF($K$5:K10,"PESAN"),"")</f>
        <v/>
      </c>
      <c r="O10" s="12" t="n">
        <f aca="false">SUMPRODUCT(MAX(('Mutasi stok'!$D$2:$D$2000=$A10)*('Mutasi stok'!$B$2:$B$2000="Masuk")*('Mutasi stok'!$G$2:$G$2000&gt;0)*(ROW('Mutasi stok'!$D$2:$D$2000)-1)))</f>
        <v>11</v>
      </c>
    </row>
    <row r="11" customFormat="false" ht="15" hidden="false" customHeight="false" outlineLevel="0" collapsed="false">
      <c r="A11" s="30" t="s">
        <v>181</v>
      </c>
      <c r="B11" s="30" t="s">
        <v>164</v>
      </c>
      <c r="C11" s="30" t="s">
        <v>182</v>
      </c>
      <c r="D11" s="30" t="n">
        <v>1</v>
      </c>
      <c r="E11" s="31" t="n">
        <f aca="false">SUMIFS('Mutasi stok'!$E$2:$E$2000,'Mutasi stok'!$B$2:$B$2000,"Masuk",'Mutasi stok'!$C$2:$C$2000,"Bahan",'Mutasi stok'!$D$2:$D$2000,$A11)</f>
        <v>10</v>
      </c>
      <c r="F11" s="31" t="n">
        <f aca="false">SUMIFS('Mutasi stok'!$E$2:$E$2000,'Mutasi stok'!$B$2:$B$2000,"Koreksi",'Mutasi stok'!$C$2:$C$2000,"Bahan",'Mutasi stok'!$D$2:$D$2000,$A11)</f>
        <v>0</v>
      </c>
      <c r="G11" s="31" t="n">
        <f aca="false">IF(C11="Per pesanan",D11*SUMPRODUCT(Pesanan!$W$2:$W$1000),IF(C11="Per kit",D11*SUMPRODUCT(Pesanan!$W$2:$W$1000*(Pesanan!$AE$2:$AE$1000=1)),IF(C11="Per LED",D11*SUMPRODUCT(Pesanan!$W$2:$W$1000*(Pesanan!$AF$2:$AF$1000=1)),0)))</f>
        <v>1</v>
      </c>
      <c r="H11" s="31" t="n">
        <f aca="false">SUMIFS('Mutasi stok'!$E$2:$E$2000,'Mutasi stok'!$B$2:$B$2000,"Pakai",'Mutasi stok'!$C$2:$C$2000,"Bahan",'Mutasi stok'!$D$2:$D$2000,$A11)</f>
        <v>0</v>
      </c>
      <c r="I11" s="31" t="n">
        <f aca="false">E11+F11-G11-H11</f>
        <v>9</v>
      </c>
      <c r="J11" s="30" t="n">
        <v>5</v>
      </c>
      <c r="K11" s="12" t="str">
        <f aca="false">IF(I11&lt;J11,"PESAN","OK")</f>
        <v>OK</v>
      </c>
      <c r="L11" s="30" t="s">
        <v>183</v>
      </c>
      <c r="M11" s="16" t="n">
        <f aca="false">IF(O11=0,"",INDEX('Mutasi stok'!$G$2:$G$2000,O11)/INDEX('Mutasi stok'!$E$2:$E$2000,O11))</f>
        <v>15000</v>
      </c>
      <c r="N11" s="12" t="str">
        <f aca="false">IF(K11="PESAN",COUNTIF($K$5:K11,"PESAN"),"")</f>
        <v/>
      </c>
      <c r="O11" s="12" t="n">
        <f aca="false">SUMPRODUCT(MAX(('Mutasi stok'!$D$2:$D$2000=$A11)*('Mutasi stok'!$B$2:$B$2000="Masuk")*('Mutasi stok'!$G$2:$G$2000&gt;0)*(ROW('Mutasi stok'!$D$2:$D$2000)-1)))</f>
        <v>12</v>
      </c>
    </row>
    <row r="12" customFormat="false" ht="15" hidden="false" customHeight="false" outlineLevel="0" collapsed="false">
      <c r="A12" s="30" t="s">
        <v>184</v>
      </c>
      <c r="B12" s="30" t="s">
        <v>164</v>
      </c>
      <c r="C12" s="30" t="s">
        <v>165</v>
      </c>
      <c r="D12" s="30" t="n">
        <v>1</v>
      </c>
      <c r="E12" s="31" t="n">
        <f aca="false">SUMIFS('Mutasi stok'!$E$2:$E$2000,'Mutasi stok'!$B$2:$B$2000,"Masuk",'Mutasi stok'!$C$2:$C$2000,"Bahan",'Mutasi stok'!$D$2:$D$2000,$A12)</f>
        <v>20</v>
      </c>
      <c r="F12" s="31" t="n">
        <f aca="false">SUMIFS('Mutasi stok'!$E$2:$E$2000,'Mutasi stok'!$B$2:$B$2000,"Koreksi",'Mutasi stok'!$C$2:$C$2000,"Bahan",'Mutasi stok'!$D$2:$D$2000,$A12)</f>
        <v>0</v>
      </c>
      <c r="G12" s="31" t="n">
        <f aca="false">IF(C12="Per pesanan",D12*SUMPRODUCT(Pesanan!$W$2:$W$1000),IF(C12="Per kit",D12*SUMPRODUCT(Pesanan!$W$2:$W$1000*(Pesanan!$AE$2:$AE$1000=1)),IF(C12="Per LED",D12*SUMPRODUCT(Pesanan!$W$2:$W$1000*(Pesanan!$AF$2:$AF$1000=1)),0)))</f>
        <v>2</v>
      </c>
      <c r="H12" s="31" t="n">
        <f aca="false">SUMIFS('Mutasi stok'!$E$2:$E$2000,'Mutasi stok'!$B$2:$B$2000,"Pakai",'Mutasi stok'!$C$2:$C$2000,"Bahan",'Mutasi stok'!$D$2:$D$2000,$A12)</f>
        <v>0</v>
      </c>
      <c r="I12" s="31" t="n">
        <f aca="false">E12+F12-G12-H12</f>
        <v>18</v>
      </c>
      <c r="J12" s="30" t="n">
        <v>10</v>
      </c>
      <c r="K12" s="12" t="str">
        <f aca="false">IF(I12&lt;J12,"PESAN","OK")</f>
        <v>OK</v>
      </c>
      <c r="L12" s="30" t="s">
        <v>185</v>
      </c>
      <c r="M12" s="16" t="n">
        <f aca="false">IF(O12=0,"",INDEX('Mutasi stok'!$G$2:$G$2000,O12)/INDEX('Mutasi stok'!$E$2:$E$2000,O12))</f>
        <v>5000</v>
      </c>
      <c r="N12" s="12" t="str">
        <f aca="false">IF(K12="PESAN",COUNTIF($K$5:K12,"PESAN"),"")</f>
        <v/>
      </c>
      <c r="O12" s="12" t="n">
        <f aca="false">SUMPRODUCT(MAX(('Mutasi stok'!$D$2:$D$2000=$A12)*('Mutasi stok'!$B$2:$B$2000="Masuk")*('Mutasi stok'!$G$2:$G$2000&gt;0)*(ROW('Mutasi stok'!$D$2:$D$2000)-1)))</f>
        <v>16</v>
      </c>
    </row>
    <row r="13" customFormat="false" ht="15" hidden="false" customHeight="false" outlineLevel="0" collapsed="false">
      <c r="A13" s="30" t="s">
        <v>186</v>
      </c>
      <c r="B13" s="30" t="s">
        <v>164</v>
      </c>
      <c r="C13" s="30" t="s">
        <v>187</v>
      </c>
      <c r="D13" s="30" t="n">
        <v>0</v>
      </c>
      <c r="E13" s="31" t="n">
        <f aca="false">SUMIFS('Mutasi stok'!$E$2:$E$2000,'Mutasi stok'!$B$2:$B$2000,"Masuk",'Mutasi stok'!$C$2:$C$2000,"Bahan",'Mutasi stok'!$D$2:$D$2000,$A13)</f>
        <v>5</v>
      </c>
      <c r="F13" s="31" t="n">
        <f aca="false">SUMIFS('Mutasi stok'!$E$2:$E$2000,'Mutasi stok'!$B$2:$B$2000,"Koreksi",'Mutasi stok'!$C$2:$C$2000,"Bahan",'Mutasi stok'!$D$2:$D$2000,$A13)</f>
        <v>0</v>
      </c>
      <c r="G13" s="31" t="n">
        <f aca="false">IF(C13="Per pesanan",D13*SUMPRODUCT(Pesanan!$W$2:$W$1000),IF(C13="Per kit",D13*SUMPRODUCT(Pesanan!$W$2:$W$1000*(Pesanan!$AE$2:$AE$1000=1)),IF(C13="Per LED",D13*SUMPRODUCT(Pesanan!$W$2:$W$1000*(Pesanan!$AF$2:$AF$1000=1)),0)))</f>
        <v>0</v>
      </c>
      <c r="H13" s="31" t="n">
        <f aca="false">SUMIFS('Mutasi stok'!$E$2:$E$2000,'Mutasi stok'!$B$2:$B$2000,"Pakai",'Mutasi stok'!$C$2:$C$2000,"Bahan",'Mutasi stok'!$D$2:$D$2000,$A13)</f>
        <v>0</v>
      </c>
      <c r="I13" s="31" t="n">
        <f aca="false">E13+F13-G13-H13</f>
        <v>5</v>
      </c>
      <c r="J13" s="30" t="n">
        <v>2</v>
      </c>
      <c r="K13" s="12" t="str">
        <f aca="false">IF(I13&lt;J13,"PESAN","OK")</f>
        <v>OK</v>
      </c>
      <c r="L13" s="30" t="s">
        <v>188</v>
      </c>
      <c r="M13" s="16" t="n">
        <f aca="false">IF(O13=0,"",INDEX('Mutasi stok'!$G$2:$G$2000,O13)/INDEX('Mutasi stok'!$E$2:$E$2000,O13))</f>
        <v>15000</v>
      </c>
      <c r="N13" s="12" t="str">
        <f aca="false">IF(K13="PESAN",COUNTIF($K$5:K13,"PESAN"),"")</f>
        <v/>
      </c>
      <c r="O13" s="12" t="n">
        <f aca="false">SUMPRODUCT(MAX(('Mutasi stok'!$D$2:$D$2000=$A13)*('Mutasi stok'!$B$2:$B$2000="Masuk")*('Mutasi stok'!$G$2:$G$2000&gt;0)*(ROW('Mutasi stok'!$D$2:$D$2000)-1)))</f>
        <v>17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3" t="s">
        <v>189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19" t="s">
        <v>148</v>
      </c>
      <c r="B17" s="29" t="s">
        <v>149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conditionalFormatting sqref="K5:K13">
    <cfRule type="cellIs" priority="2" operator="equal" aboveAverage="0" equalAverage="0" bottom="0" percent="0" rank="0" text="" dxfId="2">
      <formula>"PESAN"</formula>
    </cfRule>
    <cfRule type="cellIs" priority="3" operator="equal" aboveAverage="0" equalAverage="0" bottom="0" percent="0" rank="0" text="" dxfId="3">
      <formula>"OK"</formula>
    </cfRule>
  </conditionalFormatting>
  <dataValidations count="1">
    <dataValidation allowBlank="true" errorStyle="stop" operator="between" showDropDown="false" showErrorMessage="false" showInputMessage="false" sqref="C5:C33" type="list">
      <formula1>"Per pesanan,Per kit,Per LED,Manual"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B4DE"/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36"/>
  </cols>
  <sheetData>
    <row r="1" customFormat="false" ht="25.5" hidden="false" customHeight="true" outlineLevel="0" collapsed="false">
      <c r="A1" s="1" t="s">
        <v>190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191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0" hidden="false" customHeight="true" outlineLevel="0" collapsed="false">
      <c r="A4" s="7" t="s">
        <v>192</v>
      </c>
      <c r="B4" s="7" t="s">
        <v>193</v>
      </c>
      <c r="C4" s="7" t="s">
        <v>121</v>
      </c>
      <c r="D4" s="7" t="s">
        <v>120</v>
      </c>
      <c r="E4" s="7" t="s">
        <v>194</v>
      </c>
      <c r="F4" s="7" t="s">
        <v>37</v>
      </c>
      <c r="G4" s="7" t="s">
        <v>58</v>
      </c>
      <c r="H4" s="7" t="s">
        <v>72</v>
      </c>
    </row>
    <row r="5" customFormat="false" ht="15" hidden="false" customHeight="false" outlineLevel="0" collapsed="false">
      <c r="A5" s="30" t="s">
        <v>80</v>
      </c>
      <c r="B5" s="30" t="s">
        <v>195</v>
      </c>
      <c r="C5" s="30" t="s">
        <v>143</v>
      </c>
      <c r="D5" s="12" t="s">
        <v>196</v>
      </c>
      <c r="E5" s="30" t="n">
        <v>2</v>
      </c>
      <c r="F5" s="30" t="n">
        <v>1</v>
      </c>
      <c r="G5" s="12" t="str">
        <f aca="false">IF(E5&lt;F5,"CETAK","OK")</f>
        <v>OK</v>
      </c>
      <c r="H5" s="30" t="s">
        <v>197</v>
      </c>
    </row>
    <row r="6" customFormat="false" ht="15" hidden="false" customHeight="false" outlineLevel="0" collapsed="false">
      <c r="A6" s="30" t="s">
        <v>80</v>
      </c>
      <c r="B6" s="30" t="s">
        <v>198</v>
      </c>
      <c r="C6" s="30" t="s">
        <v>143</v>
      </c>
      <c r="D6" s="12" t="s">
        <v>199</v>
      </c>
      <c r="E6" s="30" t="n">
        <v>2</v>
      </c>
      <c r="F6" s="30" t="n">
        <v>1</v>
      </c>
      <c r="G6" s="12" t="str">
        <f aca="false">IF(E6&lt;F6,"CETAK","OK")</f>
        <v>OK</v>
      </c>
      <c r="H6" s="30" t="s">
        <v>197</v>
      </c>
    </row>
    <row r="7" customFormat="false" ht="15" hidden="false" customHeight="false" outlineLevel="0" collapsed="false">
      <c r="A7" s="30" t="s">
        <v>200</v>
      </c>
      <c r="B7" s="30" t="s">
        <v>201</v>
      </c>
      <c r="C7" s="30" t="s">
        <v>132</v>
      </c>
      <c r="D7" s="12" t="s">
        <v>202</v>
      </c>
      <c r="E7" s="30" t="n">
        <v>2</v>
      </c>
      <c r="F7" s="30" t="n">
        <v>1</v>
      </c>
      <c r="G7" s="12" t="str">
        <f aca="false">IF(E7&lt;F7,"CETAK","OK")</f>
        <v>OK</v>
      </c>
      <c r="H7" s="30" t="s">
        <v>197</v>
      </c>
    </row>
    <row r="8" customFormat="false" ht="15" hidden="false" customHeight="false" outlineLevel="0" collapsed="false">
      <c r="A8" s="30" t="s">
        <v>200</v>
      </c>
      <c r="B8" s="30" t="s">
        <v>201</v>
      </c>
      <c r="C8" s="30" t="s">
        <v>141</v>
      </c>
      <c r="D8" s="12" t="s">
        <v>203</v>
      </c>
      <c r="E8" s="30" t="n">
        <v>1</v>
      </c>
      <c r="F8" s="30" t="n">
        <v>1</v>
      </c>
      <c r="G8" s="12" t="str">
        <f aca="false">IF(E8&lt;F8,"CETAK","OK")</f>
        <v>OK</v>
      </c>
      <c r="H8" s="30" t="s">
        <v>197</v>
      </c>
    </row>
    <row r="9" customFormat="false" ht="15" hidden="false" customHeight="false" outlineLevel="0" collapsed="false">
      <c r="A9" s="30" t="s">
        <v>200</v>
      </c>
      <c r="B9" s="30" t="s">
        <v>204</v>
      </c>
      <c r="C9" s="30" t="s">
        <v>137</v>
      </c>
      <c r="D9" s="12" t="s">
        <v>205</v>
      </c>
      <c r="E9" s="30" t="n">
        <v>1</v>
      </c>
      <c r="F9" s="30" t="n">
        <v>1</v>
      </c>
      <c r="G9" s="12" t="str">
        <f aca="false">IF(E9&lt;F9,"CETAK","OK")</f>
        <v>OK</v>
      </c>
      <c r="H9" s="30" t="s">
        <v>197</v>
      </c>
    </row>
    <row r="10" customFormat="false" ht="15" hidden="false" customHeight="false" outlineLevel="0" collapsed="false">
      <c r="A10" s="30" t="s">
        <v>200</v>
      </c>
      <c r="B10" s="30" t="s">
        <v>206</v>
      </c>
      <c r="C10" s="30" t="s">
        <v>132</v>
      </c>
      <c r="D10" s="12" t="s">
        <v>207</v>
      </c>
      <c r="E10" s="30" t="n">
        <v>1</v>
      </c>
      <c r="F10" s="30" t="n">
        <v>1</v>
      </c>
      <c r="G10" s="12" t="str">
        <f aca="false">IF(E10&lt;F10,"CETAK","OK")</f>
        <v>OK</v>
      </c>
      <c r="H10" s="30" t="s">
        <v>197</v>
      </c>
    </row>
    <row r="11" customFormat="false" ht="15" hidden="false" customHeight="false" outlineLevel="0" collapsed="false">
      <c r="A11" s="30" t="s">
        <v>200</v>
      </c>
      <c r="B11" s="30" t="s">
        <v>208</v>
      </c>
      <c r="C11" s="30" t="s">
        <v>132</v>
      </c>
      <c r="D11" s="12" t="s">
        <v>209</v>
      </c>
      <c r="E11" s="30" t="n">
        <v>2</v>
      </c>
      <c r="F11" s="30" t="n">
        <v>1</v>
      </c>
      <c r="G11" s="12" t="str">
        <f aca="false">IF(E11&lt;F11,"CETAK","OK")</f>
        <v>OK</v>
      </c>
      <c r="H11" s="30" t="s">
        <v>197</v>
      </c>
    </row>
    <row r="12" customFormat="false" ht="15" hidden="false" customHeight="false" outlineLevel="0" collapsed="false">
      <c r="A12" s="30" t="s">
        <v>84</v>
      </c>
      <c r="B12" s="30" t="s">
        <v>210</v>
      </c>
      <c r="C12" s="30" t="s">
        <v>135</v>
      </c>
      <c r="D12" s="12" t="s">
        <v>211</v>
      </c>
      <c r="E12" s="30" t="n">
        <v>2</v>
      </c>
      <c r="F12" s="30" t="n">
        <v>1</v>
      </c>
      <c r="G12" s="12" t="str">
        <f aca="false">IF(E12&lt;F12,"CETAK","OK")</f>
        <v>OK</v>
      </c>
      <c r="H12" s="30" t="s">
        <v>197</v>
      </c>
    </row>
    <row r="13" customFormat="false" ht="15" hidden="false" customHeight="false" outlineLevel="0" collapsed="false">
      <c r="A13" s="30" t="s">
        <v>84</v>
      </c>
      <c r="B13" s="30" t="s">
        <v>212</v>
      </c>
      <c r="C13" s="30" t="s">
        <v>137</v>
      </c>
      <c r="D13" s="12" t="s">
        <v>213</v>
      </c>
      <c r="E13" s="30" t="n">
        <v>1</v>
      </c>
      <c r="F13" s="30" t="n">
        <v>1</v>
      </c>
      <c r="G13" s="12" t="str">
        <f aca="false">IF(E13&lt;F13,"CETAK","OK")</f>
        <v>OK</v>
      </c>
      <c r="H13" s="30" t="s">
        <v>197</v>
      </c>
    </row>
    <row r="14" customFormat="false" ht="15" hidden="false" customHeight="false" outlineLevel="0" collapsed="false">
      <c r="A14" s="28"/>
      <c r="B14" s="28"/>
      <c r="C14" s="28"/>
      <c r="D14" s="27"/>
      <c r="E14" s="28"/>
      <c r="F14" s="28"/>
      <c r="G14" s="12" t="str">
        <f aca="false">IF(A14="","",IF(E14&lt;F14,"CETAK","OK"))</f>
        <v/>
      </c>
      <c r="H14" s="28"/>
    </row>
    <row r="15" customFormat="false" ht="15" hidden="false" customHeight="false" outlineLevel="0" collapsed="false">
      <c r="A15" s="28"/>
      <c r="B15" s="28"/>
      <c r="C15" s="28"/>
      <c r="D15" s="27"/>
      <c r="E15" s="28"/>
      <c r="F15" s="28"/>
      <c r="G15" s="12" t="str">
        <f aca="false">IF(A15="","",IF(E15&lt;F15,"CETAK","OK"))</f>
        <v/>
      </c>
      <c r="H15" s="28"/>
    </row>
    <row r="16" customFormat="false" ht="15" hidden="false" customHeight="false" outlineLevel="0" collapsed="false">
      <c r="A16" s="28"/>
      <c r="B16" s="28"/>
      <c r="C16" s="28"/>
      <c r="D16" s="27"/>
      <c r="E16" s="28"/>
      <c r="F16" s="28"/>
      <c r="G16" s="12" t="str">
        <f aca="false">IF(A16="","",IF(E16&lt;F16,"CETAK","OK"))</f>
        <v/>
      </c>
      <c r="H16" s="28"/>
    </row>
    <row r="17" customFormat="false" ht="15" hidden="false" customHeight="false" outlineLevel="0" collapsed="false">
      <c r="A17" s="28"/>
      <c r="B17" s="28"/>
      <c r="C17" s="28"/>
      <c r="D17" s="27"/>
      <c r="E17" s="28"/>
      <c r="F17" s="28"/>
      <c r="G17" s="12" t="str">
        <f aca="false">IF(A17="","",IF(E17&lt;F17,"CETAK","OK"))</f>
        <v/>
      </c>
      <c r="H17" s="28"/>
    </row>
    <row r="18" customFormat="false" ht="15" hidden="false" customHeight="false" outlineLevel="0" collapsed="false">
      <c r="A18" s="28"/>
      <c r="B18" s="28"/>
      <c r="C18" s="28"/>
      <c r="D18" s="27"/>
      <c r="E18" s="28"/>
      <c r="F18" s="28"/>
      <c r="G18" s="12" t="str">
        <f aca="false">IF(A18="","",IF(E18&lt;F18,"CETAK","OK"))</f>
        <v/>
      </c>
      <c r="H18" s="28"/>
    </row>
    <row r="19" customFormat="false" ht="15" hidden="false" customHeight="false" outlineLevel="0" collapsed="false">
      <c r="A19" s="28"/>
      <c r="B19" s="28"/>
      <c r="C19" s="28"/>
      <c r="D19" s="27"/>
      <c r="E19" s="28"/>
      <c r="F19" s="28"/>
      <c r="G19" s="12" t="str">
        <f aca="false">IF(A19="","",IF(E19&lt;F19,"CETAK","OK"))</f>
        <v/>
      </c>
      <c r="H19" s="28"/>
    </row>
    <row r="20" customFormat="false" ht="15" hidden="false" customHeight="false" outlineLevel="0" collapsed="false">
      <c r="A20" s="28"/>
      <c r="B20" s="28"/>
      <c r="C20" s="28"/>
      <c r="D20" s="27"/>
      <c r="E20" s="28"/>
      <c r="F20" s="28"/>
      <c r="G20" s="12" t="str">
        <f aca="false">IF(A20="","",IF(E20&lt;F20,"CETAK","OK"))</f>
        <v/>
      </c>
      <c r="H20" s="28"/>
    </row>
    <row r="21" customFormat="false" ht="15" hidden="false" customHeight="false" outlineLevel="0" collapsed="false">
      <c r="A21" s="28"/>
      <c r="B21" s="28"/>
      <c r="C21" s="28"/>
      <c r="D21" s="27"/>
      <c r="E21" s="28"/>
      <c r="F21" s="28"/>
      <c r="G21" s="12" t="str">
        <f aca="false">IF(A21="","",IF(E21&lt;F21,"CETAK","OK"))</f>
        <v/>
      </c>
      <c r="H21" s="28"/>
    </row>
    <row r="22" customFormat="false" ht="15" hidden="false" customHeight="false" outlineLevel="0" collapsed="false">
      <c r="A22" s="28"/>
      <c r="B22" s="28"/>
      <c r="C22" s="28"/>
      <c r="D22" s="27"/>
      <c r="E22" s="28"/>
      <c r="F22" s="28"/>
      <c r="G22" s="12" t="str">
        <f aca="false">IF(A22="","",IF(E22&lt;F22,"CETAK","OK"))</f>
        <v/>
      </c>
      <c r="H22" s="28"/>
    </row>
    <row r="23" customFormat="false" ht="15" hidden="false" customHeight="false" outlineLevel="0" collapsed="false">
      <c r="A23" s="28"/>
      <c r="B23" s="28"/>
      <c r="C23" s="28"/>
      <c r="D23" s="27"/>
      <c r="E23" s="28"/>
      <c r="F23" s="28"/>
      <c r="G23" s="12" t="str">
        <f aca="false">IF(A23="","",IF(E23&lt;F23,"CETAK","OK"))</f>
        <v/>
      </c>
      <c r="H23" s="28"/>
    </row>
    <row r="24" customFormat="false" ht="15" hidden="false" customHeight="false" outlineLevel="0" collapsed="false">
      <c r="A24" s="28"/>
      <c r="B24" s="28"/>
      <c r="C24" s="28"/>
      <c r="D24" s="27"/>
      <c r="E24" s="28"/>
      <c r="F24" s="28"/>
      <c r="G24" s="12" t="str">
        <f aca="false">IF(A24="","",IF(E24&lt;F24,"CETAK","OK"))</f>
        <v/>
      </c>
      <c r="H24" s="28"/>
    </row>
    <row r="25" customFormat="false" ht="15" hidden="false" customHeight="false" outlineLevel="0" collapsed="false">
      <c r="A25" s="28"/>
      <c r="B25" s="28"/>
      <c r="C25" s="28"/>
      <c r="D25" s="27"/>
      <c r="E25" s="28"/>
      <c r="F25" s="28"/>
      <c r="G25" s="12" t="str">
        <f aca="false">IF(A25="","",IF(E25&lt;F25,"CETAK","OK"))</f>
        <v/>
      </c>
      <c r="H25" s="28"/>
    </row>
    <row r="26" customFormat="false" ht="15" hidden="false" customHeight="false" outlineLevel="0" collapsed="false">
      <c r="A26" s="28"/>
      <c r="B26" s="28"/>
      <c r="C26" s="28"/>
      <c r="D26" s="27"/>
      <c r="E26" s="28"/>
      <c r="F26" s="28"/>
      <c r="G26" s="12" t="str">
        <f aca="false">IF(A26="","",IF(E26&lt;F26,"CETAK","OK"))</f>
        <v/>
      </c>
      <c r="H26" s="28"/>
    </row>
    <row r="27" customFormat="false" ht="15" hidden="false" customHeight="false" outlineLevel="0" collapsed="false">
      <c r="A27" s="28"/>
      <c r="B27" s="28"/>
      <c r="C27" s="28"/>
      <c r="D27" s="27"/>
      <c r="E27" s="28"/>
      <c r="F27" s="28"/>
      <c r="G27" s="12" t="str">
        <f aca="false">IF(A27="","",IF(E27&lt;F27,"CETAK","OK"))</f>
        <v/>
      </c>
      <c r="H27" s="28"/>
    </row>
    <row r="28" customFormat="false" ht="15" hidden="false" customHeight="false" outlineLevel="0" collapsed="false">
      <c r="A28" s="28"/>
      <c r="B28" s="28"/>
      <c r="C28" s="28"/>
      <c r="D28" s="27"/>
      <c r="E28" s="28"/>
      <c r="F28" s="28"/>
      <c r="G28" s="12" t="str">
        <f aca="false">IF(A28="","",IF(E28&lt;F28,"CETAK","OK"))</f>
        <v/>
      </c>
      <c r="H28" s="28"/>
    </row>
    <row r="29" customFormat="false" ht="15" hidden="false" customHeight="false" outlineLevel="0" collapsed="false">
      <c r="A29" s="28"/>
      <c r="B29" s="28"/>
      <c r="C29" s="28"/>
      <c r="D29" s="27"/>
      <c r="E29" s="28"/>
      <c r="F29" s="28"/>
      <c r="G29" s="12" t="str">
        <f aca="false">IF(A29="","",IF(E29&lt;F29,"CETAK","OK"))</f>
        <v/>
      </c>
      <c r="H29" s="28"/>
    </row>
    <row r="30" customFormat="false" ht="15" hidden="false" customHeight="false" outlineLevel="0" collapsed="false">
      <c r="A30" s="28"/>
      <c r="B30" s="28"/>
      <c r="C30" s="28"/>
      <c r="D30" s="27"/>
      <c r="E30" s="28"/>
      <c r="F30" s="28"/>
      <c r="G30" s="12" t="str">
        <f aca="false">IF(A30="","",IF(E30&lt;F30,"CETAK","OK"))</f>
        <v/>
      </c>
      <c r="H30" s="28"/>
    </row>
    <row r="31" customFormat="false" ht="15" hidden="false" customHeight="false" outlineLevel="0" collapsed="false">
      <c r="A31" s="28"/>
      <c r="B31" s="28"/>
      <c r="C31" s="28"/>
      <c r="D31" s="27"/>
      <c r="E31" s="28"/>
      <c r="F31" s="28"/>
      <c r="G31" s="12" t="str">
        <f aca="false">IF(A31="","",IF(E31&lt;F31,"CETAK","OK"))</f>
        <v/>
      </c>
      <c r="H31" s="28"/>
    </row>
    <row r="32" customFormat="false" ht="15" hidden="false" customHeight="false" outlineLevel="0" collapsed="false">
      <c r="A32" s="28"/>
      <c r="B32" s="28"/>
      <c r="C32" s="28"/>
      <c r="D32" s="27"/>
      <c r="E32" s="28"/>
      <c r="F32" s="28"/>
      <c r="G32" s="12" t="str">
        <f aca="false">IF(A32="","",IF(E32&lt;F32,"CETAK","OK"))</f>
        <v/>
      </c>
      <c r="H32" s="28"/>
    </row>
    <row r="33" customFormat="false" ht="15" hidden="false" customHeight="false" outlineLevel="0" collapsed="false">
      <c r="A33" s="28"/>
      <c r="B33" s="28"/>
      <c r="C33" s="28"/>
      <c r="D33" s="27"/>
      <c r="E33" s="28"/>
      <c r="F33" s="28"/>
      <c r="G33" s="12" t="str">
        <f aca="false">IF(A33="","",IF(E33&lt;F33,"CETAK","OK"))</f>
        <v/>
      </c>
      <c r="H33" s="28"/>
    </row>
    <row r="34" customFormat="false" ht="15" hidden="false" customHeight="false" outlineLevel="0" collapsed="false">
      <c r="A34" s="28"/>
      <c r="B34" s="28"/>
      <c r="C34" s="28"/>
      <c r="D34" s="27"/>
      <c r="E34" s="28"/>
      <c r="F34" s="28"/>
      <c r="G34" s="12" t="str">
        <f aca="false">IF(A34="","",IF(E34&lt;F34,"CETAK","OK"))</f>
        <v/>
      </c>
      <c r="H34" s="28"/>
    </row>
    <row r="35" customFormat="false" ht="15" hidden="false" customHeight="false" outlineLevel="0" collapsed="false">
      <c r="A35" s="28"/>
      <c r="B35" s="28"/>
      <c r="C35" s="28"/>
      <c r="D35" s="27"/>
      <c r="E35" s="28"/>
      <c r="F35" s="28"/>
      <c r="G35" s="12" t="str">
        <f aca="false">IF(A35="","",IF(E35&lt;F35,"CETAK","OK"))</f>
        <v/>
      </c>
      <c r="H35" s="28"/>
    </row>
    <row r="36" customFormat="false" ht="15" hidden="false" customHeight="false" outlineLevel="0" collapsed="false">
      <c r="A36" s="28"/>
      <c r="B36" s="28"/>
      <c r="C36" s="28"/>
      <c r="D36" s="27"/>
      <c r="E36" s="28"/>
      <c r="F36" s="28"/>
      <c r="G36" s="12" t="str">
        <f aca="false">IF(A36="","",IF(E36&lt;F36,"CETAK","OK"))</f>
        <v/>
      </c>
      <c r="H36" s="28"/>
    </row>
    <row r="37" customFormat="false" ht="15" hidden="false" customHeight="false" outlineLevel="0" collapsed="false">
      <c r="A37" s="28"/>
      <c r="B37" s="28"/>
      <c r="C37" s="28"/>
      <c r="D37" s="27"/>
      <c r="E37" s="28"/>
      <c r="F37" s="28"/>
      <c r="G37" s="12" t="str">
        <f aca="false">IF(A37="","",IF(E37&lt;F37,"CETAK","OK"))</f>
        <v/>
      </c>
      <c r="H37" s="28"/>
    </row>
    <row r="38" customFormat="false" ht="15" hidden="false" customHeight="false" outlineLevel="0" collapsed="false">
      <c r="A38" s="28"/>
      <c r="B38" s="28"/>
      <c r="C38" s="28"/>
      <c r="D38" s="27"/>
      <c r="E38" s="28"/>
      <c r="F38" s="28"/>
      <c r="G38" s="12" t="str">
        <f aca="false">IF(A38="","",IF(E38&lt;F38,"CETAK","OK"))</f>
        <v/>
      </c>
      <c r="H38" s="28"/>
    </row>
    <row r="39" customFormat="false" ht="15" hidden="false" customHeight="false" outlineLevel="0" collapsed="false">
      <c r="A39" s="28"/>
      <c r="B39" s="28"/>
      <c r="C39" s="28"/>
      <c r="D39" s="27"/>
      <c r="E39" s="28"/>
      <c r="F39" s="28"/>
      <c r="G39" s="12" t="str">
        <f aca="false">IF(A39="","",IF(E39&lt;F39,"CETAK","OK"))</f>
        <v/>
      </c>
      <c r="H39" s="28"/>
    </row>
    <row r="40" customFormat="false" ht="15" hidden="false" customHeight="false" outlineLevel="0" collapsed="false">
      <c r="A40" s="28"/>
      <c r="B40" s="28"/>
      <c r="C40" s="28"/>
      <c r="D40" s="27"/>
      <c r="E40" s="28"/>
      <c r="F40" s="28"/>
      <c r="G40" s="12" t="str">
        <f aca="false">IF(A40="","",IF(E40&lt;F40,"CETAK","OK"))</f>
        <v/>
      </c>
      <c r="H40" s="28"/>
    </row>
    <row r="41" customFormat="false" ht="15" hidden="false" customHeight="false" outlineLevel="0" collapsed="false">
      <c r="A41" s="28"/>
      <c r="B41" s="28"/>
      <c r="C41" s="28"/>
      <c r="D41" s="27"/>
      <c r="E41" s="28"/>
      <c r="F41" s="28"/>
      <c r="G41" s="12" t="str">
        <f aca="false">IF(A41="","",IF(E41&lt;F41,"CETAK","OK"))</f>
        <v/>
      </c>
      <c r="H41" s="28"/>
    </row>
    <row r="42" customFormat="false" ht="15" hidden="false" customHeight="false" outlineLevel="0" collapsed="false">
      <c r="A42" s="28"/>
      <c r="B42" s="28"/>
      <c r="C42" s="28"/>
      <c r="D42" s="27"/>
      <c r="E42" s="28"/>
      <c r="F42" s="28"/>
      <c r="G42" s="12" t="str">
        <f aca="false">IF(A42="","",IF(E42&lt;F42,"CETAK","OK"))</f>
        <v/>
      </c>
      <c r="H42" s="28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3" t="s">
        <v>214</v>
      </c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19" t="s">
        <v>148</v>
      </c>
      <c r="B46" s="29" t="s">
        <v>149</v>
      </c>
      <c r="C46" s="2"/>
      <c r="D46" s="2"/>
      <c r="E46" s="2"/>
      <c r="F46" s="2"/>
      <c r="G46" s="2"/>
      <c r="H46" s="2"/>
    </row>
  </sheetData>
  <conditionalFormatting sqref="G5:G42">
    <cfRule type="cellIs" priority="2" operator="equal" aboveAverage="0" equalAverage="0" bottom="0" percent="0" rank="0" text="" dxfId="4">
      <formula>"CETAK"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B4DE"/>
    <pageSetUpPr fitToPage="false"/>
  </sheetPr>
  <dimension ref="A1:I2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44"/>
    <col collapsed="false" customWidth="true" hidden="false" outlineLevel="0" max="9" min="9" style="0" width="9"/>
  </cols>
  <sheetData>
    <row r="1" customFormat="false" ht="30" hidden="false" customHeight="true" outlineLevel="0" collapsed="false">
      <c r="A1" s="7" t="s">
        <v>57</v>
      </c>
      <c r="B1" s="7" t="s">
        <v>215</v>
      </c>
      <c r="C1" s="7" t="s">
        <v>216</v>
      </c>
      <c r="D1" s="7" t="s">
        <v>217</v>
      </c>
      <c r="E1" s="7" t="s">
        <v>218</v>
      </c>
      <c r="F1" s="7" t="s">
        <v>153</v>
      </c>
      <c r="G1" s="7" t="s">
        <v>219</v>
      </c>
      <c r="H1" s="7" t="s">
        <v>220</v>
      </c>
      <c r="I1" s="7" t="s">
        <v>2</v>
      </c>
    </row>
    <row r="2" customFormat="false" ht="15" hidden="false" customHeight="false" outlineLevel="0" collapsed="false">
      <c r="A2" s="20" t="n">
        <v>45928</v>
      </c>
      <c r="B2" s="19" t="s">
        <v>156</v>
      </c>
      <c r="C2" s="19" t="s">
        <v>12</v>
      </c>
      <c r="D2" s="19" t="s">
        <v>142</v>
      </c>
      <c r="E2" s="19" t="n">
        <v>1000</v>
      </c>
      <c r="F2" s="19" t="s">
        <v>221</v>
      </c>
      <c r="G2" s="21" t="n">
        <v>185000</v>
      </c>
      <c r="H2" s="19" t="s">
        <v>222</v>
      </c>
      <c r="I2" s="23" t="str">
        <f aca="false">IF(A2="","",TEXT(A2,"yyyy-mm"))</f>
        <v>2025-09</v>
      </c>
    </row>
    <row r="3" customFormat="false" ht="15" hidden="false" customHeight="false" outlineLevel="0" collapsed="false">
      <c r="A3" s="20" t="n">
        <v>45928</v>
      </c>
      <c r="B3" s="19" t="s">
        <v>156</v>
      </c>
      <c r="C3" s="19" t="s">
        <v>12</v>
      </c>
      <c r="D3" s="19" t="s">
        <v>144</v>
      </c>
      <c r="E3" s="19" t="n">
        <v>1000</v>
      </c>
      <c r="F3" s="19" t="s">
        <v>221</v>
      </c>
      <c r="G3" s="21" t="n">
        <v>185000</v>
      </c>
      <c r="H3" s="19" t="s">
        <v>223</v>
      </c>
      <c r="I3" s="23" t="str">
        <f aca="false">IF(A3="","",TEXT(A3,"yyyy-mm"))</f>
        <v>2025-09</v>
      </c>
    </row>
    <row r="4" customFormat="false" ht="15" hidden="false" customHeight="false" outlineLevel="0" collapsed="false">
      <c r="A4" s="20" t="n">
        <v>45928</v>
      </c>
      <c r="B4" s="19" t="s">
        <v>156</v>
      </c>
      <c r="C4" s="19" t="s">
        <v>12</v>
      </c>
      <c r="D4" s="19" t="s">
        <v>131</v>
      </c>
      <c r="E4" s="19" t="n">
        <v>1000</v>
      </c>
      <c r="F4" s="19" t="s">
        <v>221</v>
      </c>
      <c r="G4" s="21" t="n">
        <v>185000</v>
      </c>
      <c r="H4" s="19" t="s">
        <v>223</v>
      </c>
      <c r="I4" s="23" t="str">
        <f aca="false">IF(A4="","",TEXT(A4,"yyyy-mm"))</f>
        <v>2025-09</v>
      </c>
    </row>
    <row r="5" customFormat="false" ht="15" hidden="false" customHeight="false" outlineLevel="0" collapsed="false">
      <c r="A5" s="20" t="n">
        <v>45928</v>
      </c>
      <c r="B5" s="19" t="s">
        <v>156</v>
      </c>
      <c r="C5" s="19" t="s">
        <v>12</v>
      </c>
      <c r="D5" s="19" t="s">
        <v>134</v>
      </c>
      <c r="E5" s="19" t="n">
        <v>1000</v>
      </c>
      <c r="F5" s="19" t="s">
        <v>221</v>
      </c>
      <c r="G5" s="21" t="n">
        <v>185000</v>
      </c>
      <c r="H5" s="19" t="s">
        <v>223</v>
      </c>
      <c r="I5" s="23" t="str">
        <f aca="false">IF(A5="","",TEXT(A5,"yyyy-mm"))</f>
        <v>2025-09</v>
      </c>
    </row>
    <row r="6" customFormat="false" ht="15" hidden="false" customHeight="false" outlineLevel="0" collapsed="false">
      <c r="A6" s="20" t="n">
        <v>45928</v>
      </c>
      <c r="B6" s="19" t="s">
        <v>156</v>
      </c>
      <c r="C6" s="19" t="s">
        <v>12</v>
      </c>
      <c r="D6" s="19" t="s">
        <v>136</v>
      </c>
      <c r="E6" s="19" t="n">
        <v>1000</v>
      </c>
      <c r="F6" s="19" t="s">
        <v>221</v>
      </c>
      <c r="G6" s="21" t="n">
        <v>185000</v>
      </c>
      <c r="H6" s="19" t="s">
        <v>223</v>
      </c>
      <c r="I6" s="23" t="str">
        <f aca="false">IF(A6="","",TEXT(A6,"yyyy-mm"))</f>
        <v>2025-09</v>
      </c>
    </row>
    <row r="7" customFormat="false" ht="15" hidden="false" customHeight="false" outlineLevel="0" collapsed="false">
      <c r="A7" s="20" t="n">
        <v>45928</v>
      </c>
      <c r="B7" s="19" t="s">
        <v>156</v>
      </c>
      <c r="C7" s="19" t="s">
        <v>12</v>
      </c>
      <c r="D7" s="19" t="s">
        <v>138</v>
      </c>
      <c r="E7" s="19" t="n">
        <v>1000</v>
      </c>
      <c r="F7" s="19" t="s">
        <v>221</v>
      </c>
      <c r="G7" s="21" t="n">
        <v>185000</v>
      </c>
      <c r="H7" s="19" t="s">
        <v>223</v>
      </c>
      <c r="I7" s="23" t="str">
        <f aca="false">IF(A7="","",TEXT(A7,"yyyy-mm"))</f>
        <v>2025-09</v>
      </c>
    </row>
    <row r="8" customFormat="false" ht="15" hidden="false" customHeight="false" outlineLevel="0" collapsed="false">
      <c r="A8" s="20" t="n">
        <v>45928</v>
      </c>
      <c r="B8" s="19" t="s">
        <v>156</v>
      </c>
      <c r="C8" s="19" t="s">
        <v>12</v>
      </c>
      <c r="D8" s="19" t="s">
        <v>140</v>
      </c>
      <c r="E8" s="19" t="n">
        <v>1000</v>
      </c>
      <c r="F8" s="19" t="s">
        <v>221</v>
      </c>
      <c r="G8" s="21" t="n">
        <v>185000</v>
      </c>
      <c r="H8" s="19" t="s">
        <v>223</v>
      </c>
      <c r="I8" s="23" t="str">
        <f aca="false">IF(A8="","",TEXT(A8,"yyyy-mm"))</f>
        <v>2025-09</v>
      </c>
    </row>
    <row r="9" customFormat="false" ht="15" hidden="false" customHeight="false" outlineLevel="0" collapsed="false">
      <c r="A9" s="20" t="n">
        <v>45935</v>
      </c>
      <c r="B9" s="19" t="s">
        <v>224</v>
      </c>
      <c r="C9" s="19" t="s">
        <v>12</v>
      </c>
      <c r="D9" s="19" t="s">
        <v>136</v>
      </c>
      <c r="E9" s="19" t="n">
        <v>90</v>
      </c>
      <c r="F9" s="19" t="s">
        <v>221</v>
      </c>
      <c r="G9" s="21"/>
      <c r="H9" s="19" t="s">
        <v>225</v>
      </c>
      <c r="I9" s="23" t="str">
        <f aca="false">IF(A9="","",TEXT(A9,"yyyy-mm"))</f>
        <v>2025-10</v>
      </c>
    </row>
    <row r="10" customFormat="false" ht="15" hidden="false" customHeight="false" outlineLevel="0" collapsed="false">
      <c r="A10" s="20" t="n">
        <v>45929</v>
      </c>
      <c r="B10" s="19" t="s">
        <v>156</v>
      </c>
      <c r="C10" s="19" t="s">
        <v>35</v>
      </c>
      <c r="D10" s="19" t="s">
        <v>163</v>
      </c>
      <c r="E10" s="19" t="n">
        <v>50</v>
      </c>
      <c r="F10" s="19" t="s">
        <v>164</v>
      </c>
      <c r="G10" s="21" t="n">
        <v>600000</v>
      </c>
      <c r="H10" s="19" t="s">
        <v>223</v>
      </c>
      <c r="I10" s="23" t="str">
        <f aca="false">IF(A10="","",TEXT(A10,"yyyy-mm"))</f>
        <v>2025-09</v>
      </c>
    </row>
    <row r="11" customFormat="false" ht="15" hidden="false" customHeight="false" outlineLevel="0" collapsed="false">
      <c r="A11" s="20" t="n">
        <v>45929</v>
      </c>
      <c r="B11" s="19" t="s">
        <v>156</v>
      </c>
      <c r="C11" s="19" t="s">
        <v>35</v>
      </c>
      <c r="D11" s="19" t="s">
        <v>167</v>
      </c>
      <c r="E11" s="19" t="n">
        <v>50</v>
      </c>
      <c r="F11" s="19" t="s">
        <v>168</v>
      </c>
      <c r="G11" s="21" t="n">
        <v>200000</v>
      </c>
      <c r="H11" s="19" t="s">
        <v>223</v>
      </c>
      <c r="I11" s="23" t="str">
        <f aca="false">IF(A11="","",TEXT(A11,"yyyy-mm"))</f>
        <v>2025-09</v>
      </c>
    </row>
    <row r="12" customFormat="false" ht="15" hidden="false" customHeight="false" outlineLevel="0" collapsed="false">
      <c r="A12" s="20" t="n">
        <v>45929</v>
      </c>
      <c r="B12" s="19" t="s">
        <v>156</v>
      </c>
      <c r="C12" s="19" t="s">
        <v>35</v>
      </c>
      <c r="D12" s="19" t="s">
        <v>178</v>
      </c>
      <c r="E12" s="19" t="n">
        <v>10</v>
      </c>
      <c r="F12" s="19" t="s">
        <v>164</v>
      </c>
      <c r="G12" s="21" t="n">
        <v>350000</v>
      </c>
      <c r="H12" s="19" t="s">
        <v>223</v>
      </c>
      <c r="I12" s="23" t="str">
        <f aca="false">IF(A12="","",TEXT(A12,"yyyy-mm"))</f>
        <v>2025-09</v>
      </c>
    </row>
    <row r="13" customFormat="false" ht="15" hidden="false" customHeight="false" outlineLevel="0" collapsed="false">
      <c r="A13" s="20" t="n">
        <v>45929</v>
      </c>
      <c r="B13" s="19" t="s">
        <v>156</v>
      </c>
      <c r="C13" s="19" t="s">
        <v>35</v>
      </c>
      <c r="D13" s="19" t="s">
        <v>181</v>
      </c>
      <c r="E13" s="19" t="n">
        <v>10</v>
      </c>
      <c r="F13" s="19" t="s">
        <v>164</v>
      </c>
      <c r="G13" s="21" t="n">
        <v>150000</v>
      </c>
      <c r="H13" s="19" t="s">
        <v>223</v>
      </c>
      <c r="I13" s="23" t="str">
        <f aca="false">IF(A13="","",TEXT(A13,"yyyy-mm"))</f>
        <v>2025-09</v>
      </c>
    </row>
    <row r="14" customFormat="false" ht="15" hidden="false" customHeight="false" outlineLevel="0" collapsed="false">
      <c r="A14" s="20" t="n">
        <v>45929</v>
      </c>
      <c r="B14" s="19" t="s">
        <v>156</v>
      </c>
      <c r="C14" s="19" t="s">
        <v>35</v>
      </c>
      <c r="D14" s="19" t="s">
        <v>170</v>
      </c>
      <c r="E14" s="19" t="n">
        <v>100</v>
      </c>
      <c r="F14" s="19" t="s">
        <v>164</v>
      </c>
      <c r="G14" s="21" t="n">
        <v>60000</v>
      </c>
      <c r="H14" s="19" t="s">
        <v>223</v>
      </c>
      <c r="I14" s="23" t="str">
        <f aca="false">IF(A14="","",TEXT(A14,"yyyy-mm"))</f>
        <v>2025-09</v>
      </c>
    </row>
    <row r="15" customFormat="false" ht="15" hidden="false" customHeight="false" outlineLevel="0" collapsed="false">
      <c r="A15" s="20" t="n">
        <v>45929</v>
      </c>
      <c r="B15" s="19" t="s">
        <v>156</v>
      </c>
      <c r="C15" s="19" t="s">
        <v>35</v>
      </c>
      <c r="D15" s="19" t="s">
        <v>172</v>
      </c>
      <c r="E15" s="19" t="n">
        <v>100</v>
      </c>
      <c r="F15" s="19" t="s">
        <v>173</v>
      </c>
      <c r="G15" s="21" t="n">
        <v>50000</v>
      </c>
      <c r="H15" s="19" t="s">
        <v>223</v>
      </c>
      <c r="I15" s="23" t="str">
        <f aca="false">IF(A15="","",TEXT(A15,"yyyy-mm"))</f>
        <v>2025-09</v>
      </c>
    </row>
    <row r="16" customFormat="false" ht="15" hidden="false" customHeight="false" outlineLevel="0" collapsed="false">
      <c r="A16" s="20" t="n">
        <v>45929</v>
      </c>
      <c r="B16" s="19" t="s">
        <v>156</v>
      </c>
      <c r="C16" s="19" t="s">
        <v>35</v>
      </c>
      <c r="D16" s="19" t="s">
        <v>175</v>
      </c>
      <c r="E16" s="19" t="n">
        <v>20</v>
      </c>
      <c r="F16" s="19" t="s">
        <v>176</v>
      </c>
      <c r="G16" s="21" t="n">
        <v>60000</v>
      </c>
      <c r="H16" s="19" t="s">
        <v>223</v>
      </c>
      <c r="I16" s="23" t="str">
        <f aca="false">IF(A16="","",TEXT(A16,"yyyy-mm"))</f>
        <v>2025-09</v>
      </c>
    </row>
    <row r="17" customFormat="false" ht="15" hidden="false" customHeight="false" outlineLevel="0" collapsed="false">
      <c r="A17" s="20" t="n">
        <v>45929</v>
      </c>
      <c r="B17" s="19" t="s">
        <v>156</v>
      </c>
      <c r="C17" s="19" t="s">
        <v>35</v>
      </c>
      <c r="D17" s="19" t="s">
        <v>184</v>
      </c>
      <c r="E17" s="19" t="n">
        <v>20</v>
      </c>
      <c r="F17" s="19" t="s">
        <v>164</v>
      </c>
      <c r="G17" s="21" t="n">
        <v>100000</v>
      </c>
      <c r="H17" s="19" t="s">
        <v>223</v>
      </c>
      <c r="I17" s="23" t="str">
        <f aca="false">IF(A17="","",TEXT(A17,"yyyy-mm"))</f>
        <v>2025-09</v>
      </c>
    </row>
    <row r="18" customFormat="false" ht="15" hidden="false" customHeight="false" outlineLevel="0" collapsed="false">
      <c r="A18" s="20" t="n">
        <v>45929</v>
      </c>
      <c r="B18" s="19" t="s">
        <v>156</v>
      </c>
      <c r="C18" s="19" t="s">
        <v>35</v>
      </c>
      <c r="D18" s="19" t="s">
        <v>186</v>
      </c>
      <c r="E18" s="19" t="n">
        <v>5</v>
      </c>
      <c r="F18" s="19" t="s">
        <v>164</v>
      </c>
      <c r="G18" s="21" t="n">
        <v>75000</v>
      </c>
      <c r="H18" s="19" t="s">
        <v>223</v>
      </c>
      <c r="I18" s="23" t="str">
        <f aca="false">IF(A18="","",TEXT(A18,"yyyy-mm"))</f>
        <v>2025-09</v>
      </c>
    </row>
    <row r="19" customFormat="false" ht="15" hidden="false" customHeight="false" outlineLevel="0" collapsed="false">
      <c r="A19" s="20"/>
      <c r="B19" s="19"/>
      <c r="C19" s="19"/>
      <c r="D19" s="19"/>
      <c r="E19" s="19"/>
      <c r="F19" s="19"/>
      <c r="G19" s="21"/>
      <c r="H19" s="19"/>
      <c r="I19" s="23" t="str">
        <f aca="false">IF(A19="","",TEXT(A19,"yyyy-mm"))</f>
        <v/>
      </c>
    </row>
    <row r="20" customFormat="false" ht="15" hidden="false" customHeight="false" outlineLevel="0" collapsed="false">
      <c r="A20" s="20"/>
      <c r="B20" s="19"/>
      <c r="C20" s="19"/>
      <c r="D20" s="19"/>
      <c r="E20" s="19"/>
      <c r="F20" s="19"/>
      <c r="G20" s="21"/>
      <c r="H20" s="19"/>
      <c r="I20" s="23" t="str">
        <f aca="false">IF(A20="","",TEXT(A20,"yyyy-mm"))</f>
        <v/>
      </c>
    </row>
    <row r="21" customFormat="false" ht="15" hidden="false" customHeight="false" outlineLevel="0" collapsed="false">
      <c r="A21" s="20"/>
      <c r="B21" s="19"/>
      <c r="C21" s="19"/>
      <c r="D21" s="19"/>
      <c r="E21" s="19"/>
      <c r="F21" s="19"/>
      <c r="G21" s="21"/>
      <c r="H21" s="19"/>
      <c r="I21" s="23" t="str">
        <f aca="false">IF(A21="","",TEXT(A21,"yyyy-mm"))</f>
        <v/>
      </c>
    </row>
    <row r="22" customFormat="false" ht="15" hidden="false" customHeight="false" outlineLevel="0" collapsed="false">
      <c r="A22" s="20"/>
      <c r="B22" s="19"/>
      <c r="C22" s="19"/>
      <c r="D22" s="19"/>
      <c r="E22" s="19"/>
      <c r="F22" s="19"/>
      <c r="G22" s="21"/>
      <c r="H22" s="19"/>
      <c r="I22" s="23" t="str">
        <f aca="false">IF(A22="","",TEXT(A22,"yyyy-mm"))</f>
        <v/>
      </c>
    </row>
    <row r="23" customFormat="false" ht="15" hidden="false" customHeight="false" outlineLevel="0" collapsed="false">
      <c r="A23" s="20"/>
      <c r="B23" s="19"/>
      <c r="C23" s="19"/>
      <c r="D23" s="19"/>
      <c r="E23" s="19"/>
      <c r="F23" s="19"/>
      <c r="G23" s="21"/>
      <c r="H23" s="19"/>
      <c r="I23" s="23" t="str">
        <f aca="false">IF(A23="","",TEXT(A23,"yyyy-mm"))</f>
        <v/>
      </c>
    </row>
    <row r="24" customFormat="false" ht="15" hidden="false" customHeight="false" outlineLevel="0" collapsed="false">
      <c r="A24" s="20"/>
      <c r="B24" s="19"/>
      <c r="C24" s="19"/>
      <c r="D24" s="19"/>
      <c r="E24" s="19"/>
      <c r="F24" s="19"/>
      <c r="G24" s="21"/>
      <c r="H24" s="19"/>
      <c r="I24" s="23" t="str">
        <f aca="false">IF(A24="","",TEXT(A24,"yyyy-mm"))</f>
        <v/>
      </c>
    </row>
    <row r="25" customFormat="false" ht="15" hidden="false" customHeight="false" outlineLevel="0" collapsed="false">
      <c r="A25" s="20"/>
      <c r="B25" s="19"/>
      <c r="C25" s="19"/>
      <c r="D25" s="19"/>
      <c r="E25" s="19"/>
      <c r="F25" s="19"/>
      <c r="G25" s="21"/>
      <c r="H25" s="19"/>
      <c r="I25" s="23" t="str">
        <f aca="false">IF(A25="","",TEXT(A25,"yyyy-mm"))</f>
        <v/>
      </c>
    </row>
    <row r="26" customFormat="false" ht="15" hidden="false" customHeight="false" outlineLevel="0" collapsed="false">
      <c r="A26" s="20"/>
      <c r="B26" s="19"/>
      <c r="C26" s="19"/>
      <c r="D26" s="19"/>
      <c r="E26" s="19"/>
      <c r="F26" s="19"/>
      <c r="G26" s="21"/>
      <c r="H26" s="19"/>
      <c r="I26" s="23" t="str">
        <f aca="false">IF(A26="","",TEXT(A26,"yyyy-mm"))</f>
        <v/>
      </c>
    </row>
    <row r="27" customFormat="false" ht="15" hidden="false" customHeight="false" outlineLevel="0" collapsed="false">
      <c r="A27" s="20"/>
      <c r="B27" s="19"/>
      <c r="C27" s="19"/>
      <c r="D27" s="19"/>
      <c r="E27" s="19"/>
      <c r="F27" s="19"/>
      <c r="G27" s="21"/>
      <c r="H27" s="19"/>
      <c r="I27" s="23" t="str">
        <f aca="false">IF(A27="","",TEXT(A27,"yyyy-mm"))</f>
        <v/>
      </c>
    </row>
    <row r="28" customFormat="false" ht="15" hidden="false" customHeight="false" outlineLevel="0" collapsed="false">
      <c r="A28" s="20"/>
      <c r="B28" s="19"/>
      <c r="C28" s="19"/>
      <c r="D28" s="19"/>
      <c r="E28" s="19"/>
      <c r="F28" s="19"/>
      <c r="G28" s="21"/>
      <c r="H28" s="19"/>
      <c r="I28" s="23" t="str">
        <f aca="false">IF(A28="","",TEXT(A28,"yyyy-mm"))</f>
        <v/>
      </c>
    </row>
    <row r="29" customFormat="false" ht="15" hidden="false" customHeight="false" outlineLevel="0" collapsed="false">
      <c r="A29" s="20"/>
      <c r="B29" s="19"/>
      <c r="C29" s="19"/>
      <c r="D29" s="19"/>
      <c r="E29" s="19"/>
      <c r="F29" s="19"/>
      <c r="G29" s="21"/>
      <c r="H29" s="19"/>
      <c r="I29" s="23" t="str">
        <f aca="false">IF(A29="","",TEXT(A29,"yyyy-mm"))</f>
        <v/>
      </c>
    </row>
    <row r="30" customFormat="false" ht="15" hidden="false" customHeight="false" outlineLevel="0" collapsed="false">
      <c r="A30" s="20"/>
      <c r="B30" s="19"/>
      <c r="C30" s="19"/>
      <c r="D30" s="19"/>
      <c r="E30" s="19"/>
      <c r="F30" s="19"/>
      <c r="G30" s="21"/>
      <c r="H30" s="19"/>
      <c r="I30" s="23" t="str">
        <f aca="false">IF(A30="","",TEXT(A30,"yyyy-mm"))</f>
        <v/>
      </c>
    </row>
    <row r="31" customFormat="false" ht="15" hidden="false" customHeight="false" outlineLevel="0" collapsed="false">
      <c r="A31" s="20"/>
      <c r="B31" s="19"/>
      <c r="C31" s="19"/>
      <c r="D31" s="19"/>
      <c r="E31" s="19"/>
      <c r="F31" s="19"/>
      <c r="G31" s="21"/>
      <c r="H31" s="19"/>
      <c r="I31" s="23" t="str">
        <f aca="false">IF(A31="","",TEXT(A31,"yyyy-mm"))</f>
        <v/>
      </c>
    </row>
    <row r="32" customFormat="false" ht="15" hidden="false" customHeight="false" outlineLevel="0" collapsed="false">
      <c r="A32" s="20"/>
      <c r="B32" s="19"/>
      <c r="C32" s="19"/>
      <c r="D32" s="19"/>
      <c r="E32" s="19"/>
      <c r="F32" s="19"/>
      <c r="G32" s="21"/>
      <c r="H32" s="19"/>
      <c r="I32" s="23" t="str">
        <f aca="false">IF(A32="","",TEXT(A32,"yyyy-mm"))</f>
        <v/>
      </c>
    </row>
    <row r="33" customFormat="false" ht="15" hidden="false" customHeight="false" outlineLevel="0" collapsed="false">
      <c r="A33" s="20"/>
      <c r="B33" s="19"/>
      <c r="C33" s="19"/>
      <c r="D33" s="19"/>
      <c r="E33" s="19"/>
      <c r="F33" s="19"/>
      <c r="G33" s="21"/>
      <c r="H33" s="19"/>
      <c r="I33" s="23" t="str">
        <f aca="false">IF(A33="","",TEXT(A33,"yyyy-mm"))</f>
        <v/>
      </c>
    </row>
    <row r="34" customFormat="false" ht="15" hidden="false" customHeight="false" outlineLevel="0" collapsed="false">
      <c r="A34" s="20"/>
      <c r="B34" s="19"/>
      <c r="C34" s="19"/>
      <c r="D34" s="19"/>
      <c r="E34" s="19"/>
      <c r="F34" s="19"/>
      <c r="G34" s="21"/>
      <c r="H34" s="19"/>
      <c r="I34" s="23" t="str">
        <f aca="false">IF(A34="","",TEXT(A34,"yyyy-mm"))</f>
        <v/>
      </c>
    </row>
    <row r="35" customFormat="false" ht="15" hidden="false" customHeight="false" outlineLevel="0" collapsed="false">
      <c r="A35" s="20"/>
      <c r="B35" s="19"/>
      <c r="C35" s="19"/>
      <c r="D35" s="19"/>
      <c r="E35" s="19"/>
      <c r="F35" s="19"/>
      <c r="G35" s="21"/>
      <c r="H35" s="19"/>
      <c r="I35" s="23" t="str">
        <f aca="false">IF(A35="","",TEXT(A35,"yyyy-mm"))</f>
        <v/>
      </c>
    </row>
    <row r="36" customFormat="false" ht="15" hidden="false" customHeight="false" outlineLevel="0" collapsed="false">
      <c r="A36" s="20"/>
      <c r="B36" s="19"/>
      <c r="C36" s="19"/>
      <c r="D36" s="19"/>
      <c r="E36" s="19"/>
      <c r="F36" s="19"/>
      <c r="G36" s="21"/>
      <c r="H36" s="19"/>
      <c r="I36" s="23" t="str">
        <f aca="false">IF(A36="","",TEXT(A36,"yyyy-mm"))</f>
        <v/>
      </c>
    </row>
    <row r="37" customFormat="false" ht="15" hidden="false" customHeight="false" outlineLevel="0" collapsed="false">
      <c r="A37" s="20"/>
      <c r="B37" s="19"/>
      <c r="C37" s="19"/>
      <c r="D37" s="19"/>
      <c r="E37" s="19"/>
      <c r="F37" s="19"/>
      <c r="G37" s="21"/>
      <c r="H37" s="19"/>
      <c r="I37" s="23" t="str">
        <f aca="false">IF(A37="","",TEXT(A37,"yyyy-mm"))</f>
        <v/>
      </c>
    </row>
    <row r="38" customFormat="false" ht="15" hidden="false" customHeight="false" outlineLevel="0" collapsed="false">
      <c r="A38" s="20"/>
      <c r="B38" s="19"/>
      <c r="C38" s="19"/>
      <c r="D38" s="19"/>
      <c r="E38" s="19"/>
      <c r="F38" s="19"/>
      <c r="G38" s="21"/>
      <c r="H38" s="19"/>
      <c r="I38" s="23" t="str">
        <f aca="false">IF(A38="","",TEXT(A38,"yyyy-mm"))</f>
        <v/>
      </c>
    </row>
    <row r="39" customFormat="false" ht="15" hidden="false" customHeight="false" outlineLevel="0" collapsed="false">
      <c r="A39" s="20"/>
      <c r="B39" s="19"/>
      <c r="C39" s="19"/>
      <c r="D39" s="19"/>
      <c r="E39" s="19"/>
      <c r="F39" s="19"/>
      <c r="G39" s="21"/>
      <c r="H39" s="19"/>
      <c r="I39" s="23" t="str">
        <f aca="false">IF(A39="","",TEXT(A39,"yyyy-mm"))</f>
        <v/>
      </c>
    </row>
    <row r="40" customFormat="false" ht="15" hidden="false" customHeight="false" outlineLevel="0" collapsed="false">
      <c r="A40" s="20"/>
      <c r="B40" s="19"/>
      <c r="C40" s="19"/>
      <c r="D40" s="19"/>
      <c r="E40" s="19"/>
      <c r="F40" s="19"/>
      <c r="G40" s="21"/>
      <c r="H40" s="19"/>
      <c r="I40" s="23" t="str">
        <f aca="false">IF(A40="","",TEXT(A40,"yyyy-mm"))</f>
        <v/>
      </c>
    </row>
    <row r="41" customFormat="false" ht="15" hidden="false" customHeight="false" outlineLevel="0" collapsed="false">
      <c r="A41" s="20"/>
      <c r="B41" s="19"/>
      <c r="C41" s="19"/>
      <c r="D41" s="19"/>
      <c r="E41" s="19"/>
      <c r="F41" s="19"/>
      <c r="G41" s="21"/>
      <c r="H41" s="19"/>
      <c r="I41" s="23" t="str">
        <f aca="false">IF(A41="","",TEXT(A41,"yyyy-mm"))</f>
        <v/>
      </c>
    </row>
    <row r="42" customFormat="false" ht="15" hidden="false" customHeight="false" outlineLevel="0" collapsed="false">
      <c r="A42" s="20"/>
      <c r="B42" s="19"/>
      <c r="C42" s="19"/>
      <c r="D42" s="19"/>
      <c r="E42" s="19"/>
      <c r="F42" s="19"/>
      <c r="G42" s="21"/>
      <c r="H42" s="19"/>
      <c r="I42" s="23" t="str">
        <f aca="false">IF(A42="","",TEXT(A42,"yyyy-mm"))</f>
        <v/>
      </c>
    </row>
    <row r="43" customFormat="false" ht="15" hidden="false" customHeight="false" outlineLevel="0" collapsed="false">
      <c r="A43" s="20"/>
      <c r="B43" s="19"/>
      <c r="C43" s="19"/>
      <c r="D43" s="19"/>
      <c r="E43" s="19"/>
      <c r="F43" s="19"/>
      <c r="G43" s="21"/>
      <c r="H43" s="19"/>
      <c r="I43" s="23" t="str">
        <f aca="false">IF(A43="","",TEXT(A43,"yyyy-mm"))</f>
        <v/>
      </c>
    </row>
    <row r="44" customFormat="false" ht="15" hidden="false" customHeight="false" outlineLevel="0" collapsed="false">
      <c r="A44" s="20"/>
      <c r="B44" s="19"/>
      <c r="C44" s="19"/>
      <c r="D44" s="19"/>
      <c r="E44" s="19"/>
      <c r="F44" s="19"/>
      <c r="G44" s="21"/>
      <c r="H44" s="19"/>
      <c r="I44" s="23" t="str">
        <f aca="false">IF(A44="","",TEXT(A44,"yyyy-mm"))</f>
        <v/>
      </c>
    </row>
    <row r="45" customFormat="false" ht="15" hidden="false" customHeight="false" outlineLevel="0" collapsed="false">
      <c r="A45" s="20"/>
      <c r="B45" s="19"/>
      <c r="C45" s="19"/>
      <c r="D45" s="19"/>
      <c r="E45" s="19"/>
      <c r="F45" s="19"/>
      <c r="G45" s="21"/>
      <c r="H45" s="19"/>
      <c r="I45" s="23" t="str">
        <f aca="false">IF(A45="","",TEXT(A45,"yyyy-mm"))</f>
        <v/>
      </c>
    </row>
    <row r="46" customFormat="false" ht="15" hidden="false" customHeight="false" outlineLevel="0" collapsed="false">
      <c r="A46" s="20"/>
      <c r="B46" s="19"/>
      <c r="C46" s="19"/>
      <c r="D46" s="19"/>
      <c r="E46" s="19"/>
      <c r="F46" s="19"/>
      <c r="G46" s="21"/>
      <c r="H46" s="19"/>
      <c r="I46" s="23" t="str">
        <f aca="false">IF(A46="","",TEXT(A46,"yyyy-mm"))</f>
        <v/>
      </c>
    </row>
    <row r="47" customFormat="false" ht="15" hidden="false" customHeight="false" outlineLevel="0" collapsed="false">
      <c r="A47" s="20"/>
      <c r="B47" s="19"/>
      <c r="C47" s="19"/>
      <c r="D47" s="19"/>
      <c r="E47" s="19"/>
      <c r="F47" s="19"/>
      <c r="G47" s="21"/>
      <c r="H47" s="19"/>
      <c r="I47" s="23" t="str">
        <f aca="false">IF(A47="","",TEXT(A47,"yyyy-mm"))</f>
        <v/>
      </c>
    </row>
    <row r="48" customFormat="false" ht="15" hidden="false" customHeight="false" outlineLevel="0" collapsed="false">
      <c r="A48" s="20"/>
      <c r="B48" s="19"/>
      <c r="C48" s="19"/>
      <c r="D48" s="19"/>
      <c r="E48" s="19"/>
      <c r="F48" s="19"/>
      <c r="G48" s="21"/>
      <c r="H48" s="19"/>
      <c r="I48" s="23" t="str">
        <f aca="false">IF(A48="","",TEXT(A48,"yyyy-mm"))</f>
        <v/>
      </c>
    </row>
    <row r="49" customFormat="false" ht="15" hidden="false" customHeight="false" outlineLevel="0" collapsed="false">
      <c r="A49" s="20"/>
      <c r="B49" s="19"/>
      <c r="C49" s="19"/>
      <c r="D49" s="19"/>
      <c r="E49" s="19"/>
      <c r="F49" s="19"/>
      <c r="G49" s="21"/>
      <c r="H49" s="19"/>
      <c r="I49" s="23" t="str">
        <f aca="false">IF(A49="","",TEXT(A49,"yyyy-mm"))</f>
        <v/>
      </c>
    </row>
    <row r="50" customFormat="false" ht="15" hidden="false" customHeight="false" outlineLevel="0" collapsed="false">
      <c r="A50" s="20"/>
      <c r="B50" s="19"/>
      <c r="C50" s="19"/>
      <c r="D50" s="19"/>
      <c r="E50" s="19"/>
      <c r="F50" s="19"/>
      <c r="G50" s="21"/>
      <c r="H50" s="19"/>
      <c r="I50" s="23" t="str">
        <f aca="false">IF(A50="","",TEXT(A50,"yyyy-mm"))</f>
        <v/>
      </c>
    </row>
    <row r="51" customFormat="false" ht="15" hidden="false" customHeight="false" outlineLevel="0" collapsed="false">
      <c r="A51" s="20"/>
      <c r="B51" s="19"/>
      <c r="C51" s="19"/>
      <c r="D51" s="19"/>
      <c r="E51" s="19"/>
      <c r="F51" s="19"/>
      <c r="G51" s="21"/>
      <c r="H51" s="19"/>
      <c r="I51" s="23" t="str">
        <f aca="false">IF(A51="","",TEXT(A51,"yyyy-mm"))</f>
        <v/>
      </c>
    </row>
    <row r="52" customFormat="false" ht="15" hidden="false" customHeight="false" outlineLevel="0" collapsed="false">
      <c r="A52" s="20"/>
      <c r="B52" s="19"/>
      <c r="C52" s="19"/>
      <c r="D52" s="19"/>
      <c r="E52" s="19"/>
      <c r="F52" s="19"/>
      <c r="G52" s="21"/>
      <c r="H52" s="19"/>
      <c r="I52" s="23" t="str">
        <f aca="false">IF(A52="","",TEXT(A52,"yyyy-mm"))</f>
        <v/>
      </c>
    </row>
    <row r="53" customFormat="false" ht="15" hidden="false" customHeight="false" outlineLevel="0" collapsed="false">
      <c r="A53" s="20"/>
      <c r="B53" s="19"/>
      <c r="C53" s="19"/>
      <c r="D53" s="19"/>
      <c r="E53" s="19"/>
      <c r="F53" s="19"/>
      <c r="G53" s="21"/>
      <c r="H53" s="19"/>
      <c r="I53" s="23" t="str">
        <f aca="false">IF(A53="","",TEXT(A53,"yyyy-mm"))</f>
        <v/>
      </c>
    </row>
    <row r="54" customFormat="false" ht="15" hidden="false" customHeight="false" outlineLevel="0" collapsed="false">
      <c r="A54" s="20"/>
      <c r="B54" s="19"/>
      <c r="C54" s="19"/>
      <c r="D54" s="19"/>
      <c r="E54" s="19"/>
      <c r="F54" s="19"/>
      <c r="G54" s="21"/>
      <c r="H54" s="19"/>
      <c r="I54" s="23" t="str">
        <f aca="false">IF(A54="","",TEXT(A54,"yyyy-mm"))</f>
        <v/>
      </c>
    </row>
    <row r="55" customFormat="false" ht="15" hidden="false" customHeight="false" outlineLevel="0" collapsed="false">
      <c r="A55" s="20"/>
      <c r="B55" s="19"/>
      <c r="C55" s="19"/>
      <c r="D55" s="19"/>
      <c r="E55" s="19"/>
      <c r="F55" s="19"/>
      <c r="G55" s="21"/>
      <c r="H55" s="19"/>
      <c r="I55" s="23" t="str">
        <f aca="false">IF(A55="","",TEXT(A55,"yyyy-mm"))</f>
        <v/>
      </c>
    </row>
    <row r="56" customFormat="false" ht="15" hidden="false" customHeight="false" outlineLevel="0" collapsed="false">
      <c r="A56" s="20"/>
      <c r="B56" s="19"/>
      <c r="C56" s="19"/>
      <c r="D56" s="19"/>
      <c r="E56" s="19"/>
      <c r="F56" s="19"/>
      <c r="G56" s="21"/>
      <c r="H56" s="19"/>
      <c r="I56" s="23" t="str">
        <f aca="false">IF(A56="","",TEXT(A56,"yyyy-mm"))</f>
        <v/>
      </c>
    </row>
    <row r="57" customFormat="false" ht="15" hidden="false" customHeight="false" outlineLevel="0" collapsed="false">
      <c r="A57" s="20"/>
      <c r="B57" s="19"/>
      <c r="C57" s="19"/>
      <c r="D57" s="19"/>
      <c r="E57" s="19"/>
      <c r="F57" s="19"/>
      <c r="G57" s="21"/>
      <c r="H57" s="19"/>
      <c r="I57" s="23" t="str">
        <f aca="false">IF(A57="","",TEXT(A57,"yyyy-mm"))</f>
        <v/>
      </c>
    </row>
    <row r="58" customFormat="false" ht="15" hidden="false" customHeight="false" outlineLevel="0" collapsed="false">
      <c r="A58" s="20"/>
      <c r="B58" s="19"/>
      <c r="C58" s="19"/>
      <c r="D58" s="19"/>
      <c r="E58" s="19"/>
      <c r="F58" s="19"/>
      <c r="G58" s="21"/>
      <c r="H58" s="19"/>
      <c r="I58" s="23" t="str">
        <f aca="false">IF(A58="","",TEXT(A58,"yyyy-mm"))</f>
        <v/>
      </c>
    </row>
    <row r="59" customFormat="false" ht="15" hidden="false" customHeight="false" outlineLevel="0" collapsed="false">
      <c r="A59" s="20"/>
      <c r="B59" s="19"/>
      <c r="C59" s="19"/>
      <c r="D59" s="19"/>
      <c r="E59" s="19"/>
      <c r="F59" s="19"/>
      <c r="G59" s="21"/>
      <c r="H59" s="19"/>
      <c r="I59" s="23" t="str">
        <f aca="false">IF(A59="","",TEXT(A59,"yyyy-mm"))</f>
        <v/>
      </c>
    </row>
    <row r="60" customFormat="false" ht="15" hidden="false" customHeight="false" outlineLevel="0" collapsed="false">
      <c r="A60" s="20"/>
      <c r="B60" s="19"/>
      <c r="C60" s="19"/>
      <c r="D60" s="19"/>
      <c r="E60" s="19"/>
      <c r="F60" s="19"/>
      <c r="G60" s="21"/>
      <c r="H60" s="19"/>
      <c r="I60" s="23" t="str">
        <f aca="false">IF(A60="","",TEXT(A60,"yyyy-mm"))</f>
        <v/>
      </c>
    </row>
    <row r="61" customFormat="false" ht="15" hidden="false" customHeight="false" outlineLevel="0" collapsed="false">
      <c r="A61" s="20"/>
      <c r="B61" s="19"/>
      <c r="C61" s="19"/>
      <c r="D61" s="19"/>
      <c r="E61" s="19"/>
      <c r="F61" s="19"/>
      <c r="G61" s="21"/>
      <c r="H61" s="19"/>
      <c r="I61" s="23" t="str">
        <f aca="false">IF(A61="","",TEXT(A61,"yyyy-mm"))</f>
        <v/>
      </c>
    </row>
    <row r="62" customFormat="false" ht="15" hidden="false" customHeight="false" outlineLevel="0" collapsed="false">
      <c r="A62" s="20"/>
      <c r="B62" s="19"/>
      <c r="C62" s="19"/>
      <c r="D62" s="19"/>
      <c r="E62" s="19"/>
      <c r="F62" s="19"/>
      <c r="G62" s="21"/>
      <c r="H62" s="19"/>
      <c r="I62" s="23" t="str">
        <f aca="false">IF(A62="","",TEXT(A62,"yyyy-mm"))</f>
        <v/>
      </c>
    </row>
    <row r="63" customFormat="false" ht="15" hidden="false" customHeight="false" outlineLevel="0" collapsed="false">
      <c r="A63" s="20"/>
      <c r="B63" s="19"/>
      <c r="C63" s="19"/>
      <c r="D63" s="19"/>
      <c r="E63" s="19"/>
      <c r="F63" s="19"/>
      <c r="G63" s="21"/>
      <c r="H63" s="19"/>
      <c r="I63" s="23" t="str">
        <f aca="false">IF(A63="","",TEXT(A63,"yyyy-mm"))</f>
        <v/>
      </c>
    </row>
    <row r="64" customFormat="false" ht="15" hidden="false" customHeight="false" outlineLevel="0" collapsed="false">
      <c r="A64" s="20"/>
      <c r="B64" s="19"/>
      <c r="C64" s="19"/>
      <c r="D64" s="19"/>
      <c r="E64" s="19"/>
      <c r="F64" s="19"/>
      <c r="G64" s="21"/>
      <c r="H64" s="19"/>
      <c r="I64" s="23" t="str">
        <f aca="false">IF(A64="","",TEXT(A64,"yyyy-mm"))</f>
        <v/>
      </c>
    </row>
    <row r="65" customFormat="false" ht="15" hidden="false" customHeight="false" outlineLevel="0" collapsed="false">
      <c r="A65" s="20"/>
      <c r="B65" s="19"/>
      <c r="C65" s="19"/>
      <c r="D65" s="19"/>
      <c r="E65" s="19"/>
      <c r="F65" s="19"/>
      <c r="G65" s="21"/>
      <c r="H65" s="19"/>
      <c r="I65" s="23" t="str">
        <f aca="false">IF(A65="","",TEXT(A65,"yyyy-mm"))</f>
        <v/>
      </c>
    </row>
    <row r="66" customFormat="false" ht="15" hidden="false" customHeight="false" outlineLevel="0" collapsed="false">
      <c r="A66" s="20"/>
      <c r="B66" s="19"/>
      <c r="C66" s="19"/>
      <c r="D66" s="19"/>
      <c r="E66" s="19"/>
      <c r="F66" s="19"/>
      <c r="G66" s="21"/>
      <c r="H66" s="19"/>
      <c r="I66" s="23" t="str">
        <f aca="false">IF(A66="","",TEXT(A66,"yyyy-mm"))</f>
        <v/>
      </c>
    </row>
    <row r="67" customFormat="false" ht="15" hidden="false" customHeight="false" outlineLevel="0" collapsed="false">
      <c r="A67" s="20"/>
      <c r="B67" s="19"/>
      <c r="C67" s="19"/>
      <c r="D67" s="19"/>
      <c r="E67" s="19"/>
      <c r="F67" s="19"/>
      <c r="G67" s="21"/>
      <c r="H67" s="19"/>
      <c r="I67" s="23" t="str">
        <f aca="false">IF(A67="","",TEXT(A67,"yyyy-mm"))</f>
        <v/>
      </c>
    </row>
    <row r="68" customFormat="false" ht="15" hidden="false" customHeight="false" outlineLevel="0" collapsed="false">
      <c r="A68" s="20"/>
      <c r="B68" s="19"/>
      <c r="C68" s="19"/>
      <c r="D68" s="19"/>
      <c r="E68" s="19"/>
      <c r="F68" s="19"/>
      <c r="G68" s="21"/>
      <c r="H68" s="19"/>
      <c r="I68" s="23" t="str">
        <f aca="false">IF(A68="","",TEXT(A68,"yyyy-mm"))</f>
        <v/>
      </c>
    </row>
    <row r="69" customFormat="false" ht="15" hidden="false" customHeight="false" outlineLevel="0" collapsed="false">
      <c r="A69" s="20"/>
      <c r="B69" s="19"/>
      <c r="C69" s="19"/>
      <c r="D69" s="19"/>
      <c r="E69" s="19"/>
      <c r="F69" s="19"/>
      <c r="G69" s="21"/>
      <c r="H69" s="19"/>
      <c r="I69" s="23" t="str">
        <f aca="false">IF(A69="","",TEXT(A69,"yyyy-mm"))</f>
        <v/>
      </c>
    </row>
    <row r="70" customFormat="false" ht="15" hidden="false" customHeight="false" outlineLevel="0" collapsed="false">
      <c r="A70" s="20"/>
      <c r="B70" s="19"/>
      <c r="C70" s="19"/>
      <c r="D70" s="19"/>
      <c r="E70" s="19"/>
      <c r="F70" s="19"/>
      <c r="G70" s="21"/>
      <c r="H70" s="19"/>
      <c r="I70" s="23" t="str">
        <f aca="false">IF(A70="","",TEXT(A70,"yyyy-mm"))</f>
        <v/>
      </c>
    </row>
    <row r="71" customFormat="false" ht="15" hidden="false" customHeight="false" outlineLevel="0" collapsed="false">
      <c r="A71" s="20"/>
      <c r="B71" s="19"/>
      <c r="C71" s="19"/>
      <c r="D71" s="19"/>
      <c r="E71" s="19"/>
      <c r="F71" s="19"/>
      <c r="G71" s="21"/>
      <c r="H71" s="19"/>
      <c r="I71" s="23" t="str">
        <f aca="false">IF(A71="","",TEXT(A71,"yyyy-mm"))</f>
        <v/>
      </c>
    </row>
    <row r="72" customFormat="false" ht="15" hidden="false" customHeight="false" outlineLevel="0" collapsed="false">
      <c r="A72" s="20"/>
      <c r="B72" s="19"/>
      <c r="C72" s="19"/>
      <c r="D72" s="19"/>
      <c r="E72" s="19"/>
      <c r="F72" s="19"/>
      <c r="G72" s="21"/>
      <c r="H72" s="19"/>
      <c r="I72" s="23" t="str">
        <f aca="false">IF(A72="","",TEXT(A72,"yyyy-mm"))</f>
        <v/>
      </c>
    </row>
    <row r="73" customFormat="false" ht="15" hidden="false" customHeight="false" outlineLevel="0" collapsed="false">
      <c r="A73" s="20"/>
      <c r="B73" s="19"/>
      <c r="C73" s="19"/>
      <c r="D73" s="19"/>
      <c r="E73" s="19"/>
      <c r="F73" s="19"/>
      <c r="G73" s="21"/>
      <c r="H73" s="19"/>
      <c r="I73" s="23" t="str">
        <f aca="false">IF(A73="","",TEXT(A73,"yyyy-mm"))</f>
        <v/>
      </c>
    </row>
    <row r="74" customFormat="false" ht="15" hidden="false" customHeight="false" outlineLevel="0" collapsed="false">
      <c r="A74" s="20"/>
      <c r="B74" s="19"/>
      <c r="C74" s="19"/>
      <c r="D74" s="19"/>
      <c r="E74" s="19"/>
      <c r="F74" s="19"/>
      <c r="G74" s="21"/>
      <c r="H74" s="19"/>
      <c r="I74" s="23" t="str">
        <f aca="false">IF(A74="","",TEXT(A74,"yyyy-mm"))</f>
        <v/>
      </c>
    </row>
    <row r="75" customFormat="false" ht="15" hidden="false" customHeight="false" outlineLevel="0" collapsed="false">
      <c r="A75" s="20"/>
      <c r="B75" s="19"/>
      <c r="C75" s="19"/>
      <c r="D75" s="19"/>
      <c r="E75" s="19"/>
      <c r="F75" s="19"/>
      <c r="G75" s="21"/>
      <c r="H75" s="19"/>
      <c r="I75" s="23" t="str">
        <f aca="false">IF(A75="","",TEXT(A75,"yyyy-mm"))</f>
        <v/>
      </c>
    </row>
    <row r="76" customFormat="false" ht="15" hidden="false" customHeight="false" outlineLevel="0" collapsed="false">
      <c r="A76" s="20"/>
      <c r="B76" s="19"/>
      <c r="C76" s="19"/>
      <c r="D76" s="19"/>
      <c r="E76" s="19"/>
      <c r="F76" s="19"/>
      <c r="G76" s="21"/>
      <c r="H76" s="19"/>
      <c r="I76" s="23" t="str">
        <f aca="false">IF(A76="","",TEXT(A76,"yyyy-mm"))</f>
        <v/>
      </c>
    </row>
    <row r="77" customFormat="false" ht="15" hidden="false" customHeight="false" outlineLevel="0" collapsed="false">
      <c r="A77" s="20"/>
      <c r="B77" s="19"/>
      <c r="C77" s="19"/>
      <c r="D77" s="19"/>
      <c r="E77" s="19"/>
      <c r="F77" s="19"/>
      <c r="G77" s="21"/>
      <c r="H77" s="19"/>
      <c r="I77" s="23" t="str">
        <f aca="false">IF(A77="","",TEXT(A77,"yyyy-mm"))</f>
        <v/>
      </c>
    </row>
    <row r="78" customFormat="false" ht="15" hidden="false" customHeight="false" outlineLevel="0" collapsed="false">
      <c r="A78" s="20"/>
      <c r="B78" s="19"/>
      <c r="C78" s="19"/>
      <c r="D78" s="19"/>
      <c r="E78" s="19"/>
      <c r="F78" s="19"/>
      <c r="G78" s="21"/>
      <c r="H78" s="19"/>
      <c r="I78" s="23" t="str">
        <f aca="false">IF(A78="","",TEXT(A78,"yyyy-mm"))</f>
        <v/>
      </c>
    </row>
    <row r="79" customFormat="false" ht="15" hidden="false" customHeight="false" outlineLevel="0" collapsed="false">
      <c r="A79" s="20"/>
      <c r="B79" s="19"/>
      <c r="C79" s="19"/>
      <c r="D79" s="19"/>
      <c r="E79" s="19"/>
      <c r="F79" s="19"/>
      <c r="G79" s="21"/>
      <c r="H79" s="19"/>
      <c r="I79" s="23" t="str">
        <f aca="false">IF(A79="","",TEXT(A79,"yyyy-mm"))</f>
        <v/>
      </c>
    </row>
    <row r="80" customFormat="false" ht="15" hidden="false" customHeight="false" outlineLevel="0" collapsed="false">
      <c r="A80" s="20"/>
      <c r="B80" s="19"/>
      <c r="C80" s="19"/>
      <c r="D80" s="19"/>
      <c r="E80" s="19"/>
      <c r="F80" s="19"/>
      <c r="G80" s="21"/>
      <c r="H80" s="19"/>
      <c r="I80" s="23" t="str">
        <f aca="false">IF(A80="","",TEXT(A80,"yyyy-mm"))</f>
        <v/>
      </c>
    </row>
    <row r="81" customFormat="false" ht="15" hidden="false" customHeight="false" outlineLevel="0" collapsed="false">
      <c r="A81" s="20"/>
      <c r="B81" s="19"/>
      <c r="C81" s="19"/>
      <c r="D81" s="19"/>
      <c r="E81" s="19"/>
      <c r="F81" s="19"/>
      <c r="G81" s="21"/>
      <c r="H81" s="19"/>
      <c r="I81" s="23" t="str">
        <f aca="false">IF(A81="","",TEXT(A81,"yyyy-mm"))</f>
        <v/>
      </c>
    </row>
    <row r="82" customFormat="false" ht="15" hidden="false" customHeight="false" outlineLevel="0" collapsed="false">
      <c r="A82" s="20"/>
      <c r="B82" s="19"/>
      <c r="C82" s="19"/>
      <c r="D82" s="19"/>
      <c r="E82" s="19"/>
      <c r="F82" s="19"/>
      <c r="G82" s="21"/>
      <c r="H82" s="19"/>
      <c r="I82" s="23" t="str">
        <f aca="false">IF(A82="","",TEXT(A82,"yyyy-mm"))</f>
        <v/>
      </c>
    </row>
    <row r="83" customFormat="false" ht="15" hidden="false" customHeight="false" outlineLevel="0" collapsed="false">
      <c r="A83" s="20"/>
      <c r="B83" s="19"/>
      <c r="C83" s="19"/>
      <c r="D83" s="19"/>
      <c r="E83" s="19"/>
      <c r="F83" s="19"/>
      <c r="G83" s="21"/>
      <c r="H83" s="19"/>
      <c r="I83" s="23" t="str">
        <f aca="false">IF(A83="","",TEXT(A83,"yyyy-mm"))</f>
        <v/>
      </c>
    </row>
    <row r="84" customFormat="false" ht="15" hidden="false" customHeight="false" outlineLevel="0" collapsed="false">
      <c r="A84" s="20"/>
      <c r="B84" s="19"/>
      <c r="C84" s="19"/>
      <c r="D84" s="19"/>
      <c r="E84" s="19"/>
      <c r="F84" s="19"/>
      <c r="G84" s="21"/>
      <c r="H84" s="19"/>
      <c r="I84" s="23" t="str">
        <f aca="false">IF(A84="","",TEXT(A84,"yyyy-mm"))</f>
        <v/>
      </c>
    </row>
    <row r="85" customFormat="false" ht="15" hidden="false" customHeight="false" outlineLevel="0" collapsed="false">
      <c r="A85" s="20"/>
      <c r="B85" s="19"/>
      <c r="C85" s="19"/>
      <c r="D85" s="19"/>
      <c r="E85" s="19"/>
      <c r="F85" s="19"/>
      <c r="G85" s="21"/>
      <c r="H85" s="19"/>
      <c r="I85" s="23" t="str">
        <f aca="false">IF(A85="","",TEXT(A85,"yyyy-mm"))</f>
        <v/>
      </c>
    </row>
    <row r="86" customFormat="false" ht="15" hidden="false" customHeight="false" outlineLevel="0" collapsed="false">
      <c r="A86" s="20"/>
      <c r="B86" s="19"/>
      <c r="C86" s="19"/>
      <c r="D86" s="19"/>
      <c r="E86" s="19"/>
      <c r="F86" s="19"/>
      <c r="G86" s="21"/>
      <c r="H86" s="19"/>
      <c r="I86" s="23" t="str">
        <f aca="false">IF(A86="","",TEXT(A86,"yyyy-mm"))</f>
        <v/>
      </c>
    </row>
    <row r="87" customFormat="false" ht="15" hidden="false" customHeight="false" outlineLevel="0" collapsed="false">
      <c r="A87" s="20"/>
      <c r="B87" s="19"/>
      <c r="C87" s="19"/>
      <c r="D87" s="19"/>
      <c r="E87" s="19"/>
      <c r="F87" s="19"/>
      <c r="G87" s="21"/>
      <c r="H87" s="19"/>
      <c r="I87" s="23" t="str">
        <f aca="false">IF(A87="","",TEXT(A87,"yyyy-mm"))</f>
        <v/>
      </c>
    </row>
    <row r="88" customFormat="false" ht="15" hidden="false" customHeight="false" outlineLevel="0" collapsed="false">
      <c r="A88" s="20"/>
      <c r="B88" s="19"/>
      <c r="C88" s="19"/>
      <c r="D88" s="19"/>
      <c r="E88" s="19"/>
      <c r="F88" s="19"/>
      <c r="G88" s="21"/>
      <c r="H88" s="19"/>
      <c r="I88" s="23" t="str">
        <f aca="false">IF(A88="","",TEXT(A88,"yyyy-mm"))</f>
        <v/>
      </c>
    </row>
    <row r="89" customFormat="false" ht="15" hidden="false" customHeight="false" outlineLevel="0" collapsed="false">
      <c r="A89" s="20"/>
      <c r="B89" s="19"/>
      <c r="C89" s="19"/>
      <c r="D89" s="19"/>
      <c r="E89" s="19"/>
      <c r="F89" s="19"/>
      <c r="G89" s="21"/>
      <c r="H89" s="19"/>
      <c r="I89" s="23" t="str">
        <f aca="false">IF(A89="","",TEXT(A89,"yyyy-mm"))</f>
        <v/>
      </c>
    </row>
    <row r="90" customFormat="false" ht="15" hidden="false" customHeight="false" outlineLevel="0" collapsed="false">
      <c r="A90" s="20"/>
      <c r="B90" s="19"/>
      <c r="C90" s="19"/>
      <c r="D90" s="19"/>
      <c r="E90" s="19"/>
      <c r="F90" s="19"/>
      <c r="G90" s="21"/>
      <c r="H90" s="19"/>
      <c r="I90" s="23" t="str">
        <f aca="false">IF(A90="","",TEXT(A90,"yyyy-mm"))</f>
        <v/>
      </c>
    </row>
    <row r="91" customFormat="false" ht="15" hidden="false" customHeight="false" outlineLevel="0" collapsed="false">
      <c r="A91" s="20"/>
      <c r="B91" s="19"/>
      <c r="C91" s="19"/>
      <c r="D91" s="19"/>
      <c r="E91" s="19"/>
      <c r="F91" s="19"/>
      <c r="G91" s="21"/>
      <c r="H91" s="19"/>
      <c r="I91" s="23" t="str">
        <f aca="false">IF(A91="","",TEXT(A91,"yyyy-mm"))</f>
        <v/>
      </c>
    </row>
    <row r="92" customFormat="false" ht="15" hidden="false" customHeight="false" outlineLevel="0" collapsed="false">
      <c r="A92" s="20"/>
      <c r="B92" s="19"/>
      <c r="C92" s="19"/>
      <c r="D92" s="19"/>
      <c r="E92" s="19"/>
      <c r="F92" s="19"/>
      <c r="G92" s="21"/>
      <c r="H92" s="19"/>
      <c r="I92" s="23" t="str">
        <f aca="false">IF(A92="","",TEXT(A92,"yyyy-mm"))</f>
        <v/>
      </c>
    </row>
    <row r="93" customFormat="false" ht="15" hidden="false" customHeight="false" outlineLevel="0" collapsed="false">
      <c r="A93" s="20"/>
      <c r="B93" s="19"/>
      <c r="C93" s="19"/>
      <c r="D93" s="19"/>
      <c r="E93" s="19"/>
      <c r="F93" s="19"/>
      <c r="G93" s="21"/>
      <c r="H93" s="19"/>
      <c r="I93" s="23" t="str">
        <f aca="false">IF(A93="","",TEXT(A93,"yyyy-mm"))</f>
        <v/>
      </c>
    </row>
    <row r="94" customFormat="false" ht="15" hidden="false" customHeight="false" outlineLevel="0" collapsed="false">
      <c r="A94" s="20"/>
      <c r="B94" s="19"/>
      <c r="C94" s="19"/>
      <c r="D94" s="19"/>
      <c r="E94" s="19"/>
      <c r="F94" s="19"/>
      <c r="G94" s="21"/>
      <c r="H94" s="19"/>
      <c r="I94" s="23" t="str">
        <f aca="false">IF(A94="","",TEXT(A94,"yyyy-mm"))</f>
        <v/>
      </c>
    </row>
    <row r="95" customFormat="false" ht="15" hidden="false" customHeight="false" outlineLevel="0" collapsed="false">
      <c r="A95" s="20"/>
      <c r="B95" s="19"/>
      <c r="C95" s="19"/>
      <c r="D95" s="19"/>
      <c r="E95" s="19"/>
      <c r="F95" s="19"/>
      <c r="G95" s="21"/>
      <c r="H95" s="19"/>
      <c r="I95" s="23" t="str">
        <f aca="false">IF(A95="","",TEXT(A95,"yyyy-mm"))</f>
        <v/>
      </c>
    </row>
    <row r="96" customFormat="false" ht="15" hidden="false" customHeight="false" outlineLevel="0" collapsed="false">
      <c r="A96" s="20"/>
      <c r="B96" s="19"/>
      <c r="C96" s="19"/>
      <c r="D96" s="19"/>
      <c r="E96" s="19"/>
      <c r="F96" s="19"/>
      <c r="G96" s="21"/>
      <c r="H96" s="19"/>
      <c r="I96" s="23" t="str">
        <f aca="false">IF(A96="","",TEXT(A96,"yyyy-mm"))</f>
        <v/>
      </c>
    </row>
    <row r="97" customFormat="false" ht="15" hidden="false" customHeight="false" outlineLevel="0" collapsed="false">
      <c r="A97" s="20"/>
      <c r="B97" s="19"/>
      <c r="C97" s="19"/>
      <c r="D97" s="19"/>
      <c r="E97" s="19"/>
      <c r="F97" s="19"/>
      <c r="G97" s="21"/>
      <c r="H97" s="19"/>
      <c r="I97" s="23" t="str">
        <f aca="false">IF(A97="","",TEXT(A97,"yyyy-mm"))</f>
        <v/>
      </c>
    </row>
    <row r="98" customFormat="false" ht="15" hidden="false" customHeight="false" outlineLevel="0" collapsed="false">
      <c r="A98" s="20"/>
      <c r="B98" s="19"/>
      <c r="C98" s="19"/>
      <c r="D98" s="19"/>
      <c r="E98" s="19"/>
      <c r="F98" s="19"/>
      <c r="G98" s="21"/>
      <c r="H98" s="19"/>
      <c r="I98" s="23" t="str">
        <f aca="false">IF(A98="","",TEXT(A98,"yyyy-mm"))</f>
        <v/>
      </c>
    </row>
    <row r="99" customFormat="false" ht="15" hidden="false" customHeight="false" outlineLevel="0" collapsed="false">
      <c r="A99" s="20"/>
      <c r="B99" s="19"/>
      <c r="C99" s="19"/>
      <c r="D99" s="19"/>
      <c r="E99" s="19"/>
      <c r="F99" s="19"/>
      <c r="G99" s="21"/>
      <c r="H99" s="19"/>
      <c r="I99" s="23" t="str">
        <f aca="false">IF(A99="","",TEXT(A99,"yyyy-mm"))</f>
        <v/>
      </c>
    </row>
    <row r="100" customFormat="false" ht="15" hidden="false" customHeight="false" outlineLevel="0" collapsed="false">
      <c r="A100" s="20"/>
      <c r="B100" s="19"/>
      <c r="C100" s="19"/>
      <c r="D100" s="19"/>
      <c r="E100" s="19"/>
      <c r="F100" s="19"/>
      <c r="G100" s="21"/>
      <c r="H100" s="19"/>
      <c r="I100" s="23" t="str">
        <f aca="false">IF(A100="","",TEXT(A100,"yyyy-mm"))</f>
        <v/>
      </c>
    </row>
    <row r="101" customFormat="false" ht="15" hidden="false" customHeight="false" outlineLevel="0" collapsed="false">
      <c r="A101" s="20"/>
      <c r="B101" s="19"/>
      <c r="C101" s="19"/>
      <c r="D101" s="19"/>
      <c r="E101" s="19"/>
      <c r="F101" s="19"/>
      <c r="G101" s="21"/>
      <c r="H101" s="19"/>
      <c r="I101" s="23" t="str">
        <f aca="false">IF(A101="","",TEXT(A101,"yyyy-mm"))</f>
        <v/>
      </c>
    </row>
    <row r="102" customFormat="false" ht="15" hidden="false" customHeight="false" outlineLevel="0" collapsed="false">
      <c r="A102" s="20"/>
      <c r="B102" s="19"/>
      <c r="C102" s="19"/>
      <c r="D102" s="19"/>
      <c r="E102" s="19"/>
      <c r="F102" s="19"/>
      <c r="G102" s="21"/>
      <c r="H102" s="19"/>
      <c r="I102" s="23" t="str">
        <f aca="false">IF(A102="","",TEXT(A102,"yyyy-mm"))</f>
        <v/>
      </c>
    </row>
    <row r="103" customFormat="false" ht="15" hidden="false" customHeight="false" outlineLevel="0" collapsed="false">
      <c r="A103" s="20"/>
      <c r="B103" s="19"/>
      <c r="C103" s="19"/>
      <c r="D103" s="19"/>
      <c r="E103" s="19"/>
      <c r="F103" s="19"/>
      <c r="G103" s="21"/>
      <c r="H103" s="19"/>
      <c r="I103" s="23" t="str">
        <f aca="false">IF(A103="","",TEXT(A103,"yyyy-mm"))</f>
        <v/>
      </c>
    </row>
    <row r="104" customFormat="false" ht="15" hidden="false" customHeight="false" outlineLevel="0" collapsed="false">
      <c r="A104" s="20"/>
      <c r="B104" s="19"/>
      <c r="C104" s="19"/>
      <c r="D104" s="19"/>
      <c r="E104" s="19"/>
      <c r="F104" s="19"/>
      <c r="G104" s="21"/>
      <c r="H104" s="19"/>
      <c r="I104" s="23" t="str">
        <f aca="false">IF(A104="","",TEXT(A104,"yyyy-mm"))</f>
        <v/>
      </c>
    </row>
    <row r="105" customFormat="false" ht="15" hidden="false" customHeight="false" outlineLevel="0" collapsed="false">
      <c r="A105" s="20"/>
      <c r="B105" s="19"/>
      <c r="C105" s="19"/>
      <c r="D105" s="19"/>
      <c r="E105" s="19"/>
      <c r="F105" s="19"/>
      <c r="G105" s="21"/>
      <c r="H105" s="19"/>
      <c r="I105" s="23" t="str">
        <f aca="false">IF(A105="","",TEXT(A105,"yyyy-mm"))</f>
        <v/>
      </c>
    </row>
    <row r="106" customFormat="false" ht="15" hidden="false" customHeight="false" outlineLevel="0" collapsed="false">
      <c r="A106" s="20"/>
      <c r="B106" s="19"/>
      <c r="C106" s="19"/>
      <c r="D106" s="19"/>
      <c r="E106" s="19"/>
      <c r="F106" s="19"/>
      <c r="G106" s="21"/>
      <c r="H106" s="19"/>
      <c r="I106" s="23" t="str">
        <f aca="false">IF(A106="","",TEXT(A106,"yyyy-mm"))</f>
        <v/>
      </c>
    </row>
    <row r="107" customFormat="false" ht="15" hidden="false" customHeight="false" outlineLevel="0" collapsed="false">
      <c r="A107" s="20"/>
      <c r="B107" s="19"/>
      <c r="C107" s="19"/>
      <c r="D107" s="19"/>
      <c r="E107" s="19"/>
      <c r="F107" s="19"/>
      <c r="G107" s="21"/>
      <c r="H107" s="19"/>
      <c r="I107" s="23" t="str">
        <f aca="false">IF(A107="","",TEXT(A107,"yyyy-mm"))</f>
        <v/>
      </c>
    </row>
    <row r="108" customFormat="false" ht="15" hidden="false" customHeight="false" outlineLevel="0" collapsed="false">
      <c r="A108" s="20"/>
      <c r="B108" s="19"/>
      <c r="C108" s="19"/>
      <c r="D108" s="19"/>
      <c r="E108" s="19"/>
      <c r="F108" s="19"/>
      <c r="G108" s="21"/>
      <c r="H108" s="19"/>
      <c r="I108" s="23" t="str">
        <f aca="false">IF(A108="","",TEXT(A108,"yyyy-mm"))</f>
        <v/>
      </c>
    </row>
    <row r="109" customFormat="false" ht="15" hidden="false" customHeight="false" outlineLevel="0" collapsed="false">
      <c r="A109" s="20"/>
      <c r="B109" s="19"/>
      <c r="C109" s="19"/>
      <c r="D109" s="19"/>
      <c r="E109" s="19"/>
      <c r="F109" s="19"/>
      <c r="G109" s="21"/>
      <c r="H109" s="19"/>
      <c r="I109" s="23" t="str">
        <f aca="false">IF(A109="","",TEXT(A109,"yyyy-mm"))</f>
        <v/>
      </c>
    </row>
    <row r="110" customFormat="false" ht="15" hidden="false" customHeight="false" outlineLevel="0" collapsed="false">
      <c r="A110" s="20"/>
      <c r="B110" s="19"/>
      <c r="C110" s="19"/>
      <c r="D110" s="19"/>
      <c r="E110" s="19"/>
      <c r="F110" s="19"/>
      <c r="G110" s="21"/>
      <c r="H110" s="19"/>
      <c r="I110" s="23" t="str">
        <f aca="false">IF(A110="","",TEXT(A110,"yyyy-mm"))</f>
        <v/>
      </c>
    </row>
    <row r="111" customFormat="false" ht="15" hidden="false" customHeight="false" outlineLevel="0" collapsed="false">
      <c r="A111" s="20"/>
      <c r="B111" s="19"/>
      <c r="C111" s="19"/>
      <c r="D111" s="19"/>
      <c r="E111" s="19"/>
      <c r="F111" s="19"/>
      <c r="G111" s="21"/>
      <c r="H111" s="19"/>
      <c r="I111" s="23" t="str">
        <f aca="false">IF(A111="","",TEXT(A111,"yyyy-mm"))</f>
        <v/>
      </c>
    </row>
    <row r="112" customFormat="false" ht="15" hidden="false" customHeight="false" outlineLevel="0" collapsed="false">
      <c r="A112" s="20"/>
      <c r="B112" s="19"/>
      <c r="C112" s="19"/>
      <c r="D112" s="19"/>
      <c r="E112" s="19"/>
      <c r="F112" s="19"/>
      <c r="G112" s="21"/>
      <c r="H112" s="19"/>
      <c r="I112" s="23" t="str">
        <f aca="false">IF(A112="","",TEXT(A112,"yyyy-mm"))</f>
        <v/>
      </c>
    </row>
    <row r="113" customFormat="false" ht="15" hidden="false" customHeight="false" outlineLevel="0" collapsed="false">
      <c r="A113" s="20"/>
      <c r="B113" s="19"/>
      <c r="C113" s="19"/>
      <c r="D113" s="19"/>
      <c r="E113" s="19"/>
      <c r="F113" s="19"/>
      <c r="G113" s="21"/>
      <c r="H113" s="19"/>
      <c r="I113" s="23" t="str">
        <f aca="false">IF(A113="","",TEXT(A113,"yyyy-mm"))</f>
        <v/>
      </c>
    </row>
    <row r="114" customFormat="false" ht="15" hidden="false" customHeight="false" outlineLevel="0" collapsed="false">
      <c r="A114" s="20"/>
      <c r="B114" s="19"/>
      <c r="C114" s="19"/>
      <c r="D114" s="19"/>
      <c r="E114" s="19"/>
      <c r="F114" s="19"/>
      <c r="G114" s="21"/>
      <c r="H114" s="19"/>
      <c r="I114" s="23" t="str">
        <f aca="false">IF(A114="","",TEXT(A114,"yyyy-mm"))</f>
        <v/>
      </c>
    </row>
    <row r="115" customFormat="false" ht="15" hidden="false" customHeight="false" outlineLevel="0" collapsed="false">
      <c r="A115" s="20"/>
      <c r="B115" s="19"/>
      <c r="C115" s="19"/>
      <c r="D115" s="19"/>
      <c r="E115" s="19"/>
      <c r="F115" s="19"/>
      <c r="G115" s="21"/>
      <c r="H115" s="19"/>
      <c r="I115" s="23" t="str">
        <f aca="false">IF(A115="","",TEXT(A115,"yyyy-mm"))</f>
        <v/>
      </c>
    </row>
    <row r="116" customFormat="false" ht="15" hidden="false" customHeight="false" outlineLevel="0" collapsed="false">
      <c r="A116" s="20"/>
      <c r="B116" s="19"/>
      <c r="C116" s="19"/>
      <c r="D116" s="19"/>
      <c r="E116" s="19"/>
      <c r="F116" s="19"/>
      <c r="G116" s="21"/>
      <c r="H116" s="19"/>
      <c r="I116" s="23" t="str">
        <f aca="false">IF(A116="","",TEXT(A116,"yyyy-mm"))</f>
        <v/>
      </c>
    </row>
    <row r="117" customFormat="false" ht="15" hidden="false" customHeight="false" outlineLevel="0" collapsed="false">
      <c r="A117" s="20"/>
      <c r="B117" s="19"/>
      <c r="C117" s="19"/>
      <c r="D117" s="19"/>
      <c r="E117" s="19"/>
      <c r="F117" s="19"/>
      <c r="G117" s="21"/>
      <c r="H117" s="19"/>
      <c r="I117" s="23" t="str">
        <f aca="false">IF(A117="","",TEXT(A117,"yyyy-mm"))</f>
        <v/>
      </c>
    </row>
    <row r="118" customFormat="false" ht="15" hidden="false" customHeight="false" outlineLevel="0" collapsed="false">
      <c r="A118" s="20"/>
      <c r="B118" s="19"/>
      <c r="C118" s="19"/>
      <c r="D118" s="19"/>
      <c r="E118" s="19"/>
      <c r="F118" s="19"/>
      <c r="G118" s="21"/>
      <c r="H118" s="19"/>
      <c r="I118" s="23" t="str">
        <f aca="false">IF(A118="","",TEXT(A118,"yyyy-mm"))</f>
        <v/>
      </c>
    </row>
    <row r="119" customFormat="false" ht="15" hidden="false" customHeight="false" outlineLevel="0" collapsed="false">
      <c r="A119" s="20"/>
      <c r="B119" s="19"/>
      <c r="C119" s="19"/>
      <c r="D119" s="19"/>
      <c r="E119" s="19"/>
      <c r="F119" s="19"/>
      <c r="G119" s="21"/>
      <c r="H119" s="19"/>
      <c r="I119" s="23" t="str">
        <f aca="false">IF(A119="","",TEXT(A119,"yyyy-mm"))</f>
        <v/>
      </c>
    </row>
    <row r="120" customFormat="false" ht="15" hidden="false" customHeight="false" outlineLevel="0" collapsed="false">
      <c r="A120" s="20"/>
      <c r="B120" s="19"/>
      <c r="C120" s="19"/>
      <c r="D120" s="19"/>
      <c r="E120" s="19"/>
      <c r="F120" s="19"/>
      <c r="G120" s="21"/>
      <c r="H120" s="19"/>
      <c r="I120" s="23" t="str">
        <f aca="false">IF(A120="","",TEXT(A120,"yyyy-mm"))</f>
        <v/>
      </c>
    </row>
    <row r="121" customFormat="false" ht="15" hidden="false" customHeight="false" outlineLevel="0" collapsed="false">
      <c r="A121" s="20"/>
      <c r="B121" s="19"/>
      <c r="C121" s="19"/>
      <c r="D121" s="19"/>
      <c r="E121" s="19"/>
      <c r="F121" s="19"/>
      <c r="G121" s="21"/>
      <c r="H121" s="19"/>
      <c r="I121" s="23" t="str">
        <f aca="false">IF(A121="","",TEXT(A121,"yyyy-mm"))</f>
        <v/>
      </c>
    </row>
    <row r="122" customFormat="false" ht="15" hidden="false" customHeight="false" outlineLevel="0" collapsed="false">
      <c r="A122" s="20"/>
      <c r="B122" s="19"/>
      <c r="C122" s="19"/>
      <c r="D122" s="19"/>
      <c r="E122" s="19"/>
      <c r="F122" s="19"/>
      <c r="G122" s="21"/>
      <c r="H122" s="19"/>
      <c r="I122" s="23" t="str">
        <f aca="false">IF(A122="","",TEXT(A122,"yyyy-mm"))</f>
        <v/>
      </c>
    </row>
    <row r="123" customFormat="false" ht="15" hidden="false" customHeight="false" outlineLevel="0" collapsed="false">
      <c r="A123" s="20"/>
      <c r="B123" s="19"/>
      <c r="C123" s="19"/>
      <c r="D123" s="19"/>
      <c r="E123" s="19"/>
      <c r="F123" s="19"/>
      <c r="G123" s="21"/>
      <c r="H123" s="19"/>
      <c r="I123" s="23" t="str">
        <f aca="false">IF(A123="","",TEXT(A123,"yyyy-mm"))</f>
        <v/>
      </c>
    </row>
    <row r="124" customFormat="false" ht="15" hidden="false" customHeight="false" outlineLevel="0" collapsed="false">
      <c r="A124" s="20"/>
      <c r="B124" s="19"/>
      <c r="C124" s="19"/>
      <c r="D124" s="19"/>
      <c r="E124" s="19"/>
      <c r="F124" s="19"/>
      <c r="G124" s="21"/>
      <c r="H124" s="19"/>
      <c r="I124" s="23" t="str">
        <f aca="false">IF(A124="","",TEXT(A124,"yyyy-mm"))</f>
        <v/>
      </c>
    </row>
    <row r="125" customFormat="false" ht="15" hidden="false" customHeight="false" outlineLevel="0" collapsed="false">
      <c r="A125" s="20"/>
      <c r="B125" s="19"/>
      <c r="C125" s="19"/>
      <c r="D125" s="19"/>
      <c r="E125" s="19"/>
      <c r="F125" s="19"/>
      <c r="G125" s="21"/>
      <c r="H125" s="19"/>
      <c r="I125" s="23" t="str">
        <f aca="false">IF(A125="","",TEXT(A125,"yyyy-mm"))</f>
        <v/>
      </c>
    </row>
    <row r="126" customFormat="false" ht="15" hidden="false" customHeight="false" outlineLevel="0" collapsed="false">
      <c r="A126" s="20"/>
      <c r="B126" s="19"/>
      <c r="C126" s="19"/>
      <c r="D126" s="19"/>
      <c r="E126" s="19"/>
      <c r="F126" s="19"/>
      <c r="G126" s="21"/>
      <c r="H126" s="19"/>
      <c r="I126" s="23" t="str">
        <f aca="false">IF(A126="","",TEXT(A126,"yyyy-mm"))</f>
        <v/>
      </c>
    </row>
    <row r="127" customFormat="false" ht="15" hidden="false" customHeight="false" outlineLevel="0" collapsed="false">
      <c r="A127" s="20"/>
      <c r="B127" s="19"/>
      <c r="C127" s="19"/>
      <c r="D127" s="19"/>
      <c r="E127" s="19"/>
      <c r="F127" s="19"/>
      <c r="G127" s="21"/>
      <c r="H127" s="19"/>
      <c r="I127" s="23" t="str">
        <f aca="false">IF(A127="","",TEXT(A127,"yyyy-mm"))</f>
        <v/>
      </c>
    </row>
    <row r="128" customFormat="false" ht="15" hidden="false" customHeight="false" outlineLevel="0" collapsed="false">
      <c r="A128" s="20"/>
      <c r="B128" s="19"/>
      <c r="C128" s="19"/>
      <c r="D128" s="19"/>
      <c r="E128" s="19"/>
      <c r="F128" s="19"/>
      <c r="G128" s="21"/>
      <c r="H128" s="19"/>
      <c r="I128" s="23" t="str">
        <f aca="false">IF(A128="","",TEXT(A128,"yyyy-mm"))</f>
        <v/>
      </c>
    </row>
    <row r="129" customFormat="false" ht="15" hidden="false" customHeight="false" outlineLevel="0" collapsed="false">
      <c r="A129" s="20"/>
      <c r="B129" s="19"/>
      <c r="C129" s="19"/>
      <c r="D129" s="19"/>
      <c r="E129" s="19"/>
      <c r="F129" s="19"/>
      <c r="G129" s="21"/>
      <c r="H129" s="19"/>
      <c r="I129" s="23" t="str">
        <f aca="false">IF(A129="","",TEXT(A129,"yyyy-mm"))</f>
        <v/>
      </c>
    </row>
    <row r="130" customFormat="false" ht="15" hidden="false" customHeight="false" outlineLevel="0" collapsed="false">
      <c r="A130" s="20"/>
      <c r="B130" s="19"/>
      <c r="C130" s="19"/>
      <c r="D130" s="19"/>
      <c r="E130" s="19"/>
      <c r="F130" s="19"/>
      <c r="G130" s="21"/>
      <c r="H130" s="19"/>
      <c r="I130" s="23" t="str">
        <f aca="false">IF(A130="","",TEXT(A130,"yyyy-mm"))</f>
        <v/>
      </c>
    </row>
    <row r="131" customFormat="false" ht="15" hidden="false" customHeight="false" outlineLevel="0" collapsed="false">
      <c r="A131" s="20"/>
      <c r="B131" s="19"/>
      <c r="C131" s="19"/>
      <c r="D131" s="19"/>
      <c r="E131" s="19"/>
      <c r="F131" s="19"/>
      <c r="G131" s="21"/>
      <c r="H131" s="19"/>
      <c r="I131" s="23" t="str">
        <f aca="false">IF(A131="","",TEXT(A131,"yyyy-mm"))</f>
        <v/>
      </c>
    </row>
    <row r="132" customFormat="false" ht="15" hidden="false" customHeight="false" outlineLevel="0" collapsed="false">
      <c r="A132" s="20"/>
      <c r="B132" s="19"/>
      <c r="C132" s="19"/>
      <c r="D132" s="19"/>
      <c r="E132" s="19"/>
      <c r="F132" s="19"/>
      <c r="G132" s="21"/>
      <c r="H132" s="19"/>
      <c r="I132" s="23" t="str">
        <f aca="false">IF(A132="","",TEXT(A132,"yyyy-mm"))</f>
        <v/>
      </c>
    </row>
    <row r="133" customFormat="false" ht="15" hidden="false" customHeight="false" outlineLevel="0" collapsed="false">
      <c r="A133" s="20"/>
      <c r="B133" s="19"/>
      <c r="C133" s="19"/>
      <c r="D133" s="19"/>
      <c r="E133" s="19"/>
      <c r="F133" s="19"/>
      <c r="G133" s="21"/>
      <c r="H133" s="19"/>
      <c r="I133" s="23" t="str">
        <f aca="false">IF(A133="","",TEXT(A133,"yyyy-mm"))</f>
        <v/>
      </c>
    </row>
    <row r="134" customFormat="false" ht="15" hidden="false" customHeight="false" outlineLevel="0" collapsed="false">
      <c r="A134" s="20"/>
      <c r="B134" s="19"/>
      <c r="C134" s="19"/>
      <c r="D134" s="19"/>
      <c r="E134" s="19"/>
      <c r="F134" s="19"/>
      <c r="G134" s="21"/>
      <c r="H134" s="19"/>
      <c r="I134" s="23" t="str">
        <f aca="false">IF(A134="","",TEXT(A134,"yyyy-mm"))</f>
        <v/>
      </c>
    </row>
    <row r="135" customFormat="false" ht="15" hidden="false" customHeight="false" outlineLevel="0" collapsed="false">
      <c r="A135" s="20"/>
      <c r="B135" s="19"/>
      <c r="C135" s="19"/>
      <c r="D135" s="19"/>
      <c r="E135" s="19"/>
      <c r="F135" s="19"/>
      <c r="G135" s="21"/>
      <c r="H135" s="19"/>
      <c r="I135" s="23" t="str">
        <f aca="false">IF(A135="","",TEXT(A135,"yyyy-mm"))</f>
        <v/>
      </c>
    </row>
    <row r="136" customFormat="false" ht="15" hidden="false" customHeight="false" outlineLevel="0" collapsed="false">
      <c r="A136" s="20"/>
      <c r="B136" s="19"/>
      <c r="C136" s="19"/>
      <c r="D136" s="19"/>
      <c r="E136" s="19"/>
      <c r="F136" s="19"/>
      <c r="G136" s="21"/>
      <c r="H136" s="19"/>
      <c r="I136" s="23" t="str">
        <f aca="false">IF(A136="","",TEXT(A136,"yyyy-mm"))</f>
        <v/>
      </c>
    </row>
    <row r="137" customFormat="false" ht="15" hidden="false" customHeight="false" outlineLevel="0" collapsed="false">
      <c r="A137" s="20"/>
      <c r="B137" s="19"/>
      <c r="C137" s="19"/>
      <c r="D137" s="19"/>
      <c r="E137" s="19"/>
      <c r="F137" s="19"/>
      <c r="G137" s="21"/>
      <c r="H137" s="19"/>
      <c r="I137" s="23" t="str">
        <f aca="false">IF(A137="","",TEXT(A137,"yyyy-mm"))</f>
        <v/>
      </c>
    </row>
    <row r="138" customFormat="false" ht="15" hidden="false" customHeight="false" outlineLevel="0" collapsed="false">
      <c r="A138" s="20"/>
      <c r="B138" s="19"/>
      <c r="C138" s="19"/>
      <c r="D138" s="19"/>
      <c r="E138" s="19"/>
      <c r="F138" s="19"/>
      <c r="G138" s="21"/>
      <c r="H138" s="19"/>
      <c r="I138" s="23" t="str">
        <f aca="false">IF(A138="","",TEXT(A138,"yyyy-mm"))</f>
        <v/>
      </c>
    </row>
    <row r="139" customFormat="false" ht="15" hidden="false" customHeight="false" outlineLevel="0" collapsed="false">
      <c r="A139" s="20"/>
      <c r="B139" s="19"/>
      <c r="C139" s="19"/>
      <c r="D139" s="19"/>
      <c r="E139" s="19"/>
      <c r="F139" s="19"/>
      <c r="G139" s="21"/>
      <c r="H139" s="19"/>
      <c r="I139" s="23" t="str">
        <f aca="false">IF(A139="","",TEXT(A139,"yyyy-mm"))</f>
        <v/>
      </c>
    </row>
    <row r="140" customFormat="false" ht="15" hidden="false" customHeight="false" outlineLevel="0" collapsed="false">
      <c r="A140" s="20"/>
      <c r="B140" s="19"/>
      <c r="C140" s="19"/>
      <c r="D140" s="19"/>
      <c r="E140" s="19"/>
      <c r="F140" s="19"/>
      <c r="G140" s="21"/>
      <c r="H140" s="19"/>
      <c r="I140" s="23" t="str">
        <f aca="false">IF(A140="","",TEXT(A140,"yyyy-mm"))</f>
        <v/>
      </c>
    </row>
    <row r="141" customFormat="false" ht="15" hidden="false" customHeight="false" outlineLevel="0" collapsed="false">
      <c r="A141" s="20"/>
      <c r="B141" s="19"/>
      <c r="C141" s="19"/>
      <c r="D141" s="19"/>
      <c r="E141" s="19"/>
      <c r="F141" s="19"/>
      <c r="G141" s="21"/>
      <c r="H141" s="19"/>
      <c r="I141" s="23" t="str">
        <f aca="false">IF(A141="","",TEXT(A141,"yyyy-mm"))</f>
        <v/>
      </c>
    </row>
    <row r="142" customFormat="false" ht="15" hidden="false" customHeight="false" outlineLevel="0" collapsed="false">
      <c r="A142" s="20"/>
      <c r="B142" s="19"/>
      <c r="C142" s="19"/>
      <c r="D142" s="19"/>
      <c r="E142" s="19"/>
      <c r="F142" s="19"/>
      <c r="G142" s="21"/>
      <c r="H142" s="19"/>
      <c r="I142" s="23" t="str">
        <f aca="false">IF(A142="","",TEXT(A142,"yyyy-mm"))</f>
        <v/>
      </c>
    </row>
    <row r="143" customFormat="false" ht="15" hidden="false" customHeight="false" outlineLevel="0" collapsed="false">
      <c r="A143" s="20"/>
      <c r="B143" s="19"/>
      <c r="C143" s="19"/>
      <c r="D143" s="19"/>
      <c r="E143" s="19"/>
      <c r="F143" s="19"/>
      <c r="G143" s="21"/>
      <c r="H143" s="19"/>
      <c r="I143" s="23" t="str">
        <f aca="false">IF(A143="","",TEXT(A143,"yyyy-mm"))</f>
        <v/>
      </c>
    </row>
    <row r="144" customFormat="false" ht="15" hidden="false" customHeight="false" outlineLevel="0" collapsed="false">
      <c r="A144" s="20"/>
      <c r="B144" s="19"/>
      <c r="C144" s="19"/>
      <c r="D144" s="19"/>
      <c r="E144" s="19"/>
      <c r="F144" s="19"/>
      <c r="G144" s="21"/>
      <c r="H144" s="19"/>
      <c r="I144" s="23" t="str">
        <f aca="false">IF(A144="","",TEXT(A144,"yyyy-mm"))</f>
        <v/>
      </c>
    </row>
    <row r="145" customFormat="false" ht="15" hidden="false" customHeight="false" outlineLevel="0" collapsed="false">
      <c r="A145" s="20"/>
      <c r="B145" s="19"/>
      <c r="C145" s="19"/>
      <c r="D145" s="19"/>
      <c r="E145" s="19"/>
      <c r="F145" s="19"/>
      <c r="G145" s="21"/>
      <c r="H145" s="19"/>
      <c r="I145" s="23" t="str">
        <f aca="false">IF(A145="","",TEXT(A145,"yyyy-mm"))</f>
        <v/>
      </c>
    </row>
    <row r="146" customFormat="false" ht="15" hidden="false" customHeight="false" outlineLevel="0" collapsed="false">
      <c r="A146" s="20"/>
      <c r="B146" s="19"/>
      <c r="C146" s="19"/>
      <c r="D146" s="19"/>
      <c r="E146" s="19"/>
      <c r="F146" s="19"/>
      <c r="G146" s="21"/>
      <c r="H146" s="19"/>
      <c r="I146" s="23" t="str">
        <f aca="false">IF(A146="","",TEXT(A146,"yyyy-mm"))</f>
        <v/>
      </c>
    </row>
    <row r="147" customFormat="false" ht="15" hidden="false" customHeight="false" outlineLevel="0" collapsed="false">
      <c r="A147" s="20"/>
      <c r="B147" s="19"/>
      <c r="C147" s="19"/>
      <c r="D147" s="19"/>
      <c r="E147" s="19"/>
      <c r="F147" s="19"/>
      <c r="G147" s="21"/>
      <c r="H147" s="19"/>
      <c r="I147" s="23" t="str">
        <f aca="false">IF(A147="","",TEXT(A147,"yyyy-mm"))</f>
        <v/>
      </c>
    </row>
    <row r="148" customFormat="false" ht="15" hidden="false" customHeight="false" outlineLevel="0" collapsed="false">
      <c r="A148" s="20"/>
      <c r="B148" s="19"/>
      <c r="C148" s="19"/>
      <c r="D148" s="19"/>
      <c r="E148" s="19"/>
      <c r="F148" s="19"/>
      <c r="G148" s="21"/>
      <c r="H148" s="19"/>
      <c r="I148" s="23" t="str">
        <f aca="false">IF(A148="","",TEXT(A148,"yyyy-mm"))</f>
        <v/>
      </c>
    </row>
    <row r="149" customFormat="false" ht="15" hidden="false" customHeight="false" outlineLevel="0" collapsed="false">
      <c r="A149" s="20"/>
      <c r="B149" s="19"/>
      <c r="C149" s="19"/>
      <c r="D149" s="19"/>
      <c r="E149" s="19"/>
      <c r="F149" s="19"/>
      <c r="G149" s="21"/>
      <c r="H149" s="19"/>
      <c r="I149" s="23" t="str">
        <f aca="false">IF(A149="","",TEXT(A149,"yyyy-mm"))</f>
        <v/>
      </c>
    </row>
    <row r="150" customFormat="false" ht="15" hidden="false" customHeight="false" outlineLevel="0" collapsed="false">
      <c r="A150" s="20"/>
      <c r="B150" s="19"/>
      <c r="C150" s="19"/>
      <c r="D150" s="19"/>
      <c r="E150" s="19"/>
      <c r="F150" s="19"/>
      <c r="G150" s="21"/>
      <c r="H150" s="19"/>
      <c r="I150" s="23" t="str">
        <f aca="false">IF(A150="","",TEXT(A150,"yyyy-mm"))</f>
        <v/>
      </c>
    </row>
    <row r="151" customFormat="false" ht="15" hidden="false" customHeight="false" outlineLevel="0" collapsed="false">
      <c r="A151" s="20"/>
      <c r="B151" s="19"/>
      <c r="C151" s="19"/>
      <c r="D151" s="19"/>
      <c r="E151" s="19"/>
      <c r="F151" s="19"/>
      <c r="G151" s="21"/>
      <c r="H151" s="19"/>
      <c r="I151" s="23" t="str">
        <f aca="false">IF(A151="","",TEXT(A151,"yyyy-mm"))</f>
        <v/>
      </c>
    </row>
    <row r="152" customFormat="false" ht="15" hidden="false" customHeight="false" outlineLevel="0" collapsed="false">
      <c r="A152" s="20"/>
      <c r="B152" s="19"/>
      <c r="C152" s="19"/>
      <c r="D152" s="19"/>
      <c r="E152" s="19"/>
      <c r="F152" s="19"/>
      <c r="G152" s="21"/>
      <c r="H152" s="19"/>
      <c r="I152" s="23" t="str">
        <f aca="false">IF(A152="","",TEXT(A152,"yyyy-mm"))</f>
        <v/>
      </c>
    </row>
    <row r="153" customFormat="false" ht="15" hidden="false" customHeight="false" outlineLevel="0" collapsed="false">
      <c r="A153" s="20"/>
      <c r="B153" s="19"/>
      <c r="C153" s="19"/>
      <c r="D153" s="19"/>
      <c r="E153" s="19"/>
      <c r="F153" s="19"/>
      <c r="G153" s="21"/>
      <c r="H153" s="19"/>
      <c r="I153" s="23" t="str">
        <f aca="false">IF(A153="","",TEXT(A153,"yyyy-mm"))</f>
        <v/>
      </c>
    </row>
    <row r="154" customFormat="false" ht="15" hidden="false" customHeight="false" outlineLevel="0" collapsed="false">
      <c r="A154" s="20"/>
      <c r="B154" s="19"/>
      <c r="C154" s="19"/>
      <c r="D154" s="19"/>
      <c r="E154" s="19"/>
      <c r="F154" s="19"/>
      <c r="G154" s="21"/>
      <c r="H154" s="19"/>
      <c r="I154" s="23" t="str">
        <f aca="false">IF(A154="","",TEXT(A154,"yyyy-mm"))</f>
        <v/>
      </c>
    </row>
    <row r="155" customFormat="false" ht="15" hidden="false" customHeight="false" outlineLevel="0" collapsed="false">
      <c r="A155" s="20"/>
      <c r="B155" s="19"/>
      <c r="C155" s="19"/>
      <c r="D155" s="19"/>
      <c r="E155" s="19"/>
      <c r="F155" s="19"/>
      <c r="G155" s="21"/>
      <c r="H155" s="19"/>
      <c r="I155" s="23" t="str">
        <f aca="false">IF(A155="","",TEXT(A155,"yyyy-mm"))</f>
        <v/>
      </c>
    </row>
    <row r="156" customFormat="false" ht="15" hidden="false" customHeight="false" outlineLevel="0" collapsed="false">
      <c r="A156" s="20"/>
      <c r="B156" s="19"/>
      <c r="C156" s="19"/>
      <c r="D156" s="19"/>
      <c r="E156" s="19"/>
      <c r="F156" s="19"/>
      <c r="G156" s="21"/>
      <c r="H156" s="19"/>
      <c r="I156" s="23" t="str">
        <f aca="false">IF(A156="","",TEXT(A156,"yyyy-mm"))</f>
        <v/>
      </c>
    </row>
    <row r="157" customFormat="false" ht="15" hidden="false" customHeight="false" outlineLevel="0" collapsed="false">
      <c r="A157" s="20"/>
      <c r="B157" s="19"/>
      <c r="C157" s="19"/>
      <c r="D157" s="19"/>
      <c r="E157" s="19"/>
      <c r="F157" s="19"/>
      <c r="G157" s="21"/>
      <c r="H157" s="19"/>
      <c r="I157" s="23" t="str">
        <f aca="false">IF(A157="","",TEXT(A157,"yyyy-mm"))</f>
        <v/>
      </c>
    </row>
    <row r="158" customFormat="false" ht="15" hidden="false" customHeight="false" outlineLevel="0" collapsed="false">
      <c r="A158" s="20"/>
      <c r="B158" s="19"/>
      <c r="C158" s="19"/>
      <c r="D158" s="19"/>
      <c r="E158" s="19"/>
      <c r="F158" s="19"/>
      <c r="G158" s="21"/>
      <c r="H158" s="19"/>
      <c r="I158" s="23" t="str">
        <f aca="false">IF(A158="","",TEXT(A158,"yyyy-mm"))</f>
        <v/>
      </c>
    </row>
    <row r="159" customFormat="false" ht="15" hidden="false" customHeight="false" outlineLevel="0" collapsed="false">
      <c r="A159" s="20"/>
      <c r="B159" s="19"/>
      <c r="C159" s="19"/>
      <c r="D159" s="19"/>
      <c r="E159" s="19"/>
      <c r="F159" s="19"/>
      <c r="G159" s="21"/>
      <c r="H159" s="19"/>
      <c r="I159" s="23" t="str">
        <f aca="false">IF(A159="","",TEXT(A159,"yyyy-mm"))</f>
        <v/>
      </c>
    </row>
    <row r="160" customFormat="false" ht="15" hidden="false" customHeight="false" outlineLevel="0" collapsed="false">
      <c r="A160" s="20"/>
      <c r="B160" s="19"/>
      <c r="C160" s="19"/>
      <c r="D160" s="19"/>
      <c r="E160" s="19"/>
      <c r="F160" s="19"/>
      <c r="G160" s="21"/>
      <c r="H160" s="19"/>
      <c r="I160" s="23" t="str">
        <f aca="false">IF(A160="","",TEXT(A160,"yyyy-mm"))</f>
        <v/>
      </c>
    </row>
    <row r="161" customFormat="false" ht="15" hidden="false" customHeight="false" outlineLevel="0" collapsed="false">
      <c r="A161" s="20"/>
      <c r="B161" s="19"/>
      <c r="C161" s="19"/>
      <c r="D161" s="19"/>
      <c r="E161" s="19"/>
      <c r="F161" s="19"/>
      <c r="G161" s="21"/>
      <c r="H161" s="19"/>
      <c r="I161" s="23" t="str">
        <f aca="false">IF(A161="","",TEXT(A161,"yyyy-mm"))</f>
        <v/>
      </c>
    </row>
    <row r="162" customFormat="false" ht="15" hidden="false" customHeight="false" outlineLevel="0" collapsed="false">
      <c r="A162" s="20"/>
      <c r="B162" s="19"/>
      <c r="C162" s="19"/>
      <c r="D162" s="19"/>
      <c r="E162" s="19"/>
      <c r="F162" s="19"/>
      <c r="G162" s="21"/>
      <c r="H162" s="19"/>
      <c r="I162" s="23" t="str">
        <f aca="false">IF(A162="","",TEXT(A162,"yyyy-mm"))</f>
        <v/>
      </c>
    </row>
    <row r="163" customFormat="false" ht="15" hidden="false" customHeight="false" outlineLevel="0" collapsed="false">
      <c r="A163" s="20"/>
      <c r="B163" s="19"/>
      <c r="C163" s="19"/>
      <c r="D163" s="19"/>
      <c r="E163" s="19"/>
      <c r="F163" s="19"/>
      <c r="G163" s="21"/>
      <c r="H163" s="19"/>
      <c r="I163" s="23" t="str">
        <f aca="false">IF(A163="","",TEXT(A163,"yyyy-mm"))</f>
        <v/>
      </c>
    </row>
    <row r="164" customFormat="false" ht="15" hidden="false" customHeight="false" outlineLevel="0" collapsed="false">
      <c r="A164" s="20"/>
      <c r="B164" s="19"/>
      <c r="C164" s="19"/>
      <c r="D164" s="19"/>
      <c r="E164" s="19"/>
      <c r="F164" s="19"/>
      <c r="G164" s="21"/>
      <c r="H164" s="19"/>
      <c r="I164" s="23" t="str">
        <f aca="false">IF(A164="","",TEXT(A164,"yyyy-mm"))</f>
        <v/>
      </c>
    </row>
    <row r="165" customFormat="false" ht="15" hidden="false" customHeight="false" outlineLevel="0" collapsed="false">
      <c r="A165" s="20"/>
      <c r="B165" s="19"/>
      <c r="C165" s="19"/>
      <c r="D165" s="19"/>
      <c r="E165" s="19"/>
      <c r="F165" s="19"/>
      <c r="G165" s="21"/>
      <c r="H165" s="19"/>
      <c r="I165" s="23" t="str">
        <f aca="false">IF(A165="","",TEXT(A165,"yyyy-mm"))</f>
        <v/>
      </c>
    </row>
    <row r="166" customFormat="false" ht="15" hidden="false" customHeight="false" outlineLevel="0" collapsed="false">
      <c r="A166" s="20"/>
      <c r="B166" s="19"/>
      <c r="C166" s="19"/>
      <c r="D166" s="19"/>
      <c r="E166" s="19"/>
      <c r="F166" s="19"/>
      <c r="G166" s="21"/>
      <c r="H166" s="19"/>
      <c r="I166" s="23" t="str">
        <f aca="false">IF(A166="","",TEXT(A166,"yyyy-mm"))</f>
        <v/>
      </c>
    </row>
    <row r="167" customFormat="false" ht="15" hidden="false" customHeight="false" outlineLevel="0" collapsed="false">
      <c r="A167" s="20"/>
      <c r="B167" s="19"/>
      <c r="C167" s="19"/>
      <c r="D167" s="19"/>
      <c r="E167" s="19"/>
      <c r="F167" s="19"/>
      <c r="G167" s="21"/>
      <c r="H167" s="19"/>
      <c r="I167" s="23" t="str">
        <f aca="false">IF(A167="","",TEXT(A167,"yyyy-mm"))</f>
        <v/>
      </c>
    </row>
    <row r="168" customFormat="false" ht="15" hidden="false" customHeight="false" outlineLevel="0" collapsed="false">
      <c r="A168" s="20"/>
      <c r="B168" s="19"/>
      <c r="C168" s="19"/>
      <c r="D168" s="19"/>
      <c r="E168" s="19"/>
      <c r="F168" s="19"/>
      <c r="G168" s="21"/>
      <c r="H168" s="19"/>
      <c r="I168" s="23" t="str">
        <f aca="false">IF(A168="","",TEXT(A168,"yyyy-mm"))</f>
        <v/>
      </c>
    </row>
    <row r="169" customFormat="false" ht="15" hidden="false" customHeight="false" outlineLevel="0" collapsed="false">
      <c r="A169" s="20"/>
      <c r="B169" s="19"/>
      <c r="C169" s="19"/>
      <c r="D169" s="19"/>
      <c r="E169" s="19"/>
      <c r="F169" s="19"/>
      <c r="G169" s="21"/>
      <c r="H169" s="19"/>
      <c r="I169" s="23" t="str">
        <f aca="false">IF(A169="","",TEXT(A169,"yyyy-mm"))</f>
        <v/>
      </c>
    </row>
    <row r="170" customFormat="false" ht="15" hidden="false" customHeight="false" outlineLevel="0" collapsed="false">
      <c r="A170" s="20"/>
      <c r="B170" s="19"/>
      <c r="C170" s="19"/>
      <c r="D170" s="19"/>
      <c r="E170" s="19"/>
      <c r="F170" s="19"/>
      <c r="G170" s="21"/>
      <c r="H170" s="19"/>
      <c r="I170" s="23" t="str">
        <f aca="false">IF(A170="","",TEXT(A170,"yyyy-mm"))</f>
        <v/>
      </c>
    </row>
    <row r="171" customFormat="false" ht="15" hidden="false" customHeight="false" outlineLevel="0" collapsed="false">
      <c r="A171" s="20"/>
      <c r="B171" s="19"/>
      <c r="C171" s="19"/>
      <c r="D171" s="19"/>
      <c r="E171" s="19"/>
      <c r="F171" s="19"/>
      <c r="G171" s="21"/>
      <c r="H171" s="19"/>
      <c r="I171" s="23" t="str">
        <f aca="false">IF(A171="","",TEXT(A171,"yyyy-mm"))</f>
        <v/>
      </c>
    </row>
    <row r="172" customFormat="false" ht="15" hidden="false" customHeight="false" outlineLevel="0" collapsed="false">
      <c r="A172" s="20"/>
      <c r="B172" s="19"/>
      <c r="C172" s="19"/>
      <c r="D172" s="19"/>
      <c r="E172" s="19"/>
      <c r="F172" s="19"/>
      <c r="G172" s="21"/>
      <c r="H172" s="19"/>
      <c r="I172" s="23" t="str">
        <f aca="false">IF(A172="","",TEXT(A172,"yyyy-mm"))</f>
        <v/>
      </c>
    </row>
    <row r="173" customFormat="false" ht="15" hidden="false" customHeight="false" outlineLevel="0" collapsed="false">
      <c r="A173" s="20"/>
      <c r="B173" s="19"/>
      <c r="C173" s="19"/>
      <c r="D173" s="19"/>
      <c r="E173" s="19"/>
      <c r="F173" s="19"/>
      <c r="G173" s="21"/>
      <c r="H173" s="19"/>
      <c r="I173" s="23" t="str">
        <f aca="false">IF(A173="","",TEXT(A173,"yyyy-mm"))</f>
        <v/>
      </c>
    </row>
    <row r="174" customFormat="false" ht="15" hidden="false" customHeight="false" outlineLevel="0" collapsed="false">
      <c r="A174" s="20"/>
      <c r="B174" s="19"/>
      <c r="C174" s="19"/>
      <c r="D174" s="19"/>
      <c r="E174" s="19"/>
      <c r="F174" s="19"/>
      <c r="G174" s="21"/>
      <c r="H174" s="19"/>
      <c r="I174" s="23" t="str">
        <f aca="false">IF(A174="","",TEXT(A174,"yyyy-mm"))</f>
        <v/>
      </c>
    </row>
    <row r="175" customFormat="false" ht="15" hidden="false" customHeight="false" outlineLevel="0" collapsed="false">
      <c r="A175" s="20"/>
      <c r="B175" s="19"/>
      <c r="C175" s="19"/>
      <c r="D175" s="19"/>
      <c r="E175" s="19"/>
      <c r="F175" s="19"/>
      <c r="G175" s="21"/>
      <c r="H175" s="19"/>
      <c r="I175" s="23" t="str">
        <f aca="false">IF(A175="","",TEXT(A175,"yyyy-mm"))</f>
        <v/>
      </c>
    </row>
    <row r="176" customFormat="false" ht="15" hidden="false" customHeight="false" outlineLevel="0" collapsed="false">
      <c r="A176" s="20"/>
      <c r="B176" s="19"/>
      <c r="C176" s="19"/>
      <c r="D176" s="19"/>
      <c r="E176" s="19"/>
      <c r="F176" s="19"/>
      <c r="G176" s="21"/>
      <c r="H176" s="19"/>
      <c r="I176" s="23" t="str">
        <f aca="false">IF(A176="","",TEXT(A176,"yyyy-mm"))</f>
        <v/>
      </c>
    </row>
    <row r="177" customFormat="false" ht="15" hidden="false" customHeight="false" outlineLevel="0" collapsed="false">
      <c r="A177" s="20"/>
      <c r="B177" s="19"/>
      <c r="C177" s="19"/>
      <c r="D177" s="19"/>
      <c r="E177" s="19"/>
      <c r="F177" s="19"/>
      <c r="G177" s="21"/>
      <c r="H177" s="19"/>
      <c r="I177" s="23" t="str">
        <f aca="false">IF(A177="","",TEXT(A177,"yyyy-mm"))</f>
        <v/>
      </c>
    </row>
    <row r="178" customFormat="false" ht="15" hidden="false" customHeight="false" outlineLevel="0" collapsed="false">
      <c r="A178" s="20"/>
      <c r="B178" s="19"/>
      <c r="C178" s="19"/>
      <c r="D178" s="19"/>
      <c r="E178" s="19"/>
      <c r="F178" s="19"/>
      <c r="G178" s="21"/>
      <c r="H178" s="19"/>
      <c r="I178" s="23" t="str">
        <f aca="false">IF(A178="","",TEXT(A178,"yyyy-mm"))</f>
        <v/>
      </c>
    </row>
    <row r="179" customFormat="false" ht="15" hidden="false" customHeight="false" outlineLevel="0" collapsed="false">
      <c r="A179" s="20"/>
      <c r="B179" s="19"/>
      <c r="C179" s="19"/>
      <c r="D179" s="19"/>
      <c r="E179" s="19"/>
      <c r="F179" s="19"/>
      <c r="G179" s="21"/>
      <c r="H179" s="19"/>
      <c r="I179" s="23" t="str">
        <f aca="false">IF(A179="","",TEXT(A179,"yyyy-mm"))</f>
        <v/>
      </c>
    </row>
    <row r="180" customFormat="false" ht="15" hidden="false" customHeight="false" outlineLevel="0" collapsed="false">
      <c r="A180" s="20"/>
      <c r="B180" s="19"/>
      <c r="C180" s="19"/>
      <c r="D180" s="19"/>
      <c r="E180" s="19"/>
      <c r="F180" s="19"/>
      <c r="G180" s="21"/>
      <c r="H180" s="19"/>
      <c r="I180" s="23" t="str">
        <f aca="false">IF(A180="","",TEXT(A180,"yyyy-mm"))</f>
        <v/>
      </c>
    </row>
    <row r="181" customFormat="false" ht="15" hidden="false" customHeight="false" outlineLevel="0" collapsed="false">
      <c r="A181" s="20"/>
      <c r="B181" s="19"/>
      <c r="C181" s="19"/>
      <c r="D181" s="19"/>
      <c r="E181" s="19"/>
      <c r="F181" s="19"/>
      <c r="G181" s="21"/>
      <c r="H181" s="19"/>
      <c r="I181" s="23" t="str">
        <f aca="false">IF(A181="","",TEXT(A181,"yyyy-mm"))</f>
        <v/>
      </c>
    </row>
    <row r="182" customFormat="false" ht="15" hidden="false" customHeight="false" outlineLevel="0" collapsed="false">
      <c r="A182" s="20"/>
      <c r="B182" s="19"/>
      <c r="C182" s="19"/>
      <c r="D182" s="19"/>
      <c r="E182" s="19"/>
      <c r="F182" s="19"/>
      <c r="G182" s="21"/>
      <c r="H182" s="19"/>
      <c r="I182" s="23" t="str">
        <f aca="false">IF(A182="","",TEXT(A182,"yyyy-mm"))</f>
        <v/>
      </c>
    </row>
    <row r="183" customFormat="false" ht="15" hidden="false" customHeight="false" outlineLevel="0" collapsed="false">
      <c r="A183" s="20"/>
      <c r="B183" s="19"/>
      <c r="C183" s="19"/>
      <c r="D183" s="19"/>
      <c r="E183" s="19"/>
      <c r="F183" s="19"/>
      <c r="G183" s="21"/>
      <c r="H183" s="19"/>
      <c r="I183" s="23" t="str">
        <f aca="false">IF(A183="","",TEXT(A183,"yyyy-mm"))</f>
        <v/>
      </c>
    </row>
    <row r="184" customFormat="false" ht="15" hidden="false" customHeight="false" outlineLevel="0" collapsed="false">
      <c r="A184" s="20"/>
      <c r="B184" s="19"/>
      <c r="C184" s="19"/>
      <c r="D184" s="19"/>
      <c r="E184" s="19"/>
      <c r="F184" s="19"/>
      <c r="G184" s="21"/>
      <c r="H184" s="19"/>
      <c r="I184" s="23" t="str">
        <f aca="false">IF(A184="","",TEXT(A184,"yyyy-mm"))</f>
        <v/>
      </c>
    </row>
    <row r="185" customFormat="false" ht="15" hidden="false" customHeight="false" outlineLevel="0" collapsed="false">
      <c r="A185" s="20"/>
      <c r="B185" s="19"/>
      <c r="C185" s="19"/>
      <c r="D185" s="19"/>
      <c r="E185" s="19"/>
      <c r="F185" s="19"/>
      <c r="G185" s="21"/>
      <c r="H185" s="19"/>
      <c r="I185" s="23" t="str">
        <f aca="false">IF(A185="","",TEXT(A185,"yyyy-mm"))</f>
        <v/>
      </c>
    </row>
    <row r="186" customFormat="false" ht="15" hidden="false" customHeight="false" outlineLevel="0" collapsed="false">
      <c r="A186" s="20"/>
      <c r="B186" s="19"/>
      <c r="C186" s="19"/>
      <c r="D186" s="19"/>
      <c r="E186" s="19"/>
      <c r="F186" s="19"/>
      <c r="G186" s="21"/>
      <c r="H186" s="19"/>
      <c r="I186" s="23" t="str">
        <f aca="false">IF(A186="","",TEXT(A186,"yyyy-mm"))</f>
        <v/>
      </c>
    </row>
    <row r="187" customFormat="false" ht="15" hidden="false" customHeight="false" outlineLevel="0" collapsed="false">
      <c r="A187" s="20"/>
      <c r="B187" s="19"/>
      <c r="C187" s="19"/>
      <c r="D187" s="19"/>
      <c r="E187" s="19"/>
      <c r="F187" s="19"/>
      <c r="G187" s="21"/>
      <c r="H187" s="19"/>
      <c r="I187" s="23" t="str">
        <f aca="false">IF(A187="","",TEXT(A187,"yyyy-mm"))</f>
        <v/>
      </c>
    </row>
    <row r="188" customFormat="false" ht="15" hidden="false" customHeight="false" outlineLevel="0" collapsed="false">
      <c r="A188" s="20"/>
      <c r="B188" s="19"/>
      <c r="C188" s="19"/>
      <c r="D188" s="19"/>
      <c r="E188" s="19"/>
      <c r="F188" s="19"/>
      <c r="G188" s="21"/>
      <c r="H188" s="19"/>
      <c r="I188" s="23" t="str">
        <f aca="false">IF(A188="","",TEXT(A188,"yyyy-mm"))</f>
        <v/>
      </c>
    </row>
    <row r="189" customFormat="false" ht="15" hidden="false" customHeight="false" outlineLevel="0" collapsed="false">
      <c r="A189" s="20"/>
      <c r="B189" s="19"/>
      <c r="C189" s="19"/>
      <c r="D189" s="19"/>
      <c r="E189" s="19"/>
      <c r="F189" s="19"/>
      <c r="G189" s="21"/>
      <c r="H189" s="19"/>
      <c r="I189" s="23" t="str">
        <f aca="false">IF(A189="","",TEXT(A189,"yyyy-mm"))</f>
        <v/>
      </c>
    </row>
    <row r="190" customFormat="false" ht="15" hidden="false" customHeight="false" outlineLevel="0" collapsed="false">
      <c r="A190" s="20"/>
      <c r="B190" s="19"/>
      <c r="C190" s="19"/>
      <c r="D190" s="19"/>
      <c r="E190" s="19"/>
      <c r="F190" s="19"/>
      <c r="G190" s="21"/>
      <c r="H190" s="19"/>
      <c r="I190" s="23" t="str">
        <f aca="false">IF(A190="","",TEXT(A190,"yyyy-mm"))</f>
        <v/>
      </c>
    </row>
    <row r="191" customFormat="false" ht="15" hidden="false" customHeight="false" outlineLevel="0" collapsed="false">
      <c r="A191" s="20"/>
      <c r="B191" s="19"/>
      <c r="C191" s="19"/>
      <c r="D191" s="19"/>
      <c r="E191" s="19"/>
      <c r="F191" s="19"/>
      <c r="G191" s="21"/>
      <c r="H191" s="19"/>
      <c r="I191" s="23" t="str">
        <f aca="false">IF(A191="","",TEXT(A191,"yyyy-mm"))</f>
        <v/>
      </c>
    </row>
    <row r="192" customFormat="false" ht="15" hidden="false" customHeight="false" outlineLevel="0" collapsed="false">
      <c r="A192" s="20"/>
      <c r="B192" s="19"/>
      <c r="C192" s="19"/>
      <c r="D192" s="19"/>
      <c r="E192" s="19"/>
      <c r="F192" s="19"/>
      <c r="G192" s="21"/>
      <c r="H192" s="19"/>
      <c r="I192" s="23" t="str">
        <f aca="false">IF(A192="","",TEXT(A192,"yyyy-mm"))</f>
        <v/>
      </c>
    </row>
    <row r="193" customFormat="false" ht="15" hidden="false" customHeight="false" outlineLevel="0" collapsed="false">
      <c r="A193" s="20"/>
      <c r="B193" s="19"/>
      <c r="C193" s="19"/>
      <c r="D193" s="19"/>
      <c r="E193" s="19"/>
      <c r="F193" s="19"/>
      <c r="G193" s="21"/>
      <c r="H193" s="19"/>
      <c r="I193" s="23" t="str">
        <f aca="false">IF(A193="","",TEXT(A193,"yyyy-mm"))</f>
        <v/>
      </c>
    </row>
    <row r="194" customFormat="false" ht="15" hidden="false" customHeight="false" outlineLevel="0" collapsed="false">
      <c r="A194" s="20"/>
      <c r="B194" s="19"/>
      <c r="C194" s="19"/>
      <c r="D194" s="19"/>
      <c r="E194" s="19"/>
      <c r="F194" s="19"/>
      <c r="G194" s="21"/>
      <c r="H194" s="19"/>
      <c r="I194" s="23" t="str">
        <f aca="false">IF(A194="","",TEXT(A194,"yyyy-mm"))</f>
        <v/>
      </c>
    </row>
    <row r="195" customFormat="false" ht="15" hidden="false" customHeight="false" outlineLevel="0" collapsed="false">
      <c r="A195" s="20"/>
      <c r="B195" s="19"/>
      <c r="C195" s="19"/>
      <c r="D195" s="19"/>
      <c r="E195" s="19"/>
      <c r="F195" s="19"/>
      <c r="G195" s="21"/>
      <c r="H195" s="19"/>
      <c r="I195" s="23" t="str">
        <f aca="false">IF(A195="","",TEXT(A195,"yyyy-mm"))</f>
        <v/>
      </c>
    </row>
    <row r="196" customFormat="false" ht="15" hidden="false" customHeight="false" outlineLevel="0" collapsed="false">
      <c r="A196" s="20"/>
      <c r="B196" s="19"/>
      <c r="C196" s="19"/>
      <c r="D196" s="19"/>
      <c r="E196" s="19"/>
      <c r="F196" s="19"/>
      <c r="G196" s="21"/>
      <c r="H196" s="19"/>
      <c r="I196" s="23" t="str">
        <f aca="false">IF(A196="","",TEXT(A196,"yyyy-mm"))</f>
        <v/>
      </c>
    </row>
    <row r="197" customFormat="false" ht="15" hidden="false" customHeight="false" outlineLevel="0" collapsed="false">
      <c r="A197" s="20"/>
      <c r="B197" s="19"/>
      <c r="C197" s="19"/>
      <c r="D197" s="19"/>
      <c r="E197" s="19"/>
      <c r="F197" s="19"/>
      <c r="G197" s="21"/>
      <c r="H197" s="19"/>
      <c r="I197" s="23" t="str">
        <f aca="false">IF(A197="","",TEXT(A197,"yyyy-mm"))</f>
        <v/>
      </c>
    </row>
    <row r="198" customFormat="false" ht="15" hidden="false" customHeight="false" outlineLevel="0" collapsed="false">
      <c r="A198" s="20"/>
      <c r="B198" s="19"/>
      <c r="C198" s="19"/>
      <c r="D198" s="19"/>
      <c r="E198" s="19"/>
      <c r="F198" s="19"/>
      <c r="G198" s="21"/>
      <c r="H198" s="19"/>
      <c r="I198" s="23" t="str">
        <f aca="false">IF(A198="","",TEXT(A198,"yyyy-mm"))</f>
        <v/>
      </c>
    </row>
    <row r="199" customFormat="false" ht="15" hidden="false" customHeight="false" outlineLevel="0" collapsed="false">
      <c r="A199" s="20"/>
      <c r="B199" s="19"/>
      <c r="C199" s="19"/>
      <c r="D199" s="19"/>
      <c r="E199" s="19"/>
      <c r="F199" s="19"/>
      <c r="G199" s="21"/>
      <c r="H199" s="19"/>
      <c r="I199" s="23" t="str">
        <f aca="false">IF(A199="","",TEXT(A199,"yyyy-mm"))</f>
        <v/>
      </c>
    </row>
    <row r="200" customFormat="false" ht="15" hidden="false" customHeight="false" outlineLevel="0" collapsed="false">
      <c r="A200" s="20"/>
      <c r="B200" s="19"/>
      <c r="C200" s="19"/>
      <c r="D200" s="19"/>
      <c r="E200" s="19"/>
      <c r="F200" s="19"/>
      <c r="G200" s="21"/>
      <c r="H200" s="19"/>
      <c r="I200" s="23" t="str">
        <f aca="false">IF(A200="","",TEXT(A200,"yyyy-mm"))</f>
        <v/>
      </c>
    </row>
    <row r="201" customFormat="false" ht="15" hidden="false" customHeight="false" outlineLevel="0" collapsed="false">
      <c r="A201" s="20"/>
      <c r="B201" s="19"/>
      <c r="C201" s="19"/>
      <c r="D201" s="19"/>
      <c r="E201" s="19"/>
      <c r="F201" s="19"/>
      <c r="G201" s="21"/>
      <c r="H201" s="19"/>
      <c r="I201" s="23" t="str">
        <f aca="false">IF(A201="","",TEXT(A201,"yyyy-mm"))</f>
        <v/>
      </c>
    </row>
    <row r="202" customFormat="false" ht="15" hidden="false" customHeight="false" outlineLevel="0" collapsed="false">
      <c r="A202" s="20"/>
      <c r="B202" s="19"/>
      <c r="C202" s="19"/>
      <c r="D202" s="19"/>
      <c r="E202" s="19"/>
      <c r="F202" s="19"/>
      <c r="G202" s="21"/>
      <c r="H202" s="19"/>
      <c r="I202" s="23" t="str">
        <f aca="false">IF(A202="","",TEXT(A202,"yyyy-mm"))</f>
        <v/>
      </c>
    </row>
    <row r="203" customFormat="false" ht="15" hidden="false" customHeight="false" outlineLevel="0" collapsed="false">
      <c r="A203" s="20"/>
      <c r="B203" s="19"/>
      <c r="C203" s="19"/>
      <c r="D203" s="19"/>
      <c r="E203" s="19"/>
      <c r="F203" s="19"/>
      <c r="G203" s="21"/>
      <c r="H203" s="19"/>
      <c r="I203" s="23" t="str">
        <f aca="false">IF(A203="","",TEXT(A203,"yyyy-mm"))</f>
        <v/>
      </c>
    </row>
    <row r="204" customFormat="false" ht="15" hidden="false" customHeight="false" outlineLevel="0" collapsed="false">
      <c r="A204" s="20"/>
      <c r="B204" s="19"/>
      <c r="C204" s="19"/>
      <c r="D204" s="19"/>
      <c r="E204" s="19"/>
      <c r="F204" s="19"/>
      <c r="G204" s="21"/>
      <c r="H204" s="19"/>
      <c r="I204" s="23" t="str">
        <f aca="false">IF(A204="","",TEXT(A204,"yyyy-mm"))</f>
        <v/>
      </c>
    </row>
    <row r="205" customFormat="false" ht="15" hidden="false" customHeight="false" outlineLevel="0" collapsed="false">
      <c r="A205" s="20"/>
      <c r="B205" s="19"/>
      <c r="C205" s="19"/>
      <c r="D205" s="19"/>
      <c r="E205" s="19"/>
      <c r="F205" s="19"/>
      <c r="G205" s="21"/>
      <c r="H205" s="19"/>
      <c r="I205" s="23" t="str">
        <f aca="false">IF(A205="","",TEXT(A205,"yyyy-mm"))</f>
        <v/>
      </c>
    </row>
    <row r="206" customFormat="false" ht="15" hidden="false" customHeight="false" outlineLevel="0" collapsed="false">
      <c r="A206" s="20"/>
      <c r="B206" s="19"/>
      <c r="C206" s="19"/>
      <c r="D206" s="19"/>
      <c r="E206" s="19"/>
      <c r="F206" s="19"/>
      <c r="G206" s="21"/>
      <c r="H206" s="19"/>
      <c r="I206" s="23" t="str">
        <f aca="false">IF(A206="","",TEXT(A206,"yyyy-mm"))</f>
        <v/>
      </c>
    </row>
    <row r="207" customFormat="false" ht="15" hidden="false" customHeight="false" outlineLevel="0" collapsed="false">
      <c r="A207" s="20"/>
      <c r="B207" s="19"/>
      <c r="C207" s="19"/>
      <c r="D207" s="19"/>
      <c r="E207" s="19"/>
      <c r="F207" s="19"/>
      <c r="G207" s="21"/>
      <c r="H207" s="19"/>
      <c r="I207" s="23" t="str">
        <f aca="false">IF(A207="","",TEXT(A207,"yyyy-mm"))</f>
        <v/>
      </c>
    </row>
    <row r="208" customFormat="false" ht="15" hidden="false" customHeight="false" outlineLevel="0" collapsed="false">
      <c r="A208" s="20"/>
      <c r="B208" s="19"/>
      <c r="C208" s="19"/>
      <c r="D208" s="19"/>
      <c r="E208" s="19"/>
      <c r="F208" s="19"/>
      <c r="G208" s="21"/>
      <c r="H208" s="19"/>
      <c r="I208" s="23" t="str">
        <f aca="false">IF(A208="","",TEXT(A208,"yyyy-mm"))</f>
        <v/>
      </c>
    </row>
    <row r="209" customFormat="false" ht="15" hidden="false" customHeight="false" outlineLevel="0" collapsed="false">
      <c r="A209" s="20"/>
      <c r="B209" s="19"/>
      <c r="C209" s="19"/>
      <c r="D209" s="19"/>
      <c r="E209" s="19"/>
      <c r="F209" s="19"/>
      <c r="G209" s="21"/>
      <c r="H209" s="19"/>
      <c r="I209" s="23" t="str">
        <f aca="false">IF(A209="","",TEXT(A209,"yyyy-mm"))</f>
        <v/>
      </c>
    </row>
    <row r="210" customFormat="false" ht="15" hidden="false" customHeight="false" outlineLevel="0" collapsed="false">
      <c r="A210" s="20"/>
      <c r="B210" s="19"/>
      <c r="C210" s="19"/>
      <c r="D210" s="19"/>
      <c r="E210" s="19"/>
      <c r="F210" s="19"/>
      <c r="G210" s="21"/>
      <c r="H210" s="19"/>
      <c r="I210" s="23" t="str">
        <f aca="false">IF(A210="","",TEXT(A210,"yyyy-mm"))</f>
        <v/>
      </c>
    </row>
    <row r="211" customFormat="false" ht="15" hidden="false" customHeight="false" outlineLevel="0" collapsed="false">
      <c r="A211" s="20"/>
      <c r="B211" s="19"/>
      <c r="C211" s="19"/>
      <c r="D211" s="19"/>
      <c r="E211" s="19"/>
      <c r="F211" s="19"/>
      <c r="G211" s="21"/>
      <c r="H211" s="19"/>
      <c r="I211" s="23" t="str">
        <f aca="false">IF(A211="","",TEXT(A211,"yyyy-mm"))</f>
        <v/>
      </c>
    </row>
    <row r="212" customFormat="false" ht="15" hidden="false" customHeight="false" outlineLevel="0" collapsed="false">
      <c r="A212" s="20"/>
      <c r="B212" s="19"/>
      <c r="C212" s="19"/>
      <c r="D212" s="19"/>
      <c r="E212" s="19"/>
      <c r="F212" s="19"/>
      <c r="G212" s="21"/>
      <c r="H212" s="19"/>
      <c r="I212" s="23" t="str">
        <f aca="false">IF(A212="","",TEXT(A212,"yyyy-mm"))</f>
        <v/>
      </c>
    </row>
    <row r="213" customFormat="false" ht="15" hidden="false" customHeight="false" outlineLevel="0" collapsed="false">
      <c r="A213" s="20"/>
      <c r="B213" s="19"/>
      <c r="C213" s="19"/>
      <c r="D213" s="19"/>
      <c r="E213" s="19"/>
      <c r="F213" s="19"/>
      <c r="G213" s="21"/>
      <c r="H213" s="19"/>
      <c r="I213" s="23" t="str">
        <f aca="false">IF(A213="","",TEXT(A213,"yyyy-mm"))</f>
        <v/>
      </c>
    </row>
    <row r="214" customFormat="false" ht="15" hidden="false" customHeight="false" outlineLevel="0" collapsed="false">
      <c r="A214" s="20"/>
      <c r="B214" s="19"/>
      <c r="C214" s="19"/>
      <c r="D214" s="19"/>
      <c r="E214" s="19"/>
      <c r="F214" s="19"/>
      <c r="G214" s="21"/>
      <c r="H214" s="19"/>
      <c r="I214" s="23" t="str">
        <f aca="false">IF(A214="","",TEXT(A214,"yyyy-mm"))</f>
        <v/>
      </c>
    </row>
    <row r="215" customFormat="false" ht="15" hidden="false" customHeight="false" outlineLevel="0" collapsed="false">
      <c r="A215" s="20"/>
      <c r="B215" s="19"/>
      <c r="C215" s="19"/>
      <c r="D215" s="19"/>
      <c r="E215" s="19"/>
      <c r="F215" s="19"/>
      <c r="G215" s="21"/>
      <c r="H215" s="19"/>
      <c r="I215" s="23" t="str">
        <f aca="false">IF(A215="","",TEXT(A215,"yyyy-mm"))</f>
        <v/>
      </c>
    </row>
    <row r="216" customFormat="false" ht="15" hidden="false" customHeight="false" outlineLevel="0" collapsed="false">
      <c r="A216" s="20"/>
      <c r="B216" s="19"/>
      <c r="C216" s="19"/>
      <c r="D216" s="19"/>
      <c r="E216" s="19"/>
      <c r="F216" s="19"/>
      <c r="G216" s="21"/>
      <c r="H216" s="19"/>
      <c r="I216" s="23" t="str">
        <f aca="false">IF(A216="","",TEXT(A216,"yyyy-mm"))</f>
        <v/>
      </c>
    </row>
    <row r="217" customFormat="false" ht="15" hidden="false" customHeight="false" outlineLevel="0" collapsed="false">
      <c r="A217" s="20"/>
      <c r="B217" s="19"/>
      <c r="C217" s="19"/>
      <c r="D217" s="19"/>
      <c r="E217" s="19"/>
      <c r="F217" s="19"/>
      <c r="G217" s="21"/>
      <c r="H217" s="19"/>
      <c r="I217" s="23" t="str">
        <f aca="false">IF(A217="","",TEXT(A217,"yyyy-mm"))</f>
        <v/>
      </c>
    </row>
    <row r="218" customFormat="false" ht="15" hidden="false" customHeight="false" outlineLevel="0" collapsed="false">
      <c r="A218" s="20"/>
      <c r="B218" s="19"/>
      <c r="C218" s="19"/>
      <c r="D218" s="19"/>
      <c r="E218" s="19"/>
      <c r="F218" s="19"/>
      <c r="G218" s="21"/>
      <c r="H218" s="19"/>
      <c r="I218" s="23" t="str">
        <f aca="false">IF(A218="","",TEXT(A218,"yyyy-mm"))</f>
        <v/>
      </c>
    </row>
    <row r="219" customFormat="false" ht="15" hidden="false" customHeight="false" outlineLevel="0" collapsed="false">
      <c r="A219" s="20"/>
      <c r="B219" s="19"/>
      <c r="C219" s="19"/>
      <c r="D219" s="19"/>
      <c r="E219" s="19"/>
      <c r="F219" s="19"/>
      <c r="G219" s="21"/>
      <c r="H219" s="19"/>
      <c r="I219" s="23" t="str">
        <f aca="false">IF(A219="","",TEXT(A219,"yyyy-mm"))</f>
        <v/>
      </c>
    </row>
    <row r="220" customFormat="false" ht="15" hidden="false" customHeight="false" outlineLevel="0" collapsed="false">
      <c r="A220" s="20"/>
      <c r="B220" s="19"/>
      <c r="C220" s="19"/>
      <c r="D220" s="19"/>
      <c r="E220" s="19"/>
      <c r="F220" s="19"/>
      <c r="G220" s="21"/>
      <c r="H220" s="19"/>
      <c r="I220" s="23" t="str">
        <f aca="false">IF(A220="","",TEXT(A220,"yyyy-mm"))</f>
        <v/>
      </c>
    </row>
    <row r="221" customFormat="false" ht="15" hidden="false" customHeight="false" outlineLevel="0" collapsed="false">
      <c r="A221" s="20"/>
      <c r="B221" s="19"/>
      <c r="C221" s="19"/>
      <c r="D221" s="19"/>
      <c r="E221" s="19"/>
      <c r="F221" s="19"/>
      <c r="G221" s="21"/>
      <c r="H221" s="19"/>
      <c r="I221" s="23" t="str">
        <f aca="false">IF(A221="","",TEXT(A221,"yyyy-mm"))</f>
        <v/>
      </c>
    </row>
    <row r="222" customFormat="false" ht="15" hidden="false" customHeight="false" outlineLevel="0" collapsed="false">
      <c r="A222" s="20"/>
      <c r="B222" s="19"/>
      <c r="C222" s="19"/>
      <c r="D222" s="19"/>
      <c r="E222" s="19"/>
      <c r="F222" s="19"/>
      <c r="G222" s="21"/>
      <c r="H222" s="19"/>
      <c r="I222" s="23" t="str">
        <f aca="false">IF(A222="","",TEXT(A222,"yyyy-mm"))</f>
        <v/>
      </c>
    </row>
    <row r="223" customFormat="false" ht="15" hidden="false" customHeight="false" outlineLevel="0" collapsed="false">
      <c r="A223" s="20"/>
      <c r="B223" s="19"/>
      <c r="C223" s="19"/>
      <c r="D223" s="19"/>
      <c r="E223" s="19"/>
      <c r="F223" s="19"/>
      <c r="G223" s="21"/>
      <c r="H223" s="19"/>
      <c r="I223" s="23" t="str">
        <f aca="false">IF(A223="","",TEXT(A223,"yyyy-mm"))</f>
        <v/>
      </c>
    </row>
    <row r="224" customFormat="false" ht="15" hidden="false" customHeight="false" outlineLevel="0" collapsed="false">
      <c r="A224" s="20"/>
      <c r="B224" s="19"/>
      <c r="C224" s="19"/>
      <c r="D224" s="19"/>
      <c r="E224" s="19"/>
      <c r="F224" s="19"/>
      <c r="G224" s="21"/>
      <c r="H224" s="19"/>
      <c r="I224" s="23" t="str">
        <f aca="false">IF(A224="","",TEXT(A224,"yyyy-mm"))</f>
        <v/>
      </c>
    </row>
    <row r="225" customFormat="false" ht="15" hidden="false" customHeight="false" outlineLevel="0" collapsed="false">
      <c r="A225" s="20"/>
      <c r="B225" s="19"/>
      <c r="C225" s="19"/>
      <c r="D225" s="19"/>
      <c r="E225" s="19"/>
      <c r="F225" s="19"/>
      <c r="G225" s="21"/>
      <c r="H225" s="19"/>
      <c r="I225" s="23" t="str">
        <f aca="false">IF(A225="","",TEXT(A225,"yyyy-mm"))</f>
        <v/>
      </c>
    </row>
    <row r="226" customFormat="false" ht="15" hidden="false" customHeight="false" outlineLevel="0" collapsed="false">
      <c r="A226" s="20"/>
      <c r="B226" s="19"/>
      <c r="C226" s="19"/>
      <c r="D226" s="19"/>
      <c r="E226" s="19"/>
      <c r="F226" s="19"/>
      <c r="G226" s="21"/>
      <c r="H226" s="19"/>
      <c r="I226" s="23" t="str">
        <f aca="false">IF(A226="","",TEXT(A226,"yyyy-mm"))</f>
        <v/>
      </c>
    </row>
    <row r="227" customFormat="false" ht="15" hidden="false" customHeight="false" outlineLevel="0" collapsed="false">
      <c r="A227" s="20"/>
      <c r="B227" s="19"/>
      <c r="C227" s="19"/>
      <c r="D227" s="19"/>
      <c r="E227" s="19"/>
      <c r="F227" s="19"/>
      <c r="G227" s="21"/>
      <c r="H227" s="19"/>
      <c r="I227" s="23" t="str">
        <f aca="false">IF(A227="","",TEXT(A227,"yyyy-mm"))</f>
        <v/>
      </c>
    </row>
    <row r="228" customFormat="false" ht="15" hidden="false" customHeight="false" outlineLevel="0" collapsed="false">
      <c r="A228" s="20"/>
      <c r="B228" s="19"/>
      <c r="C228" s="19"/>
      <c r="D228" s="19"/>
      <c r="E228" s="19"/>
      <c r="F228" s="19"/>
      <c r="G228" s="21"/>
      <c r="H228" s="19"/>
      <c r="I228" s="23" t="str">
        <f aca="false">IF(A228="","",TEXT(A228,"yyyy-mm"))</f>
        <v/>
      </c>
    </row>
    <row r="229" customFormat="false" ht="15" hidden="false" customHeight="false" outlineLevel="0" collapsed="false">
      <c r="A229" s="20"/>
      <c r="B229" s="19"/>
      <c r="C229" s="19"/>
      <c r="D229" s="19"/>
      <c r="E229" s="19"/>
      <c r="F229" s="19"/>
      <c r="G229" s="21"/>
      <c r="H229" s="19"/>
      <c r="I229" s="23" t="str">
        <f aca="false">IF(A229="","",TEXT(A229,"yyyy-mm"))</f>
        <v/>
      </c>
    </row>
    <row r="230" customFormat="false" ht="15" hidden="false" customHeight="false" outlineLevel="0" collapsed="false">
      <c r="A230" s="20"/>
      <c r="B230" s="19"/>
      <c r="C230" s="19"/>
      <c r="D230" s="19"/>
      <c r="E230" s="19"/>
      <c r="F230" s="19"/>
      <c r="G230" s="21"/>
      <c r="H230" s="19"/>
      <c r="I230" s="23" t="str">
        <f aca="false">IF(A230="","",TEXT(A230,"yyyy-mm"))</f>
        <v/>
      </c>
    </row>
    <row r="231" customFormat="false" ht="15" hidden="false" customHeight="false" outlineLevel="0" collapsed="false">
      <c r="A231" s="20"/>
      <c r="B231" s="19"/>
      <c r="C231" s="19"/>
      <c r="D231" s="19"/>
      <c r="E231" s="19"/>
      <c r="F231" s="19"/>
      <c r="G231" s="21"/>
      <c r="H231" s="19"/>
      <c r="I231" s="23" t="str">
        <f aca="false">IF(A231="","",TEXT(A231,"yyyy-mm"))</f>
        <v/>
      </c>
    </row>
    <row r="232" customFormat="false" ht="15" hidden="false" customHeight="false" outlineLevel="0" collapsed="false">
      <c r="A232" s="20"/>
      <c r="B232" s="19"/>
      <c r="C232" s="19"/>
      <c r="D232" s="19"/>
      <c r="E232" s="19"/>
      <c r="F232" s="19"/>
      <c r="G232" s="21"/>
      <c r="H232" s="19"/>
      <c r="I232" s="23" t="str">
        <f aca="false">IF(A232="","",TEXT(A232,"yyyy-mm"))</f>
        <v/>
      </c>
    </row>
    <row r="233" customFormat="false" ht="15" hidden="false" customHeight="false" outlineLevel="0" collapsed="false">
      <c r="A233" s="20"/>
      <c r="B233" s="19"/>
      <c r="C233" s="19"/>
      <c r="D233" s="19"/>
      <c r="E233" s="19"/>
      <c r="F233" s="19"/>
      <c r="G233" s="21"/>
      <c r="H233" s="19"/>
      <c r="I233" s="23" t="str">
        <f aca="false">IF(A233="","",TEXT(A233,"yyyy-mm"))</f>
        <v/>
      </c>
    </row>
    <row r="234" customFormat="false" ht="15" hidden="false" customHeight="false" outlineLevel="0" collapsed="false">
      <c r="A234" s="20"/>
      <c r="B234" s="19"/>
      <c r="C234" s="19"/>
      <c r="D234" s="19"/>
      <c r="E234" s="19"/>
      <c r="F234" s="19"/>
      <c r="G234" s="21"/>
      <c r="H234" s="19"/>
      <c r="I234" s="23" t="str">
        <f aca="false">IF(A234="","",TEXT(A234,"yyyy-mm"))</f>
        <v/>
      </c>
    </row>
    <row r="235" customFormat="false" ht="15" hidden="false" customHeight="false" outlineLevel="0" collapsed="false">
      <c r="A235" s="20"/>
      <c r="B235" s="19"/>
      <c r="C235" s="19"/>
      <c r="D235" s="19"/>
      <c r="E235" s="19"/>
      <c r="F235" s="19"/>
      <c r="G235" s="21"/>
      <c r="H235" s="19"/>
      <c r="I235" s="23" t="str">
        <f aca="false">IF(A235="","",TEXT(A235,"yyyy-mm"))</f>
        <v/>
      </c>
    </row>
    <row r="236" customFormat="false" ht="15" hidden="false" customHeight="false" outlineLevel="0" collapsed="false">
      <c r="A236" s="20"/>
      <c r="B236" s="19"/>
      <c r="C236" s="19"/>
      <c r="D236" s="19"/>
      <c r="E236" s="19"/>
      <c r="F236" s="19"/>
      <c r="G236" s="21"/>
      <c r="H236" s="19"/>
      <c r="I236" s="23" t="str">
        <f aca="false">IF(A236="","",TEXT(A236,"yyyy-mm"))</f>
        <v/>
      </c>
    </row>
    <row r="237" customFormat="false" ht="15" hidden="false" customHeight="false" outlineLevel="0" collapsed="false">
      <c r="A237" s="20"/>
      <c r="B237" s="19"/>
      <c r="C237" s="19"/>
      <c r="D237" s="19"/>
      <c r="E237" s="19"/>
      <c r="F237" s="19"/>
      <c r="G237" s="21"/>
      <c r="H237" s="19"/>
      <c r="I237" s="23" t="str">
        <f aca="false">IF(A237="","",TEXT(A237,"yyyy-mm"))</f>
        <v/>
      </c>
    </row>
    <row r="238" customFormat="false" ht="15" hidden="false" customHeight="false" outlineLevel="0" collapsed="false">
      <c r="A238" s="20"/>
      <c r="B238" s="19"/>
      <c r="C238" s="19"/>
      <c r="D238" s="19"/>
      <c r="E238" s="19"/>
      <c r="F238" s="19"/>
      <c r="G238" s="21"/>
      <c r="H238" s="19"/>
      <c r="I238" s="23" t="str">
        <f aca="false">IF(A238="","",TEXT(A238,"yyyy-mm"))</f>
        <v/>
      </c>
    </row>
    <row r="239" customFormat="false" ht="15" hidden="false" customHeight="false" outlineLevel="0" collapsed="false">
      <c r="A239" s="20"/>
      <c r="B239" s="19"/>
      <c r="C239" s="19"/>
      <c r="D239" s="19"/>
      <c r="E239" s="19"/>
      <c r="F239" s="19"/>
      <c r="G239" s="21"/>
      <c r="H239" s="19"/>
      <c r="I239" s="23" t="str">
        <f aca="false">IF(A239="","",TEXT(A239,"yyyy-mm"))</f>
        <v/>
      </c>
    </row>
    <row r="240" customFormat="false" ht="15" hidden="false" customHeight="false" outlineLevel="0" collapsed="false">
      <c r="A240" s="20"/>
      <c r="B240" s="19"/>
      <c r="C240" s="19"/>
      <c r="D240" s="19"/>
      <c r="E240" s="19"/>
      <c r="F240" s="19"/>
      <c r="G240" s="21"/>
      <c r="H240" s="19"/>
      <c r="I240" s="23" t="str">
        <f aca="false">IF(A240="","",TEXT(A240,"yyyy-mm"))</f>
        <v/>
      </c>
    </row>
    <row r="241" customFormat="false" ht="15" hidden="false" customHeight="false" outlineLevel="0" collapsed="false">
      <c r="A241" s="20"/>
      <c r="B241" s="19"/>
      <c r="C241" s="19"/>
      <c r="D241" s="19"/>
      <c r="E241" s="19"/>
      <c r="F241" s="19"/>
      <c r="G241" s="21"/>
      <c r="H241" s="19"/>
      <c r="I241" s="23" t="str">
        <f aca="false">IF(A241="","",TEXT(A241,"yyyy-mm"))</f>
        <v/>
      </c>
    </row>
    <row r="242" customFormat="false" ht="15" hidden="false" customHeight="false" outlineLevel="0" collapsed="false">
      <c r="A242" s="20"/>
      <c r="B242" s="19"/>
      <c r="C242" s="19"/>
      <c r="D242" s="19"/>
      <c r="E242" s="19"/>
      <c r="F242" s="19"/>
      <c r="G242" s="21"/>
      <c r="H242" s="19"/>
      <c r="I242" s="23" t="str">
        <f aca="false">IF(A242="","",TEXT(A242,"yyyy-mm"))</f>
        <v/>
      </c>
    </row>
    <row r="243" customFormat="false" ht="15" hidden="false" customHeight="false" outlineLevel="0" collapsed="false">
      <c r="A243" s="20"/>
      <c r="B243" s="19"/>
      <c r="C243" s="19"/>
      <c r="D243" s="19"/>
      <c r="E243" s="19"/>
      <c r="F243" s="19"/>
      <c r="G243" s="21"/>
      <c r="H243" s="19"/>
      <c r="I243" s="23" t="str">
        <f aca="false">IF(A243="","",TEXT(A243,"yyyy-mm"))</f>
        <v/>
      </c>
    </row>
    <row r="244" customFormat="false" ht="15" hidden="false" customHeight="false" outlineLevel="0" collapsed="false">
      <c r="A244" s="20"/>
      <c r="B244" s="19"/>
      <c r="C244" s="19"/>
      <c r="D244" s="19"/>
      <c r="E244" s="19"/>
      <c r="F244" s="19"/>
      <c r="G244" s="21"/>
      <c r="H244" s="19"/>
      <c r="I244" s="23" t="str">
        <f aca="false">IF(A244="","",TEXT(A244,"yyyy-mm"))</f>
        <v/>
      </c>
    </row>
    <row r="245" customFormat="false" ht="15" hidden="false" customHeight="false" outlineLevel="0" collapsed="false">
      <c r="A245" s="20"/>
      <c r="B245" s="19"/>
      <c r="C245" s="19"/>
      <c r="D245" s="19"/>
      <c r="E245" s="19"/>
      <c r="F245" s="19"/>
      <c r="G245" s="21"/>
      <c r="H245" s="19"/>
      <c r="I245" s="23" t="str">
        <f aca="false">IF(A245="","",TEXT(A245,"yyyy-mm"))</f>
        <v/>
      </c>
    </row>
    <row r="246" customFormat="false" ht="15" hidden="false" customHeight="false" outlineLevel="0" collapsed="false">
      <c r="A246" s="20"/>
      <c r="B246" s="19"/>
      <c r="C246" s="19"/>
      <c r="D246" s="19"/>
      <c r="E246" s="19"/>
      <c r="F246" s="19"/>
      <c r="G246" s="21"/>
      <c r="H246" s="19"/>
      <c r="I246" s="23" t="str">
        <f aca="false">IF(A246="","",TEXT(A246,"yyyy-mm"))</f>
        <v/>
      </c>
    </row>
    <row r="247" customFormat="false" ht="15" hidden="false" customHeight="false" outlineLevel="0" collapsed="false">
      <c r="A247" s="20"/>
      <c r="B247" s="19"/>
      <c r="C247" s="19"/>
      <c r="D247" s="19"/>
      <c r="E247" s="19"/>
      <c r="F247" s="19"/>
      <c r="G247" s="21"/>
      <c r="H247" s="19"/>
      <c r="I247" s="23" t="str">
        <f aca="false">IF(A247="","",TEXT(A247,"yyyy-mm"))</f>
        <v/>
      </c>
    </row>
    <row r="248" customFormat="false" ht="15" hidden="false" customHeight="false" outlineLevel="0" collapsed="false">
      <c r="A248" s="20"/>
      <c r="B248" s="19"/>
      <c r="C248" s="19"/>
      <c r="D248" s="19"/>
      <c r="E248" s="19"/>
      <c r="F248" s="19"/>
      <c r="G248" s="21"/>
      <c r="H248" s="19"/>
      <c r="I248" s="23" t="str">
        <f aca="false">IF(A248="","",TEXT(A248,"yyyy-mm"))</f>
        <v/>
      </c>
    </row>
    <row r="249" customFormat="false" ht="15" hidden="false" customHeight="false" outlineLevel="0" collapsed="false">
      <c r="A249" s="20"/>
      <c r="B249" s="19"/>
      <c r="C249" s="19"/>
      <c r="D249" s="19"/>
      <c r="E249" s="19"/>
      <c r="F249" s="19"/>
      <c r="G249" s="21"/>
      <c r="H249" s="19"/>
      <c r="I249" s="23" t="str">
        <f aca="false">IF(A249="","",TEXT(A249,"yyyy-mm"))</f>
        <v/>
      </c>
    </row>
    <row r="250" customFormat="false" ht="15" hidden="false" customHeight="false" outlineLevel="0" collapsed="false">
      <c r="A250" s="20"/>
      <c r="B250" s="19"/>
      <c r="C250" s="19"/>
      <c r="D250" s="19"/>
      <c r="E250" s="19"/>
      <c r="F250" s="19"/>
      <c r="G250" s="21"/>
      <c r="H250" s="19"/>
      <c r="I250" s="23" t="str">
        <f aca="false">IF(A250="","",TEXT(A250,"yyyy-mm"))</f>
        <v/>
      </c>
    </row>
    <row r="251" customFormat="false" ht="15" hidden="false" customHeight="false" outlineLevel="0" collapsed="false">
      <c r="A251" s="20"/>
      <c r="B251" s="19"/>
      <c r="C251" s="19"/>
      <c r="D251" s="19"/>
      <c r="E251" s="19"/>
      <c r="F251" s="19"/>
      <c r="G251" s="21"/>
      <c r="H251" s="19"/>
      <c r="I251" s="23" t="str">
        <f aca="false">IF(A251="","",TEXT(A251,"yyyy-mm"))</f>
        <v/>
      </c>
    </row>
    <row r="252" customFormat="false" ht="15" hidden="false" customHeight="false" outlineLevel="0" collapsed="false">
      <c r="A252" s="20"/>
      <c r="B252" s="19"/>
      <c r="C252" s="19"/>
      <c r="D252" s="19"/>
      <c r="E252" s="19"/>
      <c r="F252" s="19"/>
      <c r="G252" s="21"/>
      <c r="H252" s="19"/>
      <c r="I252" s="23" t="str">
        <f aca="false">IF(A252="","",TEXT(A252,"yyyy-mm"))</f>
        <v/>
      </c>
    </row>
    <row r="253" customFormat="false" ht="15" hidden="false" customHeight="false" outlineLevel="0" collapsed="false">
      <c r="A253" s="20"/>
      <c r="B253" s="19"/>
      <c r="C253" s="19"/>
      <c r="D253" s="19"/>
      <c r="E253" s="19"/>
      <c r="F253" s="19"/>
      <c r="G253" s="21"/>
      <c r="H253" s="19"/>
      <c r="I253" s="23" t="str">
        <f aca="false">IF(A253="","",TEXT(A253,"yyyy-mm"))</f>
        <v/>
      </c>
    </row>
    <row r="254" customFormat="false" ht="15" hidden="false" customHeight="false" outlineLevel="0" collapsed="false">
      <c r="A254" s="20"/>
      <c r="B254" s="19"/>
      <c r="C254" s="19"/>
      <c r="D254" s="19"/>
      <c r="E254" s="19"/>
      <c r="F254" s="19"/>
      <c r="G254" s="21"/>
      <c r="H254" s="19"/>
      <c r="I254" s="23" t="str">
        <f aca="false">IF(A254="","",TEXT(A254,"yyyy-mm"))</f>
        <v/>
      </c>
    </row>
    <row r="255" customFormat="false" ht="15" hidden="false" customHeight="false" outlineLevel="0" collapsed="false">
      <c r="A255" s="20"/>
      <c r="B255" s="19"/>
      <c r="C255" s="19"/>
      <c r="D255" s="19"/>
      <c r="E255" s="19"/>
      <c r="F255" s="19"/>
      <c r="G255" s="21"/>
      <c r="H255" s="19"/>
      <c r="I255" s="23" t="str">
        <f aca="false">IF(A255="","",TEXT(A255,"yyyy-mm"))</f>
        <v/>
      </c>
    </row>
    <row r="256" customFormat="false" ht="15" hidden="false" customHeight="false" outlineLevel="0" collapsed="false">
      <c r="A256" s="20"/>
      <c r="B256" s="19"/>
      <c r="C256" s="19"/>
      <c r="D256" s="19"/>
      <c r="E256" s="19"/>
      <c r="F256" s="19"/>
      <c r="G256" s="21"/>
      <c r="H256" s="19"/>
      <c r="I256" s="23" t="str">
        <f aca="false">IF(A256="","",TEXT(A256,"yyyy-mm"))</f>
        <v/>
      </c>
    </row>
    <row r="257" customFormat="false" ht="15" hidden="false" customHeight="false" outlineLevel="0" collapsed="false">
      <c r="A257" s="20"/>
      <c r="B257" s="19"/>
      <c r="C257" s="19"/>
      <c r="D257" s="19"/>
      <c r="E257" s="19"/>
      <c r="F257" s="19"/>
      <c r="G257" s="21"/>
      <c r="H257" s="19"/>
      <c r="I257" s="23" t="str">
        <f aca="false">IF(A257="","",TEXT(A257,"yyyy-mm"))</f>
        <v/>
      </c>
    </row>
    <row r="258" customFormat="false" ht="15" hidden="false" customHeight="false" outlineLevel="0" collapsed="false">
      <c r="A258" s="20"/>
      <c r="B258" s="19"/>
      <c r="C258" s="19"/>
      <c r="D258" s="19"/>
      <c r="E258" s="19"/>
      <c r="F258" s="19"/>
      <c r="G258" s="21"/>
      <c r="H258" s="19"/>
      <c r="I258" s="23" t="str">
        <f aca="false">IF(A258="","",TEXT(A258,"yyyy-mm"))</f>
        <v/>
      </c>
    </row>
    <row r="259" customFormat="false" ht="15" hidden="false" customHeight="false" outlineLevel="0" collapsed="false">
      <c r="A259" s="20"/>
      <c r="B259" s="19"/>
      <c r="C259" s="19"/>
      <c r="D259" s="19"/>
      <c r="E259" s="19"/>
      <c r="F259" s="19"/>
      <c r="G259" s="21"/>
      <c r="H259" s="19"/>
      <c r="I259" s="23" t="str">
        <f aca="false">IF(A259="","",TEXT(A259,"yyyy-mm"))</f>
        <v/>
      </c>
    </row>
    <row r="260" customFormat="false" ht="15" hidden="false" customHeight="false" outlineLevel="0" collapsed="false">
      <c r="A260" s="20"/>
      <c r="B260" s="19"/>
      <c r="C260" s="19"/>
      <c r="D260" s="19"/>
      <c r="E260" s="19"/>
      <c r="F260" s="19"/>
      <c r="G260" s="21"/>
      <c r="H260" s="19"/>
      <c r="I260" s="23" t="str">
        <f aca="false">IF(A260="","",TEXT(A260,"yyyy-mm"))</f>
        <v/>
      </c>
    </row>
    <row r="261" customFormat="false" ht="15" hidden="false" customHeight="false" outlineLevel="0" collapsed="false">
      <c r="A261" s="20"/>
      <c r="B261" s="19"/>
      <c r="C261" s="19"/>
      <c r="D261" s="19"/>
      <c r="E261" s="19"/>
      <c r="F261" s="19"/>
      <c r="G261" s="21"/>
      <c r="H261" s="19"/>
      <c r="I261" s="23" t="str">
        <f aca="false">IF(A261="","",TEXT(A261,"yyyy-mm"))</f>
        <v/>
      </c>
    </row>
    <row r="262" customFormat="false" ht="15" hidden="false" customHeight="false" outlineLevel="0" collapsed="false">
      <c r="A262" s="20"/>
      <c r="B262" s="19"/>
      <c r="C262" s="19"/>
      <c r="D262" s="19"/>
      <c r="E262" s="19"/>
      <c r="F262" s="19"/>
      <c r="G262" s="21"/>
      <c r="H262" s="19"/>
      <c r="I262" s="23" t="str">
        <f aca="false">IF(A262="","",TEXT(A262,"yyyy-mm"))</f>
        <v/>
      </c>
    </row>
    <row r="263" customFormat="false" ht="15" hidden="false" customHeight="false" outlineLevel="0" collapsed="false">
      <c r="A263" s="20"/>
      <c r="B263" s="19"/>
      <c r="C263" s="19"/>
      <c r="D263" s="19"/>
      <c r="E263" s="19"/>
      <c r="F263" s="19"/>
      <c r="G263" s="21"/>
      <c r="H263" s="19"/>
      <c r="I263" s="23" t="str">
        <f aca="false">IF(A263="","",TEXT(A263,"yyyy-mm"))</f>
        <v/>
      </c>
    </row>
    <row r="264" customFormat="false" ht="15" hidden="false" customHeight="false" outlineLevel="0" collapsed="false">
      <c r="A264" s="20"/>
      <c r="B264" s="19"/>
      <c r="C264" s="19"/>
      <c r="D264" s="19"/>
      <c r="E264" s="19"/>
      <c r="F264" s="19"/>
      <c r="G264" s="21"/>
      <c r="H264" s="19"/>
      <c r="I264" s="23" t="str">
        <f aca="false">IF(A264="","",TEXT(A264,"yyyy-mm"))</f>
        <v/>
      </c>
    </row>
    <row r="265" customFormat="false" ht="15" hidden="false" customHeight="false" outlineLevel="0" collapsed="false">
      <c r="A265" s="20"/>
      <c r="B265" s="19"/>
      <c r="C265" s="19"/>
      <c r="D265" s="19"/>
      <c r="E265" s="19"/>
      <c r="F265" s="19"/>
      <c r="G265" s="21"/>
      <c r="H265" s="19"/>
      <c r="I265" s="23" t="str">
        <f aca="false">IF(A265="","",TEXT(A265,"yyyy-mm"))</f>
        <v/>
      </c>
    </row>
    <row r="266" customFormat="false" ht="15" hidden="false" customHeight="false" outlineLevel="0" collapsed="false">
      <c r="A266" s="20"/>
      <c r="B266" s="19"/>
      <c r="C266" s="19"/>
      <c r="D266" s="19"/>
      <c r="E266" s="19"/>
      <c r="F266" s="19"/>
      <c r="G266" s="21"/>
      <c r="H266" s="19"/>
      <c r="I266" s="23" t="str">
        <f aca="false">IF(A266="","",TEXT(A266,"yyyy-mm"))</f>
        <v/>
      </c>
    </row>
    <row r="267" customFormat="false" ht="15" hidden="false" customHeight="false" outlineLevel="0" collapsed="false">
      <c r="A267" s="20"/>
      <c r="B267" s="19"/>
      <c r="C267" s="19"/>
      <c r="D267" s="19"/>
      <c r="E267" s="19"/>
      <c r="F267" s="19"/>
      <c r="G267" s="21"/>
      <c r="H267" s="19"/>
      <c r="I267" s="23" t="str">
        <f aca="false">IF(A267="","",TEXT(A267,"yyyy-mm"))</f>
        <v/>
      </c>
    </row>
    <row r="268" customFormat="false" ht="15" hidden="false" customHeight="false" outlineLevel="0" collapsed="false">
      <c r="A268" s="20"/>
      <c r="B268" s="19"/>
      <c r="C268" s="19"/>
      <c r="D268" s="19"/>
      <c r="E268" s="19"/>
      <c r="F268" s="19"/>
      <c r="G268" s="21"/>
      <c r="H268" s="19"/>
      <c r="I268" s="23" t="str">
        <f aca="false">IF(A268="","",TEXT(A268,"yyyy-mm"))</f>
        <v/>
      </c>
    </row>
    <row r="269" customFormat="false" ht="15" hidden="false" customHeight="false" outlineLevel="0" collapsed="false">
      <c r="A269" s="20"/>
      <c r="B269" s="19"/>
      <c r="C269" s="19"/>
      <c r="D269" s="19"/>
      <c r="E269" s="19"/>
      <c r="F269" s="19"/>
      <c r="G269" s="21"/>
      <c r="H269" s="19"/>
      <c r="I269" s="23" t="str">
        <f aca="false">IF(A269="","",TEXT(A269,"yyyy-mm"))</f>
        <v/>
      </c>
    </row>
    <row r="270" customFormat="false" ht="15" hidden="false" customHeight="false" outlineLevel="0" collapsed="false">
      <c r="A270" s="20"/>
      <c r="B270" s="19"/>
      <c r="C270" s="19"/>
      <c r="D270" s="19"/>
      <c r="E270" s="19"/>
      <c r="F270" s="19"/>
      <c r="G270" s="21"/>
      <c r="H270" s="19"/>
      <c r="I270" s="23" t="str">
        <f aca="false">IF(A270="","",TEXT(A270,"yyyy-mm"))</f>
        <v/>
      </c>
    </row>
    <row r="271" customFormat="false" ht="15" hidden="false" customHeight="false" outlineLevel="0" collapsed="false">
      <c r="A271" s="20"/>
      <c r="B271" s="19"/>
      <c r="C271" s="19"/>
      <c r="D271" s="19"/>
      <c r="E271" s="19"/>
      <c r="F271" s="19"/>
      <c r="G271" s="21"/>
      <c r="H271" s="19"/>
      <c r="I271" s="23" t="str">
        <f aca="false">IF(A271="","",TEXT(A271,"yyyy-mm"))</f>
        <v/>
      </c>
    </row>
    <row r="272" customFormat="false" ht="15" hidden="false" customHeight="false" outlineLevel="0" collapsed="false">
      <c r="A272" s="20"/>
      <c r="B272" s="19"/>
      <c r="C272" s="19"/>
      <c r="D272" s="19"/>
      <c r="E272" s="19"/>
      <c r="F272" s="19"/>
      <c r="G272" s="21"/>
      <c r="H272" s="19"/>
      <c r="I272" s="23" t="str">
        <f aca="false">IF(A272="","",TEXT(A272,"yyyy-mm"))</f>
        <v/>
      </c>
    </row>
    <row r="273" customFormat="false" ht="15" hidden="false" customHeight="false" outlineLevel="0" collapsed="false">
      <c r="A273" s="20"/>
      <c r="B273" s="19"/>
      <c r="C273" s="19"/>
      <c r="D273" s="19"/>
      <c r="E273" s="19"/>
      <c r="F273" s="19"/>
      <c r="G273" s="21"/>
      <c r="H273" s="19"/>
      <c r="I273" s="23" t="str">
        <f aca="false">IF(A273="","",TEXT(A273,"yyyy-mm"))</f>
        <v/>
      </c>
    </row>
    <row r="274" customFormat="false" ht="15" hidden="false" customHeight="false" outlineLevel="0" collapsed="false">
      <c r="A274" s="20"/>
      <c r="B274" s="19"/>
      <c r="C274" s="19"/>
      <c r="D274" s="19"/>
      <c r="E274" s="19"/>
      <c r="F274" s="19"/>
      <c r="G274" s="21"/>
      <c r="H274" s="19"/>
      <c r="I274" s="23" t="str">
        <f aca="false">IF(A274="","",TEXT(A274,"yyyy-mm"))</f>
        <v/>
      </c>
    </row>
    <row r="275" customFormat="false" ht="15" hidden="false" customHeight="false" outlineLevel="0" collapsed="false">
      <c r="A275" s="20"/>
      <c r="B275" s="19"/>
      <c r="C275" s="19"/>
      <c r="D275" s="19"/>
      <c r="E275" s="19"/>
      <c r="F275" s="19"/>
      <c r="G275" s="21"/>
      <c r="H275" s="19"/>
      <c r="I275" s="23" t="str">
        <f aca="false">IF(A275="","",TEXT(A275,"yyyy-mm"))</f>
        <v/>
      </c>
    </row>
    <row r="276" customFormat="false" ht="15" hidden="false" customHeight="false" outlineLevel="0" collapsed="false">
      <c r="A276" s="20"/>
      <c r="B276" s="19"/>
      <c r="C276" s="19"/>
      <c r="D276" s="19"/>
      <c r="E276" s="19"/>
      <c r="F276" s="19"/>
      <c r="G276" s="21"/>
      <c r="H276" s="19"/>
      <c r="I276" s="23" t="str">
        <f aca="false">IF(A276="","",TEXT(A276,"yyyy-mm"))</f>
        <v/>
      </c>
    </row>
    <row r="277" customFormat="false" ht="15" hidden="false" customHeight="false" outlineLevel="0" collapsed="false">
      <c r="A277" s="20"/>
      <c r="B277" s="19"/>
      <c r="C277" s="19"/>
      <c r="D277" s="19"/>
      <c r="E277" s="19"/>
      <c r="F277" s="19"/>
      <c r="G277" s="21"/>
      <c r="H277" s="19"/>
      <c r="I277" s="23" t="str">
        <f aca="false">IF(A277="","",TEXT(A277,"yyyy-mm"))</f>
        <v/>
      </c>
    </row>
    <row r="278" customFormat="false" ht="15" hidden="false" customHeight="false" outlineLevel="0" collapsed="false">
      <c r="A278" s="20"/>
      <c r="B278" s="19"/>
      <c r="C278" s="19"/>
      <c r="D278" s="19"/>
      <c r="E278" s="19"/>
      <c r="F278" s="19"/>
      <c r="G278" s="21"/>
      <c r="H278" s="19"/>
      <c r="I278" s="23" t="str">
        <f aca="false">IF(A278="","",TEXT(A278,"yyyy-mm"))</f>
        <v/>
      </c>
    </row>
    <row r="279" customFormat="false" ht="15" hidden="false" customHeight="false" outlineLevel="0" collapsed="false">
      <c r="A279" s="20"/>
      <c r="B279" s="19"/>
      <c r="C279" s="19"/>
      <c r="D279" s="19"/>
      <c r="E279" s="19"/>
      <c r="F279" s="19"/>
      <c r="G279" s="21"/>
      <c r="H279" s="19"/>
      <c r="I279" s="23" t="str">
        <f aca="false">IF(A279="","",TEXT(A279,"yyyy-mm"))</f>
        <v/>
      </c>
    </row>
    <row r="280" customFormat="false" ht="15" hidden="false" customHeight="false" outlineLevel="0" collapsed="false">
      <c r="A280" s="20"/>
      <c r="B280" s="19"/>
      <c r="C280" s="19"/>
      <c r="D280" s="19"/>
      <c r="E280" s="19"/>
      <c r="F280" s="19"/>
      <c r="G280" s="21"/>
      <c r="H280" s="19"/>
      <c r="I280" s="23" t="str">
        <f aca="false">IF(A280="","",TEXT(A280,"yyyy-mm"))</f>
        <v/>
      </c>
    </row>
    <row r="281" customFormat="false" ht="15" hidden="false" customHeight="false" outlineLevel="0" collapsed="false">
      <c r="A281" s="20"/>
      <c r="B281" s="19"/>
      <c r="C281" s="19"/>
      <c r="D281" s="19"/>
      <c r="E281" s="19"/>
      <c r="F281" s="19"/>
      <c r="G281" s="21"/>
      <c r="H281" s="19"/>
      <c r="I281" s="23" t="str">
        <f aca="false">IF(A281="","",TEXT(A281,"yyyy-mm"))</f>
        <v/>
      </c>
    </row>
    <row r="282" customFormat="false" ht="15" hidden="false" customHeight="false" outlineLevel="0" collapsed="false">
      <c r="A282" s="20"/>
      <c r="B282" s="19"/>
      <c r="C282" s="19"/>
      <c r="D282" s="19"/>
      <c r="E282" s="19"/>
      <c r="F282" s="19"/>
      <c r="G282" s="21"/>
      <c r="H282" s="19"/>
      <c r="I282" s="23" t="str">
        <f aca="false">IF(A282="","",TEXT(A282,"yyyy-mm"))</f>
        <v/>
      </c>
    </row>
    <row r="283" customFormat="false" ht="15" hidden="false" customHeight="false" outlineLevel="0" collapsed="false">
      <c r="A283" s="20"/>
      <c r="B283" s="19"/>
      <c r="C283" s="19"/>
      <c r="D283" s="19"/>
      <c r="E283" s="19"/>
      <c r="F283" s="19"/>
      <c r="G283" s="21"/>
      <c r="H283" s="19"/>
      <c r="I283" s="23" t="str">
        <f aca="false">IF(A283="","",TEXT(A283,"yyyy-mm"))</f>
        <v/>
      </c>
    </row>
    <row r="284" customFormat="false" ht="15" hidden="false" customHeight="false" outlineLevel="0" collapsed="false">
      <c r="A284" s="20"/>
      <c r="B284" s="19"/>
      <c r="C284" s="19"/>
      <c r="D284" s="19"/>
      <c r="E284" s="19"/>
      <c r="F284" s="19"/>
      <c r="G284" s="21"/>
      <c r="H284" s="19"/>
      <c r="I284" s="23" t="str">
        <f aca="false">IF(A284="","",TEXT(A284,"yyyy-mm"))</f>
        <v/>
      </c>
    </row>
    <row r="285" customFormat="false" ht="15" hidden="false" customHeight="false" outlineLevel="0" collapsed="false">
      <c r="A285" s="20"/>
      <c r="B285" s="19"/>
      <c r="C285" s="19"/>
      <c r="D285" s="19"/>
      <c r="E285" s="19"/>
      <c r="F285" s="19"/>
      <c r="G285" s="21"/>
      <c r="H285" s="19"/>
      <c r="I285" s="23" t="str">
        <f aca="false">IF(A285="","",TEXT(A285,"yyyy-mm"))</f>
        <v/>
      </c>
    </row>
    <row r="286" customFormat="false" ht="15" hidden="false" customHeight="false" outlineLevel="0" collapsed="false">
      <c r="A286" s="20"/>
      <c r="B286" s="19"/>
      <c r="C286" s="19"/>
      <c r="D286" s="19"/>
      <c r="E286" s="19"/>
      <c r="F286" s="19"/>
      <c r="G286" s="21"/>
      <c r="H286" s="19"/>
      <c r="I286" s="23" t="str">
        <f aca="false">IF(A286="","",TEXT(A286,"yyyy-mm"))</f>
        <v/>
      </c>
    </row>
    <row r="287" customFormat="false" ht="15" hidden="false" customHeight="false" outlineLevel="0" collapsed="false">
      <c r="A287" s="20"/>
      <c r="B287" s="19"/>
      <c r="C287" s="19"/>
      <c r="D287" s="19"/>
      <c r="E287" s="19"/>
      <c r="F287" s="19"/>
      <c r="G287" s="21"/>
      <c r="H287" s="19"/>
      <c r="I287" s="23" t="str">
        <f aca="false">IF(A287="","",TEXT(A287,"yyyy-mm"))</f>
        <v/>
      </c>
    </row>
    <row r="288" customFormat="false" ht="15" hidden="false" customHeight="false" outlineLevel="0" collapsed="false">
      <c r="A288" s="20"/>
      <c r="B288" s="19"/>
      <c r="C288" s="19"/>
      <c r="D288" s="19"/>
      <c r="E288" s="19"/>
      <c r="F288" s="19"/>
      <c r="G288" s="21"/>
      <c r="H288" s="19"/>
      <c r="I288" s="23" t="str">
        <f aca="false">IF(A288="","",TEXT(A288,"yyyy-mm"))</f>
        <v/>
      </c>
    </row>
    <row r="289" customFormat="false" ht="15" hidden="false" customHeight="false" outlineLevel="0" collapsed="false">
      <c r="A289" s="20"/>
      <c r="B289" s="19"/>
      <c r="C289" s="19"/>
      <c r="D289" s="19"/>
      <c r="E289" s="19"/>
      <c r="F289" s="19"/>
      <c r="G289" s="21"/>
      <c r="H289" s="19"/>
      <c r="I289" s="23" t="str">
        <f aca="false">IF(A289="","",TEXT(A289,"yyyy-mm"))</f>
        <v/>
      </c>
    </row>
    <row r="290" customFormat="false" ht="15" hidden="false" customHeight="false" outlineLevel="0" collapsed="false">
      <c r="A290" s="20"/>
      <c r="B290" s="19"/>
      <c r="C290" s="19"/>
      <c r="D290" s="19"/>
      <c r="E290" s="19"/>
      <c r="F290" s="19"/>
      <c r="G290" s="21"/>
      <c r="H290" s="19"/>
      <c r="I290" s="23" t="str">
        <f aca="false">IF(A290="","",TEXT(A290,"yyyy-mm"))</f>
        <v/>
      </c>
    </row>
    <row r="291" customFormat="false" ht="15" hidden="false" customHeight="false" outlineLevel="0" collapsed="false">
      <c r="A291" s="20"/>
      <c r="B291" s="19"/>
      <c r="C291" s="19"/>
      <c r="D291" s="19"/>
      <c r="E291" s="19"/>
      <c r="F291" s="19"/>
      <c r="G291" s="21"/>
      <c r="H291" s="19"/>
      <c r="I291" s="23" t="str">
        <f aca="false">IF(A291="","",TEXT(A291,"yyyy-mm"))</f>
        <v/>
      </c>
    </row>
    <row r="292" customFormat="false" ht="15" hidden="false" customHeight="false" outlineLevel="0" collapsed="false">
      <c r="A292" s="20"/>
      <c r="B292" s="19"/>
      <c r="C292" s="19"/>
      <c r="D292" s="19"/>
      <c r="E292" s="19"/>
      <c r="F292" s="19"/>
      <c r="G292" s="21"/>
      <c r="H292" s="19"/>
      <c r="I292" s="23" t="str">
        <f aca="false">IF(A292="","",TEXT(A292,"yyyy-mm"))</f>
        <v/>
      </c>
    </row>
    <row r="293" customFormat="false" ht="15" hidden="false" customHeight="false" outlineLevel="0" collapsed="false">
      <c r="A293" s="20"/>
      <c r="B293" s="19"/>
      <c r="C293" s="19"/>
      <c r="D293" s="19"/>
      <c r="E293" s="19"/>
      <c r="F293" s="19"/>
      <c r="G293" s="21"/>
      <c r="H293" s="19"/>
      <c r="I293" s="23" t="str">
        <f aca="false">IF(A293="","",TEXT(A293,"yyyy-mm"))</f>
        <v/>
      </c>
    </row>
    <row r="294" customFormat="false" ht="15" hidden="false" customHeight="false" outlineLevel="0" collapsed="false">
      <c r="A294" s="20"/>
      <c r="B294" s="19"/>
      <c r="C294" s="19"/>
      <c r="D294" s="19"/>
      <c r="E294" s="19"/>
      <c r="F294" s="19"/>
      <c r="G294" s="21"/>
      <c r="H294" s="19"/>
      <c r="I294" s="23" t="str">
        <f aca="false">IF(A294="","",TEXT(A294,"yyyy-mm"))</f>
        <v/>
      </c>
    </row>
    <row r="295" customFormat="false" ht="15" hidden="false" customHeight="false" outlineLevel="0" collapsed="false">
      <c r="A295" s="20"/>
      <c r="B295" s="19"/>
      <c r="C295" s="19"/>
      <c r="D295" s="19"/>
      <c r="E295" s="19"/>
      <c r="F295" s="19"/>
      <c r="G295" s="21"/>
      <c r="H295" s="19"/>
      <c r="I295" s="23" t="str">
        <f aca="false">IF(A295="","",TEXT(A295,"yyyy-mm"))</f>
        <v/>
      </c>
    </row>
    <row r="296" customFormat="false" ht="15" hidden="false" customHeight="false" outlineLevel="0" collapsed="false">
      <c r="A296" s="20"/>
      <c r="B296" s="19"/>
      <c r="C296" s="19"/>
      <c r="D296" s="19"/>
      <c r="E296" s="19"/>
      <c r="F296" s="19"/>
      <c r="G296" s="21"/>
      <c r="H296" s="19"/>
      <c r="I296" s="23" t="str">
        <f aca="false">IF(A296="","",TEXT(A296,"yyyy-mm"))</f>
        <v/>
      </c>
    </row>
    <row r="297" customFormat="false" ht="15" hidden="false" customHeight="false" outlineLevel="0" collapsed="false">
      <c r="A297" s="20"/>
      <c r="B297" s="19"/>
      <c r="C297" s="19"/>
      <c r="D297" s="19"/>
      <c r="E297" s="19"/>
      <c r="F297" s="19"/>
      <c r="G297" s="21"/>
      <c r="H297" s="19"/>
      <c r="I297" s="23" t="str">
        <f aca="false">IF(A297="","",TEXT(A297,"yyyy-mm"))</f>
        <v/>
      </c>
    </row>
    <row r="298" customFormat="false" ht="15" hidden="false" customHeight="false" outlineLevel="0" collapsed="false">
      <c r="A298" s="20"/>
      <c r="B298" s="19"/>
      <c r="C298" s="19"/>
      <c r="D298" s="19"/>
      <c r="E298" s="19"/>
      <c r="F298" s="19"/>
      <c r="G298" s="21"/>
      <c r="H298" s="19"/>
      <c r="I298" s="23" t="str">
        <f aca="false">IF(A298="","",TEXT(A298,"yyyy-mm"))</f>
        <v/>
      </c>
    </row>
    <row r="299" customFormat="false" ht="15" hidden="false" customHeight="false" outlineLevel="0" collapsed="false">
      <c r="A299" s="20"/>
      <c r="B299" s="19"/>
      <c r="C299" s="19"/>
      <c r="D299" s="19"/>
      <c r="E299" s="19"/>
      <c r="F299" s="19"/>
      <c r="G299" s="21"/>
      <c r="H299" s="19"/>
      <c r="I299" s="23" t="str">
        <f aca="false">IF(A299="","",TEXT(A299,"yyyy-mm"))</f>
        <v/>
      </c>
    </row>
    <row r="300" customFormat="false" ht="15" hidden="false" customHeight="false" outlineLevel="0" collapsed="false">
      <c r="A300" s="20"/>
      <c r="B300" s="19"/>
      <c r="C300" s="19"/>
      <c r="D300" s="19"/>
      <c r="E300" s="19"/>
      <c r="F300" s="19"/>
      <c r="G300" s="21"/>
      <c r="H300" s="19"/>
      <c r="I300" s="23" t="str">
        <f aca="false">IF(A300="","",TEXT(A300,"yyyy-mm"))</f>
        <v/>
      </c>
    </row>
    <row r="301" customFormat="false" ht="15" hidden="false" customHeight="false" outlineLevel="0" collapsed="false">
      <c r="A301" s="20"/>
      <c r="B301" s="19"/>
      <c r="C301" s="19"/>
      <c r="D301" s="19"/>
      <c r="E301" s="19"/>
      <c r="F301" s="19"/>
      <c r="G301" s="21"/>
      <c r="H301" s="19"/>
      <c r="I301" s="23" t="str">
        <f aca="false">IF(A301="","",TEXT(A301,"yyyy-mm"))</f>
        <v/>
      </c>
    </row>
    <row r="302" customFormat="false" ht="15" hidden="false" customHeight="false" outlineLevel="0" collapsed="false">
      <c r="A302" s="20"/>
      <c r="B302" s="19"/>
      <c r="C302" s="19"/>
      <c r="D302" s="19"/>
      <c r="E302" s="19"/>
      <c r="F302" s="19"/>
      <c r="G302" s="21"/>
      <c r="H302" s="19"/>
      <c r="I302" s="23" t="str">
        <f aca="false">IF(A302="","",TEXT(A302,"yyyy-mm"))</f>
        <v/>
      </c>
    </row>
    <row r="303" customFormat="false" ht="15" hidden="false" customHeight="false" outlineLevel="0" collapsed="false">
      <c r="A303" s="20"/>
      <c r="B303" s="19"/>
      <c r="C303" s="19"/>
      <c r="D303" s="19"/>
      <c r="E303" s="19"/>
      <c r="F303" s="19"/>
      <c r="G303" s="21"/>
      <c r="H303" s="19"/>
      <c r="I303" s="23" t="str">
        <f aca="false">IF(A303="","",TEXT(A303,"yyyy-mm"))</f>
        <v/>
      </c>
    </row>
    <row r="304" customFormat="false" ht="15" hidden="false" customHeight="false" outlineLevel="0" collapsed="false">
      <c r="A304" s="20"/>
      <c r="B304" s="19"/>
      <c r="C304" s="19"/>
      <c r="D304" s="19"/>
      <c r="E304" s="19"/>
      <c r="F304" s="19"/>
      <c r="G304" s="21"/>
      <c r="H304" s="19"/>
      <c r="I304" s="23" t="str">
        <f aca="false">IF(A304="","",TEXT(A304,"yyyy-mm"))</f>
        <v/>
      </c>
    </row>
    <row r="305" customFormat="false" ht="15" hidden="false" customHeight="false" outlineLevel="0" collapsed="false">
      <c r="A305" s="20"/>
      <c r="B305" s="19"/>
      <c r="C305" s="19"/>
      <c r="D305" s="19"/>
      <c r="E305" s="19"/>
      <c r="F305" s="19"/>
      <c r="G305" s="21"/>
      <c r="H305" s="19"/>
      <c r="I305" s="23" t="str">
        <f aca="false">IF(A305="","",TEXT(A305,"yyyy-mm"))</f>
        <v/>
      </c>
    </row>
    <row r="306" customFormat="false" ht="15" hidden="false" customHeight="false" outlineLevel="0" collapsed="false">
      <c r="A306" s="20"/>
      <c r="B306" s="19"/>
      <c r="C306" s="19"/>
      <c r="D306" s="19"/>
      <c r="E306" s="19"/>
      <c r="F306" s="19"/>
      <c r="G306" s="21"/>
      <c r="H306" s="19"/>
      <c r="I306" s="23" t="str">
        <f aca="false">IF(A306="","",TEXT(A306,"yyyy-mm"))</f>
        <v/>
      </c>
    </row>
    <row r="307" customFormat="false" ht="15" hidden="false" customHeight="false" outlineLevel="0" collapsed="false">
      <c r="A307" s="20"/>
      <c r="B307" s="19"/>
      <c r="C307" s="19"/>
      <c r="D307" s="19"/>
      <c r="E307" s="19"/>
      <c r="F307" s="19"/>
      <c r="G307" s="21"/>
      <c r="H307" s="19"/>
      <c r="I307" s="23" t="str">
        <f aca="false">IF(A307="","",TEXT(A307,"yyyy-mm"))</f>
        <v/>
      </c>
    </row>
    <row r="308" customFormat="false" ht="15" hidden="false" customHeight="false" outlineLevel="0" collapsed="false">
      <c r="A308" s="20"/>
      <c r="B308" s="19"/>
      <c r="C308" s="19"/>
      <c r="D308" s="19"/>
      <c r="E308" s="19"/>
      <c r="F308" s="19"/>
      <c r="G308" s="21"/>
      <c r="H308" s="19"/>
      <c r="I308" s="23" t="str">
        <f aca="false">IF(A308="","",TEXT(A308,"yyyy-mm"))</f>
        <v/>
      </c>
    </row>
    <row r="309" customFormat="false" ht="15" hidden="false" customHeight="false" outlineLevel="0" collapsed="false">
      <c r="A309" s="20"/>
      <c r="B309" s="19"/>
      <c r="C309" s="19"/>
      <c r="D309" s="19"/>
      <c r="E309" s="19"/>
      <c r="F309" s="19"/>
      <c r="G309" s="21"/>
      <c r="H309" s="19"/>
      <c r="I309" s="23" t="str">
        <f aca="false">IF(A309="","",TEXT(A309,"yyyy-mm"))</f>
        <v/>
      </c>
    </row>
    <row r="310" customFormat="false" ht="15" hidden="false" customHeight="false" outlineLevel="0" collapsed="false">
      <c r="A310" s="20"/>
      <c r="B310" s="19"/>
      <c r="C310" s="19"/>
      <c r="D310" s="19"/>
      <c r="E310" s="19"/>
      <c r="F310" s="19"/>
      <c r="G310" s="21"/>
      <c r="H310" s="19"/>
      <c r="I310" s="23" t="str">
        <f aca="false">IF(A310="","",TEXT(A310,"yyyy-mm"))</f>
        <v/>
      </c>
    </row>
    <row r="311" customFormat="false" ht="15" hidden="false" customHeight="false" outlineLevel="0" collapsed="false">
      <c r="A311" s="20"/>
      <c r="B311" s="19"/>
      <c r="C311" s="19"/>
      <c r="D311" s="19"/>
      <c r="E311" s="19"/>
      <c r="F311" s="19"/>
      <c r="G311" s="21"/>
      <c r="H311" s="19"/>
      <c r="I311" s="23" t="str">
        <f aca="false">IF(A311="","",TEXT(A311,"yyyy-mm"))</f>
        <v/>
      </c>
    </row>
    <row r="312" customFormat="false" ht="15" hidden="false" customHeight="false" outlineLevel="0" collapsed="false">
      <c r="A312" s="20"/>
      <c r="B312" s="19"/>
      <c r="C312" s="19"/>
      <c r="D312" s="19"/>
      <c r="E312" s="19"/>
      <c r="F312" s="19"/>
      <c r="G312" s="21"/>
      <c r="H312" s="19"/>
      <c r="I312" s="23" t="str">
        <f aca="false">IF(A312="","",TEXT(A312,"yyyy-mm"))</f>
        <v/>
      </c>
    </row>
    <row r="313" customFormat="false" ht="15" hidden="false" customHeight="false" outlineLevel="0" collapsed="false">
      <c r="A313" s="20"/>
      <c r="B313" s="19"/>
      <c r="C313" s="19"/>
      <c r="D313" s="19"/>
      <c r="E313" s="19"/>
      <c r="F313" s="19"/>
      <c r="G313" s="21"/>
      <c r="H313" s="19"/>
      <c r="I313" s="23" t="str">
        <f aca="false">IF(A313="","",TEXT(A313,"yyyy-mm"))</f>
        <v/>
      </c>
    </row>
    <row r="314" customFormat="false" ht="15" hidden="false" customHeight="false" outlineLevel="0" collapsed="false">
      <c r="A314" s="20"/>
      <c r="B314" s="19"/>
      <c r="C314" s="19"/>
      <c r="D314" s="19"/>
      <c r="E314" s="19"/>
      <c r="F314" s="19"/>
      <c r="G314" s="21"/>
      <c r="H314" s="19"/>
      <c r="I314" s="23" t="str">
        <f aca="false">IF(A314="","",TEXT(A314,"yyyy-mm"))</f>
        <v/>
      </c>
    </row>
    <row r="315" customFormat="false" ht="15" hidden="false" customHeight="false" outlineLevel="0" collapsed="false">
      <c r="A315" s="20"/>
      <c r="B315" s="19"/>
      <c r="C315" s="19"/>
      <c r="D315" s="19"/>
      <c r="E315" s="19"/>
      <c r="F315" s="19"/>
      <c r="G315" s="21"/>
      <c r="H315" s="19"/>
      <c r="I315" s="23" t="str">
        <f aca="false">IF(A315="","",TEXT(A315,"yyyy-mm"))</f>
        <v/>
      </c>
    </row>
    <row r="316" customFormat="false" ht="15" hidden="false" customHeight="false" outlineLevel="0" collapsed="false">
      <c r="A316" s="20"/>
      <c r="B316" s="19"/>
      <c r="C316" s="19"/>
      <c r="D316" s="19"/>
      <c r="E316" s="19"/>
      <c r="F316" s="19"/>
      <c r="G316" s="21"/>
      <c r="H316" s="19"/>
      <c r="I316" s="23" t="str">
        <f aca="false">IF(A316="","",TEXT(A316,"yyyy-mm"))</f>
        <v/>
      </c>
    </row>
    <row r="317" customFormat="false" ht="15" hidden="false" customHeight="false" outlineLevel="0" collapsed="false">
      <c r="A317" s="20"/>
      <c r="B317" s="19"/>
      <c r="C317" s="19"/>
      <c r="D317" s="19"/>
      <c r="E317" s="19"/>
      <c r="F317" s="19"/>
      <c r="G317" s="21"/>
      <c r="H317" s="19"/>
      <c r="I317" s="23" t="str">
        <f aca="false">IF(A317="","",TEXT(A317,"yyyy-mm"))</f>
        <v/>
      </c>
    </row>
    <row r="318" customFormat="false" ht="15" hidden="false" customHeight="false" outlineLevel="0" collapsed="false">
      <c r="A318" s="20"/>
      <c r="B318" s="19"/>
      <c r="C318" s="19"/>
      <c r="D318" s="19"/>
      <c r="E318" s="19"/>
      <c r="F318" s="19"/>
      <c r="G318" s="21"/>
      <c r="H318" s="19"/>
      <c r="I318" s="23" t="str">
        <f aca="false">IF(A318="","",TEXT(A318,"yyyy-mm"))</f>
        <v/>
      </c>
    </row>
    <row r="319" customFormat="false" ht="15" hidden="false" customHeight="false" outlineLevel="0" collapsed="false">
      <c r="A319" s="20"/>
      <c r="B319" s="19"/>
      <c r="C319" s="19"/>
      <c r="D319" s="19"/>
      <c r="E319" s="19"/>
      <c r="F319" s="19"/>
      <c r="G319" s="21"/>
      <c r="H319" s="19"/>
      <c r="I319" s="23" t="str">
        <f aca="false">IF(A319="","",TEXT(A319,"yyyy-mm"))</f>
        <v/>
      </c>
    </row>
    <row r="320" customFormat="false" ht="15" hidden="false" customHeight="false" outlineLevel="0" collapsed="false">
      <c r="A320" s="20"/>
      <c r="B320" s="19"/>
      <c r="C320" s="19"/>
      <c r="D320" s="19"/>
      <c r="E320" s="19"/>
      <c r="F320" s="19"/>
      <c r="G320" s="21"/>
      <c r="H320" s="19"/>
      <c r="I320" s="23" t="str">
        <f aca="false">IF(A320="","",TEXT(A320,"yyyy-mm"))</f>
        <v/>
      </c>
    </row>
    <row r="321" customFormat="false" ht="15" hidden="false" customHeight="false" outlineLevel="0" collapsed="false">
      <c r="A321" s="20"/>
      <c r="B321" s="19"/>
      <c r="C321" s="19"/>
      <c r="D321" s="19"/>
      <c r="E321" s="19"/>
      <c r="F321" s="19"/>
      <c r="G321" s="21"/>
      <c r="H321" s="19"/>
      <c r="I321" s="23" t="str">
        <f aca="false">IF(A321="","",TEXT(A321,"yyyy-mm"))</f>
        <v/>
      </c>
    </row>
    <row r="322" customFormat="false" ht="15" hidden="false" customHeight="false" outlineLevel="0" collapsed="false">
      <c r="A322" s="20"/>
      <c r="B322" s="19"/>
      <c r="C322" s="19"/>
      <c r="D322" s="19"/>
      <c r="E322" s="19"/>
      <c r="F322" s="19"/>
      <c r="G322" s="21"/>
      <c r="H322" s="19"/>
      <c r="I322" s="23" t="str">
        <f aca="false">IF(A322="","",TEXT(A322,"yyyy-mm"))</f>
        <v/>
      </c>
    </row>
    <row r="323" customFormat="false" ht="15" hidden="false" customHeight="false" outlineLevel="0" collapsed="false">
      <c r="A323" s="20"/>
      <c r="B323" s="19"/>
      <c r="C323" s="19"/>
      <c r="D323" s="19"/>
      <c r="E323" s="19"/>
      <c r="F323" s="19"/>
      <c r="G323" s="21"/>
      <c r="H323" s="19"/>
      <c r="I323" s="23" t="str">
        <f aca="false">IF(A323="","",TEXT(A323,"yyyy-mm"))</f>
        <v/>
      </c>
    </row>
    <row r="324" customFormat="false" ht="15" hidden="false" customHeight="false" outlineLevel="0" collapsed="false">
      <c r="A324" s="20"/>
      <c r="B324" s="19"/>
      <c r="C324" s="19"/>
      <c r="D324" s="19"/>
      <c r="E324" s="19"/>
      <c r="F324" s="19"/>
      <c r="G324" s="21"/>
      <c r="H324" s="19"/>
      <c r="I324" s="23" t="str">
        <f aca="false">IF(A324="","",TEXT(A324,"yyyy-mm"))</f>
        <v/>
      </c>
    </row>
    <row r="325" customFormat="false" ht="15" hidden="false" customHeight="false" outlineLevel="0" collapsed="false">
      <c r="A325" s="20"/>
      <c r="B325" s="19"/>
      <c r="C325" s="19"/>
      <c r="D325" s="19"/>
      <c r="E325" s="19"/>
      <c r="F325" s="19"/>
      <c r="G325" s="21"/>
      <c r="H325" s="19"/>
      <c r="I325" s="23" t="str">
        <f aca="false">IF(A325="","",TEXT(A325,"yyyy-mm"))</f>
        <v/>
      </c>
    </row>
    <row r="326" customFormat="false" ht="15" hidden="false" customHeight="false" outlineLevel="0" collapsed="false">
      <c r="A326" s="20"/>
      <c r="B326" s="19"/>
      <c r="C326" s="19"/>
      <c r="D326" s="19"/>
      <c r="E326" s="19"/>
      <c r="F326" s="19"/>
      <c r="G326" s="21"/>
      <c r="H326" s="19"/>
      <c r="I326" s="23" t="str">
        <f aca="false">IF(A326="","",TEXT(A326,"yyyy-mm"))</f>
        <v/>
      </c>
    </row>
    <row r="327" customFormat="false" ht="15" hidden="false" customHeight="false" outlineLevel="0" collapsed="false">
      <c r="A327" s="20"/>
      <c r="B327" s="19"/>
      <c r="C327" s="19"/>
      <c r="D327" s="19"/>
      <c r="E327" s="19"/>
      <c r="F327" s="19"/>
      <c r="G327" s="21"/>
      <c r="H327" s="19"/>
      <c r="I327" s="23" t="str">
        <f aca="false">IF(A327="","",TEXT(A327,"yyyy-mm"))</f>
        <v/>
      </c>
    </row>
    <row r="328" customFormat="false" ht="15" hidden="false" customHeight="false" outlineLevel="0" collapsed="false">
      <c r="A328" s="20"/>
      <c r="B328" s="19"/>
      <c r="C328" s="19"/>
      <c r="D328" s="19"/>
      <c r="E328" s="19"/>
      <c r="F328" s="19"/>
      <c r="G328" s="21"/>
      <c r="H328" s="19"/>
      <c r="I328" s="23" t="str">
        <f aca="false">IF(A328="","",TEXT(A328,"yyyy-mm"))</f>
        <v/>
      </c>
    </row>
    <row r="329" customFormat="false" ht="15" hidden="false" customHeight="false" outlineLevel="0" collapsed="false">
      <c r="A329" s="20"/>
      <c r="B329" s="19"/>
      <c r="C329" s="19"/>
      <c r="D329" s="19"/>
      <c r="E329" s="19"/>
      <c r="F329" s="19"/>
      <c r="G329" s="21"/>
      <c r="H329" s="19"/>
      <c r="I329" s="23" t="str">
        <f aca="false">IF(A329="","",TEXT(A329,"yyyy-mm"))</f>
        <v/>
      </c>
    </row>
    <row r="330" customFormat="false" ht="15" hidden="false" customHeight="false" outlineLevel="0" collapsed="false">
      <c r="A330" s="20"/>
      <c r="B330" s="19"/>
      <c r="C330" s="19"/>
      <c r="D330" s="19"/>
      <c r="E330" s="19"/>
      <c r="F330" s="19"/>
      <c r="G330" s="21"/>
      <c r="H330" s="19"/>
      <c r="I330" s="23" t="str">
        <f aca="false">IF(A330="","",TEXT(A330,"yyyy-mm"))</f>
        <v/>
      </c>
    </row>
    <row r="331" customFormat="false" ht="15" hidden="false" customHeight="false" outlineLevel="0" collapsed="false">
      <c r="A331" s="20"/>
      <c r="B331" s="19"/>
      <c r="C331" s="19"/>
      <c r="D331" s="19"/>
      <c r="E331" s="19"/>
      <c r="F331" s="19"/>
      <c r="G331" s="21"/>
      <c r="H331" s="19"/>
      <c r="I331" s="23" t="str">
        <f aca="false">IF(A331="","",TEXT(A331,"yyyy-mm"))</f>
        <v/>
      </c>
    </row>
    <row r="332" customFormat="false" ht="15" hidden="false" customHeight="false" outlineLevel="0" collapsed="false">
      <c r="A332" s="20"/>
      <c r="B332" s="19"/>
      <c r="C332" s="19"/>
      <c r="D332" s="19"/>
      <c r="E332" s="19"/>
      <c r="F332" s="19"/>
      <c r="G332" s="21"/>
      <c r="H332" s="19"/>
      <c r="I332" s="23" t="str">
        <f aca="false">IF(A332="","",TEXT(A332,"yyyy-mm"))</f>
        <v/>
      </c>
    </row>
    <row r="333" customFormat="false" ht="15" hidden="false" customHeight="false" outlineLevel="0" collapsed="false">
      <c r="A333" s="20"/>
      <c r="B333" s="19"/>
      <c r="C333" s="19"/>
      <c r="D333" s="19"/>
      <c r="E333" s="19"/>
      <c r="F333" s="19"/>
      <c r="G333" s="21"/>
      <c r="H333" s="19"/>
      <c r="I333" s="23" t="str">
        <f aca="false">IF(A333="","",TEXT(A333,"yyyy-mm"))</f>
        <v/>
      </c>
    </row>
    <row r="334" customFormat="false" ht="15" hidden="false" customHeight="false" outlineLevel="0" collapsed="false">
      <c r="A334" s="20"/>
      <c r="B334" s="19"/>
      <c r="C334" s="19"/>
      <c r="D334" s="19"/>
      <c r="E334" s="19"/>
      <c r="F334" s="19"/>
      <c r="G334" s="21"/>
      <c r="H334" s="19"/>
      <c r="I334" s="23" t="str">
        <f aca="false">IF(A334="","",TEXT(A334,"yyyy-mm"))</f>
        <v/>
      </c>
    </row>
    <row r="335" customFormat="false" ht="15" hidden="false" customHeight="false" outlineLevel="0" collapsed="false">
      <c r="A335" s="20"/>
      <c r="B335" s="19"/>
      <c r="C335" s="19"/>
      <c r="D335" s="19"/>
      <c r="E335" s="19"/>
      <c r="F335" s="19"/>
      <c r="G335" s="21"/>
      <c r="H335" s="19"/>
      <c r="I335" s="23" t="str">
        <f aca="false">IF(A335="","",TEXT(A335,"yyyy-mm"))</f>
        <v/>
      </c>
    </row>
    <row r="336" customFormat="false" ht="15" hidden="false" customHeight="false" outlineLevel="0" collapsed="false">
      <c r="A336" s="20"/>
      <c r="B336" s="19"/>
      <c r="C336" s="19"/>
      <c r="D336" s="19"/>
      <c r="E336" s="19"/>
      <c r="F336" s="19"/>
      <c r="G336" s="21"/>
      <c r="H336" s="19"/>
      <c r="I336" s="23" t="str">
        <f aca="false">IF(A336="","",TEXT(A336,"yyyy-mm"))</f>
        <v/>
      </c>
    </row>
    <row r="337" customFormat="false" ht="15" hidden="false" customHeight="false" outlineLevel="0" collapsed="false">
      <c r="A337" s="20"/>
      <c r="B337" s="19"/>
      <c r="C337" s="19"/>
      <c r="D337" s="19"/>
      <c r="E337" s="19"/>
      <c r="F337" s="19"/>
      <c r="G337" s="21"/>
      <c r="H337" s="19"/>
      <c r="I337" s="23" t="str">
        <f aca="false">IF(A337="","",TEXT(A337,"yyyy-mm"))</f>
        <v/>
      </c>
    </row>
    <row r="338" customFormat="false" ht="15" hidden="false" customHeight="false" outlineLevel="0" collapsed="false">
      <c r="A338" s="20"/>
      <c r="B338" s="19"/>
      <c r="C338" s="19"/>
      <c r="D338" s="19"/>
      <c r="E338" s="19"/>
      <c r="F338" s="19"/>
      <c r="G338" s="21"/>
      <c r="H338" s="19"/>
      <c r="I338" s="23" t="str">
        <f aca="false">IF(A338="","",TEXT(A338,"yyyy-mm"))</f>
        <v/>
      </c>
    </row>
    <row r="339" customFormat="false" ht="15" hidden="false" customHeight="false" outlineLevel="0" collapsed="false">
      <c r="A339" s="20"/>
      <c r="B339" s="19"/>
      <c r="C339" s="19"/>
      <c r="D339" s="19"/>
      <c r="E339" s="19"/>
      <c r="F339" s="19"/>
      <c r="G339" s="21"/>
      <c r="H339" s="19"/>
      <c r="I339" s="23" t="str">
        <f aca="false">IF(A339="","",TEXT(A339,"yyyy-mm"))</f>
        <v/>
      </c>
    </row>
    <row r="340" customFormat="false" ht="15" hidden="false" customHeight="false" outlineLevel="0" collapsed="false">
      <c r="A340" s="20"/>
      <c r="B340" s="19"/>
      <c r="C340" s="19"/>
      <c r="D340" s="19"/>
      <c r="E340" s="19"/>
      <c r="F340" s="19"/>
      <c r="G340" s="21"/>
      <c r="H340" s="19"/>
      <c r="I340" s="23" t="str">
        <f aca="false">IF(A340="","",TEXT(A340,"yyyy-mm"))</f>
        <v/>
      </c>
    </row>
    <row r="341" customFormat="false" ht="15" hidden="false" customHeight="false" outlineLevel="0" collapsed="false">
      <c r="A341" s="20"/>
      <c r="B341" s="19"/>
      <c r="C341" s="19"/>
      <c r="D341" s="19"/>
      <c r="E341" s="19"/>
      <c r="F341" s="19"/>
      <c r="G341" s="21"/>
      <c r="H341" s="19"/>
      <c r="I341" s="23" t="str">
        <f aca="false">IF(A341="","",TEXT(A341,"yyyy-mm"))</f>
        <v/>
      </c>
    </row>
    <row r="342" customFormat="false" ht="15" hidden="false" customHeight="false" outlineLevel="0" collapsed="false">
      <c r="A342" s="20"/>
      <c r="B342" s="19"/>
      <c r="C342" s="19"/>
      <c r="D342" s="19"/>
      <c r="E342" s="19"/>
      <c r="F342" s="19"/>
      <c r="G342" s="21"/>
      <c r="H342" s="19"/>
      <c r="I342" s="23" t="str">
        <f aca="false">IF(A342="","",TEXT(A342,"yyyy-mm"))</f>
        <v/>
      </c>
    </row>
    <row r="343" customFormat="false" ht="15" hidden="false" customHeight="false" outlineLevel="0" collapsed="false">
      <c r="A343" s="20"/>
      <c r="B343" s="19"/>
      <c r="C343" s="19"/>
      <c r="D343" s="19"/>
      <c r="E343" s="19"/>
      <c r="F343" s="19"/>
      <c r="G343" s="21"/>
      <c r="H343" s="19"/>
      <c r="I343" s="23" t="str">
        <f aca="false">IF(A343="","",TEXT(A343,"yyyy-mm"))</f>
        <v/>
      </c>
    </row>
    <row r="344" customFormat="false" ht="15" hidden="false" customHeight="false" outlineLevel="0" collapsed="false">
      <c r="A344" s="20"/>
      <c r="B344" s="19"/>
      <c r="C344" s="19"/>
      <c r="D344" s="19"/>
      <c r="E344" s="19"/>
      <c r="F344" s="19"/>
      <c r="G344" s="21"/>
      <c r="H344" s="19"/>
      <c r="I344" s="23" t="str">
        <f aca="false">IF(A344="","",TEXT(A344,"yyyy-mm"))</f>
        <v/>
      </c>
    </row>
    <row r="345" customFormat="false" ht="15" hidden="false" customHeight="false" outlineLevel="0" collapsed="false">
      <c r="A345" s="20"/>
      <c r="B345" s="19"/>
      <c r="C345" s="19"/>
      <c r="D345" s="19"/>
      <c r="E345" s="19"/>
      <c r="F345" s="19"/>
      <c r="G345" s="21"/>
      <c r="H345" s="19"/>
      <c r="I345" s="23" t="str">
        <f aca="false">IF(A345="","",TEXT(A345,"yyyy-mm"))</f>
        <v/>
      </c>
    </row>
    <row r="346" customFormat="false" ht="15" hidden="false" customHeight="false" outlineLevel="0" collapsed="false">
      <c r="A346" s="20"/>
      <c r="B346" s="19"/>
      <c r="C346" s="19"/>
      <c r="D346" s="19"/>
      <c r="E346" s="19"/>
      <c r="F346" s="19"/>
      <c r="G346" s="21"/>
      <c r="H346" s="19"/>
      <c r="I346" s="23" t="str">
        <f aca="false">IF(A346="","",TEXT(A346,"yyyy-mm"))</f>
        <v/>
      </c>
    </row>
    <row r="347" customFormat="false" ht="15" hidden="false" customHeight="false" outlineLevel="0" collapsed="false">
      <c r="A347" s="20"/>
      <c r="B347" s="19"/>
      <c r="C347" s="19"/>
      <c r="D347" s="19"/>
      <c r="E347" s="19"/>
      <c r="F347" s="19"/>
      <c r="G347" s="21"/>
      <c r="H347" s="19"/>
      <c r="I347" s="23" t="str">
        <f aca="false">IF(A347="","",TEXT(A347,"yyyy-mm"))</f>
        <v/>
      </c>
    </row>
    <row r="348" customFormat="false" ht="15" hidden="false" customHeight="false" outlineLevel="0" collapsed="false">
      <c r="A348" s="20"/>
      <c r="B348" s="19"/>
      <c r="C348" s="19"/>
      <c r="D348" s="19"/>
      <c r="E348" s="19"/>
      <c r="F348" s="19"/>
      <c r="G348" s="21"/>
      <c r="H348" s="19"/>
      <c r="I348" s="23" t="str">
        <f aca="false">IF(A348="","",TEXT(A348,"yyyy-mm"))</f>
        <v/>
      </c>
    </row>
    <row r="349" customFormat="false" ht="15" hidden="false" customHeight="false" outlineLevel="0" collapsed="false">
      <c r="A349" s="20"/>
      <c r="B349" s="19"/>
      <c r="C349" s="19"/>
      <c r="D349" s="19"/>
      <c r="E349" s="19"/>
      <c r="F349" s="19"/>
      <c r="G349" s="21"/>
      <c r="H349" s="19"/>
      <c r="I349" s="23" t="str">
        <f aca="false">IF(A349="","",TEXT(A349,"yyyy-mm"))</f>
        <v/>
      </c>
    </row>
    <row r="350" customFormat="false" ht="15" hidden="false" customHeight="false" outlineLevel="0" collapsed="false">
      <c r="A350" s="20"/>
      <c r="B350" s="19"/>
      <c r="C350" s="19"/>
      <c r="D350" s="19"/>
      <c r="E350" s="19"/>
      <c r="F350" s="19"/>
      <c r="G350" s="21"/>
      <c r="H350" s="19"/>
      <c r="I350" s="23" t="str">
        <f aca="false">IF(A350="","",TEXT(A350,"yyyy-mm"))</f>
        <v/>
      </c>
    </row>
    <row r="351" customFormat="false" ht="15" hidden="false" customHeight="false" outlineLevel="0" collapsed="false">
      <c r="A351" s="20"/>
      <c r="B351" s="19"/>
      <c r="C351" s="19"/>
      <c r="D351" s="19"/>
      <c r="E351" s="19"/>
      <c r="F351" s="19"/>
      <c r="G351" s="21"/>
      <c r="H351" s="19"/>
      <c r="I351" s="23" t="str">
        <f aca="false">IF(A351="","",TEXT(A351,"yyyy-mm"))</f>
        <v/>
      </c>
    </row>
    <row r="352" customFormat="false" ht="15" hidden="false" customHeight="false" outlineLevel="0" collapsed="false">
      <c r="A352" s="20"/>
      <c r="B352" s="19"/>
      <c r="C352" s="19"/>
      <c r="D352" s="19"/>
      <c r="E352" s="19"/>
      <c r="F352" s="19"/>
      <c r="G352" s="21"/>
      <c r="H352" s="19"/>
      <c r="I352" s="23" t="str">
        <f aca="false">IF(A352="","",TEXT(A352,"yyyy-mm"))</f>
        <v/>
      </c>
    </row>
    <row r="353" customFormat="false" ht="15" hidden="false" customHeight="false" outlineLevel="0" collapsed="false">
      <c r="A353" s="20"/>
      <c r="B353" s="19"/>
      <c r="C353" s="19"/>
      <c r="D353" s="19"/>
      <c r="E353" s="19"/>
      <c r="F353" s="19"/>
      <c r="G353" s="21"/>
      <c r="H353" s="19"/>
      <c r="I353" s="23" t="str">
        <f aca="false">IF(A353="","",TEXT(A353,"yyyy-mm"))</f>
        <v/>
      </c>
    </row>
    <row r="354" customFormat="false" ht="15" hidden="false" customHeight="false" outlineLevel="0" collapsed="false">
      <c r="A354" s="20"/>
      <c r="B354" s="19"/>
      <c r="C354" s="19"/>
      <c r="D354" s="19"/>
      <c r="E354" s="19"/>
      <c r="F354" s="19"/>
      <c r="G354" s="21"/>
      <c r="H354" s="19"/>
      <c r="I354" s="23" t="str">
        <f aca="false">IF(A354="","",TEXT(A354,"yyyy-mm"))</f>
        <v/>
      </c>
    </row>
    <row r="355" customFormat="false" ht="15" hidden="false" customHeight="false" outlineLevel="0" collapsed="false">
      <c r="A355" s="20"/>
      <c r="B355" s="19"/>
      <c r="C355" s="19"/>
      <c r="D355" s="19"/>
      <c r="E355" s="19"/>
      <c r="F355" s="19"/>
      <c r="G355" s="21"/>
      <c r="H355" s="19"/>
      <c r="I355" s="23" t="str">
        <f aca="false">IF(A355="","",TEXT(A355,"yyyy-mm"))</f>
        <v/>
      </c>
    </row>
    <row r="356" customFormat="false" ht="15" hidden="false" customHeight="false" outlineLevel="0" collapsed="false">
      <c r="A356" s="20"/>
      <c r="B356" s="19"/>
      <c r="C356" s="19"/>
      <c r="D356" s="19"/>
      <c r="E356" s="19"/>
      <c r="F356" s="19"/>
      <c r="G356" s="21"/>
      <c r="H356" s="19"/>
      <c r="I356" s="23" t="str">
        <f aca="false">IF(A356="","",TEXT(A356,"yyyy-mm"))</f>
        <v/>
      </c>
    </row>
    <row r="357" customFormat="false" ht="15" hidden="false" customHeight="false" outlineLevel="0" collapsed="false">
      <c r="A357" s="20"/>
      <c r="B357" s="19"/>
      <c r="C357" s="19"/>
      <c r="D357" s="19"/>
      <c r="E357" s="19"/>
      <c r="F357" s="19"/>
      <c r="G357" s="21"/>
      <c r="H357" s="19"/>
      <c r="I357" s="23" t="str">
        <f aca="false">IF(A357="","",TEXT(A357,"yyyy-mm"))</f>
        <v/>
      </c>
    </row>
    <row r="358" customFormat="false" ht="15" hidden="false" customHeight="false" outlineLevel="0" collapsed="false">
      <c r="A358" s="20"/>
      <c r="B358" s="19"/>
      <c r="C358" s="19"/>
      <c r="D358" s="19"/>
      <c r="E358" s="19"/>
      <c r="F358" s="19"/>
      <c r="G358" s="21"/>
      <c r="H358" s="19"/>
      <c r="I358" s="23" t="str">
        <f aca="false">IF(A358="","",TEXT(A358,"yyyy-mm"))</f>
        <v/>
      </c>
    </row>
    <row r="359" customFormat="false" ht="15" hidden="false" customHeight="false" outlineLevel="0" collapsed="false">
      <c r="A359" s="20"/>
      <c r="B359" s="19"/>
      <c r="C359" s="19"/>
      <c r="D359" s="19"/>
      <c r="E359" s="19"/>
      <c r="F359" s="19"/>
      <c r="G359" s="21"/>
      <c r="H359" s="19"/>
      <c r="I359" s="23" t="str">
        <f aca="false">IF(A359="","",TEXT(A359,"yyyy-mm"))</f>
        <v/>
      </c>
    </row>
    <row r="360" customFormat="false" ht="15" hidden="false" customHeight="false" outlineLevel="0" collapsed="false">
      <c r="A360" s="20"/>
      <c r="B360" s="19"/>
      <c r="C360" s="19"/>
      <c r="D360" s="19"/>
      <c r="E360" s="19"/>
      <c r="F360" s="19"/>
      <c r="G360" s="21"/>
      <c r="H360" s="19"/>
      <c r="I360" s="23" t="str">
        <f aca="false">IF(A360="","",TEXT(A360,"yyyy-mm"))</f>
        <v/>
      </c>
    </row>
    <row r="361" customFormat="false" ht="15" hidden="false" customHeight="false" outlineLevel="0" collapsed="false">
      <c r="A361" s="20"/>
      <c r="B361" s="19"/>
      <c r="C361" s="19"/>
      <c r="D361" s="19"/>
      <c r="E361" s="19"/>
      <c r="F361" s="19"/>
      <c r="G361" s="21"/>
      <c r="H361" s="19"/>
      <c r="I361" s="23" t="str">
        <f aca="false">IF(A361="","",TEXT(A361,"yyyy-mm"))</f>
        <v/>
      </c>
    </row>
    <row r="362" customFormat="false" ht="15" hidden="false" customHeight="false" outlineLevel="0" collapsed="false">
      <c r="A362" s="20"/>
      <c r="B362" s="19"/>
      <c r="C362" s="19"/>
      <c r="D362" s="19"/>
      <c r="E362" s="19"/>
      <c r="F362" s="19"/>
      <c r="G362" s="21"/>
      <c r="H362" s="19"/>
      <c r="I362" s="23" t="str">
        <f aca="false">IF(A362="","",TEXT(A362,"yyyy-mm"))</f>
        <v/>
      </c>
    </row>
    <row r="363" customFormat="false" ht="15" hidden="false" customHeight="false" outlineLevel="0" collapsed="false">
      <c r="A363" s="20"/>
      <c r="B363" s="19"/>
      <c r="C363" s="19"/>
      <c r="D363" s="19"/>
      <c r="E363" s="19"/>
      <c r="F363" s="19"/>
      <c r="G363" s="21"/>
      <c r="H363" s="19"/>
      <c r="I363" s="23" t="str">
        <f aca="false">IF(A363="","",TEXT(A363,"yyyy-mm"))</f>
        <v/>
      </c>
    </row>
    <row r="364" customFormat="false" ht="15" hidden="false" customHeight="false" outlineLevel="0" collapsed="false">
      <c r="A364" s="20"/>
      <c r="B364" s="19"/>
      <c r="C364" s="19"/>
      <c r="D364" s="19"/>
      <c r="E364" s="19"/>
      <c r="F364" s="19"/>
      <c r="G364" s="21"/>
      <c r="H364" s="19"/>
      <c r="I364" s="23" t="str">
        <f aca="false">IF(A364="","",TEXT(A364,"yyyy-mm"))</f>
        <v/>
      </c>
    </row>
    <row r="365" customFormat="false" ht="15" hidden="false" customHeight="false" outlineLevel="0" collapsed="false">
      <c r="A365" s="20"/>
      <c r="B365" s="19"/>
      <c r="C365" s="19"/>
      <c r="D365" s="19"/>
      <c r="E365" s="19"/>
      <c r="F365" s="19"/>
      <c r="G365" s="21"/>
      <c r="H365" s="19"/>
      <c r="I365" s="23" t="str">
        <f aca="false">IF(A365="","",TEXT(A365,"yyyy-mm"))</f>
        <v/>
      </c>
    </row>
    <row r="366" customFormat="false" ht="15" hidden="false" customHeight="false" outlineLevel="0" collapsed="false">
      <c r="A366" s="20"/>
      <c r="B366" s="19"/>
      <c r="C366" s="19"/>
      <c r="D366" s="19"/>
      <c r="E366" s="19"/>
      <c r="F366" s="19"/>
      <c r="G366" s="21"/>
      <c r="H366" s="19"/>
      <c r="I366" s="23" t="str">
        <f aca="false">IF(A366="","",TEXT(A366,"yyyy-mm"))</f>
        <v/>
      </c>
    </row>
    <row r="367" customFormat="false" ht="15" hidden="false" customHeight="false" outlineLevel="0" collapsed="false">
      <c r="A367" s="20"/>
      <c r="B367" s="19"/>
      <c r="C367" s="19"/>
      <c r="D367" s="19"/>
      <c r="E367" s="19"/>
      <c r="F367" s="19"/>
      <c r="G367" s="21"/>
      <c r="H367" s="19"/>
      <c r="I367" s="23" t="str">
        <f aca="false">IF(A367="","",TEXT(A367,"yyyy-mm"))</f>
        <v/>
      </c>
    </row>
    <row r="368" customFormat="false" ht="15" hidden="false" customHeight="false" outlineLevel="0" collapsed="false">
      <c r="A368" s="20"/>
      <c r="B368" s="19"/>
      <c r="C368" s="19"/>
      <c r="D368" s="19"/>
      <c r="E368" s="19"/>
      <c r="F368" s="19"/>
      <c r="G368" s="21"/>
      <c r="H368" s="19"/>
      <c r="I368" s="23" t="str">
        <f aca="false">IF(A368="","",TEXT(A368,"yyyy-mm"))</f>
        <v/>
      </c>
    </row>
    <row r="369" customFormat="false" ht="15" hidden="false" customHeight="false" outlineLevel="0" collapsed="false">
      <c r="A369" s="20"/>
      <c r="B369" s="19"/>
      <c r="C369" s="19"/>
      <c r="D369" s="19"/>
      <c r="E369" s="19"/>
      <c r="F369" s="19"/>
      <c r="G369" s="21"/>
      <c r="H369" s="19"/>
      <c r="I369" s="23" t="str">
        <f aca="false">IF(A369="","",TEXT(A369,"yyyy-mm"))</f>
        <v/>
      </c>
    </row>
    <row r="370" customFormat="false" ht="15" hidden="false" customHeight="false" outlineLevel="0" collapsed="false">
      <c r="A370" s="20"/>
      <c r="B370" s="19"/>
      <c r="C370" s="19"/>
      <c r="D370" s="19"/>
      <c r="E370" s="19"/>
      <c r="F370" s="19"/>
      <c r="G370" s="21"/>
      <c r="H370" s="19"/>
      <c r="I370" s="23" t="str">
        <f aca="false">IF(A370="","",TEXT(A370,"yyyy-mm"))</f>
        <v/>
      </c>
    </row>
    <row r="371" customFormat="false" ht="15" hidden="false" customHeight="false" outlineLevel="0" collapsed="false">
      <c r="A371" s="20"/>
      <c r="B371" s="19"/>
      <c r="C371" s="19"/>
      <c r="D371" s="19"/>
      <c r="E371" s="19"/>
      <c r="F371" s="19"/>
      <c r="G371" s="21"/>
      <c r="H371" s="19"/>
      <c r="I371" s="23" t="str">
        <f aca="false">IF(A371="","",TEXT(A371,"yyyy-mm"))</f>
        <v/>
      </c>
    </row>
    <row r="372" customFormat="false" ht="15" hidden="false" customHeight="false" outlineLevel="0" collapsed="false">
      <c r="A372" s="20"/>
      <c r="B372" s="19"/>
      <c r="C372" s="19"/>
      <c r="D372" s="19"/>
      <c r="E372" s="19"/>
      <c r="F372" s="19"/>
      <c r="G372" s="21"/>
      <c r="H372" s="19"/>
      <c r="I372" s="23" t="str">
        <f aca="false">IF(A372="","",TEXT(A372,"yyyy-mm"))</f>
        <v/>
      </c>
    </row>
    <row r="373" customFormat="false" ht="15" hidden="false" customHeight="false" outlineLevel="0" collapsed="false">
      <c r="A373" s="20"/>
      <c r="B373" s="19"/>
      <c r="C373" s="19"/>
      <c r="D373" s="19"/>
      <c r="E373" s="19"/>
      <c r="F373" s="19"/>
      <c r="G373" s="21"/>
      <c r="H373" s="19"/>
      <c r="I373" s="23" t="str">
        <f aca="false">IF(A373="","",TEXT(A373,"yyyy-mm"))</f>
        <v/>
      </c>
    </row>
    <row r="374" customFormat="false" ht="15" hidden="false" customHeight="false" outlineLevel="0" collapsed="false">
      <c r="A374" s="20"/>
      <c r="B374" s="19"/>
      <c r="C374" s="19"/>
      <c r="D374" s="19"/>
      <c r="E374" s="19"/>
      <c r="F374" s="19"/>
      <c r="G374" s="21"/>
      <c r="H374" s="19"/>
      <c r="I374" s="23" t="str">
        <f aca="false">IF(A374="","",TEXT(A374,"yyyy-mm"))</f>
        <v/>
      </c>
    </row>
    <row r="375" customFormat="false" ht="15" hidden="false" customHeight="false" outlineLevel="0" collapsed="false">
      <c r="A375" s="20"/>
      <c r="B375" s="19"/>
      <c r="C375" s="19"/>
      <c r="D375" s="19"/>
      <c r="E375" s="19"/>
      <c r="F375" s="19"/>
      <c r="G375" s="21"/>
      <c r="H375" s="19"/>
      <c r="I375" s="23" t="str">
        <f aca="false">IF(A375="","",TEXT(A375,"yyyy-mm"))</f>
        <v/>
      </c>
    </row>
    <row r="376" customFormat="false" ht="15" hidden="false" customHeight="false" outlineLevel="0" collapsed="false">
      <c r="A376" s="20"/>
      <c r="B376" s="19"/>
      <c r="C376" s="19"/>
      <c r="D376" s="19"/>
      <c r="E376" s="19"/>
      <c r="F376" s="19"/>
      <c r="G376" s="21"/>
      <c r="H376" s="19"/>
      <c r="I376" s="23" t="str">
        <f aca="false">IF(A376="","",TEXT(A376,"yyyy-mm"))</f>
        <v/>
      </c>
    </row>
    <row r="377" customFormat="false" ht="15" hidden="false" customHeight="false" outlineLevel="0" collapsed="false">
      <c r="A377" s="20"/>
      <c r="B377" s="19"/>
      <c r="C377" s="19"/>
      <c r="D377" s="19"/>
      <c r="E377" s="19"/>
      <c r="F377" s="19"/>
      <c r="G377" s="21"/>
      <c r="H377" s="19"/>
      <c r="I377" s="23" t="str">
        <f aca="false">IF(A377="","",TEXT(A377,"yyyy-mm"))</f>
        <v/>
      </c>
    </row>
    <row r="378" customFormat="false" ht="15" hidden="false" customHeight="false" outlineLevel="0" collapsed="false">
      <c r="A378" s="20"/>
      <c r="B378" s="19"/>
      <c r="C378" s="19"/>
      <c r="D378" s="19"/>
      <c r="E378" s="19"/>
      <c r="F378" s="19"/>
      <c r="G378" s="21"/>
      <c r="H378" s="19"/>
      <c r="I378" s="23" t="str">
        <f aca="false">IF(A378="","",TEXT(A378,"yyyy-mm"))</f>
        <v/>
      </c>
    </row>
    <row r="379" customFormat="false" ht="15" hidden="false" customHeight="false" outlineLevel="0" collapsed="false">
      <c r="A379" s="20"/>
      <c r="B379" s="19"/>
      <c r="C379" s="19"/>
      <c r="D379" s="19"/>
      <c r="E379" s="19"/>
      <c r="F379" s="19"/>
      <c r="G379" s="21"/>
      <c r="H379" s="19"/>
      <c r="I379" s="23" t="str">
        <f aca="false">IF(A379="","",TEXT(A379,"yyyy-mm"))</f>
        <v/>
      </c>
    </row>
    <row r="380" customFormat="false" ht="15" hidden="false" customHeight="false" outlineLevel="0" collapsed="false">
      <c r="A380" s="20"/>
      <c r="B380" s="19"/>
      <c r="C380" s="19"/>
      <c r="D380" s="19"/>
      <c r="E380" s="19"/>
      <c r="F380" s="19"/>
      <c r="G380" s="21"/>
      <c r="H380" s="19"/>
      <c r="I380" s="23" t="str">
        <f aca="false">IF(A380="","",TEXT(A380,"yyyy-mm"))</f>
        <v/>
      </c>
    </row>
    <row r="381" customFormat="false" ht="15" hidden="false" customHeight="false" outlineLevel="0" collapsed="false">
      <c r="A381" s="20"/>
      <c r="B381" s="19"/>
      <c r="C381" s="19"/>
      <c r="D381" s="19"/>
      <c r="E381" s="19"/>
      <c r="F381" s="19"/>
      <c r="G381" s="21"/>
      <c r="H381" s="19"/>
      <c r="I381" s="23" t="str">
        <f aca="false">IF(A381="","",TEXT(A381,"yyyy-mm"))</f>
        <v/>
      </c>
    </row>
    <row r="382" customFormat="false" ht="15" hidden="false" customHeight="false" outlineLevel="0" collapsed="false">
      <c r="A382" s="20"/>
      <c r="B382" s="19"/>
      <c r="C382" s="19"/>
      <c r="D382" s="19"/>
      <c r="E382" s="19"/>
      <c r="F382" s="19"/>
      <c r="G382" s="21"/>
      <c r="H382" s="19"/>
      <c r="I382" s="23" t="str">
        <f aca="false">IF(A382="","",TEXT(A382,"yyyy-mm"))</f>
        <v/>
      </c>
    </row>
    <row r="383" customFormat="false" ht="15" hidden="false" customHeight="false" outlineLevel="0" collapsed="false">
      <c r="A383" s="20"/>
      <c r="B383" s="19"/>
      <c r="C383" s="19"/>
      <c r="D383" s="19"/>
      <c r="E383" s="19"/>
      <c r="F383" s="19"/>
      <c r="G383" s="21"/>
      <c r="H383" s="19"/>
      <c r="I383" s="23" t="str">
        <f aca="false">IF(A383="","",TEXT(A383,"yyyy-mm"))</f>
        <v/>
      </c>
    </row>
    <row r="384" customFormat="false" ht="15" hidden="false" customHeight="false" outlineLevel="0" collapsed="false">
      <c r="A384" s="20"/>
      <c r="B384" s="19"/>
      <c r="C384" s="19"/>
      <c r="D384" s="19"/>
      <c r="E384" s="19"/>
      <c r="F384" s="19"/>
      <c r="G384" s="21"/>
      <c r="H384" s="19"/>
      <c r="I384" s="23" t="str">
        <f aca="false">IF(A384="","",TEXT(A384,"yyyy-mm"))</f>
        <v/>
      </c>
    </row>
    <row r="385" customFormat="false" ht="15" hidden="false" customHeight="false" outlineLevel="0" collapsed="false">
      <c r="A385" s="20"/>
      <c r="B385" s="19"/>
      <c r="C385" s="19"/>
      <c r="D385" s="19"/>
      <c r="E385" s="19"/>
      <c r="F385" s="19"/>
      <c r="G385" s="21"/>
      <c r="H385" s="19"/>
      <c r="I385" s="23" t="str">
        <f aca="false">IF(A385="","",TEXT(A385,"yyyy-mm"))</f>
        <v/>
      </c>
    </row>
    <row r="386" customFormat="false" ht="15" hidden="false" customHeight="false" outlineLevel="0" collapsed="false">
      <c r="A386" s="20"/>
      <c r="B386" s="19"/>
      <c r="C386" s="19"/>
      <c r="D386" s="19"/>
      <c r="E386" s="19"/>
      <c r="F386" s="19"/>
      <c r="G386" s="21"/>
      <c r="H386" s="19"/>
      <c r="I386" s="23" t="str">
        <f aca="false">IF(A386="","",TEXT(A386,"yyyy-mm"))</f>
        <v/>
      </c>
    </row>
    <row r="387" customFormat="false" ht="15" hidden="false" customHeight="false" outlineLevel="0" collapsed="false">
      <c r="A387" s="20"/>
      <c r="B387" s="19"/>
      <c r="C387" s="19"/>
      <c r="D387" s="19"/>
      <c r="E387" s="19"/>
      <c r="F387" s="19"/>
      <c r="G387" s="21"/>
      <c r="H387" s="19"/>
      <c r="I387" s="23" t="str">
        <f aca="false">IF(A387="","",TEXT(A387,"yyyy-mm"))</f>
        <v/>
      </c>
    </row>
    <row r="388" customFormat="false" ht="15" hidden="false" customHeight="false" outlineLevel="0" collapsed="false">
      <c r="A388" s="20"/>
      <c r="B388" s="19"/>
      <c r="C388" s="19"/>
      <c r="D388" s="19"/>
      <c r="E388" s="19"/>
      <c r="F388" s="19"/>
      <c r="G388" s="21"/>
      <c r="H388" s="19"/>
      <c r="I388" s="23" t="str">
        <f aca="false">IF(A388="","",TEXT(A388,"yyyy-mm"))</f>
        <v/>
      </c>
    </row>
    <row r="389" customFormat="false" ht="15" hidden="false" customHeight="false" outlineLevel="0" collapsed="false">
      <c r="A389" s="20"/>
      <c r="B389" s="19"/>
      <c r="C389" s="19"/>
      <c r="D389" s="19"/>
      <c r="E389" s="19"/>
      <c r="F389" s="19"/>
      <c r="G389" s="21"/>
      <c r="H389" s="19"/>
      <c r="I389" s="23" t="str">
        <f aca="false">IF(A389="","",TEXT(A389,"yyyy-mm"))</f>
        <v/>
      </c>
    </row>
    <row r="390" customFormat="false" ht="15" hidden="false" customHeight="false" outlineLevel="0" collapsed="false">
      <c r="A390" s="20"/>
      <c r="B390" s="19"/>
      <c r="C390" s="19"/>
      <c r="D390" s="19"/>
      <c r="E390" s="19"/>
      <c r="F390" s="19"/>
      <c r="G390" s="21"/>
      <c r="H390" s="19"/>
      <c r="I390" s="23" t="str">
        <f aca="false">IF(A390="","",TEXT(A390,"yyyy-mm"))</f>
        <v/>
      </c>
    </row>
    <row r="391" customFormat="false" ht="15" hidden="false" customHeight="false" outlineLevel="0" collapsed="false">
      <c r="A391" s="20"/>
      <c r="B391" s="19"/>
      <c r="C391" s="19"/>
      <c r="D391" s="19"/>
      <c r="E391" s="19"/>
      <c r="F391" s="19"/>
      <c r="G391" s="21"/>
      <c r="H391" s="19"/>
      <c r="I391" s="23" t="str">
        <f aca="false">IF(A391="","",TEXT(A391,"yyyy-mm"))</f>
        <v/>
      </c>
    </row>
    <row r="392" customFormat="false" ht="15" hidden="false" customHeight="false" outlineLevel="0" collapsed="false">
      <c r="A392" s="20"/>
      <c r="B392" s="19"/>
      <c r="C392" s="19"/>
      <c r="D392" s="19"/>
      <c r="E392" s="19"/>
      <c r="F392" s="19"/>
      <c r="G392" s="21"/>
      <c r="H392" s="19"/>
      <c r="I392" s="23" t="str">
        <f aca="false">IF(A392="","",TEXT(A392,"yyyy-mm"))</f>
        <v/>
      </c>
    </row>
    <row r="393" customFormat="false" ht="15" hidden="false" customHeight="false" outlineLevel="0" collapsed="false">
      <c r="A393" s="20"/>
      <c r="B393" s="19"/>
      <c r="C393" s="19"/>
      <c r="D393" s="19"/>
      <c r="E393" s="19"/>
      <c r="F393" s="19"/>
      <c r="G393" s="21"/>
      <c r="H393" s="19"/>
      <c r="I393" s="23" t="str">
        <f aca="false">IF(A393="","",TEXT(A393,"yyyy-mm"))</f>
        <v/>
      </c>
    </row>
    <row r="394" customFormat="false" ht="15" hidden="false" customHeight="false" outlineLevel="0" collapsed="false">
      <c r="A394" s="20"/>
      <c r="B394" s="19"/>
      <c r="C394" s="19"/>
      <c r="D394" s="19"/>
      <c r="E394" s="19"/>
      <c r="F394" s="19"/>
      <c r="G394" s="21"/>
      <c r="H394" s="19"/>
      <c r="I394" s="23" t="str">
        <f aca="false">IF(A394="","",TEXT(A394,"yyyy-mm"))</f>
        <v/>
      </c>
    </row>
    <row r="395" customFormat="false" ht="15" hidden="false" customHeight="false" outlineLevel="0" collapsed="false">
      <c r="A395" s="20"/>
      <c r="B395" s="19"/>
      <c r="C395" s="19"/>
      <c r="D395" s="19"/>
      <c r="E395" s="19"/>
      <c r="F395" s="19"/>
      <c r="G395" s="21"/>
      <c r="H395" s="19"/>
      <c r="I395" s="23" t="str">
        <f aca="false">IF(A395="","",TEXT(A395,"yyyy-mm"))</f>
        <v/>
      </c>
    </row>
    <row r="396" customFormat="false" ht="15" hidden="false" customHeight="false" outlineLevel="0" collapsed="false">
      <c r="A396" s="20"/>
      <c r="B396" s="19"/>
      <c r="C396" s="19"/>
      <c r="D396" s="19"/>
      <c r="E396" s="19"/>
      <c r="F396" s="19"/>
      <c r="G396" s="21"/>
      <c r="H396" s="19"/>
      <c r="I396" s="23" t="str">
        <f aca="false">IF(A396="","",TEXT(A396,"yyyy-mm"))</f>
        <v/>
      </c>
    </row>
    <row r="397" customFormat="false" ht="15" hidden="false" customHeight="false" outlineLevel="0" collapsed="false">
      <c r="A397" s="20"/>
      <c r="B397" s="19"/>
      <c r="C397" s="19"/>
      <c r="D397" s="19"/>
      <c r="E397" s="19"/>
      <c r="F397" s="19"/>
      <c r="G397" s="21"/>
      <c r="H397" s="19"/>
      <c r="I397" s="23" t="str">
        <f aca="false">IF(A397="","",TEXT(A397,"yyyy-mm"))</f>
        <v/>
      </c>
    </row>
    <row r="398" customFormat="false" ht="15" hidden="false" customHeight="false" outlineLevel="0" collapsed="false">
      <c r="A398" s="20"/>
      <c r="B398" s="19"/>
      <c r="C398" s="19"/>
      <c r="D398" s="19"/>
      <c r="E398" s="19"/>
      <c r="F398" s="19"/>
      <c r="G398" s="21"/>
      <c r="H398" s="19"/>
      <c r="I398" s="23" t="str">
        <f aca="false">IF(A398="","",TEXT(A398,"yyyy-mm"))</f>
        <v/>
      </c>
    </row>
    <row r="399" customFormat="false" ht="15" hidden="false" customHeight="false" outlineLevel="0" collapsed="false">
      <c r="A399" s="20"/>
      <c r="B399" s="19"/>
      <c r="C399" s="19"/>
      <c r="D399" s="19"/>
      <c r="E399" s="19"/>
      <c r="F399" s="19"/>
      <c r="G399" s="21"/>
      <c r="H399" s="19"/>
      <c r="I399" s="23" t="str">
        <f aca="false">IF(A399="","",TEXT(A399,"yyyy-mm"))</f>
        <v/>
      </c>
    </row>
    <row r="400" customFormat="false" ht="15" hidden="false" customHeight="false" outlineLevel="0" collapsed="false">
      <c r="A400" s="20"/>
      <c r="B400" s="19"/>
      <c r="C400" s="19"/>
      <c r="D400" s="19"/>
      <c r="E400" s="19"/>
      <c r="F400" s="19"/>
      <c r="G400" s="21"/>
      <c r="H400" s="19"/>
      <c r="I400" s="23" t="str">
        <f aca="false">IF(A400="","",TEXT(A400,"yyyy-mm"))</f>
        <v/>
      </c>
    </row>
    <row r="401" customFormat="false" ht="15" hidden="false" customHeight="false" outlineLevel="0" collapsed="false">
      <c r="A401" s="20"/>
      <c r="B401" s="19"/>
      <c r="C401" s="19"/>
      <c r="D401" s="19"/>
      <c r="E401" s="19"/>
      <c r="F401" s="19"/>
      <c r="G401" s="21"/>
      <c r="H401" s="19"/>
      <c r="I401" s="23" t="str">
        <f aca="false">IF(A401="","",TEXT(A401,"yyyy-mm"))</f>
        <v/>
      </c>
    </row>
    <row r="402" customFormat="false" ht="15" hidden="false" customHeight="false" outlineLevel="0" collapsed="false">
      <c r="A402" s="20"/>
      <c r="B402" s="19"/>
      <c r="C402" s="19"/>
      <c r="D402" s="19"/>
      <c r="E402" s="19"/>
      <c r="F402" s="19"/>
      <c r="G402" s="21"/>
      <c r="H402" s="19"/>
      <c r="I402" s="23" t="str">
        <f aca="false">IF(A402="","",TEXT(A402,"yyyy-mm"))</f>
        <v/>
      </c>
    </row>
    <row r="403" customFormat="false" ht="15" hidden="false" customHeight="false" outlineLevel="0" collapsed="false">
      <c r="A403" s="20"/>
      <c r="B403" s="19"/>
      <c r="C403" s="19"/>
      <c r="D403" s="19"/>
      <c r="E403" s="19"/>
      <c r="F403" s="19"/>
      <c r="G403" s="21"/>
      <c r="H403" s="19"/>
      <c r="I403" s="23" t="str">
        <f aca="false">IF(A403="","",TEXT(A403,"yyyy-mm"))</f>
        <v/>
      </c>
    </row>
    <row r="404" customFormat="false" ht="15" hidden="false" customHeight="false" outlineLevel="0" collapsed="false">
      <c r="A404" s="20"/>
      <c r="B404" s="19"/>
      <c r="C404" s="19"/>
      <c r="D404" s="19"/>
      <c r="E404" s="19"/>
      <c r="F404" s="19"/>
      <c r="G404" s="21"/>
      <c r="H404" s="19"/>
      <c r="I404" s="23" t="str">
        <f aca="false">IF(A404="","",TEXT(A404,"yyyy-mm"))</f>
        <v/>
      </c>
    </row>
    <row r="405" customFormat="false" ht="15" hidden="false" customHeight="false" outlineLevel="0" collapsed="false">
      <c r="A405" s="20"/>
      <c r="B405" s="19"/>
      <c r="C405" s="19"/>
      <c r="D405" s="19"/>
      <c r="E405" s="19"/>
      <c r="F405" s="19"/>
      <c r="G405" s="21"/>
      <c r="H405" s="19"/>
      <c r="I405" s="23" t="str">
        <f aca="false">IF(A405="","",TEXT(A405,"yyyy-mm"))</f>
        <v/>
      </c>
    </row>
    <row r="406" customFormat="false" ht="15" hidden="false" customHeight="false" outlineLevel="0" collapsed="false">
      <c r="A406" s="20"/>
      <c r="B406" s="19"/>
      <c r="C406" s="19"/>
      <c r="D406" s="19"/>
      <c r="E406" s="19"/>
      <c r="F406" s="19"/>
      <c r="G406" s="21"/>
      <c r="H406" s="19"/>
      <c r="I406" s="23" t="str">
        <f aca="false">IF(A406="","",TEXT(A406,"yyyy-mm"))</f>
        <v/>
      </c>
    </row>
    <row r="407" customFormat="false" ht="15" hidden="false" customHeight="false" outlineLevel="0" collapsed="false">
      <c r="A407" s="20"/>
      <c r="B407" s="19"/>
      <c r="C407" s="19"/>
      <c r="D407" s="19"/>
      <c r="E407" s="19"/>
      <c r="F407" s="19"/>
      <c r="G407" s="21"/>
      <c r="H407" s="19"/>
      <c r="I407" s="23" t="str">
        <f aca="false">IF(A407="","",TEXT(A407,"yyyy-mm"))</f>
        <v/>
      </c>
    </row>
    <row r="408" customFormat="false" ht="15" hidden="false" customHeight="false" outlineLevel="0" collapsed="false">
      <c r="A408" s="20"/>
      <c r="B408" s="19"/>
      <c r="C408" s="19"/>
      <c r="D408" s="19"/>
      <c r="E408" s="19"/>
      <c r="F408" s="19"/>
      <c r="G408" s="21"/>
      <c r="H408" s="19"/>
      <c r="I408" s="23" t="str">
        <f aca="false">IF(A408="","",TEXT(A408,"yyyy-mm"))</f>
        <v/>
      </c>
    </row>
    <row r="409" customFormat="false" ht="15" hidden="false" customHeight="false" outlineLevel="0" collapsed="false">
      <c r="A409" s="20"/>
      <c r="B409" s="19"/>
      <c r="C409" s="19"/>
      <c r="D409" s="19"/>
      <c r="E409" s="19"/>
      <c r="F409" s="19"/>
      <c r="G409" s="21"/>
      <c r="H409" s="19"/>
      <c r="I409" s="23" t="str">
        <f aca="false">IF(A409="","",TEXT(A409,"yyyy-mm"))</f>
        <v/>
      </c>
    </row>
    <row r="410" customFormat="false" ht="15" hidden="false" customHeight="false" outlineLevel="0" collapsed="false">
      <c r="A410" s="20"/>
      <c r="B410" s="19"/>
      <c r="C410" s="19"/>
      <c r="D410" s="19"/>
      <c r="E410" s="19"/>
      <c r="F410" s="19"/>
      <c r="G410" s="21"/>
      <c r="H410" s="19"/>
      <c r="I410" s="23" t="str">
        <f aca="false">IF(A410="","",TEXT(A410,"yyyy-mm"))</f>
        <v/>
      </c>
    </row>
    <row r="411" customFormat="false" ht="15" hidden="false" customHeight="false" outlineLevel="0" collapsed="false">
      <c r="A411" s="20"/>
      <c r="B411" s="19"/>
      <c r="C411" s="19"/>
      <c r="D411" s="19"/>
      <c r="E411" s="19"/>
      <c r="F411" s="19"/>
      <c r="G411" s="21"/>
      <c r="H411" s="19"/>
      <c r="I411" s="23" t="str">
        <f aca="false">IF(A411="","",TEXT(A411,"yyyy-mm"))</f>
        <v/>
      </c>
    </row>
    <row r="412" customFormat="false" ht="15" hidden="false" customHeight="false" outlineLevel="0" collapsed="false">
      <c r="A412" s="20"/>
      <c r="B412" s="19"/>
      <c r="C412" s="19"/>
      <c r="D412" s="19"/>
      <c r="E412" s="19"/>
      <c r="F412" s="19"/>
      <c r="G412" s="21"/>
      <c r="H412" s="19"/>
      <c r="I412" s="23" t="str">
        <f aca="false">IF(A412="","",TEXT(A412,"yyyy-mm"))</f>
        <v/>
      </c>
    </row>
    <row r="413" customFormat="false" ht="15" hidden="false" customHeight="false" outlineLevel="0" collapsed="false">
      <c r="A413" s="20"/>
      <c r="B413" s="19"/>
      <c r="C413" s="19"/>
      <c r="D413" s="19"/>
      <c r="E413" s="19"/>
      <c r="F413" s="19"/>
      <c r="G413" s="21"/>
      <c r="H413" s="19"/>
      <c r="I413" s="23" t="str">
        <f aca="false">IF(A413="","",TEXT(A413,"yyyy-mm"))</f>
        <v/>
      </c>
    </row>
    <row r="414" customFormat="false" ht="15" hidden="false" customHeight="false" outlineLevel="0" collapsed="false">
      <c r="A414" s="20"/>
      <c r="B414" s="19"/>
      <c r="C414" s="19"/>
      <c r="D414" s="19"/>
      <c r="E414" s="19"/>
      <c r="F414" s="19"/>
      <c r="G414" s="21"/>
      <c r="H414" s="19"/>
      <c r="I414" s="23" t="str">
        <f aca="false">IF(A414="","",TEXT(A414,"yyyy-mm"))</f>
        <v/>
      </c>
    </row>
    <row r="415" customFormat="false" ht="15" hidden="false" customHeight="false" outlineLevel="0" collapsed="false">
      <c r="A415" s="20"/>
      <c r="B415" s="19"/>
      <c r="C415" s="19"/>
      <c r="D415" s="19"/>
      <c r="E415" s="19"/>
      <c r="F415" s="19"/>
      <c r="G415" s="21"/>
      <c r="H415" s="19"/>
      <c r="I415" s="23" t="str">
        <f aca="false">IF(A415="","",TEXT(A415,"yyyy-mm"))</f>
        <v/>
      </c>
    </row>
    <row r="416" customFormat="false" ht="15" hidden="false" customHeight="false" outlineLevel="0" collapsed="false">
      <c r="A416" s="20"/>
      <c r="B416" s="19"/>
      <c r="C416" s="19"/>
      <c r="D416" s="19"/>
      <c r="E416" s="19"/>
      <c r="F416" s="19"/>
      <c r="G416" s="21"/>
      <c r="H416" s="19"/>
      <c r="I416" s="23" t="str">
        <f aca="false">IF(A416="","",TEXT(A416,"yyyy-mm"))</f>
        <v/>
      </c>
    </row>
    <row r="417" customFormat="false" ht="15" hidden="false" customHeight="false" outlineLevel="0" collapsed="false">
      <c r="A417" s="20"/>
      <c r="B417" s="19"/>
      <c r="C417" s="19"/>
      <c r="D417" s="19"/>
      <c r="E417" s="19"/>
      <c r="F417" s="19"/>
      <c r="G417" s="21"/>
      <c r="H417" s="19"/>
      <c r="I417" s="23" t="str">
        <f aca="false">IF(A417="","",TEXT(A417,"yyyy-mm"))</f>
        <v/>
      </c>
    </row>
    <row r="418" customFormat="false" ht="15" hidden="false" customHeight="false" outlineLevel="0" collapsed="false">
      <c r="A418" s="20"/>
      <c r="B418" s="19"/>
      <c r="C418" s="19"/>
      <c r="D418" s="19"/>
      <c r="E418" s="19"/>
      <c r="F418" s="19"/>
      <c r="G418" s="21"/>
      <c r="H418" s="19"/>
      <c r="I418" s="23" t="str">
        <f aca="false">IF(A418="","",TEXT(A418,"yyyy-mm"))</f>
        <v/>
      </c>
    </row>
    <row r="419" customFormat="false" ht="15" hidden="false" customHeight="false" outlineLevel="0" collapsed="false">
      <c r="A419" s="20"/>
      <c r="B419" s="19"/>
      <c r="C419" s="19"/>
      <c r="D419" s="19"/>
      <c r="E419" s="19"/>
      <c r="F419" s="19"/>
      <c r="G419" s="21"/>
      <c r="H419" s="19"/>
      <c r="I419" s="23" t="str">
        <f aca="false">IF(A419="","",TEXT(A419,"yyyy-mm"))</f>
        <v/>
      </c>
    </row>
    <row r="420" customFormat="false" ht="15" hidden="false" customHeight="false" outlineLevel="0" collapsed="false">
      <c r="A420" s="20"/>
      <c r="B420" s="19"/>
      <c r="C420" s="19"/>
      <c r="D420" s="19"/>
      <c r="E420" s="19"/>
      <c r="F420" s="19"/>
      <c r="G420" s="21"/>
      <c r="H420" s="19"/>
      <c r="I420" s="23" t="str">
        <f aca="false">IF(A420="","",TEXT(A420,"yyyy-mm"))</f>
        <v/>
      </c>
    </row>
    <row r="421" customFormat="false" ht="15" hidden="false" customHeight="false" outlineLevel="0" collapsed="false">
      <c r="A421" s="20"/>
      <c r="B421" s="19"/>
      <c r="C421" s="19"/>
      <c r="D421" s="19"/>
      <c r="E421" s="19"/>
      <c r="F421" s="19"/>
      <c r="G421" s="21"/>
      <c r="H421" s="19"/>
      <c r="I421" s="23" t="str">
        <f aca="false">IF(A421="","",TEXT(A421,"yyyy-mm"))</f>
        <v/>
      </c>
    </row>
    <row r="422" customFormat="false" ht="15" hidden="false" customHeight="false" outlineLevel="0" collapsed="false">
      <c r="A422" s="20"/>
      <c r="B422" s="19"/>
      <c r="C422" s="19"/>
      <c r="D422" s="19"/>
      <c r="E422" s="19"/>
      <c r="F422" s="19"/>
      <c r="G422" s="21"/>
      <c r="H422" s="19"/>
      <c r="I422" s="23" t="str">
        <f aca="false">IF(A422="","",TEXT(A422,"yyyy-mm"))</f>
        <v/>
      </c>
    </row>
    <row r="423" customFormat="false" ht="15" hidden="false" customHeight="false" outlineLevel="0" collapsed="false">
      <c r="A423" s="20"/>
      <c r="B423" s="19"/>
      <c r="C423" s="19"/>
      <c r="D423" s="19"/>
      <c r="E423" s="19"/>
      <c r="F423" s="19"/>
      <c r="G423" s="21"/>
      <c r="H423" s="19"/>
      <c r="I423" s="23" t="str">
        <f aca="false">IF(A423="","",TEXT(A423,"yyyy-mm"))</f>
        <v/>
      </c>
    </row>
    <row r="424" customFormat="false" ht="15" hidden="false" customHeight="false" outlineLevel="0" collapsed="false">
      <c r="A424" s="20"/>
      <c r="B424" s="19"/>
      <c r="C424" s="19"/>
      <c r="D424" s="19"/>
      <c r="E424" s="19"/>
      <c r="F424" s="19"/>
      <c r="G424" s="21"/>
      <c r="H424" s="19"/>
      <c r="I424" s="23" t="str">
        <f aca="false">IF(A424="","",TEXT(A424,"yyyy-mm"))</f>
        <v/>
      </c>
    </row>
    <row r="425" customFormat="false" ht="15" hidden="false" customHeight="false" outlineLevel="0" collapsed="false">
      <c r="A425" s="20"/>
      <c r="B425" s="19"/>
      <c r="C425" s="19"/>
      <c r="D425" s="19"/>
      <c r="E425" s="19"/>
      <c r="F425" s="19"/>
      <c r="G425" s="21"/>
      <c r="H425" s="19"/>
      <c r="I425" s="23" t="str">
        <f aca="false">IF(A425="","",TEXT(A425,"yyyy-mm"))</f>
        <v/>
      </c>
    </row>
    <row r="426" customFormat="false" ht="15" hidden="false" customHeight="false" outlineLevel="0" collapsed="false">
      <c r="A426" s="20"/>
      <c r="B426" s="19"/>
      <c r="C426" s="19"/>
      <c r="D426" s="19"/>
      <c r="E426" s="19"/>
      <c r="F426" s="19"/>
      <c r="G426" s="21"/>
      <c r="H426" s="19"/>
      <c r="I426" s="23" t="str">
        <f aca="false">IF(A426="","",TEXT(A426,"yyyy-mm"))</f>
        <v/>
      </c>
    </row>
    <row r="427" customFormat="false" ht="15" hidden="false" customHeight="false" outlineLevel="0" collapsed="false">
      <c r="A427" s="20"/>
      <c r="B427" s="19"/>
      <c r="C427" s="19"/>
      <c r="D427" s="19"/>
      <c r="E427" s="19"/>
      <c r="F427" s="19"/>
      <c r="G427" s="21"/>
      <c r="H427" s="19"/>
      <c r="I427" s="23" t="str">
        <f aca="false">IF(A427="","",TEXT(A427,"yyyy-mm"))</f>
        <v/>
      </c>
    </row>
    <row r="428" customFormat="false" ht="15" hidden="false" customHeight="false" outlineLevel="0" collapsed="false">
      <c r="A428" s="20"/>
      <c r="B428" s="19"/>
      <c r="C428" s="19"/>
      <c r="D428" s="19"/>
      <c r="E428" s="19"/>
      <c r="F428" s="19"/>
      <c r="G428" s="21"/>
      <c r="H428" s="19"/>
      <c r="I428" s="23" t="str">
        <f aca="false">IF(A428="","",TEXT(A428,"yyyy-mm"))</f>
        <v/>
      </c>
    </row>
    <row r="429" customFormat="false" ht="15" hidden="false" customHeight="false" outlineLevel="0" collapsed="false">
      <c r="A429" s="20"/>
      <c r="B429" s="19"/>
      <c r="C429" s="19"/>
      <c r="D429" s="19"/>
      <c r="E429" s="19"/>
      <c r="F429" s="19"/>
      <c r="G429" s="21"/>
      <c r="H429" s="19"/>
      <c r="I429" s="23" t="str">
        <f aca="false">IF(A429="","",TEXT(A429,"yyyy-mm"))</f>
        <v/>
      </c>
    </row>
    <row r="430" customFormat="false" ht="15" hidden="false" customHeight="false" outlineLevel="0" collapsed="false">
      <c r="A430" s="20"/>
      <c r="B430" s="19"/>
      <c r="C430" s="19"/>
      <c r="D430" s="19"/>
      <c r="E430" s="19"/>
      <c r="F430" s="19"/>
      <c r="G430" s="21"/>
      <c r="H430" s="19"/>
      <c r="I430" s="23" t="str">
        <f aca="false">IF(A430="","",TEXT(A430,"yyyy-mm"))</f>
        <v/>
      </c>
    </row>
    <row r="431" customFormat="false" ht="15" hidden="false" customHeight="false" outlineLevel="0" collapsed="false">
      <c r="A431" s="20"/>
      <c r="B431" s="19"/>
      <c r="C431" s="19"/>
      <c r="D431" s="19"/>
      <c r="E431" s="19"/>
      <c r="F431" s="19"/>
      <c r="G431" s="21"/>
      <c r="H431" s="19"/>
      <c r="I431" s="23" t="str">
        <f aca="false">IF(A431="","",TEXT(A431,"yyyy-mm"))</f>
        <v/>
      </c>
    </row>
    <row r="432" customFormat="false" ht="15" hidden="false" customHeight="false" outlineLevel="0" collapsed="false">
      <c r="A432" s="20"/>
      <c r="B432" s="19"/>
      <c r="C432" s="19"/>
      <c r="D432" s="19"/>
      <c r="E432" s="19"/>
      <c r="F432" s="19"/>
      <c r="G432" s="21"/>
      <c r="H432" s="19"/>
      <c r="I432" s="23" t="str">
        <f aca="false">IF(A432="","",TEXT(A432,"yyyy-mm"))</f>
        <v/>
      </c>
    </row>
    <row r="433" customFormat="false" ht="15" hidden="false" customHeight="false" outlineLevel="0" collapsed="false">
      <c r="A433" s="20"/>
      <c r="B433" s="19"/>
      <c r="C433" s="19"/>
      <c r="D433" s="19"/>
      <c r="E433" s="19"/>
      <c r="F433" s="19"/>
      <c r="G433" s="21"/>
      <c r="H433" s="19"/>
      <c r="I433" s="23" t="str">
        <f aca="false">IF(A433="","",TEXT(A433,"yyyy-mm"))</f>
        <v/>
      </c>
    </row>
    <row r="434" customFormat="false" ht="15" hidden="false" customHeight="false" outlineLevel="0" collapsed="false">
      <c r="A434" s="20"/>
      <c r="B434" s="19"/>
      <c r="C434" s="19"/>
      <c r="D434" s="19"/>
      <c r="E434" s="19"/>
      <c r="F434" s="19"/>
      <c r="G434" s="21"/>
      <c r="H434" s="19"/>
      <c r="I434" s="23" t="str">
        <f aca="false">IF(A434="","",TEXT(A434,"yyyy-mm"))</f>
        <v/>
      </c>
    </row>
    <row r="435" customFormat="false" ht="15" hidden="false" customHeight="false" outlineLevel="0" collapsed="false">
      <c r="A435" s="20"/>
      <c r="B435" s="19"/>
      <c r="C435" s="19"/>
      <c r="D435" s="19"/>
      <c r="E435" s="19"/>
      <c r="F435" s="19"/>
      <c r="G435" s="21"/>
      <c r="H435" s="19"/>
      <c r="I435" s="23" t="str">
        <f aca="false">IF(A435="","",TEXT(A435,"yyyy-mm"))</f>
        <v/>
      </c>
    </row>
    <row r="436" customFormat="false" ht="15" hidden="false" customHeight="false" outlineLevel="0" collapsed="false">
      <c r="A436" s="20"/>
      <c r="B436" s="19"/>
      <c r="C436" s="19"/>
      <c r="D436" s="19"/>
      <c r="E436" s="19"/>
      <c r="F436" s="19"/>
      <c r="G436" s="21"/>
      <c r="H436" s="19"/>
      <c r="I436" s="23" t="str">
        <f aca="false">IF(A436="","",TEXT(A436,"yyyy-mm"))</f>
        <v/>
      </c>
    </row>
    <row r="437" customFormat="false" ht="15" hidden="false" customHeight="false" outlineLevel="0" collapsed="false">
      <c r="A437" s="20"/>
      <c r="B437" s="19"/>
      <c r="C437" s="19"/>
      <c r="D437" s="19"/>
      <c r="E437" s="19"/>
      <c r="F437" s="19"/>
      <c r="G437" s="21"/>
      <c r="H437" s="19"/>
      <c r="I437" s="23" t="str">
        <f aca="false">IF(A437="","",TEXT(A437,"yyyy-mm"))</f>
        <v/>
      </c>
    </row>
    <row r="438" customFormat="false" ht="15" hidden="false" customHeight="false" outlineLevel="0" collapsed="false">
      <c r="A438" s="20"/>
      <c r="B438" s="19"/>
      <c r="C438" s="19"/>
      <c r="D438" s="19"/>
      <c r="E438" s="19"/>
      <c r="F438" s="19"/>
      <c r="G438" s="21"/>
      <c r="H438" s="19"/>
      <c r="I438" s="23" t="str">
        <f aca="false">IF(A438="","",TEXT(A438,"yyyy-mm"))</f>
        <v/>
      </c>
    </row>
    <row r="439" customFormat="false" ht="15" hidden="false" customHeight="false" outlineLevel="0" collapsed="false">
      <c r="A439" s="20"/>
      <c r="B439" s="19"/>
      <c r="C439" s="19"/>
      <c r="D439" s="19"/>
      <c r="E439" s="19"/>
      <c r="F439" s="19"/>
      <c r="G439" s="21"/>
      <c r="H439" s="19"/>
      <c r="I439" s="23" t="str">
        <f aca="false">IF(A439="","",TEXT(A439,"yyyy-mm"))</f>
        <v/>
      </c>
    </row>
    <row r="440" customFormat="false" ht="15" hidden="false" customHeight="false" outlineLevel="0" collapsed="false">
      <c r="A440" s="20"/>
      <c r="B440" s="19"/>
      <c r="C440" s="19"/>
      <c r="D440" s="19"/>
      <c r="E440" s="19"/>
      <c r="F440" s="19"/>
      <c r="G440" s="21"/>
      <c r="H440" s="19"/>
      <c r="I440" s="23" t="str">
        <f aca="false">IF(A440="","",TEXT(A440,"yyyy-mm"))</f>
        <v/>
      </c>
    </row>
    <row r="441" customFormat="false" ht="15" hidden="false" customHeight="false" outlineLevel="0" collapsed="false">
      <c r="A441" s="20"/>
      <c r="B441" s="19"/>
      <c r="C441" s="19"/>
      <c r="D441" s="19"/>
      <c r="E441" s="19"/>
      <c r="F441" s="19"/>
      <c r="G441" s="21"/>
      <c r="H441" s="19"/>
      <c r="I441" s="23" t="str">
        <f aca="false">IF(A441="","",TEXT(A441,"yyyy-mm"))</f>
        <v/>
      </c>
    </row>
    <row r="442" customFormat="false" ht="15" hidden="false" customHeight="false" outlineLevel="0" collapsed="false">
      <c r="A442" s="20"/>
      <c r="B442" s="19"/>
      <c r="C442" s="19"/>
      <c r="D442" s="19"/>
      <c r="E442" s="19"/>
      <c r="F442" s="19"/>
      <c r="G442" s="21"/>
      <c r="H442" s="19"/>
      <c r="I442" s="23" t="str">
        <f aca="false">IF(A442="","",TEXT(A442,"yyyy-mm"))</f>
        <v/>
      </c>
    </row>
    <row r="443" customFormat="false" ht="15" hidden="false" customHeight="false" outlineLevel="0" collapsed="false">
      <c r="A443" s="20"/>
      <c r="B443" s="19"/>
      <c r="C443" s="19"/>
      <c r="D443" s="19"/>
      <c r="E443" s="19"/>
      <c r="F443" s="19"/>
      <c r="G443" s="21"/>
      <c r="H443" s="19"/>
      <c r="I443" s="23" t="str">
        <f aca="false">IF(A443="","",TEXT(A443,"yyyy-mm"))</f>
        <v/>
      </c>
    </row>
    <row r="444" customFormat="false" ht="15" hidden="false" customHeight="false" outlineLevel="0" collapsed="false">
      <c r="A444" s="20"/>
      <c r="B444" s="19"/>
      <c r="C444" s="19"/>
      <c r="D444" s="19"/>
      <c r="E444" s="19"/>
      <c r="F444" s="19"/>
      <c r="G444" s="21"/>
      <c r="H444" s="19"/>
      <c r="I444" s="23" t="str">
        <f aca="false">IF(A444="","",TEXT(A444,"yyyy-mm"))</f>
        <v/>
      </c>
    </row>
    <row r="445" customFormat="false" ht="15" hidden="false" customHeight="false" outlineLevel="0" collapsed="false">
      <c r="A445" s="20"/>
      <c r="B445" s="19"/>
      <c r="C445" s="19"/>
      <c r="D445" s="19"/>
      <c r="E445" s="19"/>
      <c r="F445" s="19"/>
      <c r="G445" s="21"/>
      <c r="H445" s="19"/>
      <c r="I445" s="23" t="str">
        <f aca="false">IF(A445="","",TEXT(A445,"yyyy-mm"))</f>
        <v/>
      </c>
    </row>
    <row r="446" customFormat="false" ht="15" hidden="false" customHeight="false" outlineLevel="0" collapsed="false">
      <c r="A446" s="20"/>
      <c r="B446" s="19"/>
      <c r="C446" s="19"/>
      <c r="D446" s="19"/>
      <c r="E446" s="19"/>
      <c r="F446" s="19"/>
      <c r="G446" s="21"/>
      <c r="H446" s="19"/>
      <c r="I446" s="23" t="str">
        <f aca="false">IF(A446="","",TEXT(A446,"yyyy-mm"))</f>
        <v/>
      </c>
    </row>
    <row r="447" customFormat="false" ht="15" hidden="false" customHeight="false" outlineLevel="0" collapsed="false">
      <c r="A447" s="20"/>
      <c r="B447" s="19"/>
      <c r="C447" s="19"/>
      <c r="D447" s="19"/>
      <c r="E447" s="19"/>
      <c r="F447" s="19"/>
      <c r="G447" s="21"/>
      <c r="H447" s="19"/>
      <c r="I447" s="23" t="str">
        <f aca="false">IF(A447="","",TEXT(A447,"yyyy-mm"))</f>
        <v/>
      </c>
    </row>
    <row r="448" customFormat="false" ht="15" hidden="false" customHeight="false" outlineLevel="0" collapsed="false">
      <c r="A448" s="20"/>
      <c r="B448" s="19"/>
      <c r="C448" s="19"/>
      <c r="D448" s="19"/>
      <c r="E448" s="19"/>
      <c r="F448" s="19"/>
      <c r="G448" s="21"/>
      <c r="H448" s="19"/>
      <c r="I448" s="23" t="str">
        <f aca="false">IF(A448="","",TEXT(A448,"yyyy-mm"))</f>
        <v/>
      </c>
    </row>
    <row r="449" customFormat="false" ht="15" hidden="false" customHeight="false" outlineLevel="0" collapsed="false">
      <c r="A449" s="20"/>
      <c r="B449" s="19"/>
      <c r="C449" s="19"/>
      <c r="D449" s="19"/>
      <c r="E449" s="19"/>
      <c r="F449" s="19"/>
      <c r="G449" s="21"/>
      <c r="H449" s="19"/>
      <c r="I449" s="23" t="str">
        <f aca="false">IF(A449="","",TEXT(A449,"yyyy-mm"))</f>
        <v/>
      </c>
    </row>
    <row r="450" customFormat="false" ht="15" hidden="false" customHeight="false" outlineLevel="0" collapsed="false">
      <c r="A450" s="20"/>
      <c r="B450" s="19"/>
      <c r="C450" s="19"/>
      <c r="D450" s="19"/>
      <c r="E450" s="19"/>
      <c r="F450" s="19"/>
      <c r="G450" s="21"/>
      <c r="H450" s="19"/>
      <c r="I450" s="23" t="str">
        <f aca="false">IF(A450="","",TEXT(A450,"yyyy-mm"))</f>
        <v/>
      </c>
    </row>
    <row r="451" customFormat="false" ht="15" hidden="false" customHeight="false" outlineLevel="0" collapsed="false">
      <c r="A451" s="20"/>
      <c r="B451" s="19"/>
      <c r="C451" s="19"/>
      <c r="D451" s="19"/>
      <c r="E451" s="19"/>
      <c r="F451" s="19"/>
      <c r="G451" s="21"/>
      <c r="H451" s="19"/>
      <c r="I451" s="23" t="str">
        <f aca="false">IF(A451="","",TEXT(A451,"yyyy-mm"))</f>
        <v/>
      </c>
    </row>
    <row r="452" customFormat="false" ht="15" hidden="false" customHeight="false" outlineLevel="0" collapsed="false">
      <c r="A452" s="20"/>
      <c r="B452" s="19"/>
      <c r="C452" s="19"/>
      <c r="D452" s="19"/>
      <c r="E452" s="19"/>
      <c r="F452" s="19"/>
      <c r="G452" s="21"/>
      <c r="H452" s="19"/>
      <c r="I452" s="23" t="str">
        <f aca="false">IF(A452="","",TEXT(A452,"yyyy-mm"))</f>
        <v/>
      </c>
    </row>
    <row r="453" customFormat="false" ht="15" hidden="false" customHeight="false" outlineLevel="0" collapsed="false">
      <c r="A453" s="20"/>
      <c r="B453" s="19"/>
      <c r="C453" s="19"/>
      <c r="D453" s="19"/>
      <c r="E453" s="19"/>
      <c r="F453" s="19"/>
      <c r="G453" s="21"/>
      <c r="H453" s="19"/>
      <c r="I453" s="23" t="str">
        <f aca="false">IF(A453="","",TEXT(A453,"yyyy-mm"))</f>
        <v/>
      </c>
    </row>
    <row r="454" customFormat="false" ht="15" hidden="false" customHeight="false" outlineLevel="0" collapsed="false">
      <c r="A454" s="20"/>
      <c r="B454" s="19"/>
      <c r="C454" s="19"/>
      <c r="D454" s="19"/>
      <c r="E454" s="19"/>
      <c r="F454" s="19"/>
      <c r="G454" s="21"/>
      <c r="H454" s="19"/>
      <c r="I454" s="23" t="str">
        <f aca="false">IF(A454="","",TEXT(A454,"yyyy-mm"))</f>
        <v/>
      </c>
    </row>
    <row r="455" customFormat="false" ht="15" hidden="false" customHeight="false" outlineLevel="0" collapsed="false">
      <c r="A455" s="20"/>
      <c r="B455" s="19"/>
      <c r="C455" s="19"/>
      <c r="D455" s="19"/>
      <c r="E455" s="19"/>
      <c r="F455" s="19"/>
      <c r="G455" s="21"/>
      <c r="H455" s="19"/>
      <c r="I455" s="23" t="str">
        <f aca="false">IF(A455="","",TEXT(A455,"yyyy-mm"))</f>
        <v/>
      </c>
    </row>
    <row r="456" customFormat="false" ht="15" hidden="false" customHeight="false" outlineLevel="0" collapsed="false">
      <c r="A456" s="20"/>
      <c r="B456" s="19"/>
      <c r="C456" s="19"/>
      <c r="D456" s="19"/>
      <c r="E456" s="19"/>
      <c r="F456" s="19"/>
      <c r="G456" s="21"/>
      <c r="H456" s="19"/>
      <c r="I456" s="23" t="str">
        <f aca="false">IF(A456="","",TEXT(A456,"yyyy-mm"))</f>
        <v/>
      </c>
    </row>
    <row r="457" customFormat="false" ht="15" hidden="false" customHeight="false" outlineLevel="0" collapsed="false">
      <c r="A457" s="20"/>
      <c r="B457" s="19"/>
      <c r="C457" s="19"/>
      <c r="D457" s="19"/>
      <c r="E457" s="19"/>
      <c r="F457" s="19"/>
      <c r="G457" s="21"/>
      <c r="H457" s="19"/>
      <c r="I457" s="23" t="str">
        <f aca="false">IF(A457="","",TEXT(A457,"yyyy-mm"))</f>
        <v/>
      </c>
    </row>
    <row r="458" customFormat="false" ht="15" hidden="false" customHeight="false" outlineLevel="0" collapsed="false">
      <c r="A458" s="20"/>
      <c r="B458" s="19"/>
      <c r="C458" s="19"/>
      <c r="D458" s="19"/>
      <c r="E458" s="19"/>
      <c r="F458" s="19"/>
      <c r="G458" s="21"/>
      <c r="H458" s="19"/>
      <c r="I458" s="23" t="str">
        <f aca="false">IF(A458="","",TEXT(A458,"yyyy-mm"))</f>
        <v/>
      </c>
    </row>
    <row r="459" customFormat="false" ht="15" hidden="false" customHeight="false" outlineLevel="0" collapsed="false">
      <c r="A459" s="20"/>
      <c r="B459" s="19"/>
      <c r="C459" s="19"/>
      <c r="D459" s="19"/>
      <c r="E459" s="19"/>
      <c r="F459" s="19"/>
      <c r="G459" s="21"/>
      <c r="H459" s="19"/>
      <c r="I459" s="23" t="str">
        <f aca="false">IF(A459="","",TEXT(A459,"yyyy-mm"))</f>
        <v/>
      </c>
    </row>
    <row r="460" customFormat="false" ht="15" hidden="false" customHeight="false" outlineLevel="0" collapsed="false">
      <c r="A460" s="20"/>
      <c r="B460" s="19"/>
      <c r="C460" s="19"/>
      <c r="D460" s="19"/>
      <c r="E460" s="19"/>
      <c r="F460" s="19"/>
      <c r="G460" s="21"/>
      <c r="H460" s="19"/>
      <c r="I460" s="23" t="str">
        <f aca="false">IF(A460="","",TEXT(A460,"yyyy-mm"))</f>
        <v/>
      </c>
    </row>
    <row r="461" customFormat="false" ht="15" hidden="false" customHeight="false" outlineLevel="0" collapsed="false">
      <c r="A461" s="20"/>
      <c r="B461" s="19"/>
      <c r="C461" s="19"/>
      <c r="D461" s="19"/>
      <c r="E461" s="19"/>
      <c r="F461" s="19"/>
      <c r="G461" s="21"/>
      <c r="H461" s="19"/>
      <c r="I461" s="23" t="str">
        <f aca="false">IF(A461="","",TEXT(A461,"yyyy-mm"))</f>
        <v/>
      </c>
    </row>
    <row r="462" customFormat="false" ht="15" hidden="false" customHeight="false" outlineLevel="0" collapsed="false">
      <c r="A462" s="20"/>
      <c r="B462" s="19"/>
      <c r="C462" s="19"/>
      <c r="D462" s="19"/>
      <c r="E462" s="19"/>
      <c r="F462" s="19"/>
      <c r="G462" s="21"/>
      <c r="H462" s="19"/>
      <c r="I462" s="23" t="str">
        <f aca="false">IF(A462="","",TEXT(A462,"yyyy-mm"))</f>
        <v/>
      </c>
    </row>
    <row r="463" customFormat="false" ht="15" hidden="false" customHeight="false" outlineLevel="0" collapsed="false">
      <c r="A463" s="20"/>
      <c r="B463" s="19"/>
      <c r="C463" s="19"/>
      <c r="D463" s="19"/>
      <c r="E463" s="19"/>
      <c r="F463" s="19"/>
      <c r="G463" s="21"/>
      <c r="H463" s="19"/>
      <c r="I463" s="23" t="str">
        <f aca="false">IF(A463="","",TEXT(A463,"yyyy-mm"))</f>
        <v/>
      </c>
    </row>
    <row r="464" customFormat="false" ht="15" hidden="false" customHeight="false" outlineLevel="0" collapsed="false">
      <c r="A464" s="20"/>
      <c r="B464" s="19"/>
      <c r="C464" s="19"/>
      <c r="D464" s="19"/>
      <c r="E464" s="19"/>
      <c r="F464" s="19"/>
      <c r="G464" s="21"/>
      <c r="H464" s="19"/>
      <c r="I464" s="23" t="str">
        <f aca="false">IF(A464="","",TEXT(A464,"yyyy-mm"))</f>
        <v/>
      </c>
    </row>
    <row r="465" customFormat="false" ht="15" hidden="false" customHeight="false" outlineLevel="0" collapsed="false">
      <c r="A465" s="20"/>
      <c r="B465" s="19"/>
      <c r="C465" s="19"/>
      <c r="D465" s="19"/>
      <c r="E465" s="19"/>
      <c r="F465" s="19"/>
      <c r="G465" s="21"/>
      <c r="H465" s="19"/>
      <c r="I465" s="23" t="str">
        <f aca="false">IF(A465="","",TEXT(A465,"yyyy-mm"))</f>
        <v/>
      </c>
    </row>
    <row r="466" customFormat="false" ht="15" hidden="false" customHeight="false" outlineLevel="0" collapsed="false">
      <c r="A466" s="20"/>
      <c r="B466" s="19"/>
      <c r="C466" s="19"/>
      <c r="D466" s="19"/>
      <c r="E466" s="19"/>
      <c r="F466" s="19"/>
      <c r="G466" s="21"/>
      <c r="H466" s="19"/>
      <c r="I466" s="23" t="str">
        <f aca="false">IF(A466="","",TEXT(A466,"yyyy-mm"))</f>
        <v/>
      </c>
    </row>
    <row r="467" customFormat="false" ht="15" hidden="false" customHeight="false" outlineLevel="0" collapsed="false">
      <c r="A467" s="20"/>
      <c r="B467" s="19"/>
      <c r="C467" s="19"/>
      <c r="D467" s="19"/>
      <c r="E467" s="19"/>
      <c r="F467" s="19"/>
      <c r="G467" s="21"/>
      <c r="H467" s="19"/>
      <c r="I467" s="23" t="str">
        <f aca="false">IF(A467="","",TEXT(A467,"yyyy-mm"))</f>
        <v/>
      </c>
    </row>
    <row r="468" customFormat="false" ht="15" hidden="false" customHeight="false" outlineLevel="0" collapsed="false">
      <c r="A468" s="20"/>
      <c r="B468" s="19"/>
      <c r="C468" s="19"/>
      <c r="D468" s="19"/>
      <c r="E468" s="19"/>
      <c r="F468" s="19"/>
      <c r="G468" s="21"/>
      <c r="H468" s="19"/>
      <c r="I468" s="23" t="str">
        <f aca="false">IF(A468="","",TEXT(A468,"yyyy-mm"))</f>
        <v/>
      </c>
    </row>
    <row r="469" customFormat="false" ht="15" hidden="false" customHeight="false" outlineLevel="0" collapsed="false">
      <c r="A469" s="20"/>
      <c r="B469" s="19"/>
      <c r="C469" s="19"/>
      <c r="D469" s="19"/>
      <c r="E469" s="19"/>
      <c r="F469" s="19"/>
      <c r="G469" s="21"/>
      <c r="H469" s="19"/>
      <c r="I469" s="23" t="str">
        <f aca="false">IF(A469="","",TEXT(A469,"yyyy-mm"))</f>
        <v/>
      </c>
    </row>
    <row r="470" customFormat="false" ht="15" hidden="false" customHeight="false" outlineLevel="0" collapsed="false">
      <c r="A470" s="20"/>
      <c r="B470" s="19"/>
      <c r="C470" s="19"/>
      <c r="D470" s="19"/>
      <c r="E470" s="19"/>
      <c r="F470" s="19"/>
      <c r="G470" s="21"/>
      <c r="H470" s="19"/>
      <c r="I470" s="23" t="str">
        <f aca="false">IF(A470="","",TEXT(A470,"yyyy-mm"))</f>
        <v/>
      </c>
    </row>
    <row r="471" customFormat="false" ht="15" hidden="false" customHeight="false" outlineLevel="0" collapsed="false">
      <c r="A471" s="20"/>
      <c r="B471" s="19"/>
      <c r="C471" s="19"/>
      <c r="D471" s="19"/>
      <c r="E471" s="19"/>
      <c r="F471" s="19"/>
      <c r="G471" s="21"/>
      <c r="H471" s="19"/>
      <c r="I471" s="23" t="str">
        <f aca="false">IF(A471="","",TEXT(A471,"yyyy-mm"))</f>
        <v/>
      </c>
    </row>
    <row r="472" customFormat="false" ht="15" hidden="false" customHeight="false" outlineLevel="0" collapsed="false">
      <c r="A472" s="20"/>
      <c r="B472" s="19"/>
      <c r="C472" s="19"/>
      <c r="D472" s="19"/>
      <c r="E472" s="19"/>
      <c r="F472" s="19"/>
      <c r="G472" s="21"/>
      <c r="H472" s="19"/>
      <c r="I472" s="23" t="str">
        <f aca="false">IF(A472="","",TEXT(A472,"yyyy-mm"))</f>
        <v/>
      </c>
    </row>
    <row r="473" customFormat="false" ht="15" hidden="false" customHeight="false" outlineLevel="0" collapsed="false">
      <c r="A473" s="20"/>
      <c r="B473" s="19"/>
      <c r="C473" s="19"/>
      <c r="D473" s="19"/>
      <c r="E473" s="19"/>
      <c r="F473" s="19"/>
      <c r="G473" s="21"/>
      <c r="H473" s="19"/>
      <c r="I473" s="23" t="str">
        <f aca="false">IF(A473="","",TEXT(A473,"yyyy-mm"))</f>
        <v/>
      </c>
    </row>
    <row r="474" customFormat="false" ht="15" hidden="false" customHeight="false" outlineLevel="0" collapsed="false">
      <c r="A474" s="20"/>
      <c r="B474" s="19"/>
      <c r="C474" s="19"/>
      <c r="D474" s="19"/>
      <c r="E474" s="19"/>
      <c r="F474" s="19"/>
      <c r="G474" s="21"/>
      <c r="H474" s="19"/>
      <c r="I474" s="23" t="str">
        <f aca="false">IF(A474="","",TEXT(A474,"yyyy-mm"))</f>
        <v/>
      </c>
    </row>
    <row r="475" customFormat="false" ht="15" hidden="false" customHeight="false" outlineLevel="0" collapsed="false">
      <c r="A475" s="20"/>
      <c r="B475" s="19"/>
      <c r="C475" s="19"/>
      <c r="D475" s="19"/>
      <c r="E475" s="19"/>
      <c r="F475" s="19"/>
      <c r="G475" s="21"/>
      <c r="H475" s="19"/>
      <c r="I475" s="23" t="str">
        <f aca="false">IF(A475="","",TEXT(A475,"yyyy-mm"))</f>
        <v/>
      </c>
    </row>
    <row r="476" customFormat="false" ht="15" hidden="false" customHeight="false" outlineLevel="0" collapsed="false">
      <c r="A476" s="20"/>
      <c r="B476" s="19"/>
      <c r="C476" s="19"/>
      <c r="D476" s="19"/>
      <c r="E476" s="19"/>
      <c r="F476" s="19"/>
      <c r="G476" s="21"/>
      <c r="H476" s="19"/>
      <c r="I476" s="23" t="str">
        <f aca="false">IF(A476="","",TEXT(A476,"yyyy-mm"))</f>
        <v/>
      </c>
    </row>
    <row r="477" customFormat="false" ht="15" hidden="false" customHeight="false" outlineLevel="0" collapsed="false">
      <c r="A477" s="20"/>
      <c r="B477" s="19"/>
      <c r="C477" s="19"/>
      <c r="D477" s="19"/>
      <c r="E477" s="19"/>
      <c r="F477" s="19"/>
      <c r="G477" s="21"/>
      <c r="H477" s="19"/>
      <c r="I477" s="23" t="str">
        <f aca="false">IF(A477="","",TEXT(A477,"yyyy-mm"))</f>
        <v/>
      </c>
    </row>
    <row r="478" customFormat="false" ht="15" hidden="false" customHeight="false" outlineLevel="0" collapsed="false">
      <c r="A478" s="20"/>
      <c r="B478" s="19"/>
      <c r="C478" s="19"/>
      <c r="D478" s="19"/>
      <c r="E478" s="19"/>
      <c r="F478" s="19"/>
      <c r="G478" s="21"/>
      <c r="H478" s="19"/>
      <c r="I478" s="23" t="str">
        <f aca="false">IF(A478="","",TEXT(A478,"yyyy-mm"))</f>
        <v/>
      </c>
    </row>
    <row r="479" customFormat="false" ht="15" hidden="false" customHeight="false" outlineLevel="0" collapsed="false">
      <c r="A479" s="20"/>
      <c r="B479" s="19"/>
      <c r="C479" s="19"/>
      <c r="D479" s="19"/>
      <c r="E479" s="19"/>
      <c r="F479" s="19"/>
      <c r="G479" s="21"/>
      <c r="H479" s="19"/>
      <c r="I479" s="23" t="str">
        <f aca="false">IF(A479="","",TEXT(A479,"yyyy-mm"))</f>
        <v/>
      </c>
    </row>
    <row r="480" customFormat="false" ht="15" hidden="false" customHeight="false" outlineLevel="0" collapsed="false">
      <c r="A480" s="20"/>
      <c r="B480" s="19"/>
      <c r="C480" s="19"/>
      <c r="D480" s="19"/>
      <c r="E480" s="19"/>
      <c r="F480" s="19"/>
      <c r="G480" s="21"/>
      <c r="H480" s="19"/>
      <c r="I480" s="23" t="str">
        <f aca="false">IF(A480="","",TEXT(A480,"yyyy-mm"))</f>
        <v/>
      </c>
    </row>
    <row r="481" customFormat="false" ht="15" hidden="false" customHeight="false" outlineLevel="0" collapsed="false">
      <c r="A481" s="20"/>
      <c r="B481" s="19"/>
      <c r="C481" s="19"/>
      <c r="D481" s="19"/>
      <c r="E481" s="19"/>
      <c r="F481" s="19"/>
      <c r="G481" s="21"/>
      <c r="H481" s="19"/>
      <c r="I481" s="23" t="str">
        <f aca="false">IF(A481="","",TEXT(A481,"yyyy-mm"))</f>
        <v/>
      </c>
    </row>
    <row r="482" customFormat="false" ht="15" hidden="false" customHeight="false" outlineLevel="0" collapsed="false">
      <c r="A482" s="20"/>
      <c r="B482" s="19"/>
      <c r="C482" s="19"/>
      <c r="D482" s="19"/>
      <c r="E482" s="19"/>
      <c r="F482" s="19"/>
      <c r="G482" s="21"/>
      <c r="H482" s="19"/>
      <c r="I482" s="23" t="str">
        <f aca="false">IF(A482="","",TEXT(A482,"yyyy-mm"))</f>
        <v/>
      </c>
    </row>
    <row r="483" customFormat="false" ht="15" hidden="false" customHeight="false" outlineLevel="0" collapsed="false">
      <c r="A483" s="20"/>
      <c r="B483" s="19"/>
      <c r="C483" s="19"/>
      <c r="D483" s="19"/>
      <c r="E483" s="19"/>
      <c r="F483" s="19"/>
      <c r="G483" s="21"/>
      <c r="H483" s="19"/>
      <c r="I483" s="23" t="str">
        <f aca="false">IF(A483="","",TEXT(A483,"yyyy-mm"))</f>
        <v/>
      </c>
    </row>
    <row r="484" customFormat="false" ht="15" hidden="false" customHeight="false" outlineLevel="0" collapsed="false">
      <c r="A484" s="20"/>
      <c r="B484" s="19"/>
      <c r="C484" s="19"/>
      <c r="D484" s="19"/>
      <c r="E484" s="19"/>
      <c r="F484" s="19"/>
      <c r="G484" s="21"/>
      <c r="H484" s="19"/>
      <c r="I484" s="23" t="str">
        <f aca="false">IF(A484="","",TEXT(A484,"yyyy-mm"))</f>
        <v/>
      </c>
    </row>
    <row r="485" customFormat="false" ht="15" hidden="false" customHeight="false" outlineLevel="0" collapsed="false">
      <c r="A485" s="20"/>
      <c r="B485" s="19"/>
      <c r="C485" s="19"/>
      <c r="D485" s="19"/>
      <c r="E485" s="19"/>
      <c r="F485" s="19"/>
      <c r="G485" s="21"/>
      <c r="H485" s="19"/>
      <c r="I485" s="23" t="str">
        <f aca="false">IF(A485="","",TEXT(A485,"yyyy-mm"))</f>
        <v/>
      </c>
    </row>
    <row r="486" customFormat="false" ht="15" hidden="false" customHeight="false" outlineLevel="0" collapsed="false">
      <c r="A486" s="20"/>
      <c r="B486" s="19"/>
      <c r="C486" s="19"/>
      <c r="D486" s="19"/>
      <c r="E486" s="19"/>
      <c r="F486" s="19"/>
      <c r="G486" s="21"/>
      <c r="H486" s="19"/>
      <c r="I486" s="23" t="str">
        <f aca="false">IF(A486="","",TEXT(A486,"yyyy-mm"))</f>
        <v/>
      </c>
    </row>
    <row r="487" customFormat="false" ht="15" hidden="false" customHeight="false" outlineLevel="0" collapsed="false">
      <c r="A487" s="20"/>
      <c r="B487" s="19"/>
      <c r="C487" s="19"/>
      <c r="D487" s="19"/>
      <c r="E487" s="19"/>
      <c r="F487" s="19"/>
      <c r="G487" s="21"/>
      <c r="H487" s="19"/>
      <c r="I487" s="23" t="str">
        <f aca="false">IF(A487="","",TEXT(A487,"yyyy-mm"))</f>
        <v/>
      </c>
    </row>
    <row r="488" customFormat="false" ht="15" hidden="false" customHeight="false" outlineLevel="0" collapsed="false">
      <c r="A488" s="20"/>
      <c r="B488" s="19"/>
      <c r="C488" s="19"/>
      <c r="D488" s="19"/>
      <c r="E488" s="19"/>
      <c r="F488" s="19"/>
      <c r="G488" s="21"/>
      <c r="H488" s="19"/>
      <c r="I488" s="23" t="str">
        <f aca="false">IF(A488="","",TEXT(A488,"yyyy-mm"))</f>
        <v/>
      </c>
    </row>
    <row r="489" customFormat="false" ht="15" hidden="false" customHeight="false" outlineLevel="0" collapsed="false">
      <c r="A489" s="20"/>
      <c r="B489" s="19"/>
      <c r="C489" s="19"/>
      <c r="D489" s="19"/>
      <c r="E489" s="19"/>
      <c r="F489" s="19"/>
      <c r="G489" s="21"/>
      <c r="H489" s="19"/>
      <c r="I489" s="23" t="str">
        <f aca="false">IF(A489="","",TEXT(A489,"yyyy-mm"))</f>
        <v/>
      </c>
    </row>
    <row r="490" customFormat="false" ht="15" hidden="false" customHeight="false" outlineLevel="0" collapsed="false">
      <c r="A490" s="20"/>
      <c r="B490" s="19"/>
      <c r="C490" s="19"/>
      <c r="D490" s="19"/>
      <c r="E490" s="19"/>
      <c r="F490" s="19"/>
      <c r="G490" s="21"/>
      <c r="H490" s="19"/>
      <c r="I490" s="23" t="str">
        <f aca="false">IF(A490="","",TEXT(A490,"yyyy-mm"))</f>
        <v/>
      </c>
    </row>
    <row r="491" customFormat="false" ht="15" hidden="false" customHeight="false" outlineLevel="0" collapsed="false">
      <c r="A491" s="20"/>
      <c r="B491" s="19"/>
      <c r="C491" s="19"/>
      <c r="D491" s="19"/>
      <c r="E491" s="19"/>
      <c r="F491" s="19"/>
      <c r="G491" s="21"/>
      <c r="H491" s="19"/>
      <c r="I491" s="23" t="str">
        <f aca="false">IF(A491="","",TEXT(A491,"yyyy-mm"))</f>
        <v/>
      </c>
    </row>
    <row r="492" customFormat="false" ht="15" hidden="false" customHeight="false" outlineLevel="0" collapsed="false">
      <c r="A492" s="20"/>
      <c r="B492" s="19"/>
      <c r="C492" s="19"/>
      <c r="D492" s="19"/>
      <c r="E492" s="19"/>
      <c r="F492" s="19"/>
      <c r="G492" s="21"/>
      <c r="H492" s="19"/>
      <c r="I492" s="23" t="str">
        <f aca="false">IF(A492="","",TEXT(A492,"yyyy-mm"))</f>
        <v/>
      </c>
    </row>
    <row r="493" customFormat="false" ht="15" hidden="false" customHeight="false" outlineLevel="0" collapsed="false">
      <c r="A493" s="20"/>
      <c r="B493" s="19"/>
      <c r="C493" s="19"/>
      <c r="D493" s="19"/>
      <c r="E493" s="19"/>
      <c r="F493" s="19"/>
      <c r="G493" s="21"/>
      <c r="H493" s="19"/>
      <c r="I493" s="23" t="str">
        <f aca="false">IF(A493="","",TEXT(A493,"yyyy-mm"))</f>
        <v/>
      </c>
    </row>
    <row r="494" customFormat="false" ht="15" hidden="false" customHeight="false" outlineLevel="0" collapsed="false">
      <c r="A494" s="20"/>
      <c r="B494" s="19"/>
      <c r="C494" s="19"/>
      <c r="D494" s="19"/>
      <c r="E494" s="19"/>
      <c r="F494" s="19"/>
      <c r="G494" s="21"/>
      <c r="H494" s="19"/>
      <c r="I494" s="23" t="str">
        <f aca="false">IF(A494="","",TEXT(A494,"yyyy-mm"))</f>
        <v/>
      </c>
    </row>
    <row r="495" customFormat="false" ht="15" hidden="false" customHeight="false" outlineLevel="0" collapsed="false">
      <c r="A495" s="20"/>
      <c r="B495" s="19"/>
      <c r="C495" s="19"/>
      <c r="D495" s="19"/>
      <c r="E495" s="19"/>
      <c r="F495" s="19"/>
      <c r="G495" s="21"/>
      <c r="H495" s="19"/>
      <c r="I495" s="23" t="str">
        <f aca="false">IF(A495="","",TEXT(A495,"yyyy-mm"))</f>
        <v/>
      </c>
    </row>
    <row r="496" customFormat="false" ht="15" hidden="false" customHeight="false" outlineLevel="0" collapsed="false">
      <c r="A496" s="20"/>
      <c r="B496" s="19"/>
      <c r="C496" s="19"/>
      <c r="D496" s="19"/>
      <c r="E496" s="19"/>
      <c r="F496" s="19"/>
      <c r="G496" s="21"/>
      <c r="H496" s="19"/>
      <c r="I496" s="23" t="str">
        <f aca="false">IF(A496="","",TEXT(A496,"yyyy-mm"))</f>
        <v/>
      </c>
    </row>
    <row r="497" customFormat="false" ht="15" hidden="false" customHeight="false" outlineLevel="0" collapsed="false">
      <c r="A497" s="20"/>
      <c r="B497" s="19"/>
      <c r="C497" s="19"/>
      <c r="D497" s="19"/>
      <c r="E497" s="19"/>
      <c r="F497" s="19"/>
      <c r="G497" s="21"/>
      <c r="H497" s="19"/>
      <c r="I497" s="23" t="str">
        <f aca="false">IF(A497="","",TEXT(A497,"yyyy-mm"))</f>
        <v/>
      </c>
    </row>
    <row r="498" customFormat="false" ht="15" hidden="false" customHeight="false" outlineLevel="0" collapsed="false">
      <c r="A498" s="20"/>
      <c r="B498" s="19"/>
      <c r="C498" s="19"/>
      <c r="D498" s="19"/>
      <c r="E498" s="19"/>
      <c r="F498" s="19"/>
      <c r="G498" s="21"/>
      <c r="H498" s="19"/>
      <c r="I498" s="23" t="str">
        <f aca="false">IF(A498="","",TEXT(A498,"yyyy-mm"))</f>
        <v/>
      </c>
    </row>
    <row r="499" customFormat="false" ht="15" hidden="false" customHeight="false" outlineLevel="0" collapsed="false">
      <c r="A499" s="20"/>
      <c r="B499" s="19"/>
      <c r="C499" s="19"/>
      <c r="D499" s="19"/>
      <c r="E499" s="19"/>
      <c r="F499" s="19"/>
      <c r="G499" s="21"/>
      <c r="H499" s="19"/>
      <c r="I499" s="23" t="str">
        <f aca="false">IF(A499="","",TEXT(A499,"yyyy-mm"))</f>
        <v/>
      </c>
    </row>
    <row r="500" customFormat="false" ht="15" hidden="false" customHeight="false" outlineLevel="0" collapsed="false">
      <c r="A500" s="20"/>
      <c r="B500" s="19"/>
      <c r="C500" s="19"/>
      <c r="D500" s="19"/>
      <c r="E500" s="19"/>
      <c r="F500" s="19"/>
      <c r="G500" s="21"/>
      <c r="H500" s="19"/>
      <c r="I500" s="23" t="str">
        <f aca="false">IF(A500="","",TEXT(A500,"yyyy-mm"))</f>
        <v/>
      </c>
    </row>
    <row r="501" customFormat="false" ht="15" hidden="false" customHeight="false" outlineLevel="0" collapsed="false">
      <c r="A501" s="20"/>
      <c r="B501" s="19"/>
      <c r="C501" s="19"/>
      <c r="D501" s="19"/>
      <c r="E501" s="19"/>
      <c r="F501" s="19"/>
      <c r="G501" s="21"/>
      <c r="H501" s="19"/>
      <c r="I501" s="23" t="str">
        <f aca="false">IF(A501="","",TEXT(A501,"yyyy-mm"))</f>
        <v/>
      </c>
    </row>
    <row r="502" customFormat="false" ht="15" hidden="false" customHeight="false" outlineLevel="0" collapsed="false">
      <c r="A502" s="20"/>
      <c r="B502" s="19"/>
      <c r="C502" s="19"/>
      <c r="D502" s="19"/>
      <c r="E502" s="19"/>
      <c r="F502" s="19"/>
      <c r="G502" s="21"/>
      <c r="H502" s="19"/>
      <c r="I502" s="23" t="str">
        <f aca="false">IF(A502="","",TEXT(A502,"yyyy-mm"))</f>
        <v/>
      </c>
    </row>
    <row r="503" customFormat="false" ht="15" hidden="false" customHeight="false" outlineLevel="0" collapsed="false">
      <c r="A503" s="20"/>
      <c r="B503" s="19"/>
      <c r="C503" s="19"/>
      <c r="D503" s="19"/>
      <c r="E503" s="19"/>
      <c r="F503" s="19"/>
      <c r="G503" s="21"/>
      <c r="H503" s="19"/>
      <c r="I503" s="23" t="str">
        <f aca="false">IF(A503="","",TEXT(A503,"yyyy-mm"))</f>
        <v/>
      </c>
    </row>
    <row r="504" customFormat="false" ht="15" hidden="false" customHeight="false" outlineLevel="0" collapsed="false">
      <c r="A504" s="20"/>
      <c r="B504" s="19"/>
      <c r="C504" s="19"/>
      <c r="D504" s="19"/>
      <c r="E504" s="19"/>
      <c r="F504" s="19"/>
      <c r="G504" s="21"/>
      <c r="H504" s="19"/>
      <c r="I504" s="23" t="str">
        <f aca="false">IF(A504="","",TEXT(A504,"yyyy-mm"))</f>
        <v/>
      </c>
    </row>
    <row r="505" customFormat="false" ht="15" hidden="false" customHeight="false" outlineLevel="0" collapsed="false">
      <c r="A505" s="20"/>
      <c r="B505" s="19"/>
      <c r="C505" s="19"/>
      <c r="D505" s="19"/>
      <c r="E505" s="19"/>
      <c r="F505" s="19"/>
      <c r="G505" s="21"/>
      <c r="H505" s="19"/>
      <c r="I505" s="23" t="str">
        <f aca="false">IF(A505="","",TEXT(A505,"yyyy-mm"))</f>
        <v/>
      </c>
    </row>
    <row r="506" customFormat="false" ht="15" hidden="false" customHeight="false" outlineLevel="0" collapsed="false">
      <c r="A506" s="20"/>
      <c r="B506" s="19"/>
      <c r="C506" s="19"/>
      <c r="D506" s="19"/>
      <c r="E506" s="19"/>
      <c r="F506" s="19"/>
      <c r="G506" s="21"/>
      <c r="H506" s="19"/>
      <c r="I506" s="23" t="str">
        <f aca="false">IF(A506="","",TEXT(A506,"yyyy-mm"))</f>
        <v/>
      </c>
    </row>
    <row r="507" customFormat="false" ht="15" hidden="false" customHeight="false" outlineLevel="0" collapsed="false">
      <c r="A507" s="20"/>
      <c r="B507" s="19"/>
      <c r="C507" s="19"/>
      <c r="D507" s="19"/>
      <c r="E507" s="19"/>
      <c r="F507" s="19"/>
      <c r="G507" s="21"/>
      <c r="H507" s="19"/>
      <c r="I507" s="23" t="str">
        <f aca="false">IF(A507="","",TEXT(A507,"yyyy-mm"))</f>
        <v/>
      </c>
    </row>
    <row r="508" customFormat="false" ht="15" hidden="false" customHeight="false" outlineLevel="0" collapsed="false">
      <c r="A508" s="20"/>
      <c r="B508" s="19"/>
      <c r="C508" s="19"/>
      <c r="D508" s="19"/>
      <c r="E508" s="19"/>
      <c r="F508" s="19"/>
      <c r="G508" s="21"/>
      <c r="H508" s="19"/>
      <c r="I508" s="23" t="str">
        <f aca="false">IF(A508="","",TEXT(A508,"yyyy-mm"))</f>
        <v/>
      </c>
    </row>
    <row r="509" customFormat="false" ht="15" hidden="false" customHeight="false" outlineLevel="0" collapsed="false">
      <c r="A509" s="20"/>
      <c r="B509" s="19"/>
      <c r="C509" s="19"/>
      <c r="D509" s="19"/>
      <c r="E509" s="19"/>
      <c r="F509" s="19"/>
      <c r="G509" s="21"/>
      <c r="H509" s="19"/>
      <c r="I509" s="23" t="str">
        <f aca="false">IF(A509="","",TEXT(A509,"yyyy-mm"))</f>
        <v/>
      </c>
    </row>
    <row r="510" customFormat="false" ht="15" hidden="false" customHeight="false" outlineLevel="0" collapsed="false">
      <c r="A510" s="20"/>
      <c r="B510" s="19"/>
      <c r="C510" s="19"/>
      <c r="D510" s="19"/>
      <c r="E510" s="19"/>
      <c r="F510" s="19"/>
      <c r="G510" s="21"/>
      <c r="H510" s="19"/>
      <c r="I510" s="23" t="str">
        <f aca="false">IF(A510="","",TEXT(A510,"yyyy-mm"))</f>
        <v/>
      </c>
    </row>
    <row r="511" customFormat="false" ht="15" hidden="false" customHeight="false" outlineLevel="0" collapsed="false">
      <c r="A511" s="20"/>
      <c r="B511" s="19"/>
      <c r="C511" s="19"/>
      <c r="D511" s="19"/>
      <c r="E511" s="19"/>
      <c r="F511" s="19"/>
      <c r="G511" s="21"/>
      <c r="H511" s="19"/>
      <c r="I511" s="23" t="str">
        <f aca="false">IF(A511="","",TEXT(A511,"yyyy-mm"))</f>
        <v/>
      </c>
    </row>
    <row r="512" customFormat="false" ht="15" hidden="false" customHeight="false" outlineLevel="0" collapsed="false">
      <c r="A512" s="20"/>
      <c r="B512" s="19"/>
      <c r="C512" s="19"/>
      <c r="D512" s="19"/>
      <c r="E512" s="19"/>
      <c r="F512" s="19"/>
      <c r="G512" s="21"/>
      <c r="H512" s="19"/>
      <c r="I512" s="23" t="str">
        <f aca="false">IF(A512="","",TEXT(A512,"yyyy-mm"))</f>
        <v/>
      </c>
    </row>
    <row r="513" customFormat="false" ht="15" hidden="false" customHeight="false" outlineLevel="0" collapsed="false">
      <c r="A513" s="20"/>
      <c r="B513" s="19"/>
      <c r="C513" s="19"/>
      <c r="D513" s="19"/>
      <c r="E513" s="19"/>
      <c r="F513" s="19"/>
      <c r="G513" s="21"/>
      <c r="H513" s="19"/>
      <c r="I513" s="23" t="str">
        <f aca="false">IF(A513="","",TEXT(A513,"yyyy-mm"))</f>
        <v/>
      </c>
    </row>
    <row r="514" customFormat="false" ht="15" hidden="false" customHeight="false" outlineLevel="0" collapsed="false">
      <c r="A514" s="20"/>
      <c r="B514" s="19"/>
      <c r="C514" s="19"/>
      <c r="D514" s="19"/>
      <c r="E514" s="19"/>
      <c r="F514" s="19"/>
      <c r="G514" s="21"/>
      <c r="H514" s="19"/>
      <c r="I514" s="23" t="str">
        <f aca="false">IF(A514="","",TEXT(A514,"yyyy-mm"))</f>
        <v/>
      </c>
    </row>
    <row r="515" customFormat="false" ht="15" hidden="false" customHeight="false" outlineLevel="0" collapsed="false">
      <c r="A515" s="20"/>
      <c r="B515" s="19"/>
      <c r="C515" s="19"/>
      <c r="D515" s="19"/>
      <c r="E515" s="19"/>
      <c r="F515" s="19"/>
      <c r="G515" s="21"/>
      <c r="H515" s="19"/>
      <c r="I515" s="23" t="str">
        <f aca="false">IF(A515="","",TEXT(A515,"yyyy-mm"))</f>
        <v/>
      </c>
    </row>
    <row r="516" customFormat="false" ht="15" hidden="false" customHeight="false" outlineLevel="0" collapsed="false">
      <c r="A516" s="20"/>
      <c r="B516" s="19"/>
      <c r="C516" s="19"/>
      <c r="D516" s="19"/>
      <c r="E516" s="19"/>
      <c r="F516" s="19"/>
      <c r="G516" s="21"/>
      <c r="H516" s="19"/>
      <c r="I516" s="23" t="str">
        <f aca="false">IF(A516="","",TEXT(A516,"yyyy-mm"))</f>
        <v/>
      </c>
    </row>
    <row r="517" customFormat="false" ht="15" hidden="false" customHeight="false" outlineLevel="0" collapsed="false">
      <c r="A517" s="20"/>
      <c r="B517" s="19"/>
      <c r="C517" s="19"/>
      <c r="D517" s="19"/>
      <c r="E517" s="19"/>
      <c r="F517" s="19"/>
      <c r="G517" s="21"/>
      <c r="H517" s="19"/>
      <c r="I517" s="23" t="str">
        <f aca="false">IF(A517="","",TEXT(A517,"yyyy-mm"))</f>
        <v/>
      </c>
    </row>
    <row r="518" customFormat="false" ht="15" hidden="false" customHeight="false" outlineLevel="0" collapsed="false">
      <c r="A518" s="20"/>
      <c r="B518" s="19"/>
      <c r="C518" s="19"/>
      <c r="D518" s="19"/>
      <c r="E518" s="19"/>
      <c r="F518" s="19"/>
      <c r="G518" s="21"/>
      <c r="H518" s="19"/>
      <c r="I518" s="23" t="str">
        <f aca="false">IF(A518="","",TEXT(A518,"yyyy-mm"))</f>
        <v/>
      </c>
    </row>
    <row r="519" customFormat="false" ht="15" hidden="false" customHeight="false" outlineLevel="0" collapsed="false">
      <c r="A519" s="20"/>
      <c r="B519" s="19"/>
      <c r="C519" s="19"/>
      <c r="D519" s="19"/>
      <c r="E519" s="19"/>
      <c r="F519" s="19"/>
      <c r="G519" s="21"/>
      <c r="H519" s="19"/>
      <c r="I519" s="23" t="str">
        <f aca="false">IF(A519="","",TEXT(A519,"yyyy-mm"))</f>
        <v/>
      </c>
    </row>
    <row r="520" customFormat="false" ht="15" hidden="false" customHeight="false" outlineLevel="0" collapsed="false">
      <c r="A520" s="20"/>
      <c r="B520" s="19"/>
      <c r="C520" s="19"/>
      <c r="D520" s="19"/>
      <c r="E520" s="19"/>
      <c r="F520" s="19"/>
      <c r="G520" s="21"/>
      <c r="H520" s="19"/>
      <c r="I520" s="23" t="str">
        <f aca="false">IF(A520="","",TEXT(A520,"yyyy-mm"))</f>
        <v/>
      </c>
    </row>
    <row r="521" customFormat="false" ht="15" hidden="false" customHeight="false" outlineLevel="0" collapsed="false">
      <c r="A521" s="20"/>
      <c r="B521" s="19"/>
      <c r="C521" s="19"/>
      <c r="D521" s="19"/>
      <c r="E521" s="19"/>
      <c r="F521" s="19"/>
      <c r="G521" s="21"/>
      <c r="H521" s="19"/>
      <c r="I521" s="23" t="str">
        <f aca="false">IF(A521="","",TEXT(A521,"yyyy-mm"))</f>
        <v/>
      </c>
    </row>
    <row r="522" customFormat="false" ht="15" hidden="false" customHeight="false" outlineLevel="0" collapsed="false">
      <c r="A522" s="20"/>
      <c r="B522" s="19"/>
      <c r="C522" s="19"/>
      <c r="D522" s="19"/>
      <c r="E522" s="19"/>
      <c r="F522" s="19"/>
      <c r="G522" s="21"/>
      <c r="H522" s="19"/>
      <c r="I522" s="23" t="str">
        <f aca="false">IF(A522="","",TEXT(A522,"yyyy-mm"))</f>
        <v/>
      </c>
    </row>
    <row r="523" customFormat="false" ht="15" hidden="false" customHeight="false" outlineLevel="0" collapsed="false">
      <c r="A523" s="20"/>
      <c r="B523" s="19"/>
      <c r="C523" s="19"/>
      <c r="D523" s="19"/>
      <c r="E523" s="19"/>
      <c r="F523" s="19"/>
      <c r="G523" s="21"/>
      <c r="H523" s="19"/>
      <c r="I523" s="23" t="str">
        <f aca="false">IF(A523="","",TEXT(A523,"yyyy-mm"))</f>
        <v/>
      </c>
    </row>
    <row r="524" customFormat="false" ht="15" hidden="false" customHeight="false" outlineLevel="0" collapsed="false">
      <c r="A524" s="20"/>
      <c r="B524" s="19"/>
      <c r="C524" s="19"/>
      <c r="D524" s="19"/>
      <c r="E524" s="19"/>
      <c r="F524" s="19"/>
      <c r="G524" s="21"/>
      <c r="H524" s="19"/>
      <c r="I524" s="23" t="str">
        <f aca="false">IF(A524="","",TEXT(A524,"yyyy-mm"))</f>
        <v/>
      </c>
    </row>
    <row r="525" customFormat="false" ht="15" hidden="false" customHeight="false" outlineLevel="0" collapsed="false">
      <c r="A525" s="20"/>
      <c r="B525" s="19"/>
      <c r="C525" s="19"/>
      <c r="D525" s="19"/>
      <c r="E525" s="19"/>
      <c r="F525" s="19"/>
      <c r="G525" s="21"/>
      <c r="H525" s="19"/>
      <c r="I525" s="23" t="str">
        <f aca="false">IF(A525="","",TEXT(A525,"yyyy-mm"))</f>
        <v/>
      </c>
    </row>
    <row r="526" customFormat="false" ht="15" hidden="false" customHeight="false" outlineLevel="0" collapsed="false">
      <c r="A526" s="20"/>
      <c r="B526" s="19"/>
      <c r="C526" s="19"/>
      <c r="D526" s="19"/>
      <c r="E526" s="19"/>
      <c r="F526" s="19"/>
      <c r="G526" s="21"/>
      <c r="H526" s="19"/>
      <c r="I526" s="23" t="str">
        <f aca="false">IF(A526="","",TEXT(A526,"yyyy-mm"))</f>
        <v/>
      </c>
    </row>
    <row r="527" customFormat="false" ht="15" hidden="false" customHeight="false" outlineLevel="0" collapsed="false">
      <c r="A527" s="20"/>
      <c r="B527" s="19"/>
      <c r="C527" s="19"/>
      <c r="D527" s="19"/>
      <c r="E527" s="19"/>
      <c r="F527" s="19"/>
      <c r="G527" s="21"/>
      <c r="H527" s="19"/>
      <c r="I527" s="23" t="str">
        <f aca="false">IF(A527="","",TEXT(A527,"yyyy-mm"))</f>
        <v/>
      </c>
    </row>
    <row r="528" customFormat="false" ht="15" hidden="false" customHeight="false" outlineLevel="0" collapsed="false">
      <c r="A528" s="20"/>
      <c r="B528" s="19"/>
      <c r="C528" s="19"/>
      <c r="D528" s="19"/>
      <c r="E528" s="19"/>
      <c r="F528" s="19"/>
      <c r="G528" s="21"/>
      <c r="H528" s="19"/>
      <c r="I528" s="23" t="str">
        <f aca="false">IF(A528="","",TEXT(A528,"yyyy-mm"))</f>
        <v/>
      </c>
    </row>
    <row r="529" customFormat="false" ht="15" hidden="false" customHeight="false" outlineLevel="0" collapsed="false">
      <c r="A529" s="20"/>
      <c r="B529" s="19"/>
      <c r="C529" s="19"/>
      <c r="D529" s="19"/>
      <c r="E529" s="19"/>
      <c r="F529" s="19"/>
      <c r="G529" s="21"/>
      <c r="H529" s="19"/>
      <c r="I529" s="23" t="str">
        <f aca="false">IF(A529="","",TEXT(A529,"yyyy-mm"))</f>
        <v/>
      </c>
    </row>
    <row r="530" customFormat="false" ht="15" hidden="false" customHeight="false" outlineLevel="0" collapsed="false">
      <c r="A530" s="20"/>
      <c r="B530" s="19"/>
      <c r="C530" s="19"/>
      <c r="D530" s="19"/>
      <c r="E530" s="19"/>
      <c r="F530" s="19"/>
      <c r="G530" s="21"/>
      <c r="H530" s="19"/>
      <c r="I530" s="23" t="str">
        <f aca="false">IF(A530="","",TEXT(A530,"yyyy-mm"))</f>
        <v/>
      </c>
    </row>
    <row r="531" customFormat="false" ht="15" hidden="false" customHeight="false" outlineLevel="0" collapsed="false">
      <c r="A531" s="20"/>
      <c r="B531" s="19"/>
      <c r="C531" s="19"/>
      <c r="D531" s="19"/>
      <c r="E531" s="19"/>
      <c r="F531" s="19"/>
      <c r="G531" s="21"/>
      <c r="H531" s="19"/>
      <c r="I531" s="23" t="str">
        <f aca="false">IF(A531="","",TEXT(A531,"yyyy-mm"))</f>
        <v/>
      </c>
    </row>
    <row r="532" customFormat="false" ht="15" hidden="false" customHeight="false" outlineLevel="0" collapsed="false">
      <c r="A532" s="20"/>
      <c r="B532" s="19"/>
      <c r="C532" s="19"/>
      <c r="D532" s="19"/>
      <c r="E532" s="19"/>
      <c r="F532" s="19"/>
      <c r="G532" s="21"/>
      <c r="H532" s="19"/>
      <c r="I532" s="23" t="str">
        <f aca="false">IF(A532="","",TEXT(A532,"yyyy-mm"))</f>
        <v/>
      </c>
    </row>
    <row r="533" customFormat="false" ht="15" hidden="false" customHeight="false" outlineLevel="0" collapsed="false">
      <c r="A533" s="20"/>
      <c r="B533" s="19"/>
      <c r="C533" s="19"/>
      <c r="D533" s="19"/>
      <c r="E533" s="19"/>
      <c r="F533" s="19"/>
      <c r="G533" s="21"/>
      <c r="H533" s="19"/>
      <c r="I533" s="23" t="str">
        <f aca="false">IF(A533="","",TEXT(A533,"yyyy-mm"))</f>
        <v/>
      </c>
    </row>
    <row r="534" customFormat="false" ht="15" hidden="false" customHeight="false" outlineLevel="0" collapsed="false">
      <c r="A534" s="20"/>
      <c r="B534" s="19"/>
      <c r="C534" s="19"/>
      <c r="D534" s="19"/>
      <c r="E534" s="19"/>
      <c r="F534" s="19"/>
      <c r="G534" s="21"/>
      <c r="H534" s="19"/>
      <c r="I534" s="23" t="str">
        <f aca="false">IF(A534="","",TEXT(A534,"yyyy-mm"))</f>
        <v/>
      </c>
    </row>
    <row r="535" customFormat="false" ht="15" hidden="false" customHeight="false" outlineLevel="0" collapsed="false">
      <c r="A535" s="20"/>
      <c r="B535" s="19"/>
      <c r="C535" s="19"/>
      <c r="D535" s="19"/>
      <c r="E535" s="19"/>
      <c r="F535" s="19"/>
      <c r="G535" s="21"/>
      <c r="H535" s="19"/>
      <c r="I535" s="23" t="str">
        <f aca="false">IF(A535="","",TEXT(A535,"yyyy-mm"))</f>
        <v/>
      </c>
    </row>
    <row r="536" customFormat="false" ht="15" hidden="false" customHeight="false" outlineLevel="0" collapsed="false">
      <c r="A536" s="20"/>
      <c r="B536" s="19"/>
      <c r="C536" s="19"/>
      <c r="D536" s="19"/>
      <c r="E536" s="19"/>
      <c r="F536" s="19"/>
      <c r="G536" s="21"/>
      <c r="H536" s="19"/>
      <c r="I536" s="23" t="str">
        <f aca="false">IF(A536="","",TEXT(A536,"yyyy-mm"))</f>
        <v/>
      </c>
    </row>
    <row r="537" customFormat="false" ht="15" hidden="false" customHeight="false" outlineLevel="0" collapsed="false">
      <c r="A537" s="20"/>
      <c r="B537" s="19"/>
      <c r="C537" s="19"/>
      <c r="D537" s="19"/>
      <c r="E537" s="19"/>
      <c r="F537" s="19"/>
      <c r="G537" s="21"/>
      <c r="H537" s="19"/>
      <c r="I537" s="23" t="str">
        <f aca="false">IF(A537="","",TEXT(A537,"yyyy-mm"))</f>
        <v/>
      </c>
    </row>
    <row r="538" customFormat="false" ht="15" hidden="false" customHeight="false" outlineLevel="0" collapsed="false">
      <c r="A538" s="20"/>
      <c r="B538" s="19"/>
      <c r="C538" s="19"/>
      <c r="D538" s="19"/>
      <c r="E538" s="19"/>
      <c r="F538" s="19"/>
      <c r="G538" s="21"/>
      <c r="H538" s="19"/>
      <c r="I538" s="23" t="str">
        <f aca="false">IF(A538="","",TEXT(A538,"yyyy-mm"))</f>
        <v/>
      </c>
    </row>
    <row r="539" customFormat="false" ht="15" hidden="false" customHeight="false" outlineLevel="0" collapsed="false">
      <c r="A539" s="20"/>
      <c r="B539" s="19"/>
      <c r="C539" s="19"/>
      <c r="D539" s="19"/>
      <c r="E539" s="19"/>
      <c r="F539" s="19"/>
      <c r="G539" s="21"/>
      <c r="H539" s="19"/>
      <c r="I539" s="23" t="str">
        <f aca="false">IF(A539="","",TEXT(A539,"yyyy-mm"))</f>
        <v/>
      </c>
    </row>
    <row r="540" customFormat="false" ht="15" hidden="false" customHeight="false" outlineLevel="0" collapsed="false">
      <c r="A540" s="20"/>
      <c r="B540" s="19"/>
      <c r="C540" s="19"/>
      <c r="D540" s="19"/>
      <c r="E540" s="19"/>
      <c r="F540" s="19"/>
      <c r="G540" s="21"/>
      <c r="H540" s="19"/>
      <c r="I540" s="23" t="str">
        <f aca="false">IF(A540="","",TEXT(A540,"yyyy-mm"))</f>
        <v/>
      </c>
    </row>
    <row r="541" customFormat="false" ht="15" hidden="false" customHeight="false" outlineLevel="0" collapsed="false">
      <c r="A541" s="20"/>
      <c r="B541" s="19"/>
      <c r="C541" s="19"/>
      <c r="D541" s="19"/>
      <c r="E541" s="19"/>
      <c r="F541" s="19"/>
      <c r="G541" s="21"/>
      <c r="H541" s="19"/>
      <c r="I541" s="23" t="str">
        <f aca="false">IF(A541="","",TEXT(A541,"yyyy-mm"))</f>
        <v/>
      </c>
    </row>
    <row r="542" customFormat="false" ht="15" hidden="false" customHeight="false" outlineLevel="0" collapsed="false">
      <c r="A542" s="20"/>
      <c r="B542" s="19"/>
      <c r="C542" s="19"/>
      <c r="D542" s="19"/>
      <c r="E542" s="19"/>
      <c r="F542" s="19"/>
      <c r="G542" s="21"/>
      <c r="H542" s="19"/>
      <c r="I542" s="23" t="str">
        <f aca="false">IF(A542="","",TEXT(A542,"yyyy-mm"))</f>
        <v/>
      </c>
    </row>
    <row r="543" customFormat="false" ht="15" hidden="false" customHeight="false" outlineLevel="0" collapsed="false">
      <c r="A543" s="20"/>
      <c r="B543" s="19"/>
      <c r="C543" s="19"/>
      <c r="D543" s="19"/>
      <c r="E543" s="19"/>
      <c r="F543" s="19"/>
      <c r="G543" s="21"/>
      <c r="H543" s="19"/>
      <c r="I543" s="23" t="str">
        <f aca="false">IF(A543="","",TEXT(A543,"yyyy-mm"))</f>
        <v/>
      </c>
    </row>
    <row r="544" customFormat="false" ht="15" hidden="false" customHeight="false" outlineLevel="0" collapsed="false">
      <c r="A544" s="20"/>
      <c r="B544" s="19"/>
      <c r="C544" s="19"/>
      <c r="D544" s="19"/>
      <c r="E544" s="19"/>
      <c r="F544" s="19"/>
      <c r="G544" s="21"/>
      <c r="H544" s="19"/>
      <c r="I544" s="23" t="str">
        <f aca="false">IF(A544="","",TEXT(A544,"yyyy-mm"))</f>
        <v/>
      </c>
    </row>
    <row r="545" customFormat="false" ht="15" hidden="false" customHeight="false" outlineLevel="0" collapsed="false">
      <c r="A545" s="20"/>
      <c r="B545" s="19"/>
      <c r="C545" s="19"/>
      <c r="D545" s="19"/>
      <c r="E545" s="19"/>
      <c r="F545" s="19"/>
      <c r="G545" s="21"/>
      <c r="H545" s="19"/>
      <c r="I545" s="23" t="str">
        <f aca="false">IF(A545="","",TEXT(A545,"yyyy-mm"))</f>
        <v/>
      </c>
    </row>
    <row r="546" customFormat="false" ht="15" hidden="false" customHeight="false" outlineLevel="0" collapsed="false">
      <c r="A546" s="20"/>
      <c r="B546" s="19"/>
      <c r="C546" s="19"/>
      <c r="D546" s="19"/>
      <c r="E546" s="19"/>
      <c r="F546" s="19"/>
      <c r="G546" s="21"/>
      <c r="H546" s="19"/>
      <c r="I546" s="23" t="str">
        <f aca="false">IF(A546="","",TEXT(A546,"yyyy-mm"))</f>
        <v/>
      </c>
    </row>
    <row r="547" customFormat="false" ht="15" hidden="false" customHeight="false" outlineLevel="0" collapsed="false">
      <c r="A547" s="20"/>
      <c r="B547" s="19"/>
      <c r="C547" s="19"/>
      <c r="D547" s="19"/>
      <c r="E547" s="19"/>
      <c r="F547" s="19"/>
      <c r="G547" s="21"/>
      <c r="H547" s="19"/>
      <c r="I547" s="23" t="str">
        <f aca="false">IF(A547="","",TEXT(A547,"yyyy-mm"))</f>
        <v/>
      </c>
    </row>
    <row r="548" customFormat="false" ht="15" hidden="false" customHeight="false" outlineLevel="0" collapsed="false">
      <c r="A548" s="20"/>
      <c r="B548" s="19"/>
      <c r="C548" s="19"/>
      <c r="D548" s="19"/>
      <c r="E548" s="19"/>
      <c r="F548" s="19"/>
      <c r="G548" s="21"/>
      <c r="H548" s="19"/>
      <c r="I548" s="23" t="str">
        <f aca="false">IF(A548="","",TEXT(A548,"yyyy-mm"))</f>
        <v/>
      </c>
    </row>
    <row r="549" customFormat="false" ht="15" hidden="false" customHeight="false" outlineLevel="0" collapsed="false">
      <c r="A549" s="20"/>
      <c r="B549" s="19"/>
      <c r="C549" s="19"/>
      <c r="D549" s="19"/>
      <c r="E549" s="19"/>
      <c r="F549" s="19"/>
      <c r="G549" s="21"/>
      <c r="H549" s="19"/>
      <c r="I549" s="23" t="str">
        <f aca="false">IF(A549="","",TEXT(A549,"yyyy-mm"))</f>
        <v/>
      </c>
    </row>
    <row r="550" customFormat="false" ht="15" hidden="false" customHeight="false" outlineLevel="0" collapsed="false">
      <c r="A550" s="20"/>
      <c r="B550" s="19"/>
      <c r="C550" s="19"/>
      <c r="D550" s="19"/>
      <c r="E550" s="19"/>
      <c r="F550" s="19"/>
      <c r="G550" s="21"/>
      <c r="H550" s="19"/>
      <c r="I550" s="23" t="str">
        <f aca="false">IF(A550="","",TEXT(A550,"yyyy-mm"))</f>
        <v/>
      </c>
    </row>
    <row r="551" customFormat="false" ht="15" hidden="false" customHeight="false" outlineLevel="0" collapsed="false">
      <c r="A551" s="20"/>
      <c r="B551" s="19"/>
      <c r="C551" s="19"/>
      <c r="D551" s="19"/>
      <c r="E551" s="19"/>
      <c r="F551" s="19"/>
      <c r="G551" s="21"/>
      <c r="H551" s="19"/>
      <c r="I551" s="23" t="str">
        <f aca="false">IF(A551="","",TEXT(A551,"yyyy-mm"))</f>
        <v/>
      </c>
    </row>
    <row r="552" customFormat="false" ht="15" hidden="false" customHeight="false" outlineLevel="0" collapsed="false">
      <c r="A552" s="20"/>
      <c r="B552" s="19"/>
      <c r="C552" s="19"/>
      <c r="D552" s="19"/>
      <c r="E552" s="19"/>
      <c r="F552" s="19"/>
      <c r="G552" s="21"/>
      <c r="H552" s="19"/>
      <c r="I552" s="23" t="str">
        <f aca="false">IF(A552="","",TEXT(A552,"yyyy-mm"))</f>
        <v/>
      </c>
    </row>
    <row r="553" customFormat="false" ht="15" hidden="false" customHeight="false" outlineLevel="0" collapsed="false">
      <c r="A553" s="20"/>
      <c r="B553" s="19"/>
      <c r="C553" s="19"/>
      <c r="D553" s="19"/>
      <c r="E553" s="19"/>
      <c r="F553" s="19"/>
      <c r="G553" s="21"/>
      <c r="H553" s="19"/>
      <c r="I553" s="23" t="str">
        <f aca="false">IF(A553="","",TEXT(A553,"yyyy-mm"))</f>
        <v/>
      </c>
    </row>
    <row r="554" customFormat="false" ht="15" hidden="false" customHeight="false" outlineLevel="0" collapsed="false">
      <c r="A554" s="20"/>
      <c r="B554" s="19"/>
      <c r="C554" s="19"/>
      <c r="D554" s="19"/>
      <c r="E554" s="19"/>
      <c r="F554" s="19"/>
      <c r="G554" s="21"/>
      <c r="H554" s="19"/>
      <c r="I554" s="23" t="str">
        <f aca="false">IF(A554="","",TEXT(A554,"yyyy-mm"))</f>
        <v/>
      </c>
    </row>
    <row r="555" customFormat="false" ht="15" hidden="false" customHeight="false" outlineLevel="0" collapsed="false">
      <c r="A555" s="20"/>
      <c r="B555" s="19"/>
      <c r="C555" s="19"/>
      <c r="D555" s="19"/>
      <c r="E555" s="19"/>
      <c r="F555" s="19"/>
      <c r="G555" s="21"/>
      <c r="H555" s="19"/>
      <c r="I555" s="23" t="str">
        <f aca="false">IF(A555="","",TEXT(A555,"yyyy-mm"))</f>
        <v/>
      </c>
    </row>
    <row r="556" customFormat="false" ht="15" hidden="false" customHeight="false" outlineLevel="0" collapsed="false">
      <c r="A556" s="20"/>
      <c r="B556" s="19"/>
      <c r="C556" s="19"/>
      <c r="D556" s="19"/>
      <c r="E556" s="19"/>
      <c r="F556" s="19"/>
      <c r="G556" s="21"/>
      <c r="H556" s="19"/>
      <c r="I556" s="23" t="str">
        <f aca="false">IF(A556="","",TEXT(A556,"yyyy-mm"))</f>
        <v/>
      </c>
    </row>
    <row r="557" customFormat="false" ht="15" hidden="false" customHeight="false" outlineLevel="0" collapsed="false">
      <c r="A557" s="20"/>
      <c r="B557" s="19"/>
      <c r="C557" s="19"/>
      <c r="D557" s="19"/>
      <c r="E557" s="19"/>
      <c r="F557" s="19"/>
      <c r="G557" s="21"/>
      <c r="H557" s="19"/>
      <c r="I557" s="23" t="str">
        <f aca="false">IF(A557="","",TEXT(A557,"yyyy-mm"))</f>
        <v/>
      </c>
    </row>
    <row r="558" customFormat="false" ht="15" hidden="false" customHeight="false" outlineLevel="0" collapsed="false">
      <c r="A558" s="20"/>
      <c r="B558" s="19"/>
      <c r="C558" s="19"/>
      <c r="D558" s="19"/>
      <c r="E558" s="19"/>
      <c r="F558" s="19"/>
      <c r="G558" s="21"/>
      <c r="H558" s="19"/>
      <c r="I558" s="23" t="str">
        <f aca="false">IF(A558="","",TEXT(A558,"yyyy-mm"))</f>
        <v/>
      </c>
    </row>
    <row r="559" customFormat="false" ht="15" hidden="false" customHeight="false" outlineLevel="0" collapsed="false">
      <c r="A559" s="20"/>
      <c r="B559" s="19"/>
      <c r="C559" s="19"/>
      <c r="D559" s="19"/>
      <c r="E559" s="19"/>
      <c r="F559" s="19"/>
      <c r="G559" s="21"/>
      <c r="H559" s="19"/>
      <c r="I559" s="23" t="str">
        <f aca="false">IF(A559="","",TEXT(A559,"yyyy-mm"))</f>
        <v/>
      </c>
    </row>
    <row r="560" customFormat="false" ht="15" hidden="false" customHeight="false" outlineLevel="0" collapsed="false">
      <c r="A560" s="20"/>
      <c r="B560" s="19"/>
      <c r="C560" s="19"/>
      <c r="D560" s="19"/>
      <c r="E560" s="19"/>
      <c r="F560" s="19"/>
      <c r="G560" s="21"/>
      <c r="H560" s="19"/>
      <c r="I560" s="23" t="str">
        <f aca="false">IF(A560="","",TEXT(A560,"yyyy-mm"))</f>
        <v/>
      </c>
    </row>
    <row r="561" customFormat="false" ht="15" hidden="false" customHeight="false" outlineLevel="0" collapsed="false">
      <c r="A561" s="20"/>
      <c r="B561" s="19"/>
      <c r="C561" s="19"/>
      <c r="D561" s="19"/>
      <c r="E561" s="19"/>
      <c r="F561" s="19"/>
      <c r="G561" s="21"/>
      <c r="H561" s="19"/>
      <c r="I561" s="23" t="str">
        <f aca="false">IF(A561="","",TEXT(A561,"yyyy-mm"))</f>
        <v/>
      </c>
    </row>
    <row r="562" customFormat="false" ht="15" hidden="false" customHeight="false" outlineLevel="0" collapsed="false">
      <c r="A562" s="20"/>
      <c r="B562" s="19"/>
      <c r="C562" s="19"/>
      <c r="D562" s="19"/>
      <c r="E562" s="19"/>
      <c r="F562" s="19"/>
      <c r="G562" s="21"/>
      <c r="H562" s="19"/>
      <c r="I562" s="23" t="str">
        <f aca="false">IF(A562="","",TEXT(A562,"yyyy-mm"))</f>
        <v/>
      </c>
    </row>
    <row r="563" customFormat="false" ht="15" hidden="false" customHeight="false" outlineLevel="0" collapsed="false">
      <c r="A563" s="20"/>
      <c r="B563" s="19"/>
      <c r="C563" s="19"/>
      <c r="D563" s="19"/>
      <c r="E563" s="19"/>
      <c r="F563" s="19"/>
      <c r="G563" s="21"/>
      <c r="H563" s="19"/>
      <c r="I563" s="23" t="str">
        <f aca="false">IF(A563="","",TEXT(A563,"yyyy-mm"))</f>
        <v/>
      </c>
    </row>
    <row r="564" customFormat="false" ht="15" hidden="false" customHeight="false" outlineLevel="0" collapsed="false">
      <c r="A564" s="20"/>
      <c r="B564" s="19"/>
      <c r="C564" s="19"/>
      <c r="D564" s="19"/>
      <c r="E564" s="19"/>
      <c r="F564" s="19"/>
      <c r="G564" s="21"/>
      <c r="H564" s="19"/>
      <c r="I564" s="23" t="str">
        <f aca="false">IF(A564="","",TEXT(A564,"yyyy-mm"))</f>
        <v/>
      </c>
    </row>
    <row r="565" customFormat="false" ht="15" hidden="false" customHeight="false" outlineLevel="0" collapsed="false">
      <c r="A565" s="20"/>
      <c r="B565" s="19"/>
      <c r="C565" s="19"/>
      <c r="D565" s="19"/>
      <c r="E565" s="19"/>
      <c r="F565" s="19"/>
      <c r="G565" s="21"/>
      <c r="H565" s="19"/>
      <c r="I565" s="23" t="str">
        <f aca="false">IF(A565="","",TEXT(A565,"yyyy-mm"))</f>
        <v/>
      </c>
    </row>
    <row r="566" customFormat="false" ht="15" hidden="false" customHeight="false" outlineLevel="0" collapsed="false">
      <c r="A566" s="20"/>
      <c r="B566" s="19"/>
      <c r="C566" s="19"/>
      <c r="D566" s="19"/>
      <c r="E566" s="19"/>
      <c r="F566" s="19"/>
      <c r="G566" s="21"/>
      <c r="H566" s="19"/>
      <c r="I566" s="23" t="str">
        <f aca="false">IF(A566="","",TEXT(A566,"yyyy-mm"))</f>
        <v/>
      </c>
    </row>
    <row r="567" customFormat="false" ht="15" hidden="false" customHeight="false" outlineLevel="0" collapsed="false">
      <c r="A567" s="20"/>
      <c r="B567" s="19"/>
      <c r="C567" s="19"/>
      <c r="D567" s="19"/>
      <c r="E567" s="19"/>
      <c r="F567" s="19"/>
      <c r="G567" s="21"/>
      <c r="H567" s="19"/>
      <c r="I567" s="23" t="str">
        <f aca="false">IF(A567="","",TEXT(A567,"yyyy-mm"))</f>
        <v/>
      </c>
    </row>
    <row r="568" customFormat="false" ht="15" hidden="false" customHeight="false" outlineLevel="0" collapsed="false">
      <c r="A568" s="20"/>
      <c r="B568" s="19"/>
      <c r="C568" s="19"/>
      <c r="D568" s="19"/>
      <c r="E568" s="19"/>
      <c r="F568" s="19"/>
      <c r="G568" s="21"/>
      <c r="H568" s="19"/>
      <c r="I568" s="23" t="str">
        <f aca="false">IF(A568="","",TEXT(A568,"yyyy-mm"))</f>
        <v/>
      </c>
    </row>
    <row r="569" customFormat="false" ht="15" hidden="false" customHeight="false" outlineLevel="0" collapsed="false">
      <c r="A569" s="20"/>
      <c r="B569" s="19"/>
      <c r="C569" s="19"/>
      <c r="D569" s="19"/>
      <c r="E569" s="19"/>
      <c r="F569" s="19"/>
      <c r="G569" s="21"/>
      <c r="H569" s="19"/>
      <c r="I569" s="23" t="str">
        <f aca="false">IF(A569="","",TEXT(A569,"yyyy-mm"))</f>
        <v/>
      </c>
    </row>
    <row r="570" customFormat="false" ht="15" hidden="false" customHeight="false" outlineLevel="0" collapsed="false">
      <c r="A570" s="20"/>
      <c r="B570" s="19"/>
      <c r="C570" s="19"/>
      <c r="D570" s="19"/>
      <c r="E570" s="19"/>
      <c r="F570" s="19"/>
      <c r="G570" s="21"/>
      <c r="H570" s="19"/>
      <c r="I570" s="23" t="str">
        <f aca="false">IF(A570="","",TEXT(A570,"yyyy-mm"))</f>
        <v/>
      </c>
    </row>
    <row r="571" customFormat="false" ht="15" hidden="false" customHeight="false" outlineLevel="0" collapsed="false">
      <c r="A571" s="20"/>
      <c r="B571" s="19"/>
      <c r="C571" s="19"/>
      <c r="D571" s="19"/>
      <c r="E571" s="19"/>
      <c r="F571" s="19"/>
      <c r="G571" s="21"/>
      <c r="H571" s="19"/>
      <c r="I571" s="23" t="str">
        <f aca="false">IF(A571="","",TEXT(A571,"yyyy-mm"))</f>
        <v/>
      </c>
    </row>
    <row r="572" customFormat="false" ht="15" hidden="false" customHeight="false" outlineLevel="0" collapsed="false">
      <c r="A572" s="20"/>
      <c r="B572" s="19"/>
      <c r="C572" s="19"/>
      <c r="D572" s="19"/>
      <c r="E572" s="19"/>
      <c r="F572" s="19"/>
      <c r="G572" s="21"/>
      <c r="H572" s="19"/>
      <c r="I572" s="23" t="str">
        <f aca="false">IF(A572="","",TEXT(A572,"yyyy-mm"))</f>
        <v/>
      </c>
    </row>
    <row r="573" customFormat="false" ht="15" hidden="false" customHeight="false" outlineLevel="0" collapsed="false">
      <c r="A573" s="20"/>
      <c r="B573" s="19"/>
      <c r="C573" s="19"/>
      <c r="D573" s="19"/>
      <c r="E573" s="19"/>
      <c r="F573" s="19"/>
      <c r="G573" s="21"/>
      <c r="H573" s="19"/>
      <c r="I573" s="23" t="str">
        <f aca="false">IF(A573="","",TEXT(A573,"yyyy-mm"))</f>
        <v/>
      </c>
    </row>
    <row r="574" customFormat="false" ht="15" hidden="false" customHeight="false" outlineLevel="0" collapsed="false">
      <c r="A574" s="20"/>
      <c r="B574" s="19"/>
      <c r="C574" s="19"/>
      <c r="D574" s="19"/>
      <c r="E574" s="19"/>
      <c r="F574" s="19"/>
      <c r="G574" s="21"/>
      <c r="H574" s="19"/>
      <c r="I574" s="23" t="str">
        <f aca="false">IF(A574="","",TEXT(A574,"yyyy-mm"))</f>
        <v/>
      </c>
    </row>
    <row r="575" customFormat="false" ht="15" hidden="false" customHeight="false" outlineLevel="0" collapsed="false">
      <c r="A575" s="20"/>
      <c r="B575" s="19"/>
      <c r="C575" s="19"/>
      <c r="D575" s="19"/>
      <c r="E575" s="19"/>
      <c r="F575" s="19"/>
      <c r="G575" s="21"/>
      <c r="H575" s="19"/>
      <c r="I575" s="23" t="str">
        <f aca="false">IF(A575="","",TEXT(A575,"yyyy-mm"))</f>
        <v/>
      </c>
    </row>
    <row r="576" customFormat="false" ht="15" hidden="false" customHeight="false" outlineLevel="0" collapsed="false">
      <c r="A576" s="20"/>
      <c r="B576" s="19"/>
      <c r="C576" s="19"/>
      <c r="D576" s="19"/>
      <c r="E576" s="19"/>
      <c r="F576" s="19"/>
      <c r="G576" s="21"/>
      <c r="H576" s="19"/>
      <c r="I576" s="23" t="str">
        <f aca="false">IF(A576="","",TEXT(A576,"yyyy-mm"))</f>
        <v/>
      </c>
    </row>
    <row r="577" customFormat="false" ht="15" hidden="false" customHeight="false" outlineLevel="0" collapsed="false">
      <c r="A577" s="20"/>
      <c r="B577" s="19"/>
      <c r="C577" s="19"/>
      <c r="D577" s="19"/>
      <c r="E577" s="19"/>
      <c r="F577" s="19"/>
      <c r="G577" s="21"/>
      <c r="H577" s="19"/>
      <c r="I577" s="23" t="str">
        <f aca="false">IF(A577="","",TEXT(A577,"yyyy-mm"))</f>
        <v/>
      </c>
    </row>
    <row r="578" customFormat="false" ht="15" hidden="false" customHeight="false" outlineLevel="0" collapsed="false">
      <c r="A578" s="20"/>
      <c r="B578" s="19"/>
      <c r="C578" s="19"/>
      <c r="D578" s="19"/>
      <c r="E578" s="19"/>
      <c r="F578" s="19"/>
      <c r="G578" s="21"/>
      <c r="H578" s="19"/>
      <c r="I578" s="23" t="str">
        <f aca="false">IF(A578="","",TEXT(A578,"yyyy-mm"))</f>
        <v/>
      </c>
    </row>
    <row r="579" customFormat="false" ht="15" hidden="false" customHeight="false" outlineLevel="0" collapsed="false">
      <c r="A579" s="20"/>
      <c r="B579" s="19"/>
      <c r="C579" s="19"/>
      <c r="D579" s="19"/>
      <c r="E579" s="19"/>
      <c r="F579" s="19"/>
      <c r="G579" s="21"/>
      <c r="H579" s="19"/>
      <c r="I579" s="23" t="str">
        <f aca="false">IF(A579="","",TEXT(A579,"yyyy-mm"))</f>
        <v/>
      </c>
    </row>
    <row r="580" customFormat="false" ht="15" hidden="false" customHeight="false" outlineLevel="0" collapsed="false">
      <c r="A580" s="20"/>
      <c r="B580" s="19"/>
      <c r="C580" s="19"/>
      <c r="D580" s="19"/>
      <c r="E580" s="19"/>
      <c r="F580" s="19"/>
      <c r="G580" s="21"/>
      <c r="H580" s="19"/>
      <c r="I580" s="23" t="str">
        <f aca="false">IF(A580="","",TEXT(A580,"yyyy-mm"))</f>
        <v/>
      </c>
    </row>
    <row r="581" customFormat="false" ht="15" hidden="false" customHeight="false" outlineLevel="0" collapsed="false">
      <c r="A581" s="20"/>
      <c r="B581" s="19"/>
      <c r="C581" s="19"/>
      <c r="D581" s="19"/>
      <c r="E581" s="19"/>
      <c r="F581" s="19"/>
      <c r="G581" s="21"/>
      <c r="H581" s="19"/>
      <c r="I581" s="23" t="str">
        <f aca="false">IF(A581="","",TEXT(A581,"yyyy-mm"))</f>
        <v/>
      </c>
    </row>
    <row r="582" customFormat="false" ht="15" hidden="false" customHeight="false" outlineLevel="0" collapsed="false">
      <c r="A582" s="20"/>
      <c r="B582" s="19"/>
      <c r="C582" s="19"/>
      <c r="D582" s="19"/>
      <c r="E582" s="19"/>
      <c r="F582" s="19"/>
      <c r="G582" s="21"/>
      <c r="H582" s="19"/>
      <c r="I582" s="23" t="str">
        <f aca="false">IF(A582="","",TEXT(A582,"yyyy-mm"))</f>
        <v/>
      </c>
    </row>
    <row r="583" customFormat="false" ht="15" hidden="false" customHeight="false" outlineLevel="0" collapsed="false">
      <c r="A583" s="20"/>
      <c r="B583" s="19"/>
      <c r="C583" s="19"/>
      <c r="D583" s="19"/>
      <c r="E583" s="19"/>
      <c r="F583" s="19"/>
      <c r="G583" s="21"/>
      <c r="H583" s="19"/>
      <c r="I583" s="23" t="str">
        <f aca="false">IF(A583="","",TEXT(A583,"yyyy-mm"))</f>
        <v/>
      </c>
    </row>
    <row r="584" customFormat="false" ht="15" hidden="false" customHeight="false" outlineLevel="0" collapsed="false">
      <c r="A584" s="20"/>
      <c r="B584" s="19"/>
      <c r="C584" s="19"/>
      <c r="D584" s="19"/>
      <c r="E584" s="19"/>
      <c r="F584" s="19"/>
      <c r="G584" s="21"/>
      <c r="H584" s="19"/>
      <c r="I584" s="23" t="str">
        <f aca="false">IF(A584="","",TEXT(A584,"yyyy-mm"))</f>
        <v/>
      </c>
    </row>
    <row r="585" customFormat="false" ht="15" hidden="false" customHeight="false" outlineLevel="0" collapsed="false">
      <c r="A585" s="20"/>
      <c r="B585" s="19"/>
      <c r="C585" s="19"/>
      <c r="D585" s="19"/>
      <c r="E585" s="19"/>
      <c r="F585" s="19"/>
      <c r="G585" s="21"/>
      <c r="H585" s="19"/>
      <c r="I585" s="23" t="str">
        <f aca="false">IF(A585="","",TEXT(A585,"yyyy-mm"))</f>
        <v/>
      </c>
    </row>
    <row r="586" customFormat="false" ht="15" hidden="false" customHeight="false" outlineLevel="0" collapsed="false">
      <c r="A586" s="20"/>
      <c r="B586" s="19"/>
      <c r="C586" s="19"/>
      <c r="D586" s="19"/>
      <c r="E586" s="19"/>
      <c r="F586" s="19"/>
      <c r="G586" s="21"/>
      <c r="H586" s="19"/>
      <c r="I586" s="23" t="str">
        <f aca="false">IF(A586="","",TEXT(A586,"yyyy-mm"))</f>
        <v/>
      </c>
    </row>
    <row r="587" customFormat="false" ht="15" hidden="false" customHeight="false" outlineLevel="0" collapsed="false">
      <c r="A587" s="20"/>
      <c r="B587" s="19"/>
      <c r="C587" s="19"/>
      <c r="D587" s="19"/>
      <c r="E587" s="19"/>
      <c r="F587" s="19"/>
      <c r="G587" s="21"/>
      <c r="H587" s="19"/>
      <c r="I587" s="23" t="str">
        <f aca="false">IF(A587="","",TEXT(A587,"yyyy-mm"))</f>
        <v/>
      </c>
    </row>
    <row r="588" customFormat="false" ht="15" hidden="false" customHeight="false" outlineLevel="0" collapsed="false">
      <c r="A588" s="20"/>
      <c r="B588" s="19"/>
      <c r="C588" s="19"/>
      <c r="D588" s="19"/>
      <c r="E588" s="19"/>
      <c r="F588" s="19"/>
      <c r="G588" s="21"/>
      <c r="H588" s="19"/>
      <c r="I588" s="23" t="str">
        <f aca="false">IF(A588="","",TEXT(A588,"yyyy-mm"))</f>
        <v/>
      </c>
    </row>
    <row r="589" customFormat="false" ht="15" hidden="false" customHeight="false" outlineLevel="0" collapsed="false">
      <c r="A589" s="20"/>
      <c r="B589" s="19"/>
      <c r="C589" s="19"/>
      <c r="D589" s="19"/>
      <c r="E589" s="19"/>
      <c r="F589" s="19"/>
      <c r="G589" s="21"/>
      <c r="H589" s="19"/>
      <c r="I589" s="23" t="str">
        <f aca="false">IF(A589="","",TEXT(A589,"yyyy-mm"))</f>
        <v/>
      </c>
    </row>
    <row r="590" customFormat="false" ht="15" hidden="false" customHeight="false" outlineLevel="0" collapsed="false">
      <c r="A590" s="20"/>
      <c r="B590" s="19"/>
      <c r="C590" s="19"/>
      <c r="D590" s="19"/>
      <c r="E590" s="19"/>
      <c r="F590" s="19"/>
      <c r="G590" s="21"/>
      <c r="H590" s="19"/>
      <c r="I590" s="23" t="str">
        <f aca="false">IF(A590="","",TEXT(A590,"yyyy-mm"))</f>
        <v/>
      </c>
    </row>
    <row r="591" customFormat="false" ht="15" hidden="false" customHeight="false" outlineLevel="0" collapsed="false">
      <c r="A591" s="20"/>
      <c r="B591" s="19"/>
      <c r="C591" s="19"/>
      <c r="D591" s="19"/>
      <c r="E591" s="19"/>
      <c r="F591" s="19"/>
      <c r="G591" s="21"/>
      <c r="H591" s="19"/>
      <c r="I591" s="23" t="str">
        <f aca="false">IF(A591="","",TEXT(A591,"yyyy-mm"))</f>
        <v/>
      </c>
    </row>
    <row r="592" customFormat="false" ht="15" hidden="false" customHeight="false" outlineLevel="0" collapsed="false">
      <c r="A592" s="20"/>
      <c r="B592" s="19"/>
      <c r="C592" s="19"/>
      <c r="D592" s="19"/>
      <c r="E592" s="19"/>
      <c r="F592" s="19"/>
      <c r="G592" s="21"/>
      <c r="H592" s="19"/>
      <c r="I592" s="23" t="str">
        <f aca="false">IF(A592="","",TEXT(A592,"yyyy-mm"))</f>
        <v/>
      </c>
    </row>
    <row r="593" customFormat="false" ht="15" hidden="false" customHeight="false" outlineLevel="0" collapsed="false">
      <c r="A593" s="20"/>
      <c r="B593" s="19"/>
      <c r="C593" s="19"/>
      <c r="D593" s="19"/>
      <c r="E593" s="19"/>
      <c r="F593" s="19"/>
      <c r="G593" s="21"/>
      <c r="H593" s="19"/>
      <c r="I593" s="23" t="str">
        <f aca="false">IF(A593="","",TEXT(A593,"yyyy-mm"))</f>
        <v/>
      </c>
    </row>
    <row r="594" customFormat="false" ht="15" hidden="false" customHeight="false" outlineLevel="0" collapsed="false">
      <c r="A594" s="20"/>
      <c r="B594" s="19"/>
      <c r="C594" s="19"/>
      <c r="D594" s="19"/>
      <c r="E594" s="19"/>
      <c r="F594" s="19"/>
      <c r="G594" s="21"/>
      <c r="H594" s="19"/>
      <c r="I594" s="23" t="str">
        <f aca="false">IF(A594="","",TEXT(A594,"yyyy-mm"))</f>
        <v/>
      </c>
    </row>
    <row r="595" customFormat="false" ht="15" hidden="false" customHeight="false" outlineLevel="0" collapsed="false">
      <c r="A595" s="20"/>
      <c r="B595" s="19"/>
      <c r="C595" s="19"/>
      <c r="D595" s="19"/>
      <c r="E595" s="19"/>
      <c r="F595" s="19"/>
      <c r="G595" s="21"/>
      <c r="H595" s="19"/>
      <c r="I595" s="23" t="str">
        <f aca="false">IF(A595="","",TEXT(A595,"yyyy-mm"))</f>
        <v/>
      </c>
    </row>
    <row r="596" customFormat="false" ht="15" hidden="false" customHeight="false" outlineLevel="0" collapsed="false">
      <c r="A596" s="20"/>
      <c r="B596" s="19"/>
      <c r="C596" s="19"/>
      <c r="D596" s="19"/>
      <c r="E596" s="19"/>
      <c r="F596" s="19"/>
      <c r="G596" s="21"/>
      <c r="H596" s="19"/>
      <c r="I596" s="23" t="str">
        <f aca="false">IF(A596="","",TEXT(A596,"yyyy-mm"))</f>
        <v/>
      </c>
    </row>
    <row r="597" customFormat="false" ht="15" hidden="false" customHeight="false" outlineLevel="0" collapsed="false">
      <c r="A597" s="20"/>
      <c r="B597" s="19"/>
      <c r="C597" s="19"/>
      <c r="D597" s="19"/>
      <c r="E597" s="19"/>
      <c r="F597" s="19"/>
      <c r="G597" s="21"/>
      <c r="H597" s="19"/>
      <c r="I597" s="23" t="str">
        <f aca="false">IF(A597="","",TEXT(A597,"yyyy-mm"))</f>
        <v/>
      </c>
    </row>
    <row r="598" customFormat="false" ht="15" hidden="false" customHeight="false" outlineLevel="0" collapsed="false">
      <c r="A598" s="20"/>
      <c r="B598" s="19"/>
      <c r="C598" s="19"/>
      <c r="D598" s="19"/>
      <c r="E598" s="19"/>
      <c r="F598" s="19"/>
      <c r="G598" s="21"/>
      <c r="H598" s="19"/>
      <c r="I598" s="23" t="str">
        <f aca="false">IF(A598="","",TEXT(A598,"yyyy-mm"))</f>
        <v/>
      </c>
    </row>
    <row r="599" customFormat="false" ht="15" hidden="false" customHeight="false" outlineLevel="0" collapsed="false">
      <c r="A599" s="20"/>
      <c r="B599" s="19"/>
      <c r="C599" s="19"/>
      <c r="D599" s="19"/>
      <c r="E599" s="19"/>
      <c r="F599" s="19"/>
      <c r="G599" s="21"/>
      <c r="H599" s="19"/>
      <c r="I599" s="23" t="str">
        <f aca="false">IF(A599="","",TEXT(A599,"yyyy-mm"))</f>
        <v/>
      </c>
    </row>
    <row r="600" customFormat="false" ht="15" hidden="false" customHeight="false" outlineLevel="0" collapsed="false">
      <c r="A600" s="20"/>
      <c r="B600" s="19"/>
      <c r="C600" s="19"/>
      <c r="D600" s="19"/>
      <c r="E600" s="19"/>
      <c r="F600" s="19"/>
      <c r="G600" s="21"/>
      <c r="H600" s="19"/>
      <c r="I600" s="23" t="str">
        <f aca="false">IF(A600="","",TEXT(A600,"yyyy-mm"))</f>
        <v/>
      </c>
    </row>
    <row r="601" customFormat="false" ht="15" hidden="false" customHeight="false" outlineLevel="0" collapsed="false">
      <c r="A601" s="20"/>
      <c r="B601" s="19"/>
      <c r="C601" s="19"/>
      <c r="D601" s="19"/>
      <c r="E601" s="19"/>
      <c r="F601" s="19"/>
      <c r="G601" s="21"/>
      <c r="H601" s="19"/>
      <c r="I601" s="23" t="str">
        <f aca="false">IF(A601="","",TEXT(A601,"yyyy-mm"))</f>
        <v/>
      </c>
    </row>
    <row r="602" customFormat="false" ht="15" hidden="false" customHeight="false" outlineLevel="0" collapsed="false">
      <c r="A602" s="20"/>
      <c r="B602" s="19"/>
      <c r="C602" s="19"/>
      <c r="D602" s="19"/>
      <c r="E602" s="19"/>
      <c r="F602" s="19"/>
      <c r="G602" s="21"/>
      <c r="H602" s="19"/>
      <c r="I602" s="23" t="str">
        <f aca="false">IF(A602="","",TEXT(A602,"yyyy-mm"))</f>
        <v/>
      </c>
    </row>
    <row r="603" customFormat="false" ht="15" hidden="false" customHeight="false" outlineLevel="0" collapsed="false">
      <c r="A603" s="20"/>
      <c r="B603" s="19"/>
      <c r="C603" s="19"/>
      <c r="D603" s="19"/>
      <c r="E603" s="19"/>
      <c r="F603" s="19"/>
      <c r="G603" s="21"/>
      <c r="H603" s="19"/>
      <c r="I603" s="23" t="str">
        <f aca="false">IF(A603="","",TEXT(A603,"yyyy-mm"))</f>
        <v/>
      </c>
    </row>
    <row r="604" customFormat="false" ht="15" hidden="false" customHeight="false" outlineLevel="0" collapsed="false">
      <c r="A604" s="20"/>
      <c r="B604" s="19"/>
      <c r="C604" s="19"/>
      <c r="D604" s="19"/>
      <c r="E604" s="19"/>
      <c r="F604" s="19"/>
      <c r="G604" s="21"/>
      <c r="H604" s="19"/>
      <c r="I604" s="23" t="str">
        <f aca="false">IF(A604="","",TEXT(A604,"yyyy-mm"))</f>
        <v/>
      </c>
    </row>
    <row r="605" customFormat="false" ht="15" hidden="false" customHeight="false" outlineLevel="0" collapsed="false">
      <c r="A605" s="20"/>
      <c r="B605" s="19"/>
      <c r="C605" s="19"/>
      <c r="D605" s="19"/>
      <c r="E605" s="19"/>
      <c r="F605" s="19"/>
      <c r="G605" s="21"/>
      <c r="H605" s="19"/>
      <c r="I605" s="23" t="str">
        <f aca="false">IF(A605="","",TEXT(A605,"yyyy-mm"))</f>
        <v/>
      </c>
    </row>
    <row r="606" customFormat="false" ht="15" hidden="false" customHeight="false" outlineLevel="0" collapsed="false">
      <c r="A606" s="20"/>
      <c r="B606" s="19"/>
      <c r="C606" s="19"/>
      <c r="D606" s="19"/>
      <c r="E606" s="19"/>
      <c r="F606" s="19"/>
      <c r="G606" s="21"/>
      <c r="H606" s="19"/>
      <c r="I606" s="23" t="str">
        <f aca="false">IF(A606="","",TEXT(A606,"yyyy-mm"))</f>
        <v/>
      </c>
    </row>
    <row r="607" customFormat="false" ht="15" hidden="false" customHeight="false" outlineLevel="0" collapsed="false">
      <c r="A607" s="20"/>
      <c r="B607" s="19"/>
      <c r="C607" s="19"/>
      <c r="D607" s="19"/>
      <c r="E607" s="19"/>
      <c r="F607" s="19"/>
      <c r="G607" s="21"/>
      <c r="H607" s="19"/>
      <c r="I607" s="23" t="str">
        <f aca="false">IF(A607="","",TEXT(A607,"yyyy-mm"))</f>
        <v/>
      </c>
    </row>
    <row r="608" customFormat="false" ht="15" hidden="false" customHeight="false" outlineLevel="0" collapsed="false">
      <c r="A608" s="20"/>
      <c r="B608" s="19"/>
      <c r="C608" s="19"/>
      <c r="D608" s="19"/>
      <c r="E608" s="19"/>
      <c r="F608" s="19"/>
      <c r="G608" s="21"/>
      <c r="H608" s="19"/>
      <c r="I608" s="23" t="str">
        <f aca="false">IF(A608="","",TEXT(A608,"yyyy-mm"))</f>
        <v/>
      </c>
    </row>
    <row r="609" customFormat="false" ht="15" hidden="false" customHeight="false" outlineLevel="0" collapsed="false">
      <c r="A609" s="20"/>
      <c r="B609" s="19"/>
      <c r="C609" s="19"/>
      <c r="D609" s="19"/>
      <c r="E609" s="19"/>
      <c r="F609" s="19"/>
      <c r="G609" s="21"/>
      <c r="H609" s="19"/>
      <c r="I609" s="23" t="str">
        <f aca="false">IF(A609="","",TEXT(A609,"yyyy-mm"))</f>
        <v/>
      </c>
    </row>
    <row r="610" customFormat="false" ht="15" hidden="false" customHeight="false" outlineLevel="0" collapsed="false">
      <c r="A610" s="20"/>
      <c r="B610" s="19"/>
      <c r="C610" s="19"/>
      <c r="D610" s="19"/>
      <c r="E610" s="19"/>
      <c r="F610" s="19"/>
      <c r="G610" s="21"/>
      <c r="H610" s="19"/>
      <c r="I610" s="23" t="str">
        <f aca="false">IF(A610="","",TEXT(A610,"yyyy-mm"))</f>
        <v/>
      </c>
    </row>
    <row r="611" customFormat="false" ht="15" hidden="false" customHeight="false" outlineLevel="0" collapsed="false">
      <c r="A611" s="20"/>
      <c r="B611" s="19"/>
      <c r="C611" s="19"/>
      <c r="D611" s="19"/>
      <c r="E611" s="19"/>
      <c r="F611" s="19"/>
      <c r="G611" s="21"/>
      <c r="H611" s="19"/>
      <c r="I611" s="23" t="str">
        <f aca="false">IF(A611="","",TEXT(A611,"yyyy-mm"))</f>
        <v/>
      </c>
    </row>
    <row r="612" customFormat="false" ht="15" hidden="false" customHeight="false" outlineLevel="0" collapsed="false">
      <c r="A612" s="20"/>
      <c r="B612" s="19"/>
      <c r="C612" s="19"/>
      <c r="D612" s="19"/>
      <c r="E612" s="19"/>
      <c r="F612" s="19"/>
      <c r="G612" s="21"/>
      <c r="H612" s="19"/>
      <c r="I612" s="23" t="str">
        <f aca="false">IF(A612="","",TEXT(A612,"yyyy-mm"))</f>
        <v/>
      </c>
    </row>
    <row r="613" customFormat="false" ht="15" hidden="false" customHeight="false" outlineLevel="0" collapsed="false">
      <c r="A613" s="20"/>
      <c r="B613" s="19"/>
      <c r="C613" s="19"/>
      <c r="D613" s="19"/>
      <c r="E613" s="19"/>
      <c r="F613" s="19"/>
      <c r="G613" s="21"/>
      <c r="H613" s="19"/>
      <c r="I613" s="23" t="str">
        <f aca="false">IF(A613="","",TEXT(A613,"yyyy-mm"))</f>
        <v/>
      </c>
    </row>
    <row r="614" customFormat="false" ht="15" hidden="false" customHeight="false" outlineLevel="0" collapsed="false">
      <c r="A614" s="20"/>
      <c r="B614" s="19"/>
      <c r="C614" s="19"/>
      <c r="D614" s="19"/>
      <c r="E614" s="19"/>
      <c r="F614" s="19"/>
      <c r="G614" s="21"/>
      <c r="H614" s="19"/>
      <c r="I614" s="23" t="str">
        <f aca="false">IF(A614="","",TEXT(A614,"yyyy-mm"))</f>
        <v/>
      </c>
    </row>
    <row r="615" customFormat="false" ht="15" hidden="false" customHeight="false" outlineLevel="0" collapsed="false">
      <c r="A615" s="20"/>
      <c r="B615" s="19"/>
      <c r="C615" s="19"/>
      <c r="D615" s="19"/>
      <c r="E615" s="19"/>
      <c r="F615" s="19"/>
      <c r="G615" s="21"/>
      <c r="H615" s="19"/>
      <c r="I615" s="23" t="str">
        <f aca="false">IF(A615="","",TEXT(A615,"yyyy-mm"))</f>
        <v/>
      </c>
    </row>
    <row r="616" customFormat="false" ht="15" hidden="false" customHeight="false" outlineLevel="0" collapsed="false">
      <c r="A616" s="20"/>
      <c r="B616" s="19"/>
      <c r="C616" s="19"/>
      <c r="D616" s="19"/>
      <c r="E616" s="19"/>
      <c r="F616" s="19"/>
      <c r="G616" s="21"/>
      <c r="H616" s="19"/>
      <c r="I616" s="23" t="str">
        <f aca="false">IF(A616="","",TEXT(A616,"yyyy-mm"))</f>
        <v/>
      </c>
    </row>
    <row r="617" customFormat="false" ht="15" hidden="false" customHeight="false" outlineLevel="0" collapsed="false">
      <c r="A617" s="20"/>
      <c r="B617" s="19"/>
      <c r="C617" s="19"/>
      <c r="D617" s="19"/>
      <c r="E617" s="19"/>
      <c r="F617" s="19"/>
      <c r="G617" s="21"/>
      <c r="H617" s="19"/>
      <c r="I617" s="23" t="str">
        <f aca="false">IF(A617="","",TEXT(A617,"yyyy-mm"))</f>
        <v/>
      </c>
    </row>
    <row r="618" customFormat="false" ht="15" hidden="false" customHeight="false" outlineLevel="0" collapsed="false">
      <c r="A618" s="20"/>
      <c r="B618" s="19"/>
      <c r="C618" s="19"/>
      <c r="D618" s="19"/>
      <c r="E618" s="19"/>
      <c r="F618" s="19"/>
      <c r="G618" s="21"/>
      <c r="H618" s="19"/>
      <c r="I618" s="23" t="str">
        <f aca="false">IF(A618="","",TEXT(A618,"yyyy-mm"))</f>
        <v/>
      </c>
    </row>
    <row r="619" customFormat="false" ht="15" hidden="false" customHeight="false" outlineLevel="0" collapsed="false">
      <c r="A619" s="20"/>
      <c r="B619" s="19"/>
      <c r="C619" s="19"/>
      <c r="D619" s="19"/>
      <c r="E619" s="19"/>
      <c r="F619" s="19"/>
      <c r="G619" s="21"/>
      <c r="H619" s="19"/>
      <c r="I619" s="23" t="str">
        <f aca="false">IF(A619="","",TEXT(A619,"yyyy-mm"))</f>
        <v/>
      </c>
    </row>
    <row r="620" customFormat="false" ht="15" hidden="false" customHeight="false" outlineLevel="0" collapsed="false">
      <c r="A620" s="20"/>
      <c r="B620" s="19"/>
      <c r="C620" s="19"/>
      <c r="D620" s="19"/>
      <c r="E620" s="19"/>
      <c r="F620" s="19"/>
      <c r="G620" s="21"/>
      <c r="H620" s="19"/>
      <c r="I620" s="23" t="str">
        <f aca="false">IF(A620="","",TEXT(A620,"yyyy-mm"))</f>
        <v/>
      </c>
    </row>
    <row r="621" customFormat="false" ht="15" hidden="false" customHeight="false" outlineLevel="0" collapsed="false">
      <c r="A621" s="20"/>
      <c r="B621" s="19"/>
      <c r="C621" s="19"/>
      <c r="D621" s="19"/>
      <c r="E621" s="19"/>
      <c r="F621" s="19"/>
      <c r="G621" s="21"/>
      <c r="H621" s="19"/>
      <c r="I621" s="23" t="str">
        <f aca="false">IF(A621="","",TEXT(A621,"yyyy-mm"))</f>
        <v/>
      </c>
    </row>
    <row r="622" customFormat="false" ht="15" hidden="false" customHeight="false" outlineLevel="0" collapsed="false">
      <c r="A622" s="20"/>
      <c r="B622" s="19"/>
      <c r="C622" s="19"/>
      <c r="D622" s="19"/>
      <c r="E622" s="19"/>
      <c r="F622" s="19"/>
      <c r="G622" s="21"/>
      <c r="H622" s="19"/>
      <c r="I622" s="23" t="str">
        <f aca="false">IF(A622="","",TEXT(A622,"yyyy-mm"))</f>
        <v/>
      </c>
    </row>
    <row r="623" customFormat="false" ht="15" hidden="false" customHeight="false" outlineLevel="0" collapsed="false">
      <c r="A623" s="20"/>
      <c r="B623" s="19"/>
      <c r="C623" s="19"/>
      <c r="D623" s="19"/>
      <c r="E623" s="19"/>
      <c r="F623" s="19"/>
      <c r="G623" s="21"/>
      <c r="H623" s="19"/>
      <c r="I623" s="23" t="str">
        <f aca="false">IF(A623="","",TEXT(A623,"yyyy-mm"))</f>
        <v/>
      </c>
    </row>
    <row r="624" customFormat="false" ht="15" hidden="false" customHeight="false" outlineLevel="0" collapsed="false">
      <c r="A624" s="20"/>
      <c r="B624" s="19"/>
      <c r="C624" s="19"/>
      <c r="D624" s="19"/>
      <c r="E624" s="19"/>
      <c r="F624" s="19"/>
      <c r="G624" s="21"/>
      <c r="H624" s="19"/>
      <c r="I624" s="23" t="str">
        <f aca="false">IF(A624="","",TEXT(A624,"yyyy-mm"))</f>
        <v/>
      </c>
    </row>
    <row r="625" customFormat="false" ht="15" hidden="false" customHeight="false" outlineLevel="0" collapsed="false">
      <c r="A625" s="20"/>
      <c r="B625" s="19"/>
      <c r="C625" s="19"/>
      <c r="D625" s="19"/>
      <c r="E625" s="19"/>
      <c r="F625" s="19"/>
      <c r="G625" s="21"/>
      <c r="H625" s="19"/>
      <c r="I625" s="23" t="str">
        <f aca="false">IF(A625="","",TEXT(A625,"yyyy-mm"))</f>
        <v/>
      </c>
    </row>
    <row r="626" customFormat="false" ht="15" hidden="false" customHeight="false" outlineLevel="0" collapsed="false">
      <c r="A626" s="20"/>
      <c r="B626" s="19"/>
      <c r="C626" s="19"/>
      <c r="D626" s="19"/>
      <c r="E626" s="19"/>
      <c r="F626" s="19"/>
      <c r="G626" s="21"/>
      <c r="H626" s="19"/>
      <c r="I626" s="23" t="str">
        <f aca="false">IF(A626="","",TEXT(A626,"yyyy-mm"))</f>
        <v/>
      </c>
    </row>
    <row r="627" customFormat="false" ht="15" hidden="false" customHeight="false" outlineLevel="0" collapsed="false">
      <c r="A627" s="20"/>
      <c r="B627" s="19"/>
      <c r="C627" s="19"/>
      <c r="D627" s="19"/>
      <c r="E627" s="19"/>
      <c r="F627" s="19"/>
      <c r="G627" s="21"/>
      <c r="H627" s="19"/>
      <c r="I627" s="23" t="str">
        <f aca="false">IF(A627="","",TEXT(A627,"yyyy-mm"))</f>
        <v/>
      </c>
    </row>
    <row r="628" customFormat="false" ht="15" hidden="false" customHeight="false" outlineLevel="0" collapsed="false">
      <c r="A628" s="20"/>
      <c r="B628" s="19"/>
      <c r="C628" s="19"/>
      <c r="D628" s="19"/>
      <c r="E628" s="19"/>
      <c r="F628" s="19"/>
      <c r="G628" s="21"/>
      <c r="H628" s="19"/>
      <c r="I628" s="23" t="str">
        <f aca="false">IF(A628="","",TEXT(A628,"yyyy-mm"))</f>
        <v/>
      </c>
    </row>
    <row r="629" customFormat="false" ht="15" hidden="false" customHeight="false" outlineLevel="0" collapsed="false">
      <c r="A629" s="20"/>
      <c r="B629" s="19"/>
      <c r="C629" s="19"/>
      <c r="D629" s="19"/>
      <c r="E629" s="19"/>
      <c r="F629" s="19"/>
      <c r="G629" s="21"/>
      <c r="H629" s="19"/>
      <c r="I629" s="23" t="str">
        <f aca="false">IF(A629="","",TEXT(A629,"yyyy-mm"))</f>
        <v/>
      </c>
    </row>
    <row r="630" customFormat="false" ht="15" hidden="false" customHeight="false" outlineLevel="0" collapsed="false">
      <c r="A630" s="20"/>
      <c r="B630" s="19"/>
      <c r="C630" s="19"/>
      <c r="D630" s="19"/>
      <c r="E630" s="19"/>
      <c r="F630" s="19"/>
      <c r="G630" s="21"/>
      <c r="H630" s="19"/>
      <c r="I630" s="23" t="str">
        <f aca="false">IF(A630="","",TEXT(A630,"yyyy-mm"))</f>
        <v/>
      </c>
    </row>
    <row r="631" customFormat="false" ht="15" hidden="false" customHeight="false" outlineLevel="0" collapsed="false">
      <c r="A631" s="20"/>
      <c r="B631" s="19"/>
      <c r="C631" s="19"/>
      <c r="D631" s="19"/>
      <c r="E631" s="19"/>
      <c r="F631" s="19"/>
      <c r="G631" s="21"/>
      <c r="H631" s="19"/>
      <c r="I631" s="23" t="str">
        <f aca="false">IF(A631="","",TEXT(A631,"yyyy-mm"))</f>
        <v/>
      </c>
    </row>
    <row r="632" customFormat="false" ht="15" hidden="false" customHeight="false" outlineLevel="0" collapsed="false">
      <c r="A632" s="20"/>
      <c r="B632" s="19"/>
      <c r="C632" s="19"/>
      <c r="D632" s="19"/>
      <c r="E632" s="19"/>
      <c r="F632" s="19"/>
      <c r="G632" s="21"/>
      <c r="H632" s="19"/>
      <c r="I632" s="23" t="str">
        <f aca="false">IF(A632="","",TEXT(A632,"yyyy-mm"))</f>
        <v/>
      </c>
    </row>
    <row r="633" customFormat="false" ht="15" hidden="false" customHeight="false" outlineLevel="0" collapsed="false">
      <c r="A633" s="20"/>
      <c r="B633" s="19"/>
      <c r="C633" s="19"/>
      <c r="D633" s="19"/>
      <c r="E633" s="19"/>
      <c r="F633" s="19"/>
      <c r="G633" s="21"/>
      <c r="H633" s="19"/>
      <c r="I633" s="23" t="str">
        <f aca="false">IF(A633="","",TEXT(A633,"yyyy-mm"))</f>
        <v/>
      </c>
    </row>
    <row r="634" customFormat="false" ht="15" hidden="false" customHeight="false" outlineLevel="0" collapsed="false">
      <c r="A634" s="20"/>
      <c r="B634" s="19"/>
      <c r="C634" s="19"/>
      <c r="D634" s="19"/>
      <c r="E634" s="19"/>
      <c r="F634" s="19"/>
      <c r="G634" s="21"/>
      <c r="H634" s="19"/>
      <c r="I634" s="23" t="str">
        <f aca="false">IF(A634="","",TEXT(A634,"yyyy-mm"))</f>
        <v/>
      </c>
    </row>
    <row r="635" customFormat="false" ht="15" hidden="false" customHeight="false" outlineLevel="0" collapsed="false">
      <c r="A635" s="20"/>
      <c r="B635" s="19"/>
      <c r="C635" s="19"/>
      <c r="D635" s="19"/>
      <c r="E635" s="19"/>
      <c r="F635" s="19"/>
      <c r="G635" s="21"/>
      <c r="H635" s="19"/>
      <c r="I635" s="23" t="str">
        <f aca="false">IF(A635="","",TEXT(A635,"yyyy-mm"))</f>
        <v/>
      </c>
    </row>
    <row r="636" customFormat="false" ht="15" hidden="false" customHeight="false" outlineLevel="0" collapsed="false">
      <c r="A636" s="20"/>
      <c r="B636" s="19"/>
      <c r="C636" s="19"/>
      <c r="D636" s="19"/>
      <c r="E636" s="19"/>
      <c r="F636" s="19"/>
      <c r="G636" s="21"/>
      <c r="H636" s="19"/>
      <c r="I636" s="23" t="str">
        <f aca="false">IF(A636="","",TEXT(A636,"yyyy-mm"))</f>
        <v/>
      </c>
    </row>
    <row r="637" customFormat="false" ht="15" hidden="false" customHeight="false" outlineLevel="0" collapsed="false">
      <c r="A637" s="20"/>
      <c r="B637" s="19"/>
      <c r="C637" s="19"/>
      <c r="D637" s="19"/>
      <c r="E637" s="19"/>
      <c r="F637" s="19"/>
      <c r="G637" s="21"/>
      <c r="H637" s="19"/>
      <c r="I637" s="23" t="str">
        <f aca="false">IF(A637="","",TEXT(A637,"yyyy-mm"))</f>
        <v/>
      </c>
    </row>
    <row r="638" customFormat="false" ht="15" hidden="false" customHeight="false" outlineLevel="0" collapsed="false">
      <c r="A638" s="20"/>
      <c r="B638" s="19"/>
      <c r="C638" s="19"/>
      <c r="D638" s="19"/>
      <c r="E638" s="19"/>
      <c r="F638" s="19"/>
      <c r="G638" s="21"/>
      <c r="H638" s="19"/>
      <c r="I638" s="23" t="str">
        <f aca="false">IF(A638="","",TEXT(A638,"yyyy-mm"))</f>
        <v/>
      </c>
    </row>
    <row r="639" customFormat="false" ht="15" hidden="false" customHeight="false" outlineLevel="0" collapsed="false">
      <c r="A639" s="20"/>
      <c r="B639" s="19"/>
      <c r="C639" s="19"/>
      <c r="D639" s="19"/>
      <c r="E639" s="19"/>
      <c r="F639" s="19"/>
      <c r="G639" s="21"/>
      <c r="H639" s="19"/>
      <c r="I639" s="23" t="str">
        <f aca="false">IF(A639="","",TEXT(A639,"yyyy-mm"))</f>
        <v/>
      </c>
    </row>
    <row r="640" customFormat="false" ht="15" hidden="false" customHeight="false" outlineLevel="0" collapsed="false">
      <c r="A640" s="20"/>
      <c r="B640" s="19"/>
      <c r="C640" s="19"/>
      <c r="D640" s="19"/>
      <c r="E640" s="19"/>
      <c r="F640" s="19"/>
      <c r="G640" s="21"/>
      <c r="H640" s="19"/>
      <c r="I640" s="23" t="str">
        <f aca="false">IF(A640="","",TEXT(A640,"yyyy-mm"))</f>
        <v/>
      </c>
    </row>
    <row r="641" customFormat="false" ht="15" hidden="false" customHeight="false" outlineLevel="0" collapsed="false">
      <c r="A641" s="20"/>
      <c r="B641" s="19"/>
      <c r="C641" s="19"/>
      <c r="D641" s="19"/>
      <c r="E641" s="19"/>
      <c r="F641" s="19"/>
      <c r="G641" s="21"/>
      <c r="H641" s="19"/>
      <c r="I641" s="23" t="str">
        <f aca="false">IF(A641="","",TEXT(A641,"yyyy-mm"))</f>
        <v/>
      </c>
    </row>
    <row r="642" customFormat="false" ht="15" hidden="false" customHeight="false" outlineLevel="0" collapsed="false">
      <c r="A642" s="20"/>
      <c r="B642" s="19"/>
      <c r="C642" s="19"/>
      <c r="D642" s="19"/>
      <c r="E642" s="19"/>
      <c r="F642" s="19"/>
      <c r="G642" s="21"/>
      <c r="H642" s="19"/>
      <c r="I642" s="23" t="str">
        <f aca="false">IF(A642="","",TEXT(A642,"yyyy-mm"))</f>
        <v/>
      </c>
    </row>
    <row r="643" customFormat="false" ht="15" hidden="false" customHeight="false" outlineLevel="0" collapsed="false">
      <c r="A643" s="20"/>
      <c r="B643" s="19"/>
      <c r="C643" s="19"/>
      <c r="D643" s="19"/>
      <c r="E643" s="19"/>
      <c r="F643" s="19"/>
      <c r="G643" s="21"/>
      <c r="H643" s="19"/>
      <c r="I643" s="23" t="str">
        <f aca="false">IF(A643="","",TEXT(A643,"yyyy-mm"))</f>
        <v/>
      </c>
    </row>
    <row r="644" customFormat="false" ht="15" hidden="false" customHeight="false" outlineLevel="0" collapsed="false">
      <c r="A644" s="20"/>
      <c r="B644" s="19"/>
      <c r="C644" s="19"/>
      <c r="D644" s="19"/>
      <c r="E644" s="19"/>
      <c r="F644" s="19"/>
      <c r="G644" s="21"/>
      <c r="H644" s="19"/>
      <c r="I644" s="23" t="str">
        <f aca="false">IF(A644="","",TEXT(A644,"yyyy-mm"))</f>
        <v/>
      </c>
    </row>
    <row r="645" customFormat="false" ht="15" hidden="false" customHeight="false" outlineLevel="0" collapsed="false">
      <c r="A645" s="20"/>
      <c r="B645" s="19"/>
      <c r="C645" s="19"/>
      <c r="D645" s="19"/>
      <c r="E645" s="19"/>
      <c r="F645" s="19"/>
      <c r="G645" s="21"/>
      <c r="H645" s="19"/>
      <c r="I645" s="23" t="str">
        <f aca="false">IF(A645="","",TEXT(A645,"yyyy-mm"))</f>
        <v/>
      </c>
    </row>
    <row r="646" customFormat="false" ht="15" hidden="false" customHeight="false" outlineLevel="0" collapsed="false">
      <c r="A646" s="20"/>
      <c r="B646" s="19"/>
      <c r="C646" s="19"/>
      <c r="D646" s="19"/>
      <c r="E646" s="19"/>
      <c r="F646" s="19"/>
      <c r="G646" s="21"/>
      <c r="H646" s="19"/>
      <c r="I646" s="23" t="str">
        <f aca="false">IF(A646="","",TEXT(A646,"yyyy-mm"))</f>
        <v/>
      </c>
    </row>
    <row r="647" customFormat="false" ht="15" hidden="false" customHeight="false" outlineLevel="0" collapsed="false">
      <c r="A647" s="20"/>
      <c r="B647" s="19"/>
      <c r="C647" s="19"/>
      <c r="D647" s="19"/>
      <c r="E647" s="19"/>
      <c r="F647" s="19"/>
      <c r="G647" s="21"/>
      <c r="H647" s="19"/>
      <c r="I647" s="23" t="str">
        <f aca="false">IF(A647="","",TEXT(A647,"yyyy-mm"))</f>
        <v/>
      </c>
    </row>
    <row r="648" customFormat="false" ht="15" hidden="false" customHeight="false" outlineLevel="0" collapsed="false">
      <c r="A648" s="20"/>
      <c r="B648" s="19"/>
      <c r="C648" s="19"/>
      <c r="D648" s="19"/>
      <c r="E648" s="19"/>
      <c r="F648" s="19"/>
      <c r="G648" s="21"/>
      <c r="H648" s="19"/>
      <c r="I648" s="23" t="str">
        <f aca="false">IF(A648="","",TEXT(A648,"yyyy-mm"))</f>
        <v/>
      </c>
    </row>
    <row r="649" customFormat="false" ht="15" hidden="false" customHeight="false" outlineLevel="0" collapsed="false">
      <c r="A649" s="20"/>
      <c r="B649" s="19"/>
      <c r="C649" s="19"/>
      <c r="D649" s="19"/>
      <c r="E649" s="19"/>
      <c r="F649" s="19"/>
      <c r="G649" s="21"/>
      <c r="H649" s="19"/>
      <c r="I649" s="23" t="str">
        <f aca="false">IF(A649="","",TEXT(A649,"yyyy-mm"))</f>
        <v/>
      </c>
    </row>
    <row r="650" customFormat="false" ht="15" hidden="false" customHeight="false" outlineLevel="0" collapsed="false">
      <c r="A650" s="20"/>
      <c r="B650" s="19"/>
      <c r="C650" s="19"/>
      <c r="D650" s="19"/>
      <c r="E650" s="19"/>
      <c r="F650" s="19"/>
      <c r="G650" s="21"/>
      <c r="H650" s="19"/>
      <c r="I650" s="23" t="str">
        <f aca="false">IF(A650="","",TEXT(A650,"yyyy-mm"))</f>
        <v/>
      </c>
    </row>
    <row r="651" customFormat="false" ht="15" hidden="false" customHeight="false" outlineLevel="0" collapsed="false">
      <c r="A651" s="20"/>
      <c r="B651" s="19"/>
      <c r="C651" s="19"/>
      <c r="D651" s="19"/>
      <c r="E651" s="19"/>
      <c r="F651" s="19"/>
      <c r="G651" s="21"/>
      <c r="H651" s="19"/>
      <c r="I651" s="23" t="str">
        <f aca="false">IF(A651="","",TEXT(A651,"yyyy-mm"))</f>
        <v/>
      </c>
    </row>
    <row r="652" customFormat="false" ht="15" hidden="false" customHeight="false" outlineLevel="0" collapsed="false">
      <c r="A652" s="20"/>
      <c r="B652" s="19"/>
      <c r="C652" s="19"/>
      <c r="D652" s="19"/>
      <c r="E652" s="19"/>
      <c r="F652" s="19"/>
      <c r="G652" s="21"/>
      <c r="H652" s="19"/>
      <c r="I652" s="23" t="str">
        <f aca="false">IF(A652="","",TEXT(A652,"yyyy-mm"))</f>
        <v/>
      </c>
    </row>
    <row r="653" customFormat="false" ht="15" hidden="false" customHeight="false" outlineLevel="0" collapsed="false">
      <c r="A653" s="20"/>
      <c r="B653" s="19"/>
      <c r="C653" s="19"/>
      <c r="D653" s="19"/>
      <c r="E653" s="19"/>
      <c r="F653" s="19"/>
      <c r="G653" s="21"/>
      <c r="H653" s="19"/>
      <c r="I653" s="23" t="str">
        <f aca="false">IF(A653="","",TEXT(A653,"yyyy-mm"))</f>
        <v/>
      </c>
    </row>
    <row r="654" customFormat="false" ht="15" hidden="false" customHeight="false" outlineLevel="0" collapsed="false">
      <c r="A654" s="20"/>
      <c r="B654" s="19"/>
      <c r="C654" s="19"/>
      <c r="D654" s="19"/>
      <c r="E654" s="19"/>
      <c r="F654" s="19"/>
      <c r="G654" s="21"/>
      <c r="H654" s="19"/>
      <c r="I654" s="23" t="str">
        <f aca="false">IF(A654="","",TEXT(A654,"yyyy-mm"))</f>
        <v/>
      </c>
    </row>
    <row r="655" customFormat="false" ht="15" hidden="false" customHeight="false" outlineLevel="0" collapsed="false">
      <c r="A655" s="20"/>
      <c r="B655" s="19"/>
      <c r="C655" s="19"/>
      <c r="D655" s="19"/>
      <c r="E655" s="19"/>
      <c r="F655" s="19"/>
      <c r="G655" s="21"/>
      <c r="H655" s="19"/>
      <c r="I655" s="23" t="str">
        <f aca="false">IF(A655="","",TEXT(A655,"yyyy-mm"))</f>
        <v/>
      </c>
    </row>
    <row r="656" customFormat="false" ht="15" hidden="false" customHeight="false" outlineLevel="0" collapsed="false">
      <c r="A656" s="20"/>
      <c r="B656" s="19"/>
      <c r="C656" s="19"/>
      <c r="D656" s="19"/>
      <c r="E656" s="19"/>
      <c r="F656" s="19"/>
      <c r="G656" s="21"/>
      <c r="H656" s="19"/>
      <c r="I656" s="23" t="str">
        <f aca="false">IF(A656="","",TEXT(A656,"yyyy-mm"))</f>
        <v/>
      </c>
    </row>
    <row r="657" customFormat="false" ht="15" hidden="false" customHeight="false" outlineLevel="0" collapsed="false">
      <c r="A657" s="20"/>
      <c r="B657" s="19"/>
      <c r="C657" s="19"/>
      <c r="D657" s="19"/>
      <c r="E657" s="19"/>
      <c r="F657" s="19"/>
      <c r="G657" s="21"/>
      <c r="H657" s="19"/>
      <c r="I657" s="23" t="str">
        <f aca="false">IF(A657="","",TEXT(A657,"yyyy-mm"))</f>
        <v/>
      </c>
    </row>
    <row r="658" customFormat="false" ht="15" hidden="false" customHeight="false" outlineLevel="0" collapsed="false">
      <c r="A658" s="20"/>
      <c r="B658" s="19"/>
      <c r="C658" s="19"/>
      <c r="D658" s="19"/>
      <c r="E658" s="19"/>
      <c r="F658" s="19"/>
      <c r="G658" s="21"/>
      <c r="H658" s="19"/>
      <c r="I658" s="23" t="str">
        <f aca="false">IF(A658="","",TEXT(A658,"yyyy-mm"))</f>
        <v/>
      </c>
    </row>
    <row r="659" customFormat="false" ht="15" hidden="false" customHeight="false" outlineLevel="0" collapsed="false">
      <c r="A659" s="20"/>
      <c r="B659" s="19"/>
      <c r="C659" s="19"/>
      <c r="D659" s="19"/>
      <c r="E659" s="19"/>
      <c r="F659" s="19"/>
      <c r="G659" s="21"/>
      <c r="H659" s="19"/>
      <c r="I659" s="23" t="str">
        <f aca="false">IF(A659="","",TEXT(A659,"yyyy-mm"))</f>
        <v/>
      </c>
    </row>
    <row r="660" customFormat="false" ht="15" hidden="false" customHeight="false" outlineLevel="0" collapsed="false">
      <c r="A660" s="20"/>
      <c r="B660" s="19"/>
      <c r="C660" s="19"/>
      <c r="D660" s="19"/>
      <c r="E660" s="19"/>
      <c r="F660" s="19"/>
      <c r="G660" s="21"/>
      <c r="H660" s="19"/>
      <c r="I660" s="23" t="str">
        <f aca="false">IF(A660="","",TEXT(A660,"yyyy-mm"))</f>
        <v/>
      </c>
    </row>
    <row r="661" customFormat="false" ht="15" hidden="false" customHeight="false" outlineLevel="0" collapsed="false">
      <c r="A661" s="20"/>
      <c r="B661" s="19"/>
      <c r="C661" s="19"/>
      <c r="D661" s="19"/>
      <c r="E661" s="19"/>
      <c r="F661" s="19"/>
      <c r="G661" s="21"/>
      <c r="H661" s="19"/>
      <c r="I661" s="23" t="str">
        <f aca="false">IF(A661="","",TEXT(A661,"yyyy-mm"))</f>
        <v/>
      </c>
    </row>
    <row r="662" customFormat="false" ht="15" hidden="false" customHeight="false" outlineLevel="0" collapsed="false">
      <c r="A662" s="20"/>
      <c r="B662" s="19"/>
      <c r="C662" s="19"/>
      <c r="D662" s="19"/>
      <c r="E662" s="19"/>
      <c r="F662" s="19"/>
      <c r="G662" s="21"/>
      <c r="H662" s="19"/>
      <c r="I662" s="23" t="str">
        <f aca="false">IF(A662="","",TEXT(A662,"yyyy-mm"))</f>
        <v/>
      </c>
    </row>
    <row r="663" customFormat="false" ht="15" hidden="false" customHeight="false" outlineLevel="0" collapsed="false">
      <c r="A663" s="20"/>
      <c r="B663" s="19"/>
      <c r="C663" s="19"/>
      <c r="D663" s="19"/>
      <c r="E663" s="19"/>
      <c r="F663" s="19"/>
      <c r="G663" s="21"/>
      <c r="H663" s="19"/>
      <c r="I663" s="23" t="str">
        <f aca="false">IF(A663="","",TEXT(A663,"yyyy-mm"))</f>
        <v/>
      </c>
    </row>
    <row r="664" customFormat="false" ht="15" hidden="false" customHeight="false" outlineLevel="0" collapsed="false">
      <c r="A664" s="20"/>
      <c r="B664" s="19"/>
      <c r="C664" s="19"/>
      <c r="D664" s="19"/>
      <c r="E664" s="19"/>
      <c r="F664" s="19"/>
      <c r="G664" s="21"/>
      <c r="H664" s="19"/>
      <c r="I664" s="23" t="str">
        <f aca="false">IF(A664="","",TEXT(A664,"yyyy-mm"))</f>
        <v/>
      </c>
    </row>
    <row r="665" customFormat="false" ht="15" hidden="false" customHeight="false" outlineLevel="0" collapsed="false">
      <c r="A665" s="20"/>
      <c r="B665" s="19"/>
      <c r="C665" s="19"/>
      <c r="D665" s="19"/>
      <c r="E665" s="19"/>
      <c r="F665" s="19"/>
      <c r="G665" s="21"/>
      <c r="H665" s="19"/>
      <c r="I665" s="23" t="str">
        <f aca="false">IF(A665="","",TEXT(A665,"yyyy-mm"))</f>
        <v/>
      </c>
    </row>
    <row r="666" customFormat="false" ht="15" hidden="false" customHeight="false" outlineLevel="0" collapsed="false">
      <c r="A666" s="20"/>
      <c r="B666" s="19"/>
      <c r="C666" s="19"/>
      <c r="D666" s="19"/>
      <c r="E666" s="19"/>
      <c r="F666" s="19"/>
      <c r="G666" s="21"/>
      <c r="H666" s="19"/>
      <c r="I666" s="23" t="str">
        <f aca="false">IF(A666="","",TEXT(A666,"yyyy-mm"))</f>
        <v/>
      </c>
    </row>
    <row r="667" customFormat="false" ht="15" hidden="false" customHeight="false" outlineLevel="0" collapsed="false">
      <c r="A667" s="20"/>
      <c r="B667" s="19"/>
      <c r="C667" s="19"/>
      <c r="D667" s="19"/>
      <c r="E667" s="19"/>
      <c r="F667" s="19"/>
      <c r="G667" s="21"/>
      <c r="H667" s="19"/>
      <c r="I667" s="23" t="str">
        <f aca="false">IF(A667="","",TEXT(A667,"yyyy-mm"))</f>
        <v/>
      </c>
    </row>
    <row r="668" customFormat="false" ht="15" hidden="false" customHeight="false" outlineLevel="0" collapsed="false">
      <c r="A668" s="20"/>
      <c r="B668" s="19"/>
      <c r="C668" s="19"/>
      <c r="D668" s="19"/>
      <c r="E668" s="19"/>
      <c r="F668" s="19"/>
      <c r="G668" s="21"/>
      <c r="H668" s="19"/>
      <c r="I668" s="23" t="str">
        <f aca="false">IF(A668="","",TEXT(A668,"yyyy-mm"))</f>
        <v/>
      </c>
    </row>
    <row r="669" customFormat="false" ht="15" hidden="false" customHeight="false" outlineLevel="0" collapsed="false">
      <c r="A669" s="20"/>
      <c r="B669" s="19"/>
      <c r="C669" s="19"/>
      <c r="D669" s="19"/>
      <c r="E669" s="19"/>
      <c r="F669" s="19"/>
      <c r="G669" s="21"/>
      <c r="H669" s="19"/>
      <c r="I669" s="23" t="str">
        <f aca="false">IF(A669="","",TEXT(A669,"yyyy-mm"))</f>
        <v/>
      </c>
    </row>
    <row r="670" customFormat="false" ht="15" hidden="false" customHeight="false" outlineLevel="0" collapsed="false">
      <c r="A670" s="20"/>
      <c r="B670" s="19"/>
      <c r="C670" s="19"/>
      <c r="D670" s="19"/>
      <c r="E670" s="19"/>
      <c r="F670" s="19"/>
      <c r="G670" s="21"/>
      <c r="H670" s="19"/>
      <c r="I670" s="23" t="str">
        <f aca="false">IF(A670="","",TEXT(A670,"yyyy-mm"))</f>
        <v/>
      </c>
    </row>
    <row r="671" customFormat="false" ht="15" hidden="false" customHeight="false" outlineLevel="0" collapsed="false">
      <c r="A671" s="20"/>
      <c r="B671" s="19"/>
      <c r="C671" s="19"/>
      <c r="D671" s="19"/>
      <c r="E671" s="19"/>
      <c r="F671" s="19"/>
      <c r="G671" s="21"/>
      <c r="H671" s="19"/>
      <c r="I671" s="23" t="str">
        <f aca="false">IF(A671="","",TEXT(A671,"yyyy-mm"))</f>
        <v/>
      </c>
    </row>
    <row r="672" customFormat="false" ht="15" hidden="false" customHeight="false" outlineLevel="0" collapsed="false">
      <c r="A672" s="20"/>
      <c r="B672" s="19"/>
      <c r="C672" s="19"/>
      <c r="D672" s="19"/>
      <c r="E672" s="19"/>
      <c r="F672" s="19"/>
      <c r="G672" s="21"/>
      <c r="H672" s="19"/>
      <c r="I672" s="23" t="str">
        <f aca="false">IF(A672="","",TEXT(A672,"yyyy-mm"))</f>
        <v/>
      </c>
    </row>
    <row r="673" customFormat="false" ht="15" hidden="false" customHeight="false" outlineLevel="0" collapsed="false">
      <c r="A673" s="20"/>
      <c r="B673" s="19"/>
      <c r="C673" s="19"/>
      <c r="D673" s="19"/>
      <c r="E673" s="19"/>
      <c r="F673" s="19"/>
      <c r="G673" s="21"/>
      <c r="H673" s="19"/>
      <c r="I673" s="23" t="str">
        <f aca="false">IF(A673="","",TEXT(A673,"yyyy-mm"))</f>
        <v/>
      </c>
    </row>
    <row r="674" customFormat="false" ht="15" hidden="false" customHeight="false" outlineLevel="0" collapsed="false">
      <c r="A674" s="20"/>
      <c r="B674" s="19"/>
      <c r="C674" s="19"/>
      <c r="D674" s="19"/>
      <c r="E674" s="19"/>
      <c r="F674" s="19"/>
      <c r="G674" s="21"/>
      <c r="H674" s="19"/>
      <c r="I674" s="23" t="str">
        <f aca="false">IF(A674="","",TEXT(A674,"yyyy-mm"))</f>
        <v/>
      </c>
    </row>
    <row r="675" customFormat="false" ht="15" hidden="false" customHeight="false" outlineLevel="0" collapsed="false">
      <c r="A675" s="20"/>
      <c r="B675" s="19"/>
      <c r="C675" s="19"/>
      <c r="D675" s="19"/>
      <c r="E675" s="19"/>
      <c r="F675" s="19"/>
      <c r="G675" s="21"/>
      <c r="H675" s="19"/>
      <c r="I675" s="23" t="str">
        <f aca="false">IF(A675="","",TEXT(A675,"yyyy-mm"))</f>
        <v/>
      </c>
    </row>
    <row r="676" customFormat="false" ht="15" hidden="false" customHeight="false" outlineLevel="0" collapsed="false">
      <c r="A676" s="20"/>
      <c r="B676" s="19"/>
      <c r="C676" s="19"/>
      <c r="D676" s="19"/>
      <c r="E676" s="19"/>
      <c r="F676" s="19"/>
      <c r="G676" s="21"/>
      <c r="H676" s="19"/>
      <c r="I676" s="23" t="str">
        <f aca="false">IF(A676="","",TEXT(A676,"yyyy-mm"))</f>
        <v/>
      </c>
    </row>
    <row r="677" customFormat="false" ht="15" hidden="false" customHeight="false" outlineLevel="0" collapsed="false">
      <c r="A677" s="20"/>
      <c r="B677" s="19"/>
      <c r="C677" s="19"/>
      <c r="D677" s="19"/>
      <c r="E677" s="19"/>
      <c r="F677" s="19"/>
      <c r="G677" s="21"/>
      <c r="H677" s="19"/>
      <c r="I677" s="23" t="str">
        <f aca="false">IF(A677="","",TEXT(A677,"yyyy-mm"))</f>
        <v/>
      </c>
    </row>
    <row r="678" customFormat="false" ht="15" hidden="false" customHeight="false" outlineLevel="0" collapsed="false">
      <c r="A678" s="20"/>
      <c r="B678" s="19"/>
      <c r="C678" s="19"/>
      <c r="D678" s="19"/>
      <c r="E678" s="19"/>
      <c r="F678" s="19"/>
      <c r="G678" s="21"/>
      <c r="H678" s="19"/>
      <c r="I678" s="23" t="str">
        <f aca="false">IF(A678="","",TEXT(A678,"yyyy-mm"))</f>
        <v/>
      </c>
    </row>
    <row r="679" customFormat="false" ht="15" hidden="false" customHeight="false" outlineLevel="0" collapsed="false">
      <c r="A679" s="20"/>
      <c r="B679" s="19"/>
      <c r="C679" s="19"/>
      <c r="D679" s="19"/>
      <c r="E679" s="19"/>
      <c r="F679" s="19"/>
      <c r="G679" s="21"/>
      <c r="H679" s="19"/>
      <c r="I679" s="23" t="str">
        <f aca="false">IF(A679="","",TEXT(A679,"yyyy-mm"))</f>
        <v/>
      </c>
    </row>
    <row r="680" customFormat="false" ht="15" hidden="false" customHeight="false" outlineLevel="0" collapsed="false">
      <c r="A680" s="20"/>
      <c r="B680" s="19"/>
      <c r="C680" s="19"/>
      <c r="D680" s="19"/>
      <c r="E680" s="19"/>
      <c r="F680" s="19"/>
      <c r="G680" s="21"/>
      <c r="H680" s="19"/>
      <c r="I680" s="23" t="str">
        <f aca="false">IF(A680="","",TEXT(A680,"yyyy-mm"))</f>
        <v/>
      </c>
    </row>
    <row r="681" customFormat="false" ht="15" hidden="false" customHeight="false" outlineLevel="0" collapsed="false">
      <c r="A681" s="20"/>
      <c r="B681" s="19"/>
      <c r="C681" s="19"/>
      <c r="D681" s="19"/>
      <c r="E681" s="19"/>
      <c r="F681" s="19"/>
      <c r="G681" s="21"/>
      <c r="H681" s="19"/>
      <c r="I681" s="23" t="str">
        <f aca="false">IF(A681="","",TEXT(A681,"yyyy-mm"))</f>
        <v/>
      </c>
    </row>
    <row r="682" customFormat="false" ht="15" hidden="false" customHeight="false" outlineLevel="0" collapsed="false">
      <c r="A682" s="20"/>
      <c r="B682" s="19"/>
      <c r="C682" s="19"/>
      <c r="D682" s="19"/>
      <c r="E682" s="19"/>
      <c r="F682" s="19"/>
      <c r="G682" s="21"/>
      <c r="H682" s="19"/>
      <c r="I682" s="23" t="str">
        <f aca="false">IF(A682="","",TEXT(A682,"yyyy-mm"))</f>
        <v/>
      </c>
    </row>
    <row r="683" customFormat="false" ht="15" hidden="false" customHeight="false" outlineLevel="0" collapsed="false">
      <c r="A683" s="20"/>
      <c r="B683" s="19"/>
      <c r="C683" s="19"/>
      <c r="D683" s="19"/>
      <c r="E683" s="19"/>
      <c r="F683" s="19"/>
      <c r="G683" s="21"/>
      <c r="H683" s="19"/>
      <c r="I683" s="23" t="str">
        <f aca="false">IF(A683="","",TEXT(A683,"yyyy-mm"))</f>
        <v/>
      </c>
    </row>
    <row r="684" customFormat="false" ht="15" hidden="false" customHeight="false" outlineLevel="0" collapsed="false">
      <c r="A684" s="20"/>
      <c r="B684" s="19"/>
      <c r="C684" s="19"/>
      <c r="D684" s="19"/>
      <c r="E684" s="19"/>
      <c r="F684" s="19"/>
      <c r="G684" s="21"/>
      <c r="H684" s="19"/>
      <c r="I684" s="23" t="str">
        <f aca="false">IF(A684="","",TEXT(A684,"yyyy-mm"))</f>
        <v/>
      </c>
    </row>
    <row r="685" customFormat="false" ht="15" hidden="false" customHeight="false" outlineLevel="0" collapsed="false">
      <c r="A685" s="20"/>
      <c r="B685" s="19"/>
      <c r="C685" s="19"/>
      <c r="D685" s="19"/>
      <c r="E685" s="19"/>
      <c r="F685" s="19"/>
      <c r="G685" s="21"/>
      <c r="H685" s="19"/>
      <c r="I685" s="23" t="str">
        <f aca="false">IF(A685="","",TEXT(A685,"yyyy-mm"))</f>
        <v/>
      </c>
    </row>
    <row r="686" customFormat="false" ht="15" hidden="false" customHeight="false" outlineLevel="0" collapsed="false">
      <c r="A686" s="20"/>
      <c r="B686" s="19"/>
      <c r="C686" s="19"/>
      <c r="D686" s="19"/>
      <c r="E686" s="19"/>
      <c r="F686" s="19"/>
      <c r="G686" s="21"/>
      <c r="H686" s="19"/>
      <c r="I686" s="23" t="str">
        <f aca="false">IF(A686="","",TEXT(A686,"yyyy-mm"))</f>
        <v/>
      </c>
    </row>
    <row r="687" customFormat="false" ht="15" hidden="false" customHeight="false" outlineLevel="0" collapsed="false">
      <c r="A687" s="20"/>
      <c r="B687" s="19"/>
      <c r="C687" s="19"/>
      <c r="D687" s="19"/>
      <c r="E687" s="19"/>
      <c r="F687" s="19"/>
      <c r="G687" s="21"/>
      <c r="H687" s="19"/>
      <c r="I687" s="23" t="str">
        <f aca="false">IF(A687="","",TEXT(A687,"yyyy-mm"))</f>
        <v/>
      </c>
    </row>
    <row r="688" customFormat="false" ht="15" hidden="false" customHeight="false" outlineLevel="0" collapsed="false">
      <c r="A688" s="20"/>
      <c r="B688" s="19"/>
      <c r="C688" s="19"/>
      <c r="D688" s="19"/>
      <c r="E688" s="19"/>
      <c r="F688" s="19"/>
      <c r="G688" s="21"/>
      <c r="H688" s="19"/>
      <c r="I688" s="23" t="str">
        <f aca="false">IF(A688="","",TEXT(A688,"yyyy-mm"))</f>
        <v/>
      </c>
    </row>
    <row r="689" customFormat="false" ht="15" hidden="false" customHeight="false" outlineLevel="0" collapsed="false">
      <c r="A689" s="20"/>
      <c r="B689" s="19"/>
      <c r="C689" s="19"/>
      <c r="D689" s="19"/>
      <c r="E689" s="19"/>
      <c r="F689" s="19"/>
      <c r="G689" s="21"/>
      <c r="H689" s="19"/>
      <c r="I689" s="23" t="str">
        <f aca="false">IF(A689="","",TEXT(A689,"yyyy-mm"))</f>
        <v/>
      </c>
    </row>
    <row r="690" customFormat="false" ht="15" hidden="false" customHeight="false" outlineLevel="0" collapsed="false">
      <c r="A690" s="20"/>
      <c r="B690" s="19"/>
      <c r="C690" s="19"/>
      <c r="D690" s="19"/>
      <c r="E690" s="19"/>
      <c r="F690" s="19"/>
      <c r="G690" s="21"/>
      <c r="H690" s="19"/>
      <c r="I690" s="23" t="str">
        <f aca="false">IF(A690="","",TEXT(A690,"yyyy-mm"))</f>
        <v/>
      </c>
    </row>
    <row r="691" customFormat="false" ht="15" hidden="false" customHeight="false" outlineLevel="0" collapsed="false">
      <c r="A691" s="20"/>
      <c r="B691" s="19"/>
      <c r="C691" s="19"/>
      <c r="D691" s="19"/>
      <c r="E691" s="19"/>
      <c r="F691" s="19"/>
      <c r="G691" s="21"/>
      <c r="H691" s="19"/>
      <c r="I691" s="23" t="str">
        <f aca="false">IF(A691="","",TEXT(A691,"yyyy-mm"))</f>
        <v/>
      </c>
    </row>
    <row r="692" customFormat="false" ht="15" hidden="false" customHeight="false" outlineLevel="0" collapsed="false">
      <c r="A692" s="20"/>
      <c r="B692" s="19"/>
      <c r="C692" s="19"/>
      <c r="D692" s="19"/>
      <c r="E692" s="19"/>
      <c r="F692" s="19"/>
      <c r="G692" s="21"/>
      <c r="H692" s="19"/>
      <c r="I692" s="23" t="str">
        <f aca="false">IF(A692="","",TEXT(A692,"yyyy-mm"))</f>
        <v/>
      </c>
    </row>
    <row r="693" customFormat="false" ht="15" hidden="false" customHeight="false" outlineLevel="0" collapsed="false">
      <c r="A693" s="20"/>
      <c r="B693" s="19"/>
      <c r="C693" s="19"/>
      <c r="D693" s="19"/>
      <c r="E693" s="19"/>
      <c r="F693" s="19"/>
      <c r="G693" s="21"/>
      <c r="H693" s="19"/>
      <c r="I693" s="23" t="str">
        <f aca="false">IF(A693="","",TEXT(A693,"yyyy-mm"))</f>
        <v/>
      </c>
    </row>
    <row r="694" customFormat="false" ht="15" hidden="false" customHeight="false" outlineLevel="0" collapsed="false">
      <c r="A694" s="20"/>
      <c r="B694" s="19"/>
      <c r="C694" s="19"/>
      <c r="D694" s="19"/>
      <c r="E694" s="19"/>
      <c r="F694" s="19"/>
      <c r="G694" s="21"/>
      <c r="H694" s="19"/>
      <c r="I694" s="23" t="str">
        <f aca="false">IF(A694="","",TEXT(A694,"yyyy-mm"))</f>
        <v/>
      </c>
    </row>
    <row r="695" customFormat="false" ht="15" hidden="false" customHeight="false" outlineLevel="0" collapsed="false">
      <c r="A695" s="20"/>
      <c r="B695" s="19"/>
      <c r="C695" s="19"/>
      <c r="D695" s="19"/>
      <c r="E695" s="19"/>
      <c r="F695" s="19"/>
      <c r="G695" s="21"/>
      <c r="H695" s="19"/>
      <c r="I695" s="23" t="str">
        <f aca="false">IF(A695="","",TEXT(A695,"yyyy-mm"))</f>
        <v/>
      </c>
    </row>
    <row r="696" customFormat="false" ht="15" hidden="false" customHeight="false" outlineLevel="0" collapsed="false">
      <c r="A696" s="20"/>
      <c r="B696" s="19"/>
      <c r="C696" s="19"/>
      <c r="D696" s="19"/>
      <c r="E696" s="19"/>
      <c r="F696" s="19"/>
      <c r="G696" s="21"/>
      <c r="H696" s="19"/>
      <c r="I696" s="23" t="str">
        <f aca="false">IF(A696="","",TEXT(A696,"yyyy-mm"))</f>
        <v/>
      </c>
    </row>
    <row r="697" customFormat="false" ht="15" hidden="false" customHeight="false" outlineLevel="0" collapsed="false">
      <c r="A697" s="20"/>
      <c r="B697" s="19"/>
      <c r="C697" s="19"/>
      <c r="D697" s="19"/>
      <c r="E697" s="19"/>
      <c r="F697" s="19"/>
      <c r="G697" s="21"/>
      <c r="H697" s="19"/>
      <c r="I697" s="23" t="str">
        <f aca="false">IF(A697="","",TEXT(A697,"yyyy-mm"))</f>
        <v/>
      </c>
    </row>
    <row r="698" customFormat="false" ht="15" hidden="false" customHeight="false" outlineLevel="0" collapsed="false">
      <c r="A698" s="20"/>
      <c r="B698" s="19"/>
      <c r="C698" s="19"/>
      <c r="D698" s="19"/>
      <c r="E698" s="19"/>
      <c r="F698" s="19"/>
      <c r="G698" s="21"/>
      <c r="H698" s="19"/>
      <c r="I698" s="23" t="str">
        <f aca="false">IF(A698="","",TEXT(A698,"yyyy-mm"))</f>
        <v/>
      </c>
    </row>
    <row r="699" customFormat="false" ht="15" hidden="false" customHeight="false" outlineLevel="0" collapsed="false">
      <c r="A699" s="20"/>
      <c r="B699" s="19"/>
      <c r="C699" s="19"/>
      <c r="D699" s="19"/>
      <c r="E699" s="19"/>
      <c r="F699" s="19"/>
      <c r="G699" s="21"/>
      <c r="H699" s="19"/>
      <c r="I699" s="23" t="str">
        <f aca="false">IF(A699="","",TEXT(A699,"yyyy-mm"))</f>
        <v/>
      </c>
    </row>
    <row r="700" customFormat="false" ht="15" hidden="false" customHeight="false" outlineLevel="0" collapsed="false">
      <c r="A700" s="20"/>
      <c r="B700" s="19"/>
      <c r="C700" s="19"/>
      <c r="D700" s="19"/>
      <c r="E700" s="19"/>
      <c r="F700" s="19"/>
      <c r="G700" s="21"/>
      <c r="H700" s="19"/>
      <c r="I700" s="23" t="str">
        <f aca="false">IF(A700="","",TEXT(A700,"yyyy-mm"))</f>
        <v/>
      </c>
    </row>
    <row r="701" customFormat="false" ht="15" hidden="false" customHeight="false" outlineLevel="0" collapsed="false">
      <c r="A701" s="20"/>
      <c r="B701" s="19"/>
      <c r="C701" s="19"/>
      <c r="D701" s="19"/>
      <c r="E701" s="19"/>
      <c r="F701" s="19"/>
      <c r="G701" s="21"/>
      <c r="H701" s="19"/>
      <c r="I701" s="23" t="str">
        <f aca="false">IF(A701="","",TEXT(A701,"yyyy-mm"))</f>
        <v/>
      </c>
    </row>
    <row r="702" customFormat="false" ht="15" hidden="false" customHeight="false" outlineLevel="0" collapsed="false">
      <c r="A702" s="20"/>
      <c r="B702" s="19"/>
      <c r="C702" s="19"/>
      <c r="D702" s="19"/>
      <c r="E702" s="19"/>
      <c r="F702" s="19"/>
      <c r="G702" s="21"/>
      <c r="H702" s="19"/>
      <c r="I702" s="23" t="str">
        <f aca="false">IF(A702="","",TEXT(A702,"yyyy-mm"))</f>
        <v/>
      </c>
    </row>
    <row r="703" customFormat="false" ht="15" hidden="false" customHeight="false" outlineLevel="0" collapsed="false">
      <c r="A703" s="20"/>
      <c r="B703" s="19"/>
      <c r="C703" s="19"/>
      <c r="D703" s="19"/>
      <c r="E703" s="19"/>
      <c r="F703" s="19"/>
      <c r="G703" s="21"/>
      <c r="H703" s="19"/>
      <c r="I703" s="23" t="str">
        <f aca="false">IF(A703="","",TEXT(A703,"yyyy-mm"))</f>
        <v/>
      </c>
    </row>
    <row r="704" customFormat="false" ht="15" hidden="false" customHeight="false" outlineLevel="0" collapsed="false">
      <c r="A704" s="20"/>
      <c r="B704" s="19"/>
      <c r="C704" s="19"/>
      <c r="D704" s="19"/>
      <c r="E704" s="19"/>
      <c r="F704" s="19"/>
      <c r="G704" s="21"/>
      <c r="H704" s="19"/>
      <c r="I704" s="23" t="str">
        <f aca="false">IF(A704="","",TEXT(A704,"yyyy-mm"))</f>
        <v/>
      </c>
    </row>
    <row r="705" customFormat="false" ht="15" hidden="false" customHeight="false" outlineLevel="0" collapsed="false">
      <c r="A705" s="20"/>
      <c r="B705" s="19"/>
      <c r="C705" s="19"/>
      <c r="D705" s="19"/>
      <c r="E705" s="19"/>
      <c r="F705" s="19"/>
      <c r="G705" s="21"/>
      <c r="H705" s="19"/>
      <c r="I705" s="23" t="str">
        <f aca="false">IF(A705="","",TEXT(A705,"yyyy-mm"))</f>
        <v/>
      </c>
    </row>
    <row r="706" customFormat="false" ht="15" hidden="false" customHeight="false" outlineLevel="0" collapsed="false">
      <c r="A706" s="20"/>
      <c r="B706" s="19"/>
      <c r="C706" s="19"/>
      <c r="D706" s="19"/>
      <c r="E706" s="19"/>
      <c r="F706" s="19"/>
      <c r="G706" s="21"/>
      <c r="H706" s="19"/>
      <c r="I706" s="23" t="str">
        <f aca="false">IF(A706="","",TEXT(A706,"yyyy-mm"))</f>
        <v/>
      </c>
    </row>
    <row r="707" customFormat="false" ht="15" hidden="false" customHeight="false" outlineLevel="0" collapsed="false">
      <c r="A707" s="20"/>
      <c r="B707" s="19"/>
      <c r="C707" s="19"/>
      <c r="D707" s="19"/>
      <c r="E707" s="19"/>
      <c r="F707" s="19"/>
      <c r="G707" s="21"/>
      <c r="H707" s="19"/>
      <c r="I707" s="23" t="str">
        <f aca="false">IF(A707="","",TEXT(A707,"yyyy-mm"))</f>
        <v/>
      </c>
    </row>
    <row r="708" customFormat="false" ht="15" hidden="false" customHeight="false" outlineLevel="0" collapsed="false">
      <c r="A708" s="20"/>
      <c r="B708" s="19"/>
      <c r="C708" s="19"/>
      <c r="D708" s="19"/>
      <c r="E708" s="19"/>
      <c r="F708" s="19"/>
      <c r="G708" s="21"/>
      <c r="H708" s="19"/>
      <c r="I708" s="23" t="str">
        <f aca="false">IF(A708="","",TEXT(A708,"yyyy-mm"))</f>
        <v/>
      </c>
    </row>
    <row r="709" customFormat="false" ht="15" hidden="false" customHeight="false" outlineLevel="0" collapsed="false">
      <c r="A709" s="20"/>
      <c r="B709" s="19"/>
      <c r="C709" s="19"/>
      <c r="D709" s="19"/>
      <c r="E709" s="19"/>
      <c r="F709" s="19"/>
      <c r="G709" s="21"/>
      <c r="H709" s="19"/>
      <c r="I709" s="23" t="str">
        <f aca="false">IF(A709="","",TEXT(A709,"yyyy-mm"))</f>
        <v/>
      </c>
    </row>
    <row r="710" customFormat="false" ht="15" hidden="false" customHeight="false" outlineLevel="0" collapsed="false">
      <c r="A710" s="20"/>
      <c r="B710" s="19"/>
      <c r="C710" s="19"/>
      <c r="D710" s="19"/>
      <c r="E710" s="19"/>
      <c r="F710" s="19"/>
      <c r="G710" s="21"/>
      <c r="H710" s="19"/>
      <c r="I710" s="23" t="str">
        <f aca="false">IF(A710="","",TEXT(A710,"yyyy-mm"))</f>
        <v/>
      </c>
    </row>
    <row r="711" customFormat="false" ht="15" hidden="false" customHeight="false" outlineLevel="0" collapsed="false">
      <c r="A711" s="20"/>
      <c r="B711" s="19"/>
      <c r="C711" s="19"/>
      <c r="D711" s="19"/>
      <c r="E711" s="19"/>
      <c r="F711" s="19"/>
      <c r="G711" s="21"/>
      <c r="H711" s="19"/>
      <c r="I711" s="23" t="str">
        <f aca="false">IF(A711="","",TEXT(A711,"yyyy-mm"))</f>
        <v/>
      </c>
    </row>
    <row r="712" customFormat="false" ht="15" hidden="false" customHeight="false" outlineLevel="0" collapsed="false">
      <c r="A712" s="20"/>
      <c r="B712" s="19"/>
      <c r="C712" s="19"/>
      <c r="D712" s="19"/>
      <c r="E712" s="19"/>
      <c r="F712" s="19"/>
      <c r="G712" s="21"/>
      <c r="H712" s="19"/>
      <c r="I712" s="23" t="str">
        <f aca="false">IF(A712="","",TEXT(A712,"yyyy-mm"))</f>
        <v/>
      </c>
    </row>
    <row r="713" customFormat="false" ht="15" hidden="false" customHeight="false" outlineLevel="0" collapsed="false">
      <c r="A713" s="20"/>
      <c r="B713" s="19"/>
      <c r="C713" s="19"/>
      <c r="D713" s="19"/>
      <c r="E713" s="19"/>
      <c r="F713" s="19"/>
      <c r="G713" s="21"/>
      <c r="H713" s="19"/>
      <c r="I713" s="23" t="str">
        <f aca="false">IF(A713="","",TEXT(A713,"yyyy-mm"))</f>
        <v/>
      </c>
    </row>
    <row r="714" customFormat="false" ht="15" hidden="false" customHeight="false" outlineLevel="0" collapsed="false">
      <c r="A714" s="20"/>
      <c r="B714" s="19"/>
      <c r="C714" s="19"/>
      <c r="D714" s="19"/>
      <c r="E714" s="19"/>
      <c r="F714" s="19"/>
      <c r="G714" s="21"/>
      <c r="H714" s="19"/>
      <c r="I714" s="23" t="str">
        <f aca="false">IF(A714="","",TEXT(A714,"yyyy-mm"))</f>
        <v/>
      </c>
    </row>
    <row r="715" customFormat="false" ht="15" hidden="false" customHeight="false" outlineLevel="0" collapsed="false">
      <c r="A715" s="20"/>
      <c r="B715" s="19"/>
      <c r="C715" s="19"/>
      <c r="D715" s="19"/>
      <c r="E715" s="19"/>
      <c r="F715" s="19"/>
      <c r="G715" s="21"/>
      <c r="H715" s="19"/>
      <c r="I715" s="23" t="str">
        <f aca="false">IF(A715="","",TEXT(A715,"yyyy-mm"))</f>
        <v/>
      </c>
    </row>
    <row r="716" customFormat="false" ht="15" hidden="false" customHeight="false" outlineLevel="0" collapsed="false">
      <c r="A716" s="20"/>
      <c r="B716" s="19"/>
      <c r="C716" s="19"/>
      <c r="D716" s="19"/>
      <c r="E716" s="19"/>
      <c r="F716" s="19"/>
      <c r="G716" s="21"/>
      <c r="H716" s="19"/>
      <c r="I716" s="23" t="str">
        <f aca="false">IF(A716="","",TEXT(A716,"yyyy-mm"))</f>
        <v/>
      </c>
    </row>
    <row r="717" customFormat="false" ht="15" hidden="false" customHeight="false" outlineLevel="0" collapsed="false">
      <c r="A717" s="20"/>
      <c r="B717" s="19"/>
      <c r="C717" s="19"/>
      <c r="D717" s="19"/>
      <c r="E717" s="19"/>
      <c r="F717" s="19"/>
      <c r="G717" s="21"/>
      <c r="H717" s="19"/>
      <c r="I717" s="23" t="str">
        <f aca="false">IF(A717="","",TEXT(A717,"yyyy-mm"))</f>
        <v/>
      </c>
    </row>
    <row r="718" customFormat="false" ht="15" hidden="false" customHeight="false" outlineLevel="0" collapsed="false">
      <c r="A718" s="20"/>
      <c r="B718" s="19"/>
      <c r="C718" s="19"/>
      <c r="D718" s="19"/>
      <c r="E718" s="19"/>
      <c r="F718" s="19"/>
      <c r="G718" s="21"/>
      <c r="H718" s="19"/>
      <c r="I718" s="23" t="str">
        <f aca="false">IF(A718="","",TEXT(A718,"yyyy-mm"))</f>
        <v/>
      </c>
    </row>
    <row r="719" customFormat="false" ht="15" hidden="false" customHeight="false" outlineLevel="0" collapsed="false">
      <c r="A719" s="20"/>
      <c r="B719" s="19"/>
      <c r="C719" s="19"/>
      <c r="D719" s="19"/>
      <c r="E719" s="19"/>
      <c r="F719" s="19"/>
      <c r="G719" s="21"/>
      <c r="H719" s="19"/>
      <c r="I719" s="23" t="str">
        <f aca="false">IF(A719="","",TEXT(A719,"yyyy-mm"))</f>
        <v/>
      </c>
    </row>
    <row r="720" customFormat="false" ht="15" hidden="false" customHeight="false" outlineLevel="0" collapsed="false">
      <c r="A720" s="20"/>
      <c r="B720" s="19"/>
      <c r="C720" s="19"/>
      <c r="D720" s="19"/>
      <c r="E720" s="19"/>
      <c r="F720" s="19"/>
      <c r="G720" s="21"/>
      <c r="H720" s="19"/>
      <c r="I720" s="23" t="str">
        <f aca="false">IF(A720="","",TEXT(A720,"yyyy-mm"))</f>
        <v/>
      </c>
    </row>
    <row r="721" customFormat="false" ht="15" hidden="false" customHeight="false" outlineLevel="0" collapsed="false">
      <c r="A721" s="20"/>
      <c r="B721" s="19"/>
      <c r="C721" s="19"/>
      <c r="D721" s="19"/>
      <c r="E721" s="19"/>
      <c r="F721" s="19"/>
      <c r="G721" s="21"/>
      <c r="H721" s="19"/>
      <c r="I721" s="23" t="str">
        <f aca="false">IF(A721="","",TEXT(A721,"yyyy-mm"))</f>
        <v/>
      </c>
    </row>
    <row r="722" customFormat="false" ht="15" hidden="false" customHeight="false" outlineLevel="0" collapsed="false">
      <c r="A722" s="20"/>
      <c r="B722" s="19"/>
      <c r="C722" s="19"/>
      <c r="D722" s="19"/>
      <c r="E722" s="19"/>
      <c r="F722" s="19"/>
      <c r="G722" s="21"/>
      <c r="H722" s="19"/>
      <c r="I722" s="23" t="str">
        <f aca="false">IF(A722="","",TEXT(A722,"yyyy-mm"))</f>
        <v/>
      </c>
    </row>
    <row r="723" customFormat="false" ht="15" hidden="false" customHeight="false" outlineLevel="0" collapsed="false">
      <c r="A723" s="20"/>
      <c r="B723" s="19"/>
      <c r="C723" s="19"/>
      <c r="D723" s="19"/>
      <c r="E723" s="19"/>
      <c r="F723" s="19"/>
      <c r="G723" s="21"/>
      <c r="H723" s="19"/>
      <c r="I723" s="23" t="str">
        <f aca="false">IF(A723="","",TEXT(A723,"yyyy-mm"))</f>
        <v/>
      </c>
    </row>
    <row r="724" customFormat="false" ht="15" hidden="false" customHeight="false" outlineLevel="0" collapsed="false">
      <c r="A724" s="20"/>
      <c r="B724" s="19"/>
      <c r="C724" s="19"/>
      <c r="D724" s="19"/>
      <c r="E724" s="19"/>
      <c r="F724" s="19"/>
      <c r="G724" s="21"/>
      <c r="H724" s="19"/>
      <c r="I724" s="23" t="str">
        <f aca="false">IF(A724="","",TEXT(A724,"yyyy-mm"))</f>
        <v/>
      </c>
    </row>
    <row r="725" customFormat="false" ht="15" hidden="false" customHeight="false" outlineLevel="0" collapsed="false">
      <c r="A725" s="20"/>
      <c r="B725" s="19"/>
      <c r="C725" s="19"/>
      <c r="D725" s="19"/>
      <c r="E725" s="19"/>
      <c r="F725" s="19"/>
      <c r="G725" s="21"/>
      <c r="H725" s="19"/>
      <c r="I725" s="23" t="str">
        <f aca="false">IF(A725="","",TEXT(A725,"yyyy-mm"))</f>
        <v/>
      </c>
    </row>
    <row r="726" customFormat="false" ht="15" hidden="false" customHeight="false" outlineLevel="0" collapsed="false">
      <c r="A726" s="20"/>
      <c r="B726" s="19"/>
      <c r="C726" s="19"/>
      <c r="D726" s="19"/>
      <c r="E726" s="19"/>
      <c r="F726" s="19"/>
      <c r="G726" s="21"/>
      <c r="H726" s="19"/>
      <c r="I726" s="23" t="str">
        <f aca="false">IF(A726="","",TEXT(A726,"yyyy-mm"))</f>
        <v/>
      </c>
    </row>
    <row r="727" customFormat="false" ht="15" hidden="false" customHeight="false" outlineLevel="0" collapsed="false">
      <c r="A727" s="20"/>
      <c r="B727" s="19"/>
      <c r="C727" s="19"/>
      <c r="D727" s="19"/>
      <c r="E727" s="19"/>
      <c r="F727" s="19"/>
      <c r="G727" s="21"/>
      <c r="H727" s="19"/>
      <c r="I727" s="23" t="str">
        <f aca="false">IF(A727="","",TEXT(A727,"yyyy-mm"))</f>
        <v/>
      </c>
    </row>
    <row r="728" customFormat="false" ht="15" hidden="false" customHeight="false" outlineLevel="0" collapsed="false">
      <c r="A728" s="20"/>
      <c r="B728" s="19"/>
      <c r="C728" s="19"/>
      <c r="D728" s="19"/>
      <c r="E728" s="19"/>
      <c r="F728" s="19"/>
      <c r="G728" s="21"/>
      <c r="H728" s="19"/>
      <c r="I728" s="23" t="str">
        <f aca="false">IF(A728="","",TEXT(A728,"yyyy-mm"))</f>
        <v/>
      </c>
    </row>
    <row r="729" customFormat="false" ht="15" hidden="false" customHeight="false" outlineLevel="0" collapsed="false">
      <c r="A729" s="20"/>
      <c r="B729" s="19"/>
      <c r="C729" s="19"/>
      <c r="D729" s="19"/>
      <c r="E729" s="19"/>
      <c r="F729" s="19"/>
      <c r="G729" s="21"/>
      <c r="H729" s="19"/>
      <c r="I729" s="23" t="str">
        <f aca="false">IF(A729="","",TEXT(A729,"yyyy-mm"))</f>
        <v/>
      </c>
    </row>
    <row r="730" customFormat="false" ht="15" hidden="false" customHeight="false" outlineLevel="0" collapsed="false">
      <c r="A730" s="20"/>
      <c r="B730" s="19"/>
      <c r="C730" s="19"/>
      <c r="D730" s="19"/>
      <c r="E730" s="19"/>
      <c r="F730" s="19"/>
      <c r="G730" s="21"/>
      <c r="H730" s="19"/>
      <c r="I730" s="23" t="str">
        <f aca="false">IF(A730="","",TEXT(A730,"yyyy-mm"))</f>
        <v/>
      </c>
    </row>
    <row r="731" customFormat="false" ht="15" hidden="false" customHeight="false" outlineLevel="0" collapsed="false">
      <c r="A731" s="20"/>
      <c r="B731" s="19"/>
      <c r="C731" s="19"/>
      <c r="D731" s="19"/>
      <c r="E731" s="19"/>
      <c r="F731" s="19"/>
      <c r="G731" s="21"/>
      <c r="H731" s="19"/>
      <c r="I731" s="23" t="str">
        <f aca="false">IF(A731="","",TEXT(A731,"yyyy-mm"))</f>
        <v/>
      </c>
    </row>
    <row r="732" customFormat="false" ht="15" hidden="false" customHeight="false" outlineLevel="0" collapsed="false">
      <c r="A732" s="20"/>
      <c r="B732" s="19"/>
      <c r="C732" s="19"/>
      <c r="D732" s="19"/>
      <c r="E732" s="19"/>
      <c r="F732" s="19"/>
      <c r="G732" s="21"/>
      <c r="H732" s="19"/>
      <c r="I732" s="23" t="str">
        <f aca="false">IF(A732="","",TEXT(A732,"yyyy-mm"))</f>
        <v/>
      </c>
    </row>
    <row r="733" customFormat="false" ht="15" hidden="false" customHeight="false" outlineLevel="0" collapsed="false">
      <c r="A733" s="20"/>
      <c r="B733" s="19"/>
      <c r="C733" s="19"/>
      <c r="D733" s="19"/>
      <c r="E733" s="19"/>
      <c r="F733" s="19"/>
      <c r="G733" s="21"/>
      <c r="H733" s="19"/>
      <c r="I733" s="23" t="str">
        <f aca="false">IF(A733="","",TEXT(A733,"yyyy-mm"))</f>
        <v/>
      </c>
    </row>
    <row r="734" customFormat="false" ht="15" hidden="false" customHeight="false" outlineLevel="0" collapsed="false">
      <c r="A734" s="20"/>
      <c r="B734" s="19"/>
      <c r="C734" s="19"/>
      <c r="D734" s="19"/>
      <c r="E734" s="19"/>
      <c r="F734" s="19"/>
      <c r="G734" s="21"/>
      <c r="H734" s="19"/>
      <c r="I734" s="23" t="str">
        <f aca="false">IF(A734="","",TEXT(A734,"yyyy-mm"))</f>
        <v/>
      </c>
    </row>
    <row r="735" customFormat="false" ht="15" hidden="false" customHeight="false" outlineLevel="0" collapsed="false">
      <c r="A735" s="20"/>
      <c r="B735" s="19"/>
      <c r="C735" s="19"/>
      <c r="D735" s="19"/>
      <c r="E735" s="19"/>
      <c r="F735" s="19"/>
      <c r="G735" s="21"/>
      <c r="H735" s="19"/>
      <c r="I735" s="23" t="str">
        <f aca="false">IF(A735="","",TEXT(A735,"yyyy-mm"))</f>
        <v/>
      </c>
    </row>
    <row r="736" customFormat="false" ht="15" hidden="false" customHeight="false" outlineLevel="0" collapsed="false">
      <c r="A736" s="20"/>
      <c r="B736" s="19"/>
      <c r="C736" s="19"/>
      <c r="D736" s="19"/>
      <c r="E736" s="19"/>
      <c r="F736" s="19"/>
      <c r="G736" s="21"/>
      <c r="H736" s="19"/>
      <c r="I736" s="23" t="str">
        <f aca="false">IF(A736="","",TEXT(A736,"yyyy-mm"))</f>
        <v/>
      </c>
    </row>
    <row r="737" customFormat="false" ht="15" hidden="false" customHeight="false" outlineLevel="0" collapsed="false">
      <c r="A737" s="20"/>
      <c r="B737" s="19"/>
      <c r="C737" s="19"/>
      <c r="D737" s="19"/>
      <c r="E737" s="19"/>
      <c r="F737" s="19"/>
      <c r="G737" s="21"/>
      <c r="H737" s="19"/>
      <c r="I737" s="23" t="str">
        <f aca="false">IF(A737="","",TEXT(A737,"yyyy-mm"))</f>
        <v/>
      </c>
    </row>
    <row r="738" customFormat="false" ht="15" hidden="false" customHeight="false" outlineLevel="0" collapsed="false">
      <c r="A738" s="20"/>
      <c r="B738" s="19"/>
      <c r="C738" s="19"/>
      <c r="D738" s="19"/>
      <c r="E738" s="19"/>
      <c r="F738" s="19"/>
      <c r="G738" s="21"/>
      <c r="H738" s="19"/>
      <c r="I738" s="23" t="str">
        <f aca="false">IF(A738="","",TEXT(A738,"yyyy-mm"))</f>
        <v/>
      </c>
    </row>
    <row r="739" customFormat="false" ht="15" hidden="false" customHeight="false" outlineLevel="0" collapsed="false">
      <c r="A739" s="20"/>
      <c r="B739" s="19"/>
      <c r="C739" s="19"/>
      <c r="D739" s="19"/>
      <c r="E739" s="19"/>
      <c r="F739" s="19"/>
      <c r="G739" s="21"/>
      <c r="H739" s="19"/>
      <c r="I739" s="23" t="str">
        <f aca="false">IF(A739="","",TEXT(A739,"yyyy-mm"))</f>
        <v/>
      </c>
    </row>
    <row r="740" customFormat="false" ht="15" hidden="false" customHeight="false" outlineLevel="0" collapsed="false">
      <c r="A740" s="20"/>
      <c r="B740" s="19"/>
      <c r="C740" s="19"/>
      <c r="D740" s="19"/>
      <c r="E740" s="19"/>
      <c r="F740" s="19"/>
      <c r="G740" s="21"/>
      <c r="H740" s="19"/>
      <c r="I740" s="23" t="str">
        <f aca="false">IF(A740="","",TEXT(A740,"yyyy-mm"))</f>
        <v/>
      </c>
    </row>
    <row r="741" customFormat="false" ht="15" hidden="false" customHeight="false" outlineLevel="0" collapsed="false">
      <c r="A741" s="20"/>
      <c r="B741" s="19"/>
      <c r="C741" s="19"/>
      <c r="D741" s="19"/>
      <c r="E741" s="19"/>
      <c r="F741" s="19"/>
      <c r="G741" s="21"/>
      <c r="H741" s="19"/>
      <c r="I741" s="23" t="str">
        <f aca="false">IF(A741="","",TEXT(A741,"yyyy-mm"))</f>
        <v/>
      </c>
    </row>
    <row r="742" customFormat="false" ht="15" hidden="false" customHeight="false" outlineLevel="0" collapsed="false">
      <c r="A742" s="20"/>
      <c r="B742" s="19"/>
      <c r="C742" s="19"/>
      <c r="D742" s="19"/>
      <c r="E742" s="19"/>
      <c r="F742" s="19"/>
      <c r="G742" s="21"/>
      <c r="H742" s="19"/>
      <c r="I742" s="23" t="str">
        <f aca="false">IF(A742="","",TEXT(A742,"yyyy-mm"))</f>
        <v/>
      </c>
    </row>
    <row r="743" customFormat="false" ht="15" hidden="false" customHeight="false" outlineLevel="0" collapsed="false">
      <c r="A743" s="20"/>
      <c r="B743" s="19"/>
      <c r="C743" s="19"/>
      <c r="D743" s="19"/>
      <c r="E743" s="19"/>
      <c r="F743" s="19"/>
      <c r="G743" s="21"/>
      <c r="H743" s="19"/>
      <c r="I743" s="23" t="str">
        <f aca="false">IF(A743="","",TEXT(A743,"yyyy-mm"))</f>
        <v/>
      </c>
    </row>
    <row r="744" customFormat="false" ht="15" hidden="false" customHeight="false" outlineLevel="0" collapsed="false">
      <c r="A744" s="20"/>
      <c r="B744" s="19"/>
      <c r="C744" s="19"/>
      <c r="D744" s="19"/>
      <c r="E744" s="19"/>
      <c r="F744" s="19"/>
      <c r="G744" s="21"/>
      <c r="H744" s="19"/>
      <c r="I744" s="23" t="str">
        <f aca="false">IF(A744="","",TEXT(A744,"yyyy-mm"))</f>
        <v/>
      </c>
    </row>
    <row r="745" customFormat="false" ht="15" hidden="false" customHeight="false" outlineLevel="0" collapsed="false">
      <c r="A745" s="20"/>
      <c r="B745" s="19"/>
      <c r="C745" s="19"/>
      <c r="D745" s="19"/>
      <c r="E745" s="19"/>
      <c r="F745" s="19"/>
      <c r="G745" s="21"/>
      <c r="H745" s="19"/>
      <c r="I745" s="23" t="str">
        <f aca="false">IF(A745="","",TEXT(A745,"yyyy-mm"))</f>
        <v/>
      </c>
    </row>
    <row r="746" customFormat="false" ht="15" hidden="false" customHeight="false" outlineLevel="0" collapsed="false">
      <c r="A746" s="20"/>
      <c r="B746" s="19"/>
      <c r="C746" s="19"/>
      <c r="D746" s="19"/>
      <c r="E746" s="19"/>
      <c r="F746" s="19"/>
      <c r="G746" s="21"/>
      <c r="H746" s="19"/>
      <c r="I746" s="23" t="str">
        <f aca="false">IF(A746="","",TEXT(A746,"yyyy-mm"))</f>
        <v/>
      </c>
    </row>
    <row r="747" customFormat="false" ht="15" hidden="false" customHeight="false" outlineLevel="0" collapsed="false">
      <c r="A747" s="20"/>
      <c r="B747" s="19"/>
      <c r="C747" s="19"/>
      <c r="D747" s="19"/>
      <c r="E747" s="19"/>
      <c r="F747" s="19"/>
      <c r="G747" s="21"/>
      <c r="H747" s="19"/>
      <c r="I747" s="23" t="str">
        <f aca="false">IF(A747="","",TEXT(A747,"yyyy-mm"))</f>
        <v/>
      </c>
    </row>
    <row r="748" customFormat="false" ht="15" hidden="false" customHeight="false" outlineLevel="0" collapsed="false">
      <c r="A748" s="20"/>
      <c r="B748" s="19"/>
      <c r="C748" s="19"/>
      <c r="D748" s="19"/>
      <c r="E748" s="19"/>
      <c r="F748" s="19"/>
      <c r="G748" s="21"/>
      <c r="H748" s="19"/>
      <c r="I748" s="23" t="str">
        <f aca="false">IF(A748="","",TEXT(A748,"yyyy-mm"))</f>
        <v/>
      </c>
    </row>
    <row r="749" customFormat="false" ht="15" hidden="false" customHeight="false" outlineLevel="0" collapsed="false">
      <c r="A749" s="20"/>
      <c r="B749" s="19"/>
      <c r="C749" s="19"/>
      <c r="D749" s="19"/>
      <c r="E749" s="19"/>
      <c r="F749" s="19"/>
      <c r="G749" s="21"/>
      <c r="H749" s="19"/>
      <c r="I749" s="23" t="str">
        <f aca="false">IF(A749="","",TEXT(A749,"yyyy-mm"))</f>
        <v/>
      </c>
    </row>
    <row r="750" customFormat="false" ht="15" hidden="false" customHeight="false" outlineLevel="0" collapsed="false">
      <c r="A750" s="20"/>
      <c r="B750" s="19"/>
      <c r="C750" s="19"/>
      <c r="D750" s="19"/>
      <c r="E750" s="19"/>
      <c r="F750" s="19"/>
      <c r="G750" s="21"/>
      <c r="H750" s="19"/>
      <c r="I750" s="23" t="str">
        <f aca="false">IF(A750="","",TEXT(A750,"yyyy-mm"))</f>
        <v/>
      </c>
    </row>
    <row r="751" customFormat="false" ht="15" hidden="false" customHeight="false" outlineLevel="0" collapsed="false">
      <c r="A751" s="20"/>
      <c r="B751" s="19"/>
      <c r="C751" s="19"/>
      <c r="D751" s="19"/>
      <c r="E751" s="19"/>
      <c r="F751" s="19"/>
      <c r="G751" s="21"/>
      <c r="H751" s="19"/>
      <c r="I751" s="23" t="str">
        <f aca="false">IF(A751="","",TEXT(A751,"yyyy-mm"))</f>
        <v/>
      </c>
    </row>
    <row r="752" customFormat="false" ht="15" hidden="false" customHeight="false" outlineLevel="0" collapsed="false">
      <c r="A752" s="20"/>
      <c r="B752" s="19"/>
      <c r="C752" s="19"/>
      <c r="D752" s="19"/>
      <c r="E752" s="19"/>
      <c r="F752" s="19"/>
      <c r="G752" s="21"/>
      <c r="H752" s="19"/>
      <c r="I752" s="23" t="str">
        <f aca="false">IF(A752="","",TEXT(A752,"yyyy-mm"))</f>
        <v/>
      </c>
    </row>
    <row r="753" customFormat="false" ht="15" hidden="false" customHeight="false" outlineLevel="0" collapsed="false">
      <c r="A753" s="20"/>
      <c r="B753" s="19"/>
      <c r="C753" s="19"/>
      <c r="D753" s="19"/>
      <c r="E753" s="19"/>
      <c r="F753" s="19"/>
      <c r="G753" s="21"/>
      <c r="H753" s="19"/>
      <c r="I753" s="23" t="str">
        <f aca="false">IF(A753="","",TEXT(A753,"yyyy-mm"))</f>
        <v/>
      </c>
    </row>
    <row r="754" customFormat="false" ht="15" hidden="false" customHeight="false" outlineLevel="0" collapsed="false">
      <c r="A754" s="20"/>
      <c r="B754" s="19"/>
      <c r="C754" s="19"/>
      <c r="D754" s="19"/>
      <c r="E754" s="19"/>
      <c r="F754" s="19"/>
      <c r="G754" s="21"/>
      <c r="H754" s="19"/>
      <c r="I754" s="23" t="str">
        <f aca="false">IF(A754="","",TEXT(A754,"yyyy-mm"))</f>
        <v/>
      </c>
    </row>
    <row r="755" customFormat="false" ht="15" hidden="false" customHeight="false" outlineLevel="0" collapsed="false">
      <c r="A755" s="20"/>
      <c r="B755" s="19"/>
      <c r="C755" s="19"/>
      <c r="D755" s="19"/>
      <c r="E755" s="19"/>
      <c r="F755" s="19"/>
      <c r="G755" s="21"/>
      <c r="H755" s="19"/>
      <c r="I755" s="23" t="str">
        <f aca="false">IF(A755="","",TEXT(A755,"yyyy-mm"))</f>
        <v/>
      </c>
    </row>
    <row r="756" customFormat="false" ht="15" hidden="false" customHeight="false" outlineLevel="0" collapsed="false">
      <c r="A756" s="20"/>
      <c r="B756" s="19"/>
      <c r="C756" s="19"/>
      <c r="D756" s="19"/>
      <c r="E756" s="19"/>
      <c r="F756" s="19"/>
      <c r="G756" s="21"/>
      <c r="H756" s="19"/>
      <c r="I756" s="23" t="str">
        <f aca="false">IF(A756="","",TEXT(A756,"yyyy-mm"))</f>
        <v/>
      </c>
    </row>
    <row r="757" customFormat="false" ht="15" hidden="false" customHeight="false" outlineLevel="0" collapsed="false">
      <c r="A757" s="20"/>
      <c r="B757" s="19"/>
      <c r="C757" s="19"/>
      <c r="D757" s="19"/>
      <c r="E757" s="19"/>
      <c r="F757" s="19"/>
      <c r="G757" s="21"/>
      <c r="H757" s="19"/>
      <c r="I757" s="23" t="str">
        <f aca="false">IF(A757="","",TEXT(A757,"yyyy-mm"))</f>
        <v/>
      </c>
    </row>
    <row r="758" customFormat="false" ht="15" hidden="false" customHeight="false" outlineLevel="0" collapsed="false">
      <c r="A758" s="20"/>
      <c r="B758" s="19"/>
      <c r="C758" s="19"/>
      <c r="D758" s="19"/>
      <c r="E758" s="19"/>
      <c r="F758" s="19"/>
      <c r="G758" s="21"/>
      <c r="H758" s="19"/>
      <c r="I758" s="23" t="str">
        <f aca="false">IF(A758="","",TEXT(A758,"yyyy-mm"))</f>
        <v/>
      </c>
    </row>
    <row r="759" customFormat="false" ht="15" hidden="false" customHeight="false" outlineLevel="0" collapsed="false">
      <c r="A759" s="20"/>
      <c r="B759" s="19"/>
      <c r="C759" s="19"/>
      <c r="D759" s="19"/>
      <c r="E759" s="19"/>
      <c r="F759" s="19"/>
      <c r="G759" s="21"/>
      <c r="H759" s="19"/>
      <c r="I759" s="23" t="str">
        <f aca="false">IF(A759="","",TEXT(A759,"yyyy-mm"))</f>
        <v/>
      </c>
    </row>
    <row r="760" customFormat="false" ht="15" hidden="false" customHeight="false" outlineLevel="0" collapsed="false">
      <c r="A760" s="20"/>
      <c r="B760" s="19"/>
      <c r="C760" s="19"/>
      <c r="D760" s="19"/>
      <c r="E760" s="19"/>
      <c r="F760" s="19"/>
      <c r="G760" s="21"/>
      <c r="H760" s="19"/>
      <c r="I760" s="23" t="str">
        <f aca="false">IF(A760="","",TEXT(A760,"yyyy-mm"))</f>
        <v/>
      </c>
    </row>
    <row r="761" customFormat="false" ht="15" hidden="false" customHeight="false" outlineLevel="0" collapsed="false">
      <c r="A761" s="20"/>
      <c r="B761" s="19"/>
      <c r="C761" s="19"/>
      <c r="D761" s="19"/>
      <c r="E761" s="19"/>
      <c r="F761" s="19"/>
      <c r="G761" s="21"/>
      <c r="H761" s="19"/>
      <c r="I761" s="23" t="str">
        <f aca="false">IF(A761="","",TEXT(A761,"yyyy-mm"))</f>
        <v/>
      </c>
    </row>
    <row r="762" customFormat="false" ht="15" hidden="false" customHeight="false" outlineLevel="0" collapsed="false">
      <c r="A762" s="20"/>
      <c r="B762" s="19"/>
      <c r="C762" s="19"/>
      <c r="D762" s="19"/>
      <c r="E762" s="19"/>
      <c r="F762" s="19"/>
      <c r="G762" s="21"/>
      <c r="H762" s="19"/>
      <c r="I762" s="23" t="str">
        <f aca="false">IF(A762="","",TEXT(A762,"yyyy-mm"))</f>
        <v/>
      </c>
    </row>
    <row r="763" customFormat="false" ht="15" hidden="false" customHeight="false" outlineLevel="0" collapsed="false">
      <c r="A763" s="20"/>
      <c r="B763" s="19"/>
      <c r="C763" s="19"/>
      <c r="D763" s="19"/>
      <c r="E763" s="19"/>
      <c r="F763" s="19"/>
      <c r="G763" s="21"/>
      <c r="H763" s="19"/>
      <c r="I763" s="23" t="str">
        <f aca="false">IF(A763="","",TEXT(A763,"yyyy-mm"))</f>
        <v/>
      </c>
    </row>
    <row r="764" customFormat="false" ht="15" hidden="false" customHeight="false" outlineLevel="0" collapsed="false">
      <c r="A764" s="20"/>
      <c r="B764" s="19"/>
      <c r="C764" s="19"/>
      <c r="D764" s="19"/>
      <c r="E764" s="19"/>
      <c r="F764" s="19"/>
      <c r="G764" s="21"/>
      <c r="H764" s="19"/>
      <c r="I764" s="23" t="str">
        <f aca="false">IF(A764="","",TEXT(A764,"yyyy-mm"))</f>
        <v/>
      </c>
    </row>
    <row r="765" customFormat="false" ht="15" hidden="false" customHeight="false" outlineLevel="0" collapsed="false">
      <c r="A765" s="20"/>
      <c r="B765" s="19"/>
      <c r="C765" s="19"/>
      <c r="D765" s="19"/>
      <c r="E765" s="19"/>
      <c r="F765" s="19"/>
      <c r="G765" s="21"/>
      <c r="H765" s="19"/>
      <c r="I765" s="23" t="str">
        <f aca="false">IF(A765="","",TEXT(A765,"yyyy-mm"))</f>
        <v/>
      </c>
    </row>
    <row r="766" customFormat="false" ht="15" hidden="false" customHeight="false" outlineLevel="0" collapsed="false">
      <c r="A766" s="20"/>
      <c r="B766" s="19"/>
      <c r="C766" s="19"/>
      <c r="D766" s="19"/>
      <c r="E766" s="19"/>
      <c r="F766" s="19"/>
      <c r="G766" s="21"/>
      <c r="H766" s="19"/>
      <c r="I766" s="23" t="str">
        <f aca="false">IF(A766="","",TEXT(A766,"yyyy-mm"))</f>
        <v/>
      </c>
    </row>
    <row r="767" customFormat="false" ht="15" hidden="false" customHeight="false" outlineLevel="0" collapsed="false">
      <c r="A767" s="20"/>
      <c r="B767" s="19"/>
      <c r="C767" s="19"/>
      <c r="D767" s="19"/>
      <c r="E767" s="19"/>
      <c r="F767" s="19"/>
      <c r="G767" s="21"/>
      <c r="H767" s="19"/>
      <c r="I767" s="23" t="str">
        <f aca="false">IF(A767="","",TEXT(A767,"yyyy-mm"))</f>
        <v/>
      </c>
    </row>
    <row r="768" customFormat="false" ht="15" hidden="false" customHeight="false" outlineLevel="0" collapsed="false">
      <c r="A768" s="20"/>
      <c r="B768" s="19"/>
      <c r="C768" s="19"/>
      <c r="D768" s="19"/>
      <c r="E768" s="19"/>
      <c r="F768" s="19"/>
      <c r="G768" s="21"/>
      <c r="H768" s="19"/>
      <c r="I768" s="23" t="str">
        <f aca="false">IF(A768="","",TEXT(A768,"yyyy-mm"))</f>
        <v/>
      </c>
    </row>
    <row r="769" customFormat="false" ht="15" hidden="false" customHeight="false" outlineLevel="0" collapsed="false">
      <c r="A769" s="20"/>
      <c r="B769" s="19"/>
      <c r="C769" s="19"/>
      <c r="D769" s="19"/>
      <c r="E769" s="19"/>
      <c r="F769" s="19"/>
      <c r="G769" s="21"/>
      <c r="H769" s="19"/>
      <c r="I769" s="23" t="str">
        <f aca="false">IF(A769="","",TEXT(A769,"yyyy-mm"))</f>
        <v/>
      </c>
    </row>
    <row r="770" customFormat="false" ht="15" hidden="false" customHeight="false" outlineLevel="0" collapsed="false">
      <c r="A770" s="20"/>
      <c r="B770" s="19"/>
      <c r="C770" s="19"/>
      <c r="D770" s="19"/>
      <c r="E770" s="19"/>
      <c r="F770" s="19"/>
      <c r="G770" s="21"/>
      <c r="H770" s="19"/>
      <c r="I770" s="23" t="str">
        <f aca="false">IF(A770="","",TEXT(A770,"yyyy-mm"))</f>
        <v/>
      </c>
    </row>
    <row r="771" customFormat="false" ht="15" hidden="false" customHeight="false" outlineLevel="0" collapsed="false">
      <c r="A771" s="20"/>
      <c r="B771" s="19"/>
      <c r="C771" s="19"/>
      <c r="D771" s="19"/>
      <c r="E771" s="19"/>
      <c r="F771" s="19"/>
      <c r="G771" s="21"/>
      <c r="H771" s="19"/>
      <c r="I771" s="23" t="str">
        <f aca="false">IF(A771="","",TEXT(A771,"yyyy-mm"))</f>
        <v/>
      </c>
    </row>
    <row r="772" customFormat="false" ht="15" hidden="false" customHeight="false" outlineLevel="0" collapsed="false">
      <c r="A772" s="20"/>
      <c r="B772" s="19"/>
      <c r="C772" s="19"/>
      <c r="D772" s="19"/>
      <c r="E772" s="19"/>
      <c r="F772" s="19"/>
      <c r="G772" s="21"/>
      <c r="H772" s="19"/>
      <c r="I772" s="23" t="str">
        <f aca="false">IF(A772="","",TEXT(A772,"yyyy-mm"))</f>
        <v/>
      </c>
    </row>
    <row r="773" customFormat="false" ht="15" hidden="false" customHeight="false" outlineLevel="0" collapsed="false">
      <c r="A773" s="20"/>
      <c r="B773" s="19"/>
      <c r="C773" s="19"/>
      <c r="D773" s="19"/>
      <c r="E773" s="19"/>
      <c r="F773" s="19"/>
      <c r="G773" s="21"/>
      <c r="H773" s="19"/>
      <c r="I773" s="23" t="str">
        <f aca="false">IF(A773="","",TEXT(A773,"yyyy-mm"))</f>
        <v/>
      </c>
    </row>
    <row r="774" customFormat="false" ht="15" hidden="false" customHeight="false" outlineLevel="0" collapsed="false">
      <c r="A774" s="20"/>
      <c r="B774" s="19"/>
      <c r="C774" s="19"/>
      <c r="D774" s="19"/>
      <c r="E774" s="19"/>
      <c r="F774" s="19"/>
      <c r="G774" s="21"/>
      <c r="H774" s="19"/>
      <c r="I774" s="23" t="str">
        <f aca="false">IF(A774="","",TEXT(A774,"yyyy-mm"))</f>
        <v/>
      </c>
    </row>
    <row r="775" customFormat="false" ht="15" hidden="false" customHeight="false" outlineLevel="0" collapsed="false">
      <c r="A775" s="20"/>
      <c r="B775" s="19"/>
      <c r="C775" s="19"/>
      <c r="D775" s="19"/>
      <c r="E775" s="19"/>
      <c r="F775" s="19"/>
      <c r="G775" s="21"/>
      <c r="H775" s="19"/>
      <c r="I775" s="23" t="str">
        <f aca="false">IF(A775="","",TEXT(A775,"yyyy-mm"))</f>
        <v/>
      </c>
    </row>
    <row r="776" customFormat="false" ht="15" hidden="false" customHeight="false" outlineLevel="0" collapsed="false">
      <c r="A776" s="20"/>
      <c r="B776" s="19"/>
      <c r="C776" s="19"/>
      <c r="D776" s="19"/>
      <c r="E776" s="19"/>
      <c r="F776" s="19"/>
      <c r="G776" s="21"/>
      <c r="H776" s="19"/>
      <c r="I776" s="23" t="str">
        <f aca="false">IF(A776="","",TEXT(A776,"yyyy-mm"))</f>
        <v/>
      </c>
    </row>
    <row r="777" customFormat="false" ht="15" hidden="false" customHeight="false" outlineLevel="0" collapsed="false">
      <c r="A777" s="20"/>
      <c r="B777" s="19"/>
      <c r="C777" s="19"/>
      <c r="D777" s="19"/>
      <c r="E777" s="19"/>
      <c r="F777" s="19"/>
      <c r="G777" s="21"/>
      <c r="H777" s="19"/>
      <c r="I777" s="23" t="str">
        <f aca="false">IF(A777="","",TEXT(A777,"yyyy-mm"))</f>
        <v/>
      </c>
    </row>
    <row r="778" customFormat="false" ht="15" hidden="false" customHeight="false" outlineLevel="0" collapsed="false">
      <c r="A778" s="20"/>
      <c r="B778" s="19"/>
      <c r="C778" s="19"/>
      <c r="D778" s="19"/>
      <c r="E778" s="19"/>
      <c r="F778" s="19"/>
      <c r="G778" s="21"/>
      <c r="H778" s="19"/>
      <c r="I778" s="23" t="str">
        <f aca="false">IF(A778="","",TEXT(A778,"yyyy-mm"))</f>
        <v/>
      </c>
    </row>
    <row r="779" customFormat="false" ht="15" hidden="false" customHeight="false" outlineLevel="0" collapsed="false">
      <c r="A779" s="20"/>
      <c r="B779" s="19"/>
      <c r="C779" s="19"/>
      <c r="D779" s="19"/>
      <c r="E779" s="19"/>
      <c r="F779" s="19"/>
      <c r="G779" s="21"/>
      <c r="H779" s="19"/>
      <c r="I779" s="23" t="str">
        <f aca="false">IF(A779="","",TEXT(A779,"yyyy-mm"))</f>
        <v/>
      </c>
    </row>
    <row r="780" customFormat="false" ht="15" hidden="false" customHeight="false" outlineLevel="0" collapsed="false">
      <c r="A780" s="20"/>
      <c r="B780" s="19"/>
      <c r="C780" s="19"/>
      <c r="D780" s="19"/>
      <c r="E780" s="19"/>
      <c r="F780" s="19"/>
      <c r="G780" s="21"/>
      <c r="H780" s="19"/>
      <c r="I780" s="23" t="str">
        <f aca="false">IF(A780="","",TEXT(A780,"yyyy-mm"))</f>
        <v/>
      </c>
    </row>
    <row r="781" customFormat="false" ht="15" hidden="false" customHeight="false" outlineLevel="0" collapsed="false">
      <c r="A781" s="20"/>
      <c r="B781" s="19"/>
      <c r="C781" s="19"/>
      <c r="D781" s="19"/>
      <c r="E781" s="19"/>
      <c r="F781" s="19"/>
      <c r="G781" s="21"/>
      <c r="H781" s="19"/>
      <c r="I781" s="23" t="str">
        <f aca="false">IF(A781="","",TEXT(A781,"yyyy-mm"))</f>
        <v/>
      </c>
    </row>
    <row r="782" customFormat="false" ht="15" hidden="false" customHeight="false" outlineLevel="0" collapsed="false">
      <c r="A782" s="20"/>
      <c r="B782" s="19"/>
      <c r="C782" s="19"/>
      <c r="D782" s="19"/>
      <c r="E782" s="19"/>
      <c r="F782" s="19"/>
      <c r="G782" s="21"/>
      <c r="H782" s="19"/>
      <c r="I782" s="23" t="str">
        <f aca="false">IF(A782="","",TEXT(A782,"yyyy-mm"))</f>
        <v/>
      </c>
    </row>
    <row r="783" customFormat="false" ht="15" hidden="false" customHeight="false" outlineLevel="0" collapsed="false">
      <c r="A783" s="20"/>
      <c r="B783" s="19"/>
      <c r="C783" s="19"/>
      <c r="D783" s="19"/>
      <c r="E783" s="19"/>
      <c r="F783" s="19"/>
      <c r="G783" s="21"/>
      <c r="H783" s="19"/>
      <c r="I783" s="23" t="str">
        <f aca="false">IF(A783="","",TEXT(A783,"yyyy-mm"))</f>
        <v/>
      </c>
    </row>
    <row r="784" customFormat="false" ht="15" hidden="false" customHeight="false" outlineLevel="0" collapsed="false">
      <c r="A784" s="20"/>
      <c r="B784" s="19"/>
      <c r="C784" s="19"/>
      <c r="D784" s="19"/>
      <c r="E784" s="19"/>
      <c r="F784" s="19"/>
      <c r="G784" s="21"/>
      <c r="H784" s="19"/>
      <c r="I784" s="23" t="str">
        <f aca="false">IF(A784="","",TEXT(A784,"yyyy-mm"))</f>
        <v/>
      </c>
    </row>
    <row r="785" customFormat="false" ht="15" hidden="false" customHeight="false" outlineLevel="0" collapsed="false">
      <c r="A785" s="20"/>
      <c r="B785" s="19"/>
      <c r="C785" s="19"/>
      <c r="D785" s="19"/>
      <c r="E785" s="19"/>
      <c r="F785" s="19"/>
      <c r="G785" s="21"/>
      <c r="H785" s="19"/>
      <c r="I785" s="23" t="str">
        <f aca="false">IF(A785="","",TEXT(A785,"yyyy-mm"))</f>
        <v/>
      </c>
    </row>
    <row r="786" customFormat="false" ht="15" hidden="false" customHeight="false" outlineLevel="0" collapsed="false">
      <c r="A786" s="20"/>
      <c r="B786" s="19"/>
      <c r="C786" s="19"/>
      <c r="D786" s="19"/>
      <c r="E786" s="19"/>
      <c r="F786" s="19"/>
      <c r="G786" s="21"/>
      <c r="H786" s="19"/>
      <c r="I786" s="23" t="str">
        <f aca="false">IF(A786="","",TEXT(A786,"yyyy-mm"))</f>
        <v/>
      </c>
    </row>
    <row r="787" customFormat="false" ht="15" hidden="false" customHeight="false" outlineLevel="0" collapsed="false">
      <c r="A787" s="20"/>
      <c r="B787" s="19"/>
      <c r="C787" s="19"/>
      <c r="D787" s="19"/>
      <c r="E787" s="19"/>
      <c r="F787" s="19"/>
      <c r="G787" s="21"/>
      <c r="H787" s="19"/>
      <c r="I787" s="23" t="str">
        <f aca="false">IF(A787="","",TEXT(A787,"yyyy-mm"))</f>
        <v/>
      </c>
    </row>
    <row r="788" customFormat="false" ht="15" hidden="false" customHeight="false" outlineLevel="0" collapsed="false">
      <c r="A788" s="20"/>
      <c r="B788" s="19"/>
      <c r="C788" s="19"/>
      <c r="D788" s="19"/>
      <c r="E788" s="19"/>
      <c r="F788" s="19"/>
      <c r="G788" s="21"/>
      <c r="H788" s="19"/>
      <c r="I788" s="23" t="str">
        <f aca="false">IF(A788="","",TEXT(A788,"yyyy-mm"))</f>
        <v/>
      </c>
    </row>
    <row r="789" customFormat="false" ht="15" hidden="false" customHeight="false" outlineLevel="0" collapsed="false">
      <c r="A789" s="20"/>
      <c r="B789" s="19"/>
      <c r="C789" s="19"/>
      <c r="D789" s="19"/>
      <c r="E789" s="19"/>
      <c r="F789" s="19"/>
      <c r="G789" s="21"/>
      <c r="H789" s="19"/>
      <c r="I789" s="23" t="str">
        <f aca="false">IF(A789="","",TEXT(A789,"yyyy-mm"))</f>
        <v/>
      </c>
    </row>
    <row r="790" customFormat="false" ht="15" hidden="false" customHeight="false" outlineLevel="0" collapsed="false">
      <c r="A790" s="20"/>
      <c r="B790" s="19"/>
      <c r="C790" s="19"/>
      <c r="D790" s="19"/>
      <c r="E790" s="19"/>
      <c r="F790" s="19"/>
      <c r="G790" s="21"/>
      <c r="H790" s="19"/>
      <c r="I790" s="23" t="str">
        <f aca="false">IF(A790="","",TEXT(A790,"yyyy-mm"))</f>
        <v/>
      </c>
    </row>
    <row r="791" customFormat="false" ht="15" hidden="false" customHeight="false" outlineLevel="0" collapsed="false">
      <c r="A791" s="20"/>
      <c r="B791" s="19"/>
      <c r="C791" s="19"/>
      <c r="D791" s="19"/>
      <c r="E791" s="19"/>
      <c r="F791" s="19"/>
      <c r="G791" s="21"/>
      <c r="H791" s="19"/>
      <c r="I791" s="23" t="str">
        <f aca="false">IF(A791="","",TEXT(A791,"yyyy-mm"))</f>
        <v/>
      </c>
    </row>
    <row r="792" customFormat="false" ht="15" hidden="false" customHeight="false" outlineLevel="0" collapsed="false">
      <c r="A792" s="20"/>
      <c r="B792" s="19"/>
      <c r="C792" s="19"/>
      <c r="D792" s="19"/>
      <c r="E792" s="19"/>
      <c r="F792" s="19"/>
      <c r="G792" s="21"/>
      <c r="H792" s="19"/>
      <c r="I792" s="23" t="str">
        <f aca="false">IF(A792="","",TEXT(A792,"yyyy-mm"))</f>
        <v/>
      </c>
    </row>
    <row r="793" customFormat="false" ht="15" hidden="false" customHeight="false" outlineLevel="0" collapsed="false">
      <c r="A793" s="20"/>
      <c r="B793" s="19"/>
      <c r="C793" s="19"/>
      <c r="D793" s="19"/>
      <c r="E793" s="19"/>
      <c r="F793" s="19"/>
      <c r="G793" s="21"/>
      <c r="H793" s="19"/>
      <c r="I793" s="23" t="str">
        <f aca="false">IF(A793="","",TEXT(A793,"yyyy-mm"))</f>
        <v/>
      </c>
    </row>
    <row r="794" customFormat="false" ht="15" hidden="false" customHeight="false" outlineLevel="0" collapsed="false">
      <c r="A794" s="20"/>
      <c r="B794" s="19"/>
      <c r="C794" s="19"/>
      <c r="D794" s="19"/>
      <c r="E794" s="19"/>
      <c r="F794" s="19"/>
      <c r="G794" s="21"/>
      <c r="H794" s="19"/>
      <c r="I794" s="23" t="str">
        <f aca="false">IF(A794="","",TEXT(A794,"yyyy-mm"))</f>
        <v/>
      </c>
    </row>
    <row r="795" customFormat="false" ht="15" hidden="false" customHeight="false" outlineLevel="0" collapsed="false">
      <c r="A795" s="20"/>
      <c r="B795" s="19"/>
      <c r="C795" s="19"/>
      <c r="D795" s="19"/>
      <c r="E795" s="19"/>
      <c r="F795" s="19"/>
      <c r="G795" s="21"/>
      <c r="H795" s="19"/>
      <c r="I795" s="23" t="str">
        <f aca="false">IF(A795="","",TEXT(A795,"yyyy-mm"))</f>
        <v/>
      </c>
    </row>
    <row r="796" customFormat="false" ht="15" hidden="false" customHeight="false" outlineLevel="0" collapsed="false">
      <c r="A796" s="20"/>
      <c r="B796" s="19"/>
      <c r="C796" s="19"/>
      <c r="D796" s="19"/>
      <c r="E796" s="19"/>
      <c r="F796" s="19"/>
      <c r="G796" s="21"/>
      <c r="H796" s="19"/>
      <c r="I796" s="23" t="str">
        <f aca="false">IF(A796="","",TEXT(A796,"yyyy-mm"))</f>
        <v/>
      </c>
    </row>
    <row r="797" customFormat="false" ht="15" hidden="false" customHeight="false" outlineLevel="0" collapsed="false">
      <c r="A797" s="20"/>
      <c r="B797" s="19"/>
      <c r="C797" s="19"/>
      <c r="D797" s="19"/>
      <c r="E797" s="19"/>
      <c r="F797" s="19"/>
      <c r="G797" s="21"/>
      <c r="H797" s="19"/>
      <c r="I797" s="23" t="str">
        <f aca="false">IF(A797="","",TEXT(A797,"yyyy-mm"))</f>
        <v/>
      </c>
    </row>
    <row r="798" customFormat="false" ht="15" hidden="false" customHeight="false" outlineLevel="0" collapsed="false">
      <c r="A798" s="20"/>
      <c r="B798" s="19"/>
      <c r="C798" s="19"/>
      <c r="D798" s="19"/>
      <c r="E798" s="19"/>
      <c r="F798" s="19"/>
      <c r="G798" s="21"/>
      <c r="H798" s="19"/>
      <c r="I798" s="23" t="str">
        <f aca="false">IF(A798="","",TEXT(A798,"yyyy-mm"))</f>
        <v/>
      </c>
    </row>
    <row r="799" customFormat="false" ht="15" hidden="false" customHeight="false" outlineLevel="0" collapsed="false">
      <c r="A799" s="20"/>
      <c r="B799" s="19"/>
      <c r="C799" s="19"/>
      <c r="D799" s="19"/>
      <c r="E799" s="19"/>
      <c r="F799" s="19"/>
      <c r="G799" s="21"/>
      <c r="H799" s="19"/>
      <c r="I799" s="23" t="str">
        <f aca="false">IF(A799="","",TEXT(A799,"yyyy-mm"))</f>
        <v/>
      </c>
    </row>
    <row r="800" customFormat="false" ht="15" hidden="false" customHeight="false" outlineLevel="0" collapsed="false">
      <c r="A800" s="20"/>
      <c r="B800" s="19"/>
      <c r="C800" s="19"/>
      <c r="D800" s="19"/>
      <c r="E800" s="19"/>
      <c r="F800" s="19"/>
      <c r="G800" s="21"/>
      <c r="H800" s="19"/>
      <c r="I800" s="23" t="str">
        <f aca="false">IF(A800="","",TEXT(A800,"yyyy-mm"))</f>
        <v/>
      </c>
    </row>
    <row r="801" customFormat="false" ht="15" hidden="false" customHeight="false" outlineLevel="0" collapsed="false">
      <c r="A801" s="20"/>
      <c r="B801" s="19"/>
      <c r="C801" s="19"/>
      <c r="D801" s="19"/>
      <c r="E801" s="19"/>
      <c r="F801" s="19"/>
      <c r="G801" s="21"/>
      <c r="H801" s="19"/>
      <c r="I801" s="23" t="str">
        <f aca="false">IF(A801="","",TEXT(A801,"yyyy-mm"))</f>
        <v/>
      </c>
    </row>
    <row r="802" customFormat="false" ht="15" hidden="false" customHeight="false" outlineLevel="0" collapsed="false">
      <c r="A802" s="20"/>
      <c r="B802" s="19"/>
      <c r="C802" s="19"/>
      <c r="D802" s="19"/>
      <c r="E802" s="19"/>
      <c r="F802" s="19"/>
      <c r="G802" s="21"/>
      <c r="H802" s="19"/>
      <c r="I802" s="23" t="str">
        <f aca="false">IF(A802="","",TEXT(A802,"yyyy-mm"))</f>
        <v/>
      </c>
    </row>
    <row r="803" customFormat="false" ht="15" hidden="false" customHeight="false" outlineLevel="0" collapsed="false">
      <c r="A803" s="20"/>
      <c r="B803" s="19"/>
      <c r="C803" s="19"/>
      <c r="D803" s="19"/>
      <c r="E803" s="19"/>
      <c r="F803" s="19"/>
      <c r="G803" s="21"/>
      <c r="H803" s="19"/>
      <c r="I803" s="23" t="str">
        <f aca="false">IF(A803="","",TEXT(A803,"yyyy-mm"))</f>
        <v/>
      </c>
    </row>
    <row r="804" customFormat="false" ht="15" hidden="false" customHeight="false" outlineLevel="0" collapsed="false">
      <c r="A804" s="20"/>
      <c r="B804" s="19"/>
      <c r="C804" s="19"/>
      <c r="D804" s="19"/>
      <c r="E804" s="19"/>
      <c r="F804" s="19"/>
      <c r="G804" s="21"/>
      <c r="H804" s="19"/>
      <c r="I804" s="23" t="str">
        <f aca="false">IF(A804="","",TEXT(A804,"yyyy-mm"))</f>
        <v/>
      </c>
    </row>
    <row r="805" customFormat="false" ht="15" hidden="false" customHeight="false" outlineLevel="0" collapsed="false">
      <c r="A805" s="20"/>
      <c r="B805" s="19"/>
      <c r="C805" s="19"/>
      <c r="D805" s="19"/>
      <c r="E805" s="19"/>
      <c r="F805" s="19"/>
      <c r="G805" s="21"/>
      <c r="H805" s="19"/>
      <c r="I805" s="23" t="str">
        <f aca="false">IF(A805="","",TEXT(A805,"yyyy-mm"))</f>
        <v/>
      </c>
    </row>
    <row r="806" customFormat="false" ht="15" hidden="false" customHeight="false" outlineLevel="0" collapsed="false">
      <c r="A806" s="20"/>
      <c r="B806" s="19"/>
      <c r="C806" s="19"/>
      <c r="D806" s="19"/>
      <c r="E806" s="19"/>
      <c r="F806" s="19"/>
      <c r="G806" s="21"/>
      <c r="H806" s="19"/>
      <c r="I806" s="23" t="str">
        <f aca="false">IF(A806="","",TEXT(A806,"yyyy-mm"))</f>
        <v/>
      </c>
    </row>
    <row r="807" customFormat="false" ht="15" hidden="false" customHeight="false" outlineLevel="0" collapsed="false">
      <c r="A807" s="20"/>
      <c r="B807" s="19"/>
      <c r="C807" s="19"/>
      <c r="D807" s="19"/>
      <c r="E807" s="19"/>
      <c r="F807" s="19"/>
      <c r="G807" s="21"/>
      <c r="H807" s="19"/>
      <c r="I807" s="23" t="str">
        <f aca="false">IF(A807="","",TEXT(A807,"yyyy-mm"))</f>
        <v/>
      </c>
    </row>
    <row r="808" customFormat="false" ht="15" hidden="false" customHeight="false" outlineLevel="0" collapsed="false">
      <c r="A808" s="20"/>
      <c r="B808" s="19"/>
      <c r="C808" s="19"/>
      <c r="D808" s="19"/>
      <c r="E808" s="19"/>
      <c r="F808" s="19"/>
      <c r="G808" s="21"/>
      <c r="H808" s="19"/>
      <c r="I808" s="23" t="str">
        <f aca="false">IF(A808="","",TEXT(A808,"yyyy-mm"))</f>
        <v/>
      </c>
    </row>
    <row r="809" customFormat="false" ht="15" hidden="false" customHeight="false" outlineLevel="0" collapsed="false">
      <c r="A809" s="20"/>
      <c r="B809" s="19"/>
      <c r="C809" s="19"/>
      <c r="D809" s="19"/>
      <c r="E809" s="19"/>
      <c r="F809" s="19"/>
      <c r="G809" s="21"/>
      <c r="H809" s="19"/>
      <c r="I809" s="23" t="str">
        <f aca="false">IF(A809="","",TEXT(A809,"yyyy-mm"))</f>
        <v/>
      </c>
    </row>
    <row r="810" customFormat="false" ht="15" hidden="false" customHeight="false" outlineLevel="0" collapsed="false">
      <c r="A810" s="20"/>
      <c r="B810" s="19"/>
      <c r="C810" s="19"/>
      <c r="D810" s="19"/>
      <c r="E810" s="19"/>
      <c r="F810" s="19"/>
      <c r="G810" s="21"/>
      <c r="H810" s="19"/>
      <c r="I810" s="23" t="str">
        <f aca="false">IF(A810="","",TEXT(A810,"yyyy-mm"))</f>
        <v/>
      </c>
    </row>
    <row r="811" customFormat="false" ht="15" hidden="false" customHeight="false" outlineLevel="0" collapsed="false">
      <c r="A811" s="20"/>
      <c r="B811" s="19"/>
      <c r="C811" s="19"/>
      <c r="D811" s="19"/>
      <c r="E811" s="19"/>
      <c r="F811" s="19"/>
      <c r="G811" s="21"/>
      <c r="H811" s="19"/>
      <c r="I811" s="23" t="str">
        <f aca="false">IF(A811="","",TEXT(A811,"yyyy-mm"))</f>
        <v/>
      </c>
    </row>
    <row r="812" customFormat="false" ht="15" hidden="false" customHeight="false" outlineLevel="0" collapsed="false">
      <c r="A812" s="20"/>
      <c r="B812" s="19"/>
      <c r="C812" s="19"/>
      <c r="D812" s="19"/>
      <c r="E812" s="19"/>
      <c r="F812" s="19"/>
      <c r="G812" s="21"/>
      <c r="H812" s="19"/>
      <c r="I812" s="23" t="str">
        <f aca="false">IF(A812="","",TEXT(A812,"yyyy-mm"))</f>
        <v/>
      </c>
    </row>
    <row r="813" customFormat="false" ht="15" hidden="false" customHeight="false" outlineLevel="0" collapsed="false">
      <c r="A813" s="20"/>
      <c r="B813" s="19"/>
      <c r="C813" s="19"/>
      <c r="D813" s="19"/>
      <c r="E813" s="19"/>
      <c r="F813" s="19"/>
      <c r="G813" s="21"/>
      <c r="H813" s="19"/>
      <c r="I813" s="23" t="str">
        <f aca="false">IF(A813="","",TEXT(A813,"yyyy-mm"))</f>
        <v/>
      </c>
    </row>
    <row r="814" customFormat="false" ht="15" hidden="false" customHeight="false" outlineLevel="0" collapsed="false">
      <c r="A814" s="20"/>
      <c r="B814" s="19"/>
      <c r="C814" s="19"/>
      <c r="D814" s="19"/>
      <c r="E814" s="19"/>
      <c r="F814" s="19"/>
      <c r="G814" s="21"/>
      <c r="H814" s="19"/>
      <c r="I814" s="23" t="str">
        <f aca="false">IF(A814="","",TEXT(A814,"yyyy-mm"))</f>
        <v/>
      </c>
    </row>
    <row r="815" customFormat="false" ht="15" hidden="false" customHeight="false" outlineLevel="0" collapsed="false">
      <c r="A815" s="20"/>
      <c r="B815" s="19"/>
      <c r="C815" s="19"/>
      <c r="D815" s="19"/>
      <c r="E815" s="19"/>
      <c r="F815" s="19"/>
      <c r="G815" s="21"/>
      <c r="H815" s="19"/>
      <c r="I815" s="23" t="str">
        <f aca="false">IF(A815="","",TEXT(A815,"yyyy-mm"))</f>
        <v/>
      </c>
    </row>
    <row r="816" customFormat="false" ht="15" hidden="false" customHeight="false" outlineLevel="0" collapsed="false">
      <c r="A816" s="20"/>
      <c r="B816" s="19"/>
      <c r="C816" s="19"/>
      <c r="D816" s="19"/>
      <c r="E816" s="19"/>
      <c r="F816" s="19"/>
      <c r="G816" s="21"/>
      <c r="H816" s="19"/>
      <c r="I816" s="23" t="str">
        <f aca="false">IF(A816="","",TEXT(A816,"yyyy-mm"))</f>
        <v/>
      </c>
    </row>
    <row r="817" customFormat="false" ht="15" hidden="false" customHeight="false" outlineLevel="0" collapsed="false">
      <c r="A817" s="20"/>
      <c r="B817" s="19"/>
      <c r="C817" s="19"/>
      <c r="D817" s="19"/>
      <c r="E817" s="19"/>
      <c r="F817" s="19"/>
      <c r="G817" s="21"/>
      <c r="H817" s="19"/>
      <c r="I817" s="23" t="str">
        <f aca="false">IF(A817="","",TEXT(A817,"yyyy-mm"))</f>
        <v/>
      </c>
    </row>
    <row r="818" customFormat="false" ht="15" hidden="false" customHeight="false" outlineLevel="0" collapsed="false">
      <c r="A818" s="20"/>
      <c r="B818" s="19"/>
      <c r="C818" s="19"/>
      <c r="D818" s="19"/>
      <c r="E818" s="19"/>
      <c r="F818" s="19"/>
      <c r="G818" s="21"/>
      <c r="H818" s="19"/>
      <c r="I818" s="23" t="str">
        <f aca="false">IF(A818="","",TEXT(A818,"yyyy-mm"))</f>
        <v/>
      </c>
    </row>
    <row r="819" customFormat="false" ht="15" hidden="false" customHeight="false" outlineLevel="0" collapsed="false">
      <c r="A819" s="20"/>
      <c r="B819" s="19"/>
      <c r="C819" s="19"/>
      <c r="D819" s="19"/>
      <c r="E819" s="19"/>
      <c r="F819" s="19"/>
      <c r="G819" s="21"/>
      <c r="H819" s="19"/>
      <c r="I819" s="23" t="str">
        <f aca="false">IF(A819="","",TEXT(A819,"yyyy-mm"))</f>
        <v/>
      </c>
    </row>
    <row r="820" customFormat="false" ht="15" hidden="false" customHeight="false" outlineLevel="0" collapsed="false">
      <c r="A820" s="20"/>
      <c r="B820" s="19"/>
      <c r="C820" s="19"/>
      <c r="D820" s="19"/>
      <c r="E820" s="19"/>
      <c r="F820" s="19"/>
      <c r="G820" s="21"/>
      <c r="H820" s="19"/>
      <c r="I820" s="23" t="str">
        <f aca="false">IF(A820="","",TEXT(A820,"yyyy-mm"))</f>
        <v/>
      </c>
    </row>
    <row r="821" customFormat="false" ht="15" hidden="false" customHeight="false" outlineLevel="0" collapsed="false">
      <c r="A821" s="20"/>
      <c r="B821" s="19"/>
      <c r="C821" s="19"/>
      <c r="D821" s="19"/>
      <c r="E821" s="19"/>
      <c r="F821" s="19"/>
      <c r="G821" s="21"/>
      <c r="H821" s="19"/>
      <c r="I821" s="23" t="str">
        <f aca="false">IF(A821="","",TEXT(A821,"yyyy-mm"))</f>
        <v/>
      </c>
    </row>
    <row r="822" customFormat="false" ht="15" hidden="false" customHeight="false" outlineLevel="0" collapsed="false">
      <c r="A822" s="20"/>
      <c r="B822" s="19"/>
      <c r="C822" s="19"/>
      <c r="D822" s="19"/>
      <c r="E822" s="19"/>
      <c r="F822" s="19"/>
      <c r="G822" s="21"/>
      <c r="H822" s="19"/>
      <c r="I822" s="23" t="str">
        <f aca="false">IF(A822="","",TEXT(A822,"yyyy-mm"))</f>
        <v/>
      </c>
    </row>
    <row r="823" customFormat="false" ht="15" hidden="false" customHeight="false" outlineLevel="0" collapsed="false">
      <c r="A823" s="20"/>
      <c r="B823" s="19"/>
      <c r="C823" s="19"/>
      <c r="D823" s="19"/>
      <c r="E823" s="19"/>
      <c r="F823" s="19"/>
      <c r="G823" s="21"/>
      <c r="H823" s="19"/>
      <c r="I823" s="23" t="str">
        <f aca="false">IF(A823="","",TEXT(A823,"yyyy-mm"))</f>
        <v/>
      </c>
    </row>
    <row r="824" customFormat="false" ht="15" hidden="false" customHeight="false" outlineLevel="0" collapsed="false">
      <c r="A824" s="20"/>
      <c r="B824" s="19"/>
      <c r="C824" s="19"/>
      <c r="D824" s="19"/>
      <c r="E824" s="19"/>
      <c r="F824" s="19"/>
      <c r="G824" s="21"/>
      <c r="H824" s="19"/>
      <c r="I824" s="23" t="str">
        <f aca="false">IF(A824="","",TEXT(A824,"yyyy-mm"))</f>
        <v/>
      </c>
    </row>
    <row r="825" customFormat="false" ht="15" hidden="false" customHeight="false" outlineLevel="0" collapsed="false">
      <c r="A825" s="20"/>
      <c r="B825" s="19"/>
      <c r="C825" s="19"/>
      <c r="D825" s="19"/>
      <c r="E825" s="19"/>
      <c r="F825" s="19"/>
      <c r="G825" s="21"/>
      <c r="H825" s="19"/>
      <c r="I825" s="23" t="str">
        <f aca="false">IF(A825="","",TEXT(A825,"yyyy-mm"))</f>
        <v/>
      </c>
    </row>
    <row r="826" customFormat="false" ht="15" hidden="false" customHeight="false" outlineLevel="0" collapsed="false">
      <c r="A826" s="20"/>
      <c r="B826" s="19"/>
      <c r="C826" s="19"/>
      <c r="D826" s="19"/>
      <c r="E826" s="19"/>
      <c r="F826" s="19"/>
      <c r="G826" s="21"/>
      <c r="H826" s="19"/>
      <c r="I826" s="23" t="str">
        <f aca="false">IF(A826="","",TEXT(A826,"yyyy-mm"))</f>
        <v/>
      </c>
    </row>
    <row r="827" customFormat="false" ht="15" hidden="false" customHeight="false" outlineLevel="0" collapsed="false">
      <c r="A827" s="20"/>
      <c r="B827" s="19"/>
      <c r="C827" s="19"/>
      <c r="D827" s="19"/>
      <c r="E827" s="19"/>
      <c r="F827" s="19"/>
      <c r="G827" s="21"/>
      <c r="H827" s="19"/>
      <c r="I827" s="23" t="str">
        <f aca="false">IF(A827="","",TEXT(A827,"yyyy-mm"))</f>
        <v/>
      </c>
    </row>
    <row r="828" customFormat="false" ht="15" hidden="false" customHeight="false" outlineLevel="0" collapsed="false">
      <c r="A828" s="20"/>
      <c r="B828" s="19"/>
      <c r="C828" s="19"/>
      <c r="D828" s="19"/>
      <c r="E828" s="19"/>
      <c r="F828" s="19"/>
      <c r="G828" s="21"/>
      <c r="H828" s="19"/>
      <c r="I828" s="23" t="str">
        <f aca="false">IF(A828="","",TEXT(A828,"yyyy-mm"))</f>
        <v/>
      </c>
    </row>
    <row r="829" customFormat="false" ht="15" hidden="false" customHeight="false" outlineLevel="0" collapsed="false">
      <c r="A829" s="20"/>
      <c r="B829" s="19"/>
      <c r="C829" s="19"/>
      <c r="D829" s="19"/>
      <c r="E829" s="19"/>
      <c r="F829" s="19"/>
      <c r="G829" s="21"/>
      <c r="H829" s="19"/>
      <c r="I829" s="23" t="str">
        <f aca="false">IF(A829="","",TEXT(A829,"yyyy-mm"))</f>
        <v/>
      </c>
    </row>
    <row r="830" customFormat="false" ht="15" hidden="false" customHeight="false" outlineLevel="0" collapsed="false">
      <c r="A830" s="20"/>
      <c r="B830" s="19"/>
      <c r="C830" s="19"/>
      <c r="D830" s="19"/>
      <c r="E830" s="19"/>
      <c r="F830" s="19"/>
      <c r="G830" s="21"/>
      <c r="H830" s="19"/>
      <c r="I830" s="23" t="str">
        <f aca="false">IF(A830="","",TEXT(A830,"yyyy-mm"))</f>
        <v/>
      </c>
    </row>
    <row r="831" customFormat="false" ht="15" hidden="false" customHeight="false" outlineLevel="0" collapsed="false">
      <c r="A831" s="20"/>
      <c r="B831" s="19"/>
      <c r="C831" s="19"/>
      <c r="D831" s="19"/>
      <c r="E831" s="19"/>
      <c r="F831" s="19"/>
      <c r="G831" s="21"/>
      <c r="H831" s="19"/>
      <c r="I831" s="23" t="str">
        <f aca="false">IF(A831="","",TEXT(A831,"yyyy-mm"))</f>
        <v/>
      </c>
    </row>
    <row r="832" customFormat="false" ht="15" hidden="false" customHeight="false" outlineLevel="0" collapsed="false">
      <c r="A832" s="20"/>
      <c r="B832" s="19"/>
      <c r="C832" s="19"/>
      <c r="D832" s="19"/>
      <c r="E832" s="19"/>
      <c r="F832" s="19"/>
      <c r="G832" s="21"/>
      <c r="H832" s="19"/>
      <c r="I832" s="23" t="str">
        <f aca="false">IF(A832="","",TEXT(A832,"yyyy-mm"))</f>
        <v/>
      </c>
    </row>
    <row r="833" customFormat="false" ht="15" hidden="false" customHeight="false" outlineLevel="0" collapsed="false">
      <c r="A833" s="20"/>
      <c r="B833" s="19"/>
      <c r="C833" s="19"/>
      <c r="D833" s="19"/>
      <c r="E833" s="19"/>
      <c r="F833" s="19"/>
      <c r="G833" s="21"/>
      <c r="H833" s="19"/>
      <c r="I833" s="23" t="str">
        <f aca="false">IF(A833="","",TEXT(A833,"yyyy-mm"))</f>
        <v/>
      </c>
    </row>
    <row r="834" customFormat="false" ht="15" hidden="false" customHeight="false" outlineLevel="0" collapsed="false">
      <c r="A834" s="20"/>
      <c r="B834" s="19"/>
      <c r="C834" s="19"/>
      <c r="D834" s="19"/>
      <c r="E834" s="19"/>
      <c r="F834" s="19"/>
      <c r="G834" s="21"/>
      <c r="H834" s="19"/>
      <c r="I834" s="23" t="str">
        <f aca="false">IF(A834="","",TEXT(A834,"yyyy-mm"))</f>
        <v/>
      </c>
    </row>
    <row r="835" customFormat="false" ht="15" hidden="false" customHeight="false" outlineLevel="0" collapsed="false">
      <c r="A835" s="20"/>
      <c r="B835" s="19"/>
      <c r="C835" s="19"/>
      <c r="D835" s="19"/>
      <c r="E835" s="19"/>
      <c r="F835" s="19"/>
      <c r="G835" s="21"/>
      <c r="H835" s="19"/>
      <c r="I835" s="23" t="str">
        <f aca="false">IF(A835="","",TEXT(A835,"yyyy-mm"))</f>
        <v/>
      </c>
    </row>
    <row r="836" customFormat="false" ht="15" hidden="false" customHeight="false" outlineLevel="0" collapsed="false">
      <c r="A836" s="20"/>
      <c r="B836" s="19"/>
      <c r="C836" s="19"/>
      <c r="D836" s="19"/>
      <c r="E836" s="19"/>
      <c r="F836" s="19"/>
      <c r="G836" s="21"/>
      <c r="H836" s="19"/>
      <c r="I836" s="23" t="str">
        <f aca="false">IF(A836="","",TEXT(A836,"yyyy-mm"))</f>
        <v/>
      </c>
    </row>
    <row r="837" customFormat="false" ht="15" hidden="false" customHeight="false" outlineLevel="0" collapsed="false">
      <c r="A837" s="20"/>
      <c r="B837" s="19"/>
      <c r="C837" s="19"/>
      <c r="D837" s="19"/>
      <c r="E837" s="19"/>
      <c r="F837" s="19"/>
      <c r="G837" s="21"/>
      <c r="H837" s="19"/>
      <c r="I837" s="23" t="str">
        <f aca="false">IF(A837="","",TEXT(A837,"yyyy-mm"))</f>
        <v/>
      </c>
    </row>
    <row r="838" customFormat="false" ht="15" hidden="false" customHeight="false" outlineLevel="0" collapsed="false">
      <c r="A838" s="20"/>
      <c r="B838" s="19"/>
      <c r="C838" s="19"/>
      <c r="D838" s="19"/>
      <c r="E838" s="19"/>
      <c r="F838" s="19"/>
      <c r="G838" s="21"/>
      <c r="H838" s="19"/>
      <c r="I838" s="23" t="str">
        <f aca="false">IF(A838="","",TEXT(A838,"yyyy-mm"))</f>
        <v/>
      </c>
    </row>
    <row r="839" customFormat="false" ht="15" hidden="false" customHeight="false" outlineLevel="0" collapsed="false">
      <c r="A839" s="20"/>
      <c r="B839" s="19"/>
      <c r="C839" s="19"/>
      <c r="D839" s="19"/>
      <c r="E839" s="19"/>
      <c r="F839" s="19"/>
      <c r="G839" s="21"/>
      <c r="H839" s="19"/>
      <c r="I839" s="23" t="str">
        <f aca="false">IF(A839="","",TEXT(A839,"yyyy-mm"))</f>
        <v/>
      </c>
    </row>
    <row r="840" customFormat="false" ht="15" hidden="false" customHeight="false" outlineLevel="0" collapsed="false">
      <c r="A840" s="20"/>
      <c r="B840" s="19"/>
      <c r="C840" s="19"/>
      <c r="D840" s="19"/>
      <c r="E840" s="19"/>
      <c r="F840" s="19"/>
      <c r="G840" s="21"/>
      <c r="H840" s="19"/>
      <c r="I840" s="23" t="str">
        <f aca="false">IF(A840="","",TEXT(A840,"yyyy-mm"))</f>
        <v/>
      </c>
    </row>
    <row r="841" customFormat="false" ht="15" hidden="false" customHeight="false" outlineLevel="0" collapsed="false">
      <c r="A841" s="20"/>
      <c r="B841" s="19"/>
      <c r="C841" s="19"/>
      <c r="D841" s="19"/>
      <c r="E841" s="19"/>
      <c r="F841" s="19"/>
      <c r="G841" s="21"/>
      <c r="H841" s="19"/>
      <c r="I841" s="23" t="str">
        <f aca="false">IF(A841="","",TEXT(A841,"yyyy-mm"))</f>
        <v/>
      </c>
    </row>
    <row r="842" customFormat="false" ht="15" hidden="false" customHeight="false" outlineLevel="0" collapsed="false">
      <c r="A842" s="20"/>
      <c r="B842" s="19"/>
      <c r="C842" s="19"/>
      <c r="D842" s="19"/>
      <c r="E842" s="19"/>
      <c r="F842" s="19"/>
      <c r="G842" s="21"/>
      <c r="H842" s="19"/>
      <c r="I842" s="23" t="str">
        <f aca="false">IF(A842="","",TEXT(A842,"yyyy-mm"))</f>
        <v/>
      </c>
    </row>
    <row r="843" customFormat="false" ht="15" hidden="false" customHeight="false" outlineLevel="0" collapsed="false">
      <c r="A843" s="20"/>
      <c r="B843" s="19"/>
      <c r="C843" s="19"/>
      <c r="D843" s="19"/>
      <c r="E843" s="19"/>
      <c r="F843" s="19"/>
      <c r="G843" s="21"/>
      <c r="H843" s="19"/>
      <c r="I843" s="23" t="str">
        <f aca="false">IF(A843="","",TEXT(A843,"yyyy-mm"))</f>
        <v/>
      </c>
    </row>
    <row r="844" customFormat="false" ht="15" hidden="false" customHeight="false" outlineLevel="0" collapsed="false">
      <c r="A844" s="20"/>
      <c r="B844" s="19"/>
      <c r="C844" s="19"/>
      <c r="D844" s="19"/>
      <c r="E844" s="19"/>
      <c r="F844" s="19"/>
      <c r="G844" s="21"/>
      <c r="H844" s="19"/>
      <c r="I844" s="23" t="str">
        <f aca="false">IF(A844="","",TEXT(A844,"yyyy-mm"))</f>
        <v/>
      </c>
    </row>
    <row r="845" customFormat="false" ht="15" hidden="false" customHeight="false" outlineLevel="0" collapsed="false">
      <c r="A845" s="20"/>
      <c r="B845" s="19"/>
      <c r="C845" s="19"/>
      <c r="D845" s="19"/>
      <c r="E845" s="19"/>
      <c r="F845" s="19"/>
      <c r="G845" s="21"/>
      <c r="H845" s="19"/>
      <c r="I845" s="23" t="str">
        <f aca="false">IF(A845="","",TEXT(A845,"yyyy-mm"))</f>
        <v/>
      </c>
    </row>
    <row r="846" customFormat="false" ht="15" hidden="false" customHeight="false" outlineLevel="0" collapsed="false">
      <c r="A846" s="20"/>
      <c r="B846" s="19"/>
      <c r="C846" s="19"/>
      <c r="D846" s="19"/>
      <c r="E846" s="19"/>
      <c r="F846" s="19"/>
      <c r="G846" s="21"/>
      <c r="H846" s="19"/>
      <c r="I846" s="23" t="str">
        <f aca="false">IF(A846="","",TEXT(A846,"yyyy-mm"))</f>
        <v/>
      </c>
    </row>
    <row r="847" customFormat="false" ht="15" hidden="false" customHeight="false" outlineLevel="0" collapsed="false">
      <c r="A847" s="20"/>
      <c r="B847" s="19"/>
      <c r="C847" s="19"/>
      <c r="D847" s="19"/>
      <c r="E847" s="19"/>
      <c r="F847" s="19"/>
      <c r="G847" s="21"/>
      <c r="H847" s="19"/>
      <c r="I847" s="23" t="str">
        <f aca="false">IF(A847="","",TEXT(A847,"yyyy-mm"))</f>
        <v/>
      </c>
    </row>
    <row r="848" customFormat="false" ht="15" hidden="false" customHeight="false" outlineLevel="0" collapsed="false">
      <c r="A848" s="20"/>
      <c r="B848" s="19"/>
      <c r="C848" s="19"/>
      <c r="D848" s="19"/>
      <c r="E848" s="19"/>
      <c r="F848" s="19"/>
      <c r="G848" s="21"/>
      <c r="H848" s="19"/>
      <c r="I848" s="23" t="str">
        <f aca="false">IF(A848="","",TEXT(A848,"yyyy-mm"))</f>
        <v/>
      </c>
    </row>
    <row r="849" customFormat="false" ht="15" hidden="false" customHeight="false" outlineLevel="0" collapsed="false">
      <c r="A849" s="20"/>
      <c r="B849" s="19"/>
      <c r="C849" s="19"/>
      <c r="D849" s="19"/>
      <c r="E849" s="19"/>
      <c r="F849" s="19"/>
      <c r="G849" s="21"/>
      <c r="H849" s="19"/>
      <c r="I849" s="23" t="str">
        <f aca="false">IF(A849="","",TEXT(A849,"yyyy-mm"))</f>
        <v/>
      </c>
    </row>
    <row r="850" customFormat="false" ht="15" hidden="false" customHeight="false" outlineLevel="0" collapsed="false">
      <c r="A850" s="20"/>
      <c r="B850" s="19"/>
      <c r="C850" s="19"/>
      <c r="D850" s="19"/>
      <c r="E850" s="19"/>
      <c r="F850" s="19"/>
      <c r="G850" s="21"/>
      <c r="H850" s="19"/>
      <c r="I850" s="23" t="str">
        <f aca="false">IF(A850="","",TEXT(A850,"yyyy-mm"))</f>
        <v/>
      </c>
    </row>
    <row r="851" customFormat="false" ht="15" hidden="false" customHeight="false" outlineLevel="0" collapsed="false">
      <c r="A851" s="20"/>
      <c r="B851" s="19"/>
      <c r="C851" s="19"/>
      <c r="D851" s="19"/>
      <c r="E851" s="19"/>
      <c r="F851" s="19"/>
      <c r="G851" s="21"/>
      <c r="H851" s="19"/>
      <c r="I851" s="23" t="str">
        <f aca="false">IF(A851="","",TEXT(A851,"yyyy-mm"))</f>
        <v/>
      </c>
    </row>
    <row r="852" customFormat="false" ht="15" hidden="false" customHeight="false" outlineLevel="0" collapsed="false">
      <c r="A852" s="20"/>
      <c r="B852" s="19"/>
      <c r="C852" s="19"/>
      <c r="D852" s="19"/>
      <c r="E852" s="19"/>
      <c r="F852" s="19"/>
      <c r="G852" s="21"/>
      <c r="H852" s="19"/>
      <c r="I852" s="23" t="str">
        <f aca="false">IF(A852="","",TEXT(A852,"yyyy-mm"))</f>
        <v/>
      </c>
    </row>
    <row r="853" customFormat="false" ht="15" hidden="false" customHeight="false" outlineLevel="0" collapsed="false">
      <c r="A853" s="20"/>
      <c r="B853" s="19"/>
      <c r="C853" s="19"/>
      <c r="D853" s="19"/>
      <c r="E853" s="19"/>
      <c r="F853" s="19"/>
      <c r="G853" s="21"/>
      <c r="H853" s="19"/>
      <c r="I853" s="23" t="str">
        <f aca="false">IF(A853="","",TEXT(A853,"yyyy-mm"))</f>
        <v/>
      </c>
    </row>
    <row r="854" customFormat="false" ht="15" hidden="false" customHeight="false" outlineLevel="0" collapsed="false">
      <c r="A854" s="20"/>
      <c r="B854" s="19"/>
      <c r="C854" s="19"/>
      <c r="D854" s="19"/>
      <c r="E854" s="19"/>
      <c r="F854" s="19"/>
      <c r="G854" s="21"/>
      <c r="H854" s="19"/>
      <c r="I854" s="23" t="str">
        <f aca="false">IF(A854="","",TEXT(A854,"yyyy-mm"))</f>
        <v/>
      </c>
    </row>
    <row r="855" customFormat="false" ht="15" hidden="false" customHeight="false" outlineLevel="0" collapsed="false">
      <c r="A855" s="20"/>
      <c r="B855" s="19"/>
      <c r="C855" s="19"/>
      <c r="D855" s="19"/>
      <c r="E855" s="19"/>
      <c r="F855" s="19"/>
      <c r="G855" s="21"/>
      <c r="H855" s="19"/>
      <c r="I855" s="23" t="str">
        <f aca="false">IF(A855="","",TEXT(A855,"yyyy-mm"))</f>
        <v/>
      </c>
    </row>
    <row r="856" customFormat="false" ht="15" hidden="false" customHeight="false" outlineLevel="0" collapsed="false">
      <c r="A856" s="20"/>
      <c r="B856" s="19"/>
      <c r="C856" s="19"/>
      <c r="D856" s="19"/>
      <c r="E856" s="19"/>
      <c r="F856" s="19"/>
      <c r="G856" s="21"/>
      <c r="H856" s="19"/>
      <c r="I856" s="23" t="str">
        <f aca="false">IF(A856="","",TEXT(A856,"yyyy-mm"))</f>
        <v/>
      </c>
    </row>
    <row r="857" customFormat="false" ht="15" hidden="false" customHeight="false" outlineLevel="0" collapsed="false">
      <c r="A857" s="20"/>
      <c r="B857" s="19"/>
      <c r="C857" s="19"/>
      <c r="D857" s="19"/>
      <c r="E857" s="19"/>
      <c r="F857" s="19"/>
      <c r="G857" s="21"/>
      <c r="H857" s="19"/>
      <c r="I857" s="23" t="str">
        <f aca="false">IF(A857="","",TEXT(A857,"yyyy-mm"))</f>
        <v/>
      </c>
    </row>
    <row r="858" customFormat="false" ht="15" hidden="false" customHeight="false" outlineLevel="0" collapsed="false">
      <c r="A858" s="20"/>
      <c r="B858" s="19"/>
      <c r="C858" s="19"/>
      <c r="D858" s="19"/>
      <c r="E858" s="19"/>
      <c r="F858" s="19"/>
      <c r="G858" s="21"/>
      <c r="H858" s="19"/>
      <c r="I858" s="23" t="str">
        <f aca="false">IF(A858="","",TEXT(A858,"yyyy-mm"))</f>
        <v/>
      </c>
    </row>
    <row r="859" customFormat="false" ht="15" hidden="false" customHeight="false" outlineLevel="0" collapsed="false">
      <c r="A859" s="20"/>
      <c r="B859" s="19"/>
      <c r="C859" s="19"/>
      <c r="D859" s="19"/>
      <c r="E859" s="19"/>
      <c r="F859" s="19"/>
      <c r="G859" s="21"/>
      <c r="H859" s="19"/>
      <c r="I859" s="23" t="str">
        <f aca="false">IF(A859="","",TEXT(A859,"yyyy-mm"))</f>
        <v/>
      </c>
    </row>
    <row r="860" customFormat="false" ht="15" hidden="false" customHeight="false" outlineLevel="0" collapsed="false">
      <c r="A860" s="20"/>
      <c r="B860" s="19"/>
      <c r="C860" s="19"/>
      <c r="D860" s="19"/>
      <c r="E860" s="19"/>
      <c r="F860" s="19"/>
      <c r="G860" s="21"/>
      <c r="H860" s="19"/>
      <c r="I860" s="23" t="str">
        <f aca="false">IF(A860="","",TEXT(A860,"yyyy-mm"))</f>
        <v/>
      </c>
    </row>
    <row r="861" customFormat="false" ht="15" hidden="false" customHeight="false" outlineLevel="0" collapsed="false">
      <c r="A861" s="20"/>
      <c r="B861" s="19"/>
      <c r="C861" s="19"/>
      <c r="D861" s="19"/>
      <c r="E861" s="19"/>
      <c r="F861" s="19"/>
      <c r="G861" s="21"/>
      <c r="H861" s="19"/>
      <c r="I861" s="23" t="str">
        <f aca="false">IF(A861="","",TEXT(A861,"yyyy-mm"))</f>
        <v/>
      </c>
    </row>
    <row r="862" customFormat="false" ht="15" hidden="false" customHeight="false" outlineLevel="0" collapsed="false">
      <c r="A862" s="20"/>
      <c r="B862" s="19"/>
      <c r="C862" s="19"/>
      <c r="D862" s="19"/>
      <c r="E862" s="19"/>
      <c r="F862" s="19"/>
      <c r="G862" s="21"/>
      <c r="H862" s="19"/>
      <c r="I862" s="23" t="str">
        <f aca="false">IF(A862="","",TEXT(A862,"yyyy-mm"))</f>
        <v/>
      </c>
    </row>
    <row r="863" customFormat="false" ht="15" hidden="false" customHeight="false" outlineLevel="0" collapsed="false">
      <c r="A863" s="20"/>
      <c r="B863" s="19"/>
      <c r="C863" s="19"/>
      <c r="D863" s="19"/>
      <c r="E863" s="19"/>
      <c r="F863" s="19"/>
      <c r="G863" s="21"/>
      <c r="H863" s="19"/>
      <c r="I863" s="23" t="str">
        <f aca="false">IF(A863="","",TEXT(A863,"yyyy-mm"))</f>
        <v/>
      </c>
    </row>
    <row r="864" customFormat="false" ht="15" hidden="false" customHeight="false" outlineLevel="0" collapsed="false">
      <c r="A864" s="20"/>
      <c r="B864" s="19"/>
      <c r="C864" s="19"/>
      <c r="D864" s="19"/>
      <c r="E864" s="19"/>
      <c r="F864" s="19"/>
      <c r="G864" s="21"/>
      <c r="H864" s="19"/>
      <c r="I864" s="23" t="str">
        <f aca="false">IF(A864="","",TEXT(A864,"yyyy-mm"))</f>
        <v/>
      </c>
    </row>
    <row r="865" customFormat="false" ht="15" hidden="false" customHeight="false" outlineLevel="0" collapsed="false">
      <c r="A865" s="20"/>
      <c r="B865" s="19"/>
      <c r="C865" s="19"/>
      <c r="D865" s="19"/>
      <c r="E865" s="19"/>
      <c r="F865" s="19"/>
      <c r="G865" s="21"/>
      <c r="H865" s="19"/>
      <c r="I865" s="23" t="str">
        <f aca="false">IF(A865="","",TEXT(A865,"yyyy-mm"))</f>
        <v/>
      </c>
    </row>
    <row r="866" customFormat="false" ht="15" hidden="false" customHeight="false" outlineLevel="0" collapsed="false">
      <c r="A866" s="20"/>
      <c r="B866" s="19"/>
      <c r="C866" s="19"/>
      <c r="D866" s="19"/>
      <c r="E866" s="19"/>
      <c r="F866" s="19"/>
      <c r="G866" s="21"/>
      <c r="H866" s="19"/>
      <c r="I866" s="23" t="str">
        <f aca="false">IF(A866="","",TEXT(A866,"yyyy-mm"))</f>
        <v/>
      </c>
    </row>
    <row r="867" customFormat="false" ht="15" hidden="false" customHeight="false" outlineLevel="0" collapsed="false">
      <c r="A867" s="20"/>
      <c r="B867" s="19"/>
      <c r="C867" s="19"/>
      <c r="D867" s="19"/>
      <c r="E867" s="19"/>
      <c r="F867" s="19"/>
      <c r="G867" s="21"/>
      <c r="H867" s="19"/>
      <c r="I867" s="23" t="str">
        <f aca="false">IF(A867="","",TEXT(A867,"yyyy-mm"))</f>
        <v/>
      </c>
    </row>
    <row r="868" customFormat="false" ht="15" hidden="false" customHeight="false" outlineLevel="0" collapsed="false">
      <c r="A868" s="20"/>
      <c r="B868" s="19"/>
      <c r="C868" s="19"/>
      <c r="D868" s="19"/>
      <c r="E868" s="19"/>
      <c r="F868" s="19"/>
      <c r="G868" s="21"/>
      <c r="H868" s="19"/>
      <c r="I868" s="23" t="str">
        <f aca="false">IF(A868="","",TEXT(A868,"yyyy-mm"))</f>
        <v/>
      </c>
    </row>
    <row r="869" customFormat="false" ht="15" hidden="false" customHeight="false" outlineLevel="0" collapsed="false">
      <c r="A869" s="20"/>
      <c r="B869" s="19"/>
      <c r="C869" s="19"/>
      <c r="D869" s="19"/>
      <c r="E869" s="19"/>
      <c r="F869" s="19"/>
      <c r="G869" s="21"/>
      <c r="H869" s="19"/>
      <c r="I869" s="23" t="str">
        <f aca="false">IF(A869="","",TEXT(A869,"yyyy-mm"))</f>
        <v/>
      </c>
    </row>
    <row r="870" customFormat="false" ht="15" hidden="false" customHeight="false" outlineLevel="0" collapsed="false">
      <c r="A870" s="20"/>
      <c r="B870" s="19"/>
      <c r="C870" s="19"/>
      <c r="D870" s="19"/>
      <c r="E870" s="19"/>
      <c r="F870" s="19"/>
      <c r="G870" s="21"/>
      <c r="H870" s="19"/>
      <c r="I870" s="23" t="str">
        <f aca="false">IF(A870="","",TEXT(A870,"yyyy-mm"))</f>
        <v/>
      </c>
    </row>
    <row r="871" customFormat="false" ht="15" hidden="false" customHeight="false" outlineLevel="0" collapsed="false">
      <c r="A871" s="20"/>
      <c r="B871" s="19"/>
      <c r="C871" s="19"/>
      <c r="D871" s="19"/>
      <c r="E871" s="19"/>
      <c r="F871" s="19"/>
      <c r="G871" s="21"/>
      <c r="H871" s="19"/>
      <c r="I871" s="23" t="str">
        <f aca="false">IF(A871="","",TEXT(A871,"yyyy-mm"))</f>
        <v/>
      </c>
    </row>
    <row r="872" customFormat="false" ht="15" hidden="false" customHeight="false" outlineLevel="0" collapsed="false">
      <c r="A872" s="20"/>
      <c r="B872" s="19"/>
      <c r="C872" s="19"/>
      <c r="D872" s="19"/>
      <c r="E872" s="19"/>
      <c r="F872" s="19"/>
      <c r="G872" s="21"/>
      <c r="H872" s="19"/>
      <c r="I872" s="23" t="str">
        <f aca="false">IF(A872="","",TEXT(A872,"yyyy-mm"))</f>
        <v/>
      </c>
    </row>
    <row r="873" customFormat="false" ht="15" hidden="false" customHeight="false" outlineLevel="0" collapsed="false">
      <c r="A873" s="20"/>
      <c r="B873" s="19"/>
      <c r="C873" s="19"/>
      <c r="D873" s="19"/>
      <c r="E873" s="19"/>
      <c r="F873" s="19"/>
      <c r="G873" s="21"/>
      <c r="H873" s="19"/>
      <c r="I873" s="23" t="str">
        <f aca="false">IF(A873="","",TEXT(A873,"yyyy-mm"))</f>
        <v/>
      </c>
    </row>
    <row r="874" customFormat="false" ht="15" hidden="false" customHeight="false" outlineLevel="0" collapsed="false">
      <c r="A874" s="20"/>
      <c r="B874" s="19"/>
      <c r="C874" s="19"/>
      <c r="D874" s="19"/>
      <c r="E874" s="19"/>
      <c r="F874" s="19"/>
      <c r="G874" s="21"/>
      <c r="H874" s="19"/>
      <c r="I874" s="23" t="str">
        <f aca="false">IF(A874="","",TEXT(A874,"yyyy-mm"))</f>
        <v/>
      </c>
    </row>
    <row r="875" customFormat="false" ht="15" hidden="false" customHeight="false" outlineLevel="0" collapsed="false">
      <c r="A875" s="20"/>
      <c r="B875" s="19"/>
      <c r="C875" s="19"/>
      <c r="D875" s="19"/>
      <c r="E875" s="19"/>
      <c r="F875" s="19"/>
      <c r="G875" s="21"/>
      <c r="H875" s="19"/>
      <c r="I875" s="23" t="str">
        <f aca="false">IF(A875="","",TEXT(A875,"yyyy-mm"))</f>
        <v/>
      </c>
    </row>
    <row r="876" customFormat="false" ht="15" hidden="false" customHeight="false" outlineLevel="0" collapsed="false">
      <c r="A876" s="20"/>
      <c r="B876" s="19"/>
      <c r="C876" s="19"/>
      <c r="D876" s="19"/>
      <c r="E876" s="19"/>
      <c r="F876" s="19"/>
      <c r="G876" s="21"/>
      <c r="H876" s="19"/>
      <c r="I876" s="23" t="str">
        <f aca="false">IF(A876="","",TEXT(A876,"yyyy-mm"))</f>
        <v/>
      </c>
    </row>
    <row r="877" customFormat="false" ht="15" hidden="false" customHeight="false" outlineLevel="0" collapsed="false">
      <c r="A877" s="20"/>
      <c r="B877" s="19"/>
      <c r="C877" s="19"/>
      <c r="D877" s="19"/>
      <c r="E877" s="19"/>
      <c r="F877" s="19"/>
      <c r="G877" s="21"/>
      <c r="H877" s="19"/>
      <c r="I877" s="23" t="str">
        <f aca="false">IF(A877="","",TEXT(A877,"yyyy-mm"))</f>
        <v/>
      </c>
    </row>
    <row r="878" customFormat="false" ht="15" hidden="false" customHeight="false" outlineLevel="0" collapsed="false">
      <c r="A878" s="20"/>
      <c r="B878" s="19"/>
      <c r="C878" s="19"/>
      <c r="D878" s="19"/>
      <c r="E878" s="19"/>
      <c r="F878" s="19"/>
      <c r="G878" s="21"/>
      <c r="H878" s="19"/>
      <c r="I878" s="23" t="str">
        <f aca="false">IF(A878="","",TEXT(A878,"yyyy-mm"))</f>
        <v/>
      </c>
    </row>
    <row r="879" customFormat="false" ht="15" hidden="false" customHeight="false" outlineLevel="0" collapsed="false">
      <c r="A879" s="20"/>
      <c r="B879" s="19"/>
      <c r="C879" s="19"/>
      <c r="D879" s="19"/>
      <c r="E879" s="19"/>
      <c r="F879" s="19"/>
      <c r="G879" s="21"/>
      <c r="H879" s="19"/>
      <c r="I879" s="23" t="str">
        <f aca="false">IF(A879="","",TEXT(A879,"yyyy-mm"))</f>
        <v/>
      </c>
    </row>
    <row r="880" customFormat="false" ht="15" hidden="false" customHeight="false" outlineLevel="0" collapsed="false">
      <c r="A880" s="20"/>
      <c r="B880" s="19"/>
      <c r="C880" s="19"/>
      <c r="D880" s="19"/>
      <c r="E880" s="19"/>
      <c r="F880" s="19"/>
      <c r="G880" s="21"/>
      <c r="H880" s="19"/>
      <c r="I880" s="23" t="str">
        <f aca="false">IF(A880="","",TEXT(A880,"yyyy-mm"))</f>
        <v/>
      </c>
    </row>
    <row r="881" customFormat="false" ht="15" hidden="false" customHeight="false" outlineLevel="0" collapsed="false">
      <c r="A881" s="20"/>
      <c r="B881" s="19"/>
      <c r="C881" s="19"/>
      <c r="D881" s="19"/>
      <c r="E881" s="19"/>
      <c r="F881" s="19"/>
      <c r="G881" s="21"/>
      <c r="H881" s="19"/>
      <c r="I881" s="23" t="str">
        <f aca="false">IF(A881="","",TEXT(A881,"yyyy-mm"))</f>
        <v/>
      </c>
    </row>
    <row r="882" customFormat="false" ht="15" hidden="false" customHeight="false" outlineLevel="0" collapsed="false">
      <c r="A882" s="20"/>
      <c r="B882" s="19"/>
      <c r="C882" s="19"/>
      <c r="D882" s="19"/>
      <c r="E882" s="19"/>
      <c r="F882" s="19"/>
      <c r="G882" s="21"/>
      <c r="H882" s="19"/>
      <c r="I882" s="23" t="str">
        <f aca="false">IF(A882="","",TEXT(A882,"yyyy-mm"))</f>
        <v/>
      </c>
    </row>
    <row r="883" customFormat="false" ht="15" hidden="false" customHeight="false" outlineLevel="0" collapsed="false">
      <c r="A883" s="20"/>
      <c r="B883" s="19"/>
      <c r="C883" s="19"/>
      <c r="D883" s="19"/>
      <c r="E883" s="19"/>
      <c r="F883" s="19"/>
      <c r="G883" s="21"/>
      <c r="H883" s="19"/>
      <c r="I883" s="23" t="str">
        <f aca="false">IF(A883="","",TEXT(A883,"yyyy-mm"))</f>
        <v/>
      </c>
    </row>
    <row r="884" customFormat="false" ht="15" hidden="false" customHeight="false" outlineLevel="0" collapsed="false">
      <c r="A884" s="20"/>
      <c r="B884" s="19"/>
      <c r="C884" s="19"/>
      <c r="D884" s="19"/>
      <c r="E884" s="19"/>
      <c r="F884" s="19"/>
      <c r="G884" s="21"/>
      <c r="H884" s="19"/>
      <c r="I884" s="23" t="str">
        <f aca="false">IF(A884="","",TEXT(A884,"yyyy-mm"))</f>
        <v/>
      </c>
    </row>
    <row r="885" customFormat="false" ht="15" hidden="false" customHeight="false" outlineLevel="0" collapsed="false">
      <c r="A885" s="20"/>
      <c r="B885" s="19"/>
      <c r="C885" s="19"/>
      <c r="D885" s="19"/>
      <c r="E885" s="19"/>
      <c r="F885" s="19"/>
      <c r="G885" s="21"/>
      <c r="H885" s="19"/>
      <c r="I885" s="23" t="str">
        <f aca="false">IF(A885="","",TEXT(A885,"yyyy-mm"))</f>
        <v/>
      </c>
    </row>
    <row r="886" customFormat="false" ht="15" hidden="false" customHeight="false" outlineLevel="0" collapsed="false">
      <c r="A886" s="20"/>
      <c r="B886" s="19"/>
      <c r="C886" s="19"/>
      <c r="D886" s="19"/>
      <c r="E886" s="19"/>
      <c r="F886" s="19"/>
      <c r="G886" s="21"/>
      <c r="H886" s="19"/>
      <c r="I886" s="23" t="str">
        <f aca="false">IF(A886="","",TEXT(A886,"yyyy-mm"))</f>
        <v/>
      </c>
    </row>
    <row r="887" customFormat="false" ht="15" hidden="false" customHeight="false" outlineLevel="0" collapsed="false">
      <c r="A887" s="20"/>
      <c r="B887" s="19"/>
      <c r="C887" s="19"/>
      <c r="D887" s="19"/>
      <c r="E887" s="19"/>
      <c r="F887" s="19"/>
      <c r="G887" s="21"/>
      <c r="H887" s="19"/>
      <c r="I887" s="23" t="str">
        <f aca="false">IF(A887="","",TEXT(A887,"yyyy-mm"))</f>
        <v/>
      </c>
    </row>
    <row r="888" customFormat="false" ht="15" hidden="false" customHeight="false" outlineLevel="0" collapsed="false">
      <c r="A888" s="20"/>
      <c r="B888" s="19"/>
      <c r="C888" s="19"/>
      <c r="D888" s="19"/>
      <c r="E888" s="19"/>
      <c r="F888" s="19"/>
      <c r="G888" s="21"/>
      <c r="H888" s="19"/>
      <c r="I888" s="23" t="str">
        <f aca="false">IF(A888="","",TEXT(A888,"yyyy-mm"))</f>
        <v/>
      </c>
    </row>
    <row r="889" customFormat="false" ht="15" hidden="false" customHeight="false" outlineLevel="0" collapsed="false">
      <c r="A889" s="20"/>
      <c r="B889" s="19"/>
      <c r="C889" s="19"/>
      <c r="D889" s="19"/>
      <c r="E889" s="19"/>
      <c r="F889" s="19"/>
      <c r="G889" s="21"/>
      <c r="H889" s="19"/>
      <c r="I889" s="23" t="str">
        <f aca="false">IF(A889="","",TEXT(A889,"yyyy-mm"))</f>
        <v/>
      </c>
    </row>
    <row r="890" customFormat="false" ht="15" hidden="false" customHeight="false" outlineLevel="0" collapsed="false">
      <c r="A890" s="20"/>
      <c r="B890" s="19"/>
      <c r="C890" s="19"/>
      <c r="D890" s="19"/>
      <c r="E890" s="19"/>
      <c r="F890" s="19"/>
      <c r="G890" s="21"/>
      <c r="H890" s="19"/>
      <c r="I890" s="23" t="str">
        <f aca="false">IF(A890="","",TEXT(A890,"yyyy-mm"))</f>
        <v/>
      </c>
    </row>
    <row r="891" customFormat="false" ht="15" hidden="false" customHeight="false" outlineLevel="0" collapsed="false">
      <c r="A891" s="20"/>
      <c r="B891" s="19"/>
      <c r="C891" s="19"/>
      <c r="D891" s="19"/>
      <c r="E891" s="19"/>
      <c r="F891" s="19"/>
      <c r="G891" s="21"/>
      <c r="H891" s="19"/>
      <c r="I891" s="23" t="str">
        <f aca="false">IF(A891="","",TEXT(A891,"yyyy-mm"))</f>
        <v/>
      </c>
    </row>
    <row r="892" customFormat="false" ht="15" hidden="false" customHeight="false" outlineLevel="0" collapsed="false">
      <c r="A892" s="20"/>
      <c r="B892" s="19"/>
      <c r="C892" s="19"/>
      <c r="D892" s="19"/>
      <c r="E892" s="19"/>
      <c r="F892" s="19"/>
      <c r="G892" s="21"/>
      <c r="H892" s="19"/>
      <c r="I892" s="23" t="str">
        <f aca="false">IF(A892="","",TEXT(A892,"yyyy-mm"))</f>
        <v/>
      </c>
    </row>
    <row r="893" customFormat="false" ht="15" hidden="false" customHeight="false" outlineLevel="0" collapsed="false">
      <c r="A893" s="20"/>
      <c r="B893" s="19"/>
      <c r="C893" s="19"/>
      <c r="D893" s="19"/>
      <c r="E893" s="19"/>
      <c r="F893" s="19"/>
      <c r="G893" s="21"/>
      <c r="H893" s="19"/>
      <c r="I893" s="23" t="str">
        <f aca="false">IF(A893="","",TEXT(A893,"yyyy-mm"))</f>
        <v/>
      </c>
    </row>
    <row r="894" customFormat="false" ht="15" hidden="false" customHeight="false" outlineLevel="0" collapsed="false">
      <c r="A894" s="20"/>
      <c r="B894" s="19"/>
      <c r="C894" s="19"/>
      <c r="D894" s="19"/>
      <c r="E894" s="19"/>
      <c r="F894" s="19"/>
      <c r="G894" s="21"/>
      <c r="H894" s="19"/>
      <c r="I894" s="23" t="str">
        <f aca="false">IF(A894="","",TEXT(A894,"yyyy-mm"))</f>
        <v/>
      </c>
    </row>
    <row r="895" customFormat="false" ht="15" hidden="false" customHeight="false" outlineLevel="0" collapsed="false">
      <c r="A895" s="20"/>
      <c r="B895" s="19"/>
      <c r="C895" s="19"/>
      <c r="D895" s="19"/>
      <c r="E895" s="19"/>
      <c r="F895" s="19"/>
      <c r="G895" s="21"/>
      <c r="H895" s="19"/>
      <c r="I895" s="23" t="str">
        <f aca="false">IF(A895="","",TEXT(A895,"yyyy-mm"))</f>
        <v/>
      </c>
    </row>
    <row r="896" customFormat="false" ht="15" hidden="false" customHeight="false" outlineLevel="0" collapsed="false">
      <c r="A896" s="20"/>
      <c r="B896" s="19"/>
      <c r="C896" s="19"/>
      <c r="D896" s="19"/>
      <c r="E896" s="19"/>
      <c r="F896" s="19"/>
      <c r="G896" s="21"/>
      <c r="H896" s="19"/>
      <c r="I896" s="23" t="str">
        <f aca="false">IF(A896="","",TEXT(A896,"yyyy-mm"))</f>
        <v/>
      </c>
    </row>
    <row r="897" customFormat="false" ht="15" hidden="false" customHeight="false" outlineLevel="0" collapsed="false">
      <c r="A897" s="20"/>
      <c r="B897" s="19"/>
      <c r="C897" s="19"/>
      <c r="D897" s="19"/>
      <c r="E897" s="19"/>
      <c r="F897" s="19"/>
      <c r="G897" s="21"/>
      <c r="H897" s="19"/>
      <c r="I897" s="23" t="str">
        <f aca="false">IF(A897="","",TEXT(A897,"yyyy-mm"))</f>
        <v/>
      </c>
    </row>
    <row r="898" customFormat="false" ht="15" hidden="false" customHeight="false" outlineLevel="0" collapsed="false">
      <c r="A898" s="20"/>
      <c r="B898" s="19"/>
      <c r="C898" s="19"/>
      <c r="D898" s="19"/>
      <c r="E898" s="19"/>
      <c r="F898" s="19"/>
      <c r="G898" s="21"/>
      <c r="H898" s="19"/>
      <c r="I898" s="23" t="str">
        <f aca="false">IF(A898="","",TEXT(A898,"yyyy-mm"))</f>
        <v/>
      </c>
    </row>
    <row r="899" customFormat="false" ht="15" hidden="false" customHeight="false" outlineLevel="0" collapsed="false">
      <c r="A899" s="20"/>
      <c r="B899" s="19"/>
      <c r="C899" s="19"/>
      <c r="D899" s="19"/>
      <c r="E899" s="19"/>
      <c r="F899" s="19"/>
      <c r="G899" s="21"/>
      <c r="H899" s="19"/>
      <c r="I899" s="23" t="str">
        <f aca="false">IF(A899="","",TEXT(A899,"yyyy-mm"))</f>
        <v/>
      </c>
    </row>
    <row r="900" customFormat="false" ht="15" hidden="false" customHeight="false" outlineLevel="0" collapsed="false">
      <c r="A900" s="20"/>
      <c r="B900" s="19"/>
      <c r="C900" s="19"/>
      <c r="D900" s="19"/>
      <c r="E900" s="19"/>
      <c r="F900" s="19"/>
      <c r="G900" s="21"/>
      <c r="H900" s="19"/>
      <c r="I900" s="23" t="str">
        <f aca="false">IF(A900="","",TEXT(A900,"yyyy-mm"))</f>
        <v/>
      </c>
    </row>
    <row r="901" customFormat="false" ht="15" hidden="false" customHeight="false" outlineLevel="0" collapsed="false">
      <c r="A901" s="20"/>
      <c r="B901" s="19"/>
      <c r="C901" s="19"/>
      <c r="D901" s="19"/>
      <c r="E901" s="19"/>
      <c r="F901" s="19"/>
      <c r="G901" s="21"/>
      <c r="H901" s="19"/>
      <c r="I901" s="23" t="str">
        <f aca="false">IF(A901="","",TEXT(A901,"yyyy-mm"))</f>
        <v/>
      </c>
    </row>
    <row r="902" customFormat="false" ht="15" hidden="false" customHeight="false" outlineLevel="0" collapsed="false">
      <c r="A902" s="20"/>
      <c r="B902" s="19"/>
      <c r="C902" s="19"/>
      <c r="D902" s="19"/>
      <c r="E902" s="19"/>
      <c r="F902" s="19"/>
      <c r="G902" s="21"/>
      <c r="H902" s="19"/>
      <c r="I902" s="23" t="str">
        <f aca="false">IF(A902="","",TEXT(A902,"yyyy-mm"))</f>
        <v/>
      </c>
    </row>
    <row r="903" customFormat="false" ht="15" hidden="false" customHeight="false" outlineLevel="0" collapsed="false">
      <c r="A903" s="20"/>
      <c r="B903" s="19"/>
      <c r="C903" s="19"/>
      <c r="D903" s="19"/>
      <c r="E903" s="19"/>
      <c r="F903" s="19"/>
      <c r="G903" s="21"/>
      <c r="H903" s="19"/>
      <c r="I903" s="23" t="str">
        <f aca="false">IF(A903="","",TEXT(A903,"yyyy-mm"))</f>
        <v/>
      </c>
    </row>
    <row r="904" customFormat="false" ht="15" hidden="false" customHeight="false" outlineLevel="0" collapsed="false">
      <c r="A904" s="20"/>
      <c r="B904" s="19"/>
      <c r="C904" s="19"/>
      <c r="D904" s="19"/>
      <c r="E904" s="19"/>
      <c r="F904" s="19"/>
      <c r="G904" s="21"/>
      <c r="H904" s="19"/>
      <c r="I904" s="23" t="str">
        <f aca="false">IF(A904="","",TEXT(A904,"yyyy-mm"))</f>
        <v/>
      </c>
    </row>
    <row r="905" customFormat="false" ht="15" hidden="false" customHeight="false" outlineLevel="0" collapsed="false">
      <c r="A905" s="20"/>
      <c r="B905" s="19"/>
      <c r="C905" s="19"/>
      <c r="D905" s="19"/>
      <c r="E905" s="19"/>
      <c r="F905" s="19"/>
      <c r="G905" s="21"/>
      <c r="H905" s="19"/>
      <c r="I905" s="23" t="str">
        <f aca="false">IF(A905="","",TEXT(A905,"yyyy-mm"))</f>
        <v/>
      </c>
    </row>
    <row r="906" customFormat="false" ht="15" hidden="false" customHeight="false" outlineLevel="0" collapsed="false">
      <c r="A906" s="20"/>
      <c r="B906" s="19"/>
      <c r="C906" s="19"/>
      <c r="D906" s="19"/>
      <c r="E906" s="19"/>
      <c r="F906" s="19"/>
      <c r="G906" s="21"/>
      <c r="H906" s="19"/>
      <c r="I906" s="23" t="str">
        <f aca="false">IF(A906="","",TEXT(A906,"yyyy-mm"))</f>
        <v/>
      </c>
    </row>
    <row r="907" customFormat="false" ht="15" hidden="false" customHeight="false" outlineLevel="0" collapsed="false">
      <c r="A907" s="20"/>
      <c r="B907" s="19"/>
      <c r="C907" s="19"/>
      <c r="D907" s="19"/>
      <c r="E907" s="19"/>
      <c r="F907" s="19"/>
      <c r="G907" s="21"/>
      <c r="H907" s="19"/>
      <c r="I907" s="23" t="str">
        <f aca="false">IF(A907="","",TEXT(A907,"yyyy-mm"))</f>
        <v/>
      </c>
    </row>
    <row r="908" customFormat="false" ht="15" hidden="false" customHeight="false" outlineLevel="0" collapsed="false">
      <c r="A908" s="20"/>
      <c r="B908" s="19"/>
      <c r="C908" s="19"/>
      <c r="D908" s="19"/>
      <c r="E908" s="19"/>
      <c r="F908" s="19"/>
      <c r="G908" s="21"/>
      <c r="H908" s="19"/>
      <c r="I908" s="23" t="str">
        <f aca="false">IF(A908="","",TEXT(A908,"yyyy-mm"))</f>
        <v/>
      </c>
    </row>
    <row r="909" customFormat="false" ht="15" hidden="false" customHeight="false" outlineLevel="0" collapsed="false">
      <c r="A909" s="20"/>
      <c r="B909" s="19"/>
      <c r="C909" s="19"/>
      <c r="D909" s="19"/>
      <c r="E909" s="19"/>
      <c r="F909" s="19"/>
      <c r="G909" s="21"/>
      <c r="H909" s="19"/>
      <c r="I909" s="23" t="str">
        <f aca="false">IF(A909="","",TEXT(A909,"yyyy-mm"))</f>
        <v/>
      </c>
    </row>
    <row r="910" customFormat="false" ht="15" hidden="false" customHeight="false" outlineLevel="0" collapsed="false">
      <c r="A910" s="20"/>
      <c r="B910" s="19"/>
      <c r="C910" s="19"/>
      <c r="D910" s="19"/>
      <c r="E910" s="19"/>
      <c r="F910" s="19"/>
      <c r="G910" s="21"/>
      <c r="H910" s="19"/>
      <c r="I910" s="23" t="str">
        <f aca="false">IF(A910="","",TEXT(A910,"yyyy-mm"))</f>
        <v/>
      </c>
    </row>
    <row r="911" customFormat="false" ht="15" hidden="false" customHeight="false" outlineLevel="0" collapsed="false">
      <c r="A911" s="20"/>
      <c r="B911" s="19"/>
      <c r="C911" s="19"/>
      <c r="D911" s="19"/>
      <c r="E911" s="19"/>
      <c r="F911" s="19"/>
      <c r="G911" s="21"/>
      <c r="H911" s="19"/>
      <c r="I911" s="23" t="str">
        <f aca="false">IF(A911="","",TEXT(A911,"yyyy-mm"))</f>
        <v/>
      </c>
    </row>
    <row r="912" customFormat="false" ht="15" hidden="false" customHeight="false" outlineLevel="0" collapsed="false">
      <c r="A912" s="20"/>
      <c r="B912" s="19"/>
      <c r="C912" s="19"/>
      <c r="D912" s="19"/>
      <c r="E912" s="19"/>
      <c r="F912" s="19"/>
      <c r="G912" s="21"/>
      <c r="H912" s="19"/>
      <c r="I912" s="23" t="str">
        <f aca="false">IF(A912="","",TEXT(A912,"yyyy-mm"))</f>
        <v/>
      </c>
    </row>
    <row r="913" customFormat="false" ht="15" hidden="false" customHeight="false" outlineLevel="0" collapsed="false">
      <c r="A913" s="20"/>
      <c r="B913" s="19"/>
      <c r="C913" s="19"/>
      <c r="D913" s="19"/>
      <c r="E913" s="19"/>
      <c r="F913" s="19"/>
      <c r="G913" s="21"/>
      <c r="H913" s="19"/>
      <c r="I913" s="23" t="str">
        <f aca="false">IF(A913="","",TEXT(A913,"yyyy-mm"))</f>
        <v/>
      </c>
    </row>
    <row r="914" customFormat="false" ht="15" hidden="false" customHeight="false" outlineLevel="0" collapsed="false">
      <c r="A914" s="20"/>
      <c r="B914" s="19"/>
      <c r="C914" s="19"/>
      <c r="D914" s="19"/>
      <c r="E914" s="19"/>
      <c r="F914" s="19"/>
      <c r="G914" s="21"/>
      <c r="H914" s="19"/>
      <c r="I914" s="23" t="str">
        <f aca="false">IF(A914="","",TEXT(A914,"yyyy-mm"))</f>
        <v/>
      </c>
    </row>
    <row r="915" customFormat="false" ht="15" hidden="false" customHeight="false" outlineLevel="0" collapsed="false">
      <c r="A915" s="20"/>
      <c r="B915" s="19"/>
      <c r="C915" s="19"/>
      <c r="D915" s="19"/>
      <c r="E915" s="19"/>
      <c r="F915" s="19"/>
      <c r="G915" s="21"/>
      <c r="H915" s="19"/>
      <c r="I915" s="23" t="str">
        <f aca="false">IF(A915="","",TEXT(A915,"yyyy-mm"))</f>
        <v/>
      </c>
    </row>
    <row r="916" customFormat="false" ht="15" hidden="false" customHeight="false" outlineLevel="0" collapsed="false">
      <c r="A916" s="20"/>
      <c r="B916" s="19"/>
      <c r="C916" s="19"/>
      <c r="D916" s="19"/>
      <c r="E916" s="19"/>
      <c r="F916" s="19"/>
      <c r="G916" s="21"/>
      <c r="H916" s="19"/>
      <c r="I916" s="23" t="str">
        <f aca="false">IF(A916="","",TEXT(A916,"yyyy-mm"))</f>
        <v/>
      </c>
    </row>
    <row r="917" customFormat="false" ht="15" hidden="false" customHeight="false" outlineLevel="0" collapsed="false">
      <c r="A917" s="20"/>
      <c r="B917" s="19"/>
      <c r="C917" s="19"/>
      <c r="D917" s="19"/>
      <c r="E917" s="19"/>
      <c r="F917" s="19"/>
      <c r="G917" s="21"/>
      <c r="H917" s="19"/>
      <c r="I917" s="23" t="str">
        <f aca="false">IF(A917="","",TEXT(A917,"yyyy-mm"))</f>
        <v/>
      </c>
    </row>
    <row r="918" customFormat="false" ht="15" hidden="false" customHeight="false" outlineLevel="0" collapsed="false">
      <c r="A918" s="20"/>
      <c r="B918" s="19"/>
      <c r="C918" s="19"/>
      <c r="D918" s="19"/>
      <c r="E918" s="19"/>
      <c r="F918" s="19"/>
      <c r="G918" s="21"/>
      <c r="H918" s="19"/>
      <c r="I918" s="23" t="str">
        <f aca="false">IF(A918="","",TEXT(A918,"yyyy-mm"))</f>
        <v/>
      </c>
    </row>
    <row r="919" customFormat="false" ht="15" hidden="false" customHeight="false" outlineLevel="0" collapsed="false">
      <c r="A919" s="20"/>
      <c r="B919" s="19"/>
      <c r="C919" s="19"/>
      <c r="D919" s="19"/>
      <c r="E919" s="19"/>
      <c r="F919" s="19"/>
      <c r="G919" s="21"/>
      <c r="H919" s="19"/>
      <c r="I919" s="23" t="str">
        <f aca="false">IF(A919="","",TEXT(A919,"yyyy-mm"))</f>
        <v/>
      </c>
    </row>
    <row r="920" customFormat="false" ht="15" hidden="false" customHeight="false" outlineLevel="0" collapsed="false">
      <c r="A920" s="20"/>
      <c r="B920" s="19"/>
      <c r="C920" s="19"/>
      <c r="D920" s="19"/>
      <c r="E920" s="19"/>
      <c r="F920" s="19"/>
      <c r="G920" s="21"/>
      <c r="H920" s="19"/>
      <c r="I920" s="23" t="str">
        <f aca="false">IF(A920="","",TEXT(A920,"yyyy-mm"))</f>
        <v/>
      </c>
    </row>
    <row r="921" customFormat="false" ht="15" hidden="false" customHeight="false" outlineLevel="0" collapsed="false">
      <c r="A921" s="20"/>
      <c r="B921" s="19"/>
      <c r="C921" s="19"/>
      <c r="D921" s="19"/>
      <c r="E921" s="19"/>
      <c r="F921" s="19"/>
      <c r="G921" s="21"/>
      <c r="H921" s="19"/>
      <c r="I921" s="23" t="str">
        <f aca="false">IF(A921="","",TEXT(A921,"yyyy-mm"))</f>
        <v/>
      </c>
    </row>
    <row r="922" customFormat="false" ht="15" hidden="false" customHeight="false" outlineLevel="0" collapsed="false">
      <c r="A922" s="20"/>
      <c r="B922" s="19"/>
      <c r="C922" s="19"/>
      <c r="D922" s="19"/>
      <c r="E922" s="19"/>
      <c r="F922" s="19"/>
      <c r="G922" s="21"/>
      <c r="H922" s="19"/>
      <c r="I922" s="23" t="str">
        <f aca="false">IF(A922="","",TEXT(A922,"yyyy-mm"))</f>
        <v/>
      </c>
    </row>
    <row r="923" customFormat="false" ht="15" hidden="false" customHeight="false" outlineLevel="0" collapsed="false">
      <c r="A923" s="20"/>
      <c r="B923" s="19"/>
      <c r="C923" s="19"/>
      <c r="D923" s="19"/>
      <c r="E923" s="19"/>
      <c r="F923" s="19"/>
      <c r="G923" s="21"/>
      <c r="H923" s="19"/>
      <c r="I923" s="23" t="str">
        <f aca="false">IF(A923="","",TEXT(A923,"yyyy-mm"))</f>
        <v/>
      </c>
    </row>
    <row r="924" customFormat="false" ht="15" hidden="false" customHeight="false" outlineLevel="0" collapsed="false">
      <c r="A924" s="20"/>
      <c r="B924" s="19"/>
      <c r="C924" s="19"/>
      <c r="D924" s="19"/>
      <c r="E924" s="19"/>
      <c r="F924" s="19"/>
      <c r="G924" s="21"/>
      <c r="H924" s="19"/>
      <c r="I924" s="23" t="str">
        <f aca="false">IF(A924="","",TEXT(A924,"yyyy-mm"))</f>
        <v/>
      </c>
    </row>
    <row r="925" customFormat="false" ht="15" hidden="false" customHeight="false" outlineLevel="0" collapsed="false">
      <c r="A925" s="20"/>
      <c r="B925" s="19"/>
      <c r="C925" s="19"/>
      <c r="D925" s="19"/>
      <c r="E925" s="19"/>
      <c r="F925" s="19"/>
      <c r="G925" s="21"/>
      <c r="H925" s="19"/>
      <c r="I925" s="23" t="str">
        <f aca="false">IF(A925="","",TEXT(A925,"yyyy-mm"))</f>
        <v/>
      </c>
    </row>
    <row r="926" customFormat="false" ht="15" hidden="false" customHeight="false" outlineLevel="0" collapsed="false">
      <c r="A926" s="20"/>
      <c r="B926" s="19"/>
      <c r="C926" s="19"/>
      <c r="D926" s="19"/>
      <c r="E926" s="19"/>
      <c r="F926" s="19"/>
      <c r="G926" s="21"/>
      <c r="H926" s="19"/>
      <c r="I926" s="23" t="str">
        <f aca="false">IF(A926="","",TEXT(A926,"yyyy-mm"))</f>
        <v/>
      </c>
    </row>
    <row r="927" customFormat="false" ht="15" hidden="false" customHeight="false" outlineLevel="0" collapsed="false">
      <c r="A927" s="20"/>
      <c r="B927" s="19"/>
      <c r="C927" s="19"/>
      <c r="D927" s="19"/>
      <c r="E927" s="19"/>
      <c r="F927" s="19"/>
      <c r="G927" s="21"/>
      <c r="H927" s="19"/>
      <c r="I927" s="23" t="str">
        <f aca="false">IF(A927="","",TEXT(A927,"yyyy-mm"))</f>
        <v/>
      </c>
    </row>
    <row r="928" customFormat="false" ht="15" hidden="false" customHeight="false" outlineLevel="0" collapsed="false">
      <c r="A928" s="20"/>
      <c r="B928" s="19"/>
      <c r="C928" s="19"/>
      <c r="D928" s="19"/>
      <c r="E928" s="19"/>
      <c r="F928" s="19"/>
      <c r="G928" s="21"/>
      <c r="H928" s="19"/>
      <c r="I928" s="23" t="str">
        <f aca="false">IF(A928="","",TEXT(A928,"yyyy-mm"))</f>
        <v/>
      </c>
    </row>
    <row r="929" customFormat="false" ht="15" hidden="false" customHeight="false" outlineLevel="0" collapsed="false">
      <c r="A929" s="20"/>
      <c r="B929" s="19"/>
      <c r="C929" s="19"/>
      <c r="D929" s="19"/>
      <c r="E929" s="19"/>
      <c r="F929" s="19"/>
      <c r="G929" s="21"/>
      <c r="H929" s="19"/>
      <c r="I929" s="23" t="str">
        <f aca="false">IF(A929="","",TEXT(A929,"yyyy-mm"))</f>
        <v/>
      </c>
    </row>
    <row r="930" customFormat="false" ht="15" hidden="false" customHeight="false" outlineLevel="0" collapsed="false">
      <c r="A930" s="20"/>
      <c r="B930" s="19"/>
      <c r="C930" s="19"/>
      <c r="D930" s="19"/>
      <c r="E930" s="19"/>
      <c r="F930" s="19"/>
      <c r="G930" s="21"/>
      <c r="H930" s="19"/>
      <c r="I930" s="23" t="str">
        <f aca="false">IF(A930="","",TEXT(A930,"yyyy-mm"))</f>
        <v/>
      </c>
    </row>
    <row r="931" customFormat="false" ht="15" hidden="false" customHeight="false" outlineLevel="0" collapsed="false">
      <c r="A931" s="20"/>
      <c r="B931" s="19"/>
      <c r="C931" s="19"/>
      <c r="D931" s="19"/>
      <c r="E931" s="19"/>
      <c r="F931" s="19"/>
      <c r="G931" s="21"/>
      <c r="H931" s="19"/>
      <c r="I931" s="23" t="str">
        <f aca="false">IF(A931="","",TEXT(A931,"yyyy-mm"))</f>
        <v/>
      </c>
    </row>
    <row r="932" customFormat="false" ht="15" hidden="false" customHeight="false" outlineLevel="0" collapsed="false">
      <c r="A932" s="20"/>
      <c r="B932" s="19"/>
      <c r="C932" s="19"/>
      <c r="D932" s="19"/>
      <c r="E932" s="19"/>
      <c r="F932" s="19"/>
      <c r="G932" s="21"/>
      <c r="H932" s="19"/>
      <c r="I932" s="23" t="str">
        <f aca="false">IF(A932="","",TEXT(A932,"yyyy-mm"))</f>
        <v/>
      </c>
    </row>
    <row r="933" customFormat="false" ht="15" hidden="false" customHeight="false" outlineLevel="0" collapsed="false">
      <c r="A933" s="20"/>
      <c r="B933" s="19"/>
      <c r="C933" s="19"/>
      <c r="D933" s="19"/>
      <c r="E933" s="19"/>
      <c r="F933" s="19"/>
      <c r="G933" s="21"/>
      <c r="H933" s="19"/>
      <c r="I933" s="23" t="str">
        <f aca="false">IF(A933="","",TEXT(A933,"yyyy-mm"))</f>
        <v/>
      </c>
    </row>
    <row r="934" customFormat="false" ht="15" hidden="false" customHeight="false" outlineLevel="0" collapsed="false">
      <c r="A934" s="20"/>
      <c r="B934" s="19"/>
      <c r="C934" s="19"/>
      <c r="D934" s="19"/>
      <c r="E934" s="19"/>
      <c r="F934" s="19"/>
      <c r="G934" s="21"/>
      <c r="H934" s="19"/>
      <c r="I934" s="23" t="str">
        <f aca="false">IF(A934="","",TEXT(A934,"yyyy-mm"))</f>
        <v/>
      </c>
    </row>
    <row r="935" customFormat="false" ht="15" hidden="false" customHeight="false" outlineLevel="0" collapsed="false">
      <c r="A935" s="20"/>
      <c r="B935" s="19"/>
      <c r="C935" s="19"/>
      <c r="D935" s="19"/>
      <c r="E935" s="19"/>
      <c r="F935" s="19"/>
      <c r="G935" s="21"/>
      <c r="H935" s="19"/>
      <c r="I935" s="23" t="str">
        <f aca="false">IF(A935="","",TEXT(A935,"yyyy-mm"))</f>
        <v/>
      </c>
    </row>
    <row r="936" customFormat="false" ht="15" hidden="false" customHeight="false" outlineLevel="0" collapsed="false">
      <c r="A936" s="20"/>
      <c r="B936" s="19"/>
      <c r="C936" s="19"/>
      <c r="D936" s="19"/>
      <c r="E936" s="19"/>
      <c r="F936" s="19"/>
      <c r="G936" s="21"/>
      <c r="H936" s="19"/>
      <c r="I936" s="23" t="str">
        <f aca="false">IF(A936="","",TEXT(A936,"yyyy-mm"))</f>
        <v/>
      </c>
    </row>
    <row r="937" customFormat="false" ht="15" hidden="false" customHeight="false" outlineLevel="0" collapsed="false">
      <c r="A937" s="20"/>
      <c r="B937" s="19"/>
      <c r="C937" s="19"/>
      <c r="D937" s="19"/>
      <c r="E937" s="19"/>
      <c r="F937" s="19"/>
      <c r="G937" s="21"/>
      <c r="H937" s="19"/>
      <c r="I937" s="23" t="str">
        <f aca="false">IF(A937="","",TEXT(A937,"yyyy-mm"))</f>
        <v/>
      </c>
    </row>
    <row r="938" customFormat="false" ht="15" hidden="false" customHeight="false" outlineLevel="0" collapsed="false">
      <c r="A938" s="20"/>
      <c r="B938" s="19"/>
      <c r="C938" s="19"/>
      <c r="D938" s="19"/>
      <c r="E938" s="19"/>
      <c r="F938" s="19"/>
      <c r="G938" s="21"/>
      <c r="H938" s="19"/>
      <c r="I938" s="23" t="str">
        <f aca="false">IF(A938="","",TEXT(A938,"yyyy-mm"))</f>
        <v/>
      </c>
    </row>
    <row r="939" customFormat="false" ht="15" hidden="false" customHeight="false" outlineLevel="0" collapsed="false">
      <c r="A939" s="20"/>
      <c r="B939" s="19"/>
      <c r="C939" s="19"/>
      <c r="D939" s="19"/>
      <c r="E939" s="19"/>
      <c r="F939" s="19"/>
      <c r="G939" s="21"/>
      <c r="H939" s="19"/>
      <c r="I939" s="23" t="str">
        <f aca="false">IF(A939="","",TEXT(A939,"yyyy-mm"))</f>
        <v/>
      </c>
    </row>
    <row r="940" customFormat="false" ht="15" hidden="false" customHeight="false" outlineLevel="0" collapsed="false">
      <c r="A940" s="20"/>
      <c r="B940" s="19"/>
      <c r="C940" s="19"/>
      <c r="D940" s="19"/>
      <c r="E940" s="19"/>
      <c r="F940" s="19"/>
      <c r="G940" s="21"/>
      <c r="H940" s="19"/>
      <c r="I940" s="23" t="str">
        <f aca="false">IF(A940="","",TEXT(A940,"yyyy-mm"))</f>
        <v/>
      </c>
    </row>
    <row r="941" customFormat="false" ht="15" hidden="false" customHeight="false" outlineLevel="0" collapsed="false">
      <c r="A941" s="20"/>
      <c r="B941" s="19"/>
      <c r="C941" s="19"/>
      <c r="D941" s="19"/>
      <c r="E941" s="19"/>
      <c r="F941" s="19"/>
      <c r="G941" s="21"/>
      <c r="H941" s="19"/>
      <c r="I941" s="23" t="str">
        <f aca="false">IF(A941="","",TEXT(A941,"yyyy-mm"))</f>
        <v/>
      </c>
    </row>
    <row r="942" customFormat="false" ht="15" hidden="false" customHeight="false" outlineLevel="0" collapsed="false">
      <c r="A942" s="20"/>
      <c r="B942" s="19"/>
      <c r="C942" s="19"/>
      <c r="D942" s="19"/>
      <c r="E942" s="19"/>
      <c r="F942" s="19"/>
      <c r="G942" s="21"/>
      <c r="H942" s="19"/>
      <c r="I942" s="23" t="str">
        <f aca="false">IF(A942="","",TEXT(A942,"yyyy-mm"))</f>
        <v/>
      </c>
    </row>
    <row r="943" customFormat="false" ht="15" hidden="false" customHeight="false" outlineLevel="0" collapsed="false">
      <c r="A943" s="20"/>
      <c r="B943" s="19"/>
      <c r="C943" s="19"/>
      <c r="D943" s="19"/>
      <c r="E943" s="19"/>
      <c r="F943" s="19"/>
      <c r="G943" s="21"/>
      <c r="H943" s="19"/>
      <c r="I943" s="23" t="str">
        <f aca="false">IF(A943="","",TEXT(A943,"yyyy-mm"))</f>
        <v/>
      </c>
    </row>
    <row r="944" customFormat="false" ht="15" hidden="false" customHeight="false" outlineLevel="0" collapsed="false">
      <c r="A944" s="20"/>
      <c r="B944" s="19"/>
      <c r="C944" s="19"/>
      <c r="D944" s="19"/>
      <c r="E944" s="19"/>
      <c r="F944" s="19"/>
      <c r="G944" s="21"/>
      <c r="H944" s="19"/>
      <c r="I944" s="23" t="str">
        <f aca="false">IF(A944="","",TEXT(A944,"yyyy-mm"))</f>
        <v/>
      </c>
    </row>
    <row r="945" customFormat="false" ht="15" hidden="false" customHeight="false" outlineLevel="0" collapsed="false">
      <c r="A945" s="20"/>
      <c r="B945" s="19"/>
      <c r="C945" s="19"/>
      <c r="D945" s="19"/>
      <c r="E945" s="19"/>
      <c r="F945" s="19"/>
      <c r="G945" s="21"/>
      <c r="H945" s="19"/>
      <c r="I945" s="23" t="str">
        <f aca="false">IF(A945="","",TEXT(A945,"yyyy-mm"))</f>
        <v/>
      </c>
    </row>
    <row r="946" customFormat="false" ht="15" hidden="false" customHeight="false" outlineLevel="0" collapsed="false">
      <c r="A946" s="20"/>
      <c r="B946" s="19"/>
      <c r="C946" s="19"/>
      <c r="D946" s="19"/>
      <c r="E946" s="19"/>
      <c r="F946" s="19"/>
      <c r="G946" s="21"/>
      <c r="H946" s="19"/>
      <c r="I946" s="23" t="str">
        <f aca="false">IF(A946="","",TEXT(A946,"yyyy-mm"))</f>
        <v/>
      </c>
    </row>
    <row r="947" customFormat="false" ht="15" hidden="false" customHeight="false" outlineLevel="0" collapsed="false">
      <c r="A947" s="20"/>
      <c r="B947" s="19"/>
      <c r="C947" s="19"/>
      <c r="D947" s="19"/>
      <c r="E947" s="19"/>
      <c r="F947" s="19"/>
      <c r="G947" s="21"/>
      <c r="H947" s="19"/>
      <c r="I947" s="23" t="str">
        <f aca="false">IF(A947="","",TEXT(A947,"yyyy-mm"))</f>
        <v/>
      </c>
    </row>
    <row r="948" customFormat="false" ht="15" hidden="false" customHeight="false" outlineLevel="0" collapsed="false">
      <c r="A948" s="20"/>
      <c r="B948" s="19"/>
      <c r="C948" s="19"/>
      <c r="D948" s="19"/>
      <c r="E948" s="19"/>
      <c r="F948" s="19"/>
      <c r="G948" s="21"/>
      <c r="H948" s="19"/>
      <c r="I948" s="23" t="str">
        <f aca="false">IF(A948="","",TEXT(A948,"yyyy-mm"))</f>
        <v/>
      </c>
    </row>
    <row r="949" customFormat="false" ht="15" hidden="false" customHeight="false" outlineLevel="0" collapsed="false">
      <c r="A949" s="20"/>
      <c r="B949" s="19"/>
      <c r="C949" s="19"/>
      <c r="D949" s="19"/>
      <c r="E949" s="19"/>
      <c r="F949" s="19"/>
      <c r="G949" s="21"/>
      <c r="H949" s="19"/>
      <c r="I949" s="23" t="str">
        <f aca="false">IF(A949="","",TEXT(A949,"yyyy-mm"))</f>
        <v/>
      </c>
    </row>
    <row r="950" customFormat="false" ht="15" hidden="false" customHeight="false" outlineLevel="0" collapsed="false">
      <c r="A950" s="20"/>
      <c r="B950" s="19"/>
      <c r="C950" s="19"/>
      <c r="D950" s="19"/>
      <c r="E950" s="19"/>
      <c r="F950" s="19"/>
      <c r="G950" s="21"/>
      <c r="H950" s="19"/>
      <c r="I950" s="23" t="str">
        <f aca="false">IF(A950="","",TEXT(A950,"yyyy-mm"))</f>
        <v/>
      </c>
    </row>
    <row r="951" customFormat="false" ht="15" hidden="false" customHeight="false" outlineLevel="0" collapsed="false">
      <c r="A951" s="20"/>
      <c r="B951" s="19"/>
      <c r="C951" s="19"/>
      <c r="D951" s="19"/>
      <c r="E951" s="19"/>
      <c r="F951" s="19"/>
      <c r="G951" s="21"/>
      <c r="H951" s="19"/>
      <c r="I951" s="23" t="str">
        <f aca="false">IF(A951="","",TEXT(A951,"yyyy-mm"))</f>
        <v/>
      </c>
    </row>
    <row r="952" customFormat="false" ht="15" hidden="false" customHeight="false" outlineLevel="0" collapsed="false">
      <c r="A952" s="20"/>
      <c r="B952" s="19"/>
      <c r="C952" s="19"/>
      <c r="D952" s="19"/>
      <c r="E952" s="19"/>
      <c r="F952" s="19"/>
      <c r="G952" s="21"/>
      <c r="H952" s="19"/>
      <c r="I952" s="23" t="str">
        <f aca="false">IF(A952="","",TEXT(A952,"yyyy-mm"))</f>
        <v/>
      </c>
    </row>
    <row r="953" customFormat="false" ht="15" hidden="false" customHeight="false" outlineLevel="0" collapsed="false">
      <c r="A953" s="20"/>
      <c r="B953" s="19"/>
      <c r="C953" s="19"/>
      <c r="D953" s="19"/>
      <c r="E953" s="19"/>
      <c r="F953" s="19"/>
      <c r="G953" s="21"/>
      <c r="H953" s="19"/>
      <c r="I953" s="23" t="str">
        <f aca="false">IF(A953="","",TEXT(A953,"yyyy-mm"))</f>
        <v/>
      </c>
    </row>
    <row r="954" customFormat="false" ht="15" hidden="false" customHeight="false" outlineLevel="0" collapsed="false">
      <c r="A954" s="20"/>
      <c r="B954" s="19"/>
      <c r="C954" s="19"/>
      <c r="D954" s="19"/>
      <c r="E954" s="19"/>
      <c r="F954" s="19"/>
      <c r="G954" s="21"/>
      <c r="H954" s="19"/>
      <c r="I954" s="23" t="str">
        <f aca="false">IF(A954="","",TEXT(A954,"yyyy-mm"))</f>
        <v/>
      </c>
    </row>
    <row r="955" customFormat="false" ht="15" hidden="false" customHeight="false" outlineLevel="0" collapsed="false">
      <c r="A955" s="20"/>
      <c r="B955" s="19"/>
      <c r="C955" s="19"/>
      <c r="D955" s="19"/>
      <c r="E955" s="19"/>
      <c r="F955" s="19"/>
      <c r="G955" s="21"/>
      <c r="H955" s="19"/>
      <c r="I955" s="23" t="str">
        <f aca="false">IF(A955="","",TEXT(A955,"yyyy-mm"))</f>
        <v/>
      </c>
    </row>
    <row r="956" customFormat="false" ht="15" hidden="false" customHeight="false" outlineLevel="0" collapsed="false">
      <c r="A956" s="20"/>
      <c r="B956" s="19"/>
      <c r="C956" s="19"/>
      <c r="D956" s="19"/>
      <c r="E956" s="19"/>
      <c r="F956" s="19"/>
      <c r="G956" s="21"/>
      <c r="H956" s="19"/>
      <c r="I956" s="23" t="str">
        <f aca="false">IF(A956="","",TEXT(A956,"yyyy-mm"))</f>
        <v/>
      </c>
    </row>
    <row r="957" customFormat="false" ht="15" hidden="false" customHeight="false" outlineLevel="0" collapsed="false">
      <c r="A957" s="20"/>
      <c r="B957" s="19"/>
      <c r="C957" s="19"/>
      <c r="D957" s="19"/>
      <c r="E957" s="19"/>
      <c r="F957" s="19"/>
      <c r="G957" s="21"/>
      <c r="H957" s="19"/>
      <c r="I957" s="23" t="str">
        <f aca="false">IF(A957="","",TEXT(A957,"yyyy-mm"))</f>
        <v/>
      </c>
    </row>
    <row r="958" customFormat="false" ht="15" hidden="false" customHeight="false" outlineLevel="0" collapsed="false">
      <c r="A958" s="20"/>
      <c r="B958" s="19"/>
      <c r="C958" s="19"/>
      <c r="D958" s="19"/>
      <c r="E958" s="19"/>
      <c r="F958" s="19"/>
      <c r="G958" s="21"/>
      <c r="H958" s="19"/>
      <c r="I958" s="23" t="str">
        <f aca="false">IF(A958="","",TEXT(A958,"yyyy-mm"))</f>
        <v/>
      </c>
    </row>
    <row r="959" customFormat="false" ht="15" hidden="false" customHeight="false" outlineLevel="0" collapsed="false">
      <c r="A959" s="20"/>
      <c r="B959" s="19"/>
      <c r="C959" s="19"/>
      <c r="D959" s="19"/>
      <c r="E959" s="19"/>
      <c r="F959" s="19"/>
      <c r="G959" s="21"/>
      <c r="H959" s="19"/>
      <c r="I959" s="23" t="str">
        <f aca="false">IF(A959="","",TEXT(A959,"yyyy-mm"))</f>
        <v/>
      </c>
    </row>
    <row r="960" customFormat="false" ht="15" hidden="false" customHeight="false" outlineLevel="0" collapsed="false">
      <c r="A960" s="20"/>
      <c r="B960" s="19"/>
      <c r="C960" s="19"/>
      <c r="D960" s="19"/>
      <c r="E960" s="19"/>
      <c r="F960" s="19"/>
      <c r="G960" s="21"/>
      <c r="H960" s="19"/>
      <c r="I960" s="23" t="str">
        <f aca="false">IF(A960="","",TEXT(A960,"yyyy-mm"))</f>
        <v/>
      </c>
    </row>
    <row r="961" customFormat="false" ht="15" hidden="false" customHeight="false" outlineLevel="0" collapsed="false">
      <c r="A961" s="20"/>
      <c r="B961" s="19"/>
      <c r="C961" s="19"/>
      <c r="D961" s="19"/>
      <c r="E961" s="19"/>
      <c r="F961" s="19"/>
      <c r="G961" s="21"/>
      <c r="H961" s="19"/>
      <c r="I961" s="23" t="str">
        <f aca="false">IF(A961="","",TEXT(A961,"yyyy-mm"))</f>
        <v/>
      </c>
    </row>
    <row r="962" customFormat="false" ht="15" hidden="false" customHeight="false" outlineLevel="0" collapsed="false">
      <c r="A962" s="20"/>
      <c r="B962" s="19"/>
      <c r="C962" s="19"/>
      <c r="D962" s="19"/>
      <c r="E962" s="19"/>
      <c r="F962" s="19"/>
      <c r="G962" s="21"/>
      <c r="H962" s="19"/>
      <c r="I962" s="23" t="str">
        <f aca="false">IF(A962="","",TEXT(A962,"yyyy-mm"))</f>
        <v/>
      </c>
    </row>
    <row r="963" customFormat="false" ht="15" hidden="false" customHeight="false" outlineLevel="0" collapsed="false">
      <c r="A963" s="20"/>
      <c r="B963" s="19"/>
      <c r="C963" s="19"/>
      <c r="D963" s="19"/>
      <c r="E963" s="19"/>
      <c r="F963" s="19"/>
      <c r="G963" s="21"/>
      <c r="H963" s="19"/>
      <c r="I963" s="23" t="str">
        <f aca="false">IF(A963="","",TEXT(A963,"yyyy-mm"))</f>
        <v/>
      </c>
    </row>
    <row r="964" customFormat="false" ht="15" hidden="false" customHeight="false" outlineLevel="0" collapsed="false">
      <c r="A964" s="20"/>
      <c r="B964" s="19"/>
      <c r="C964" s="19"/>
      <c r="D964" s="19"/>
      <c r="E964" s="19"/>
      <c r="F964" s="19"/>
      <c r="G964" s="21"/>
      <c r="H964" s="19"/>
      <c r="I964" s="23" t="str">
        <f aca="false">IF(A964="","",TEXT(A964,"yyyy-mm"))</f>
        <v/>
      </c>
    </row>
    <row r="965" customFormat="false" ht="15" hidden="false" customHeight="false" outlineLevel="0" collapsed="false">
      <c r="A965" s="20"/>
      <c r="B965" s="19"/>
      <c r="C965" s="19"/>
      <c r="D965" s="19"/>
      <c r="E965" s="19"/>
      <c r="F965" s="19"/>
      <c r="G965" s="21"/>
      <c r="H965" s="19"/>
      <c r="I965" s="23" t="str">
        <f aca="false">IF(A965="","",TEXT(A965,"yyyy-mm"))</f>
        <v/>
      </c>
    </row>
    <row r="966" customFormat="false" ht="15" hidden="false" customHeight="false" outlineLevel="0" collapsed="false">
      <c r="A966" s="20"/>
      <c r="B966" s="19"/>
      <c r="C966" s="19"/>
      <c r="D966" s="19"/>
      <c r="E966" s="19"/>
      <c r="F966" s="19"/>
      <c r="G966" s="21"/>
      <c r="H966" s="19"/>
      <c r="I966" s="23" t="str">
        <f aca="false">IF(A966="","",TEXT(A966,"yyyy-mm"))</f>
        <v/>
      </c>
    </row>
    <row r="967" customFormat="false" ht="15" hidden="false" customHeight="false" outlineLevel="0" collapsed="false">
      <c r="A967" s="20"/>
      <c r="B967" s="19"/>
      <c r="C967" s="19"/>
      <c r="D967" s="19"/>
      <c r="E967" s="19"/>
      <c r="F967" s="19"/>
      <c r="G967" s="21"/>
      <c r="H967" s="19"/>
      <c r="I967" s="23" t="str">
        <f aca="false">IF(A967="","",TEXT(A967,"yyyy-mm"))</f>
        <v/>
      </c>
    </row>
    <row r="968" customFormat="false" ht="15" hidden="false" customHeight="false" outlineLevel="0" collapsed="false">
      <c r="A968" s="20"/>
      <c r="B968" s="19"/>
      <c r="C968" s="19"/>
      <c r="D968" s="19"/>
      <c r="E968" s="19"/>
      <c r="F968" s="19"/>
      <c r="G968" s="21"/>
      <c r="H968" s="19"/>
      <c r="I968" s="23" t="str">
        <f aca="false">IF(A968="","",TEXT(A968,"yyyy-mm"))</f>
        <v/>
      </c>
    </row>
    <row r="969" customFormat="false" ht="15" hidden="false" customHeight="false" outlineLevel="0" collapsed="false">
      <c r="A969" s="20"/>
      <c r="B969" s="19"/>
      <c r="C969" s="19"/>
      <c r="D969" s="19"/>
      <c r="E969" s="19"/>
      <c r="F969" s="19"/>
      <c r="G969" s="21"/>
      <c r="H969" s="19"/>
      <c r="I969" s="23" t="str">
        <f aca="false">IF(A969="","",TEXT(A969,"yyyy-mm"))</f>
        <v/>
      </c>
    </row>
    <row r="970" customFormat="false" ht="15" hidden="false" customHeight="false" outlineLevel="0" collapsed="false">
      <c r="A970" s="20"/>
      <c r="B970" s="19"/>
      <c r="C970" s="19"/>
      <c r="D970" s="19"/>
      <c r="E970" s="19"/>
      <c r="F970" s="19"/>
      <c r="G970" s="21"/>
      <c r="H970" s="19"/>
      <c r="I970" s="23" t="str">
        <f aca="false">IF(A970="","",TEXT(A970,"yyyy-mm"))</f>
        <v/>
      </c>
    </row>
    <row r="971" customFormat="false" ht="15" hidden="false" customHeight="false" outlineLevel="0" collapsed="false">
      <c r="A971" s="20"/>
      <c r="B971" s="19"/>
      <c r="C971" s="19"/>
      <c r="D971" s="19"/>
      <c r="E971" s="19"/>
      <c r="F971" s="19"/>
      <c r="G971" s="21"/>
      <c r="H971" s="19"/>
      <c r="I971" s="23" t="str">
        <f aca="false">IF(A971="","",TEXT(A971,"yyyy-mm"))</f>
        <v/>
      </c>
    </row>
    <row r="972" customFormat="false" ht="15" hidden="false" customHeight="false" outlineLevel="0" collapsed="false">
      <c r="A972" s="20"/>
      <c r="B972" s="19"/>
      <c r="C972" s="19"/>
      <c r="D972" s="19"/>
      <c r="E972" s="19"/>
      <c r="F972" s="19"/>
      <c r="G972" s="21"/>
      <c r="H972" s="19"/>
      <c r="I972" s="23" t="str">
        <f aca="false">IF(A972="","",TEXT(A972,"yyyy-mm"))</f>
        <v/>
      </c>
    </row>
    <row r="973" customFormat="false" ht="15" hidden="false" customHeight="false" outlineLevel="0" collapsed="false">
      <c r="A973" s="20"/>
      <c r="B973" s="19"/>
      <c r="C973" s="19"/>
      <c r="D973" s="19"/>
      <c r="E973" s="19"/>
      <c r="F973" s="19"/>
      <c r="G973" s="21"/>
      <c r="H973" s="19"/>
      <c r="I973" s="23" t="str">
        <f aca="false">IF(A973="","",TEXT(A973,"yyyy-mm"))</f>
        <v/>
      </c>
    </row>
    <row r="974" customFormat="false" ht="15" hidden="false" customHeight="false" outlineLevel="0" collapsed="false">
      <c r="A974" s="20"/>
      <c r="B974" s="19"/>
      <c r="C974" s="19"/>
      <c r="D974" s="19"/>
      <c r="E974" s="19"/>
      <c r="F974" s="19"/>
      <c r="G974" s="21"/>
      <c r="H974" s="19"/>
      <c r="I974" s="23" t="str">
        <f aca="false">IF(A974="","",TEXT(A974,"yyyy-mm"))</f>
        <v/>
      </c>
    </row>
    <row r="975" customFormat="false" ht="15" hidden="false" customHeight="false" outlineLevel="0" collapsed="false">
      <c r="A975" s="20"/>
      <c r="B975" s="19"/>
      <c r="C975" s="19"/>
      <c r="D975" s="19"/>
      <c r="E975" s="19"/>
      <c r="F975" s="19"/>
      <c r="G975" s="21"/>
      <c r="H975" s="19"/>
      <c r="I975" s="23" t="str">
        <f aca="false">IF(A975="","",TEXT(A975,"yyyy-mm"))</f>
        <v/>
      </c>
    </row>
    <row r="976" customFormat="false" ht="15" hidden="false" customHeight="false" outlineLevel="0" collapsed="false">
      <c r="A976" s="20"/>
      <c r="B976" s="19"/>
      <c r="C976" s="19"/>
      <c r="D976" s="19"/>
      <c r="E976" s="19"/>
      <c r="F976" s="19"/>
      <c r="G976" s="21"/>
      <c r="H976" s="19"/>
      <c r="I976" s="23" t="str">
        <f aca="false">IF(A976="","",TEXT(A976,"yyyy-mm"))</f>
        <v/>
      </c>
    </row>
    <row r="977" customFormat="false" ht="15" hidden="false" customHeight="false" outlineLevel="0" collapsed="false">
      <c r="A977" s="20"/>
      <c r="B977" s="19"/>
      <c r="C977" s="19"/>
      <c r="D977" s="19"/>
      <c r="E977" s="19"/>
      <c r="F977" s="19"/>
      <c r="G977" s="21"/>
      <c r="H977" s="19"/>
      <c r="I977" s="23" t="str">
        <f aca="false">IF(A977="","",TEXT(A977,"yyyy-mm"))</f>
        <v/>
      </c>
    </row>
    <row r="978" customFormat="false" ht="15" hidden="false" customHeight="false" outlineLevel="0" collapsed="false">
      <c r="A978" s="20"/>
      <c r="B978" s="19"/>
      <c r="C978" s="19"/>
      <c r="D978" s="19"/>
      <c r="E978" s="19"/>
      <c r="F978" s="19"/>
      <c r="G978" s="21"/>
      <c r="H978" s="19"/>
      <c r="I978" s="23" t="str">
        <f aca="false">IF(A978="","",TEXT(A978,"yyyy-mm"))</f>
        <v/>
      </c>
    </row>
    <row r="979" customFormat="false" ht="15" hidden="false" customHeight="false" outlineLevel="0" collapsed="false">
      <c r="A979" s="20"/>
      <c r="B979" s="19"/>
      <c r="C979" s="19"/>
      <c r="D979" s="19"/>
      <c r="E979" s="19"/>
      <c r="F979" s="19"/>
      <c r="G979" s="21"/>
      <c r="H979" s="19"/>
      <c r="I979" s="23" t="str">
        <f aca="false">IF(A979="","",TEXT(A979,"yyyy-mm"))</f>
        <v/>
      </c>
    </row>
    <row r="980" customFormat="false" ht="15" hidden="false" customHeight="false" outlineLevel="0" collapsed="false">
      <c r="A980" s="20"/>
      <c r="B980" s="19"/>
      <c r="C980" s="19"/>
      <c r="D980" s="19"/>
      <c r="E980" s="19"/>
      <c r="F980" s="19"/>
      <c r="G980" s="21"/>
      <c r="H980" s="19"/>
      <c r="I980" s="23" t="str">
        <f aca="false">IF(A980="","",TEXT(A980,"yyyy-mm"))</f>
        <v/>
      </c>
    </row>
    <row r="981" customFormat="false" ht="15" hidden="false" customHeight="false" outlineLevel="0" collapsed="false">
      <c r="A981" s="20"/>
      <c r="B981" s="19"/>
      <c r="C981" s="19"/>
      <c r="D981" s="19"/>
      <c r="E981" s="19"/>
      <c r="F981" s="19"/>
      <c r="G981" s="21"/>
      <c r="H981" s="19"/>
      <c r="I981" s="23" t="str">
        <f aca="false">IF(A981="","",TEXT(A981,"yyyy-mm"))</f>
        <v/>
      </c>
    </row>
    <row r="982" customFormat="false" ht="15" hidden="false" customHeight="false" outlineLevel="0" collapsed="false">
      <c r="A982" s="20"/>
      <c r="B982" s="19"/>
      <c r="C982" s="19"/>
      <c r="D982" s="19"/>
      <c r="E982" s="19"/>
      <c r="F982" s="19"/>
      <c r="G982" s="21"/>
      <c r="H982" s="19"/>
      <c r="I982" s="23" t="str">
        <f aca="false">IF(A982="","",TEXT(A982,"yyyy-mm"))</f>
        <v/>
      </c>
    </row>
    <row r="983" customFormat="false" ht="15" hidden="false" customHeight="false" outlineLevel="0" collapsed="false">
      <c r="A983" s="20"/>
      <c r="B983" s="19"/>
      <c r="C983" s="19"/>
      <c r="D983" s="19"/>
      <c r="E983" s="19"/>
      <c r="F983" s="19"/>
      <c r="G983" s="21"/>
      <c r="H983" s="19"/>
      <c r="I983" s="23" t="str">
        <f aca="false">IF(A983="","",TEXT(A983,"yyyy-mm"))</f>
        <v/>
      </c>
    </row>
    <row r="984" customFormat="false" ht="15" hidden="false" customHeight="false" outlineLevel="0" collapsed="false">
      <c r="A984" s="20"/>
      <c r="B984" s="19"/>
      <c r="C984" s="19"/>
      <c r="D984" s="19"/>
      <c r="E984" s="19"/>
      <c r="F984" s="19"/>
      <c r="G984" s="21"/>
      <c r="H984" s="19"/>
      <c r="I984" s="23" t="str">
        <f aca="false">IF(A984="","",TEXT(A984,"yyyy-mm"))</f>
        <v/>
      </c>
    </row>
    <row r="985" customFormat="false" ht="15" hidden="false" customHeight="false" outlineLevel="0" collapsed="false">
      <c r="A985" s="20"/>
      <c r="B985" s="19"/>
      <c r="C985" s="19"/>
      <c r="D985" s="19"/>
      <c r="E985" s="19"/>
      <c r="F985" s="19"/>
      <c r="G985" s="21"/>
      <c r="H985" s="19"/>
      <c r="I985" s="23" t="str">
        <f aca="false">IF(A985="","",TEXT(A985,"yyyy-mm"))</f>
        <v/>
      </c>
    </row>
    <row r="986" customFormat="false" ht="15" hidden="false" customHeight="false" outlineLevel="0" collapsed="false">
      <c r="A986" s="20"/>
      <c r="B986" s="19"/>
      <c r="C986" s="19"/>
      <c r="D986" s="19"/>
      <c r="E986" s="19"/>
      <c r="F986" s="19"/>
      <c r="G986" s="21"/>
      <c r="H986" s="19"/>
      <c r="I986" s="23" t="str">
        <f aca="false">IF(A986="","",TEXT(A986,"yyyy-mm"))</f>
        <v/>
      </c>
    </row>
    <row r="987" customFormat="false" ht="15" hidden="false" customHeight="false" outlineLevel="0" collapsed="false">
      <c r="A987" s="20"/>
      <c r="B987" s="19"/>
      <c r="C987" s="19"/>
      <c r="D987" s="19"/>
      <c r="E987" s="19"/>
      <c r="F987" s="19"/>
      <c r="G987" s="21"/>
      <c r="H987" s="19"/>
      <c r="I987" s="23" t="str">
        <f aca="false">IF(A987="","",TEXT(A987,"yyyy-mm"))</f>
        <v/>
      </c>
    </row>
    <row r="988" customFormat="false" ht="15" hidden="false" customHeight="false" outlineLevel="0" collapsed="false">
      <c r="A988" s="20"/>
      <c r="B988" s="19"/>
      <c r="C988" s="19"/>
      <c r="D988" s="19"/>
      <c r="E988" s="19"/>
      <c r="F988" s="19"/>
      <c r="G988" s="21"/>
      <c r="H988" s="19"/>
      <c r="I988" s="23" t="str">
        <f aca="false">IF(A988="","",TEXT(A988,"yyyy-mm"))</f>
        <v/>
      </c>
    </row>
    <row r="989" customFormat="false" ht="15" hidden="false" customHeight="false" outlineLevel="0" collapsed="false">
      <c r="A989" s="20"/>
      <c r="B989" s="19"/>
      <c r="C989" s="19"/>
      <c r="D989" s="19"/>
      <c r="E989" s="19"/>
      <c r="F989" s="19"/>
      <c r="G989" s="21"/>
      <c r="H989" s="19"/>
      <c r="I989" s="23" t="str">
        <f aca="false">IF(A989="","",TEXT(A989,"yyyy-mm"))</f>
        <v/>
      </c>
    </row>
    <row r="990" customFormat="false" ht="15" hidden="false" customHeight="false" outlineLevel="0" collapsed="false">
      <c r="A990" s="20"/>
      <c r="B990" s="19"/>
      <c r="C990" s="19"/>
      <c r="D990" s="19"/>
      <c r="E990" s="19"/>
      <c r="F990" s="19"/>
      <c r="G990" s="21"/>
      <c r="H990" s="19"/>
      <c r="I990" s="23" t="str">
        <f aca="false">IF(A990="","",TEXT(A990,"yyyy-mm"))</f>
        <v/>
      </c>
    </row>
    <row r="991" customFormat="false" ht="15" hidden="false" customHeight="false" outlineLevel="0" collapsed="false">
      <c r="A991" s="20"/>
      <c r="B991" s="19"/>
      <c r="C991" s="19"/>
      <c r="D991" s="19"/>
      <c r="E991" s="19"/>
      <c r="F991" s="19"/>
      <c r="G991" s="21"/>
      <c r="H991" s="19"/>
      <c r="I991" s="23" t="str">
        <f aca="false">IF(A991="","",TEXT(A991,"yyyy-mm"))</f>
        <v/>
      </c>
    </row>
    <row r="992" customFormat="false" ht="15" hidden="false" customHeight="false" outlineLevel="0" collapsed="false">
      <c r="A992" s="20"/>
      <c r="B992" s="19"/>
      <c r="C992" s="19"/>
      <c r="D992" s="19"/>
      <c r="E992" s="19"/>
      <c r="F992" s="19"/>
      <c r="G992" s="21"/>
      <c r="H992" s="19"/>
      <c r="I992" s="23" t="str">
        <f aca="false">IF(A992="","",TEXT(A992,"yyyy-mm"))</f>
        <v/>
      </c>
    </row>
    <row r="993" customFormat="false" ht="15" hidden="false" customHeight="false" outlineLevel="0" collapsed="false">
      <c r="A993" s="20"/>
      <c r="B993" s="19"/>
      <c r="C993" s="19"/>
      <c r="D993" s="19"/>
      <c r="E993" s="19"/>
      <c r="F993" s="19"/>
      <c r="G993" s="21"/>
      <c r="H993" s="19"/>
      <c r="I993" s="23" t="str">
        <f aca="false">IF(A993="","",TEXT(A993,"yyyy-mm"))</f>
        <v/>
      </c>
    </row>
    <row r="994" customFormat="false" ht="15" hidden="false" customHeight="false" outlineLevel="0" collapsed="false">
      <c r="A994" s="20"/>
      <c r="B994" s="19"/>
      <c r="C994" s="19"/>
      <c r="D994" s="19"/>
      <c r="E994" s="19"/>
      <c r="F994" s="19"/>
      <c r="G994" s="21"/>
      <c r="H994" s="19"/>
      <c r="I994" s="23" t="str">
        <f aca="false">IF(A994="","",TEXT(A994,"yyyy-mm"))</f>
        <v/>
      </c>
    </row>
    <row r="995" customFormat="false" ht="15" hidden="false" customHeight="false" outlineLevel="0" collapsed="false">
      <c r="A995" s="20"/>
      <c r="B995" s="19"/>
      <c r="C995" s="19"/>
      <c r="D995" s="19"/>
      <c r="E995" s="19"/>
      <c r="F995" s="19"/>
      <c r="G995" s="21"/>
      <c r="H995" s="19"/>
      <c r="I995" s="23" t="str">
        <f aca="false">IF(A995="","",TEXT(A995,"yyyy-mm"))</f>
        <v/>
      </c>
    </row>
    <row r="996" customFormat="false" ht="15" hidden="false" customHeight="false" outlineLevel="0" collapsed="false">
      <c r="A996" s="20"/>
      <c r="B996" s="19"/>
      <c r="C996" s="19"/>
      <c r="D996" s="19"/>
      <c r="E996" s="19"/>
      <c r="F996" s="19"/>
      <c r="G996" s="21"/>
      <c r="H996" s="19"/>
      <c r="I996" s="23" t="str">
        <f aca="false">IF(A996="","",TEXT(A996,"yyyy-mm"))</f>
        <v/>
      </c>
    </row>
    <row r="997" customFormat="false" ht="15" hidden="false" customHeight="false" outlineLevel="0" collapsed="false">
      <c r="A997" s="20"/>
      <c r="B997" s="19"/>
      <c r="C997" s="19"/>
      <c r="D997" s="19"/>
      <c r="E997" s="19"/>
      <c r="F997" s="19"/>
      <c r="G997" s="21"/>
      <c r="H997" s="19"/>
      <c r="I997" s="23" t="str">
        <f aca="false">IF(A997="","",TEXT(A997,"yyyy-mm"))</f>
        <v/>
      </c>
    </row>
    <row r="998" customFormat="false" ht="15" hidden="false" customHeight="false" outlineLevel="0" collapsed="false">
      <c r="A998" s="20"/>
      <c r="B998" s="19"/>
      <c r="C998" s="19"/>
      <c r="D998" s="19"/>
      <c r="E998" s="19"/>
      <c r="F998" s="19"/>
      <c r="G998" s="21"/>
      <c r="H998" s="19"/>
      <c r="I998" s="23" t="str">
        <f aca="false">IF(A998="","",TEXT(A998,"yyyy-mm"))</f>
        <v/>
      </c>
    </row>
    <row r="999" customFormat="false" ht="15" hidden="false" customHeight="false" outlineLevel="0" collapsed="false">
      <c r="A999" s="20"/>
      <c r="B999" s="19"/>
      <c r="C999" s="19"/>
      <c r="D999" s="19"/>
      <c r="E999" s="19"/>
      <c r="F999" s="19"/>
      <c r="G999" s="21"/>
      <c r="H999" s="19"/>
      <c r="I999" s="23" t="str">
        <f aca="false">IF(A999="","",TEXT(A999,"yyyy-mm"))</f>
        <v/>
      </c>
    </row>
    <row r="1000" customFormat="false" ht="15" hidden="false" customHeight="false" outlineLevel="0" collapsed="false">
      <c r="A1000" s="20"/>
      <c r="B1000" s="19"/>
      <c r="C1000" s="19"/>
      <c r="D1000" s="19"/>
      <c r="E1000" s="19"/>
      <c r="F1000" s="19"/>
      <c r="G1000" s="21"/>
      <c r="H1000" s="19"/>
      <c r="I1000" s="23" t="str">
        <f aca="false">IF(A1000="","",TEXT(A1000,"yyyy-mm"))</f>
        <v/>
      </c>
    </row>
    <row r="1001" customFormat="false" ht="15" hidden="false" customHeight="false" outlineLevel="0" collapsed="false">
      <c r="A1001" s="20"/>
      <c r="B1001" s="19"/>
      <c r="C1001" s="19"/>
      <c r="D1001" s="19"/>
      <c r="E1001" s="19"/>
      <c r="F1001" s="19"/>
      <c r="G1001" s="21"/>
      <c r="H1001" s="19"/>
      <c r="I1001" s="23" t="str">
        <f aca="false">IF(A1001="","",TEXT(A1001,"yyyy-mm"))</f>
        <v/>
      </c>
    </row>
    <row r="1002" customFormat="false" ht="15" hidden="false" customHeight="false" outlineLevel="0" collapsed="false">
      <c r="A1002" s="20"/>
      <c r="B1002" s="19"/>
      <c r="C1002" s="19"/>
      <c r="D1002" s="19"/>
      <c r="E1002" s="19"/>
      <c r="F1002" s="19"/>
      <c r="G1002" s="21"/>
      <c r="H1002" s="19"/>
      <c r="I1002" s="23" t="str">
        <f aca="false">IF(A1002="","",TEXT(A1002,"yyyy-mm"))</f>
        <v/>
      </c>
    </row>
    <row r="1003" customFormat="false" ht="15" hidden="false" customHeight="false" outlineLevel="0" collapsed="false">
      <c r="A1003" s="20"/>
      <c r="B1003" s="19"/>
      <c r="C1003" s="19"/>
      <c r="D1003" s="19"/>
      <c r="E1003" s="19"/>
      <c r="F1003" s="19"/>
      <c r="G1003" s="21"/>
      <c r="H1003" s="19"/>
      <c r="I1003" s="23" t="str">
        <f aca="false">IF(A1003="","",TEXT(A1003,"yyyy-mm"))</f>
        <v/>
      </c>
    </row>
    <row r="1004" customFormat="false" ht="15" hidden="false" customHeight="false" outlineLevel="0" collapsed="false">
      <c r="A1004" s="20"/>
      <c r="B1004" s="19"/>
      <c r="C1004" s="19"/>
      <c r="D1004" s="19"/>
      <c r="E1004" s="19"/>
      <c r="F1004" s="19"/>
      <c r="G1004" s="21"/>
      <c r="H1004" s="19"/>
      <c r="I1004" s="23" t="str">
        <f aca="false">IF(A1004="","",TEXT(A1004,"yyyy-mm"))</f>
        <v/>
      </c>
    </row>
    <row r="1005" customFormat="false" ht="15" hidden="false" customHeight="false" outlineLevel="0" collapsed="false">
      <c r="A1005" s="20"/>
      <c r="B1005" s="19"/>
      <c r="C1005" s="19"/>
      <c r="D1005" s="19"/>
      <c r="E1005" s="19"/>
      <c r="F1005" s="19"/>
      <c r="G1005" s="21"/>
      <c r="H1005" s="19"/>
      <c r="I1005" s="23" t="str">
        <f aca="false">IF(A1005="","",TEXT(A1005,"yyyy-mm"))</f>
        <v/>
      </c>
    </row>
    <row r="1006" customFormat="false" ht="15" hidden="false" customHeight="false" outlineLevel="0" collapsed="false">
      <c r="A1006" s="20"/>
      <c r="B1006" s="19"/>
      <c r="C1006" s="19"/>
      <c r="D1006" s="19"/>
      <c r="E1006" s="19"/>
      <c r="F1006" s="19"/>
      <c r="G1006" s="21"/>
      <c r="H1006" s="19"/>
      <c r="I1006" s="23" t="str">
        <f aca="false">IF(A1006="","",TEXT(A1006,"yyyy-mm"))</f>
        <v/>
      </c>
    </row>
    <row r="1007" customFormat="false" ht="15" hidden="false" customHeight="false" outlineLevel="0" collapsed="false">
      <c r="A1007" s="20"/>
      <c r="B1007" s="19"/>
      <c r="C1007" s="19"/>
      <c r="D1007" s="19"/>
      <c r="E1007" s="19"/>
      <c r="F1007" s="19"/>
      <c r="G1007" s="21"/>
      <c r="H1007" s="19"/>
      <c r="I1007" s="23" t="str">
        <f aca="false">IF(A1007="","",TEXT(A1007,"yyyy-mm"))</f>
        <v/>
      </c>
    </row>
    <row r="1008" customFormat="false" ht="15" hidden="false" customHeight="false" outlineLevel="0" collapsed="false">
      <c r="A1008" s="20"/>
      <c r="B1008" s="19"/>
      <c r="C1008" s="19"/>
      <c r="D1008" s="19"/>
      <c r="E1008" s="19"/>
      <c r="F1008" s="19"/>
      <c r="G1008" s="21"/>
      <c r="H1008" s="19"/>
      <c r="I1008" s="23" t="str">
        <f aca="false">IF(A1008="","",TEXT(A1008,"yyyy-mm"))</f>
        <v/>
      </c>
    </row>
    <row r="1009" customFormat="false" ht="15" hidden="false" customHeight="false" outlineLevel="0" collapsed="false">
      <c r="A1009" s="20"/>
      <c r="B1009" s="19"/>
      <c r="C1009" s="19"/>
      <c r="D1009" s="19"/>
      <c r="E1009" s="19"/>
      <c r="F1009" s="19"/>
      <c r="G1009" s="21"/>
      <c r="H1009" s="19"/>
      <c r="I1009" s="23" t="str">
        <f aca="false">IF(A1009="","",TEXT(A1009,"yyyy-mm"))</f>
        <v/>
      </c>
    </row>
    <row r="1010" customFormat="false" ht="15" hidden="false" customHeight="false" outlineLevel="0" collapsed="false">
      <c r="A1010" s="20"/>
      <c r="B1010" s="19"/>
      <c r="C1010" s="19"/>
      <c r="D1010" s="19"/>
      <c r="E1010" s="19"/>
      <c r="F1010" s="19"/>
      <c r="G1010" s="21"/>
      <c r="H1010" s="19"/>
      <c r="I1010" s="23" t="str">
        <f aca="false">IF(A1010="","",TEXT(A1010,"yyyy-mm"))</f>
        <v/>
      </c>
    </row>
    <row r="1011" customFormat="false" ht="15" hidden="false" customHeight="false" outlineLevel="0" collapsed="false">
      <c r="A1011" s="20"/>
      <c r="B1011" s="19"/>
      <c r="C1011" s="19"/>
      <c r="D1011" s="19"/>
      <c r="E1011" s="19"/>
      <c r="F1011" s="19"/>
      <c r="G1011" s="21"/>
      <c r="H1011" s="19"/>
      <c r="I1011" s="23" t="str">
        <f aca="false">IF(A1011="","",TEXT(A1011,"yyyy-mm"))</f>
        <v/>
      </c>
    </row>
    <row r="1012" customFormat="false" ht="15" hidden="false" customHeight="false" outlineLevel="0" collapsed="false">
      <c r="A1012" s="20"/>
      <c r="B1012" s="19"/>
      <c r="C1012" s="19"/>
      <c r="D1012" s="19"/>
      <c r="E1012" s="19"/>
      <c r="F1012" s="19"/>
      <c r="G1012" s="21"/>
      <c r="H1012" s="19"/>
      <c r="I1012" s="23" t="str">
        <f aca="false">IF(A1012="","",TEXT(A1012,"yyyy-mm"))</f>
        <v/>
      </c>
    </row>
    <row r="1013" customFormat="false" ht="15" hidden="false" customHeight="false" outlineLevel="0" collapsed="false">
      <c r="A1013" s="20"/>
      <c r="B1013" s="19"/>
      <c r="C1013" s="19"/>
      <c r="D1013" s="19"/>
      <c r="E1013" s="19"/>
      <c r="F1013" s="19"/>
      <c r="G1013" s="21"/>
      <c r="H1013" s="19"/>
      <c r="I1013" s="23" t="str">
        <f aca="false">IF(A1013="","",TEXT(A1013,"yyyy-mm"))</f>
        <v/>
      </c>
    </row>
    <row r="1014" customFormat="false" ht="15" hidden="false" customHeight="false" outlineLevel="0" collapsed="false">
      <c r="A1014" s="20"/>
      <c r="B1014" s="19"/>
      <c r="C1014" s="19"/>
      <c r="D1014" s="19"/>
      <c r="E1014" s="19"/>
      <c r="F1014" s="19"/>
      <c r="G1014" s="21"/>
      <c r="H1014" s="19"/>
      <c r="I1014" s="23" t="str">
        <f aca="false">IF(A1014="","",TEXT(A1014,"yyyy-mm"))</f>
        <v/>
      </c>
    </row>
    <row r="1015" customFormat="false" ht="15" hidden="false" customHeight="false" outlineLevel="0" collapsed="false">
      <c r="A1015" s="20"/>
      <c r="B1015" s="19"/>
      <c r="C1015" s="19"/>
      <c r="D1015" s="19"/>
      <c r="E1015" s="19"/>
      <c r="F1015" s="19"/>
      <c r="G1015" s="21"/>
      <c r="H1015" s="19"/>
      <c r="I1015" s="23" t="str">
        <f aca="false">IF(A1015="","",TEXT(A1015,"yyyy-mm"))</f>
        <v/>
      </c>
    </row>
    <row r="1016" customFormat="false" ht="15" hidden="false" customHeight="false" outlineLevel="0" collapsed="false">
      <c r="A1016" s="20"/>
      <c r="B1016" s="19"/>
      <c r="C1016" s="19"/>
      <c r="D1016" s="19"/>
      <c r="E1016" s="19"/>
      <c r="F1016" s="19"/>
      <c r="G1016" s="21"/>
      <c r="H1016" s="19"/>
      <c r="I1016" s="23" t="str">
        <f aca="false">IF(A1016="","",TEXT(A1016,"yyyy-mm"))</f>
        <v/>
      </c>
    </row>
    <row r="1017" customFormat="false" ht="15" hidden="false" customHeight="false" outlineLevel="0" collapsed="false">
      <c r="A1017" s="20"/>
      <c r="B1017" s="19"/>
      <c r="C1017" s="19"/>
      <c r="D1017" s="19"/>
      <c r="E1017" s="19"/>
      <c r="F1017" s="19"/>
      <c r="G1017" s="21"/>
      <c r="H1017" s="19"/>
      <c r="I1017" s="23" t="str">
        <f aca="false">IF(A1017="","",TEXT(A1017,"yyyy-mm"))</f>
        <v/>
      </c>
    </row>
    <row r="1018" customFormat="false" ht="15" hidden="false" customHeight="false" outlineLevel="0" collapsed="false">
      <c r="A1018" s="20"/>
      <c r="B1018" s="19"/>
      <c r="C1018" s="19"/>
      <c r="D1018" s="19"/>
      <c r="E1018" s="19"/>
      <c r="F1018" s="19"/>
      <c r="G1018" s="21"/>
      <c r="H1018" s="19"/>
      <c r="I1018" s="23" t="str">
        <f aca="false">IF(A1018="","",TEXT(A1018,"yyyy-mm"))</f>
        <v/>
      </c>
    </row>
    <row r="1019" customFormat="false" ht="15" hidden="false" customHeight="false" outlineLevel="0" collapsed="false">
      <c r="A1019" s="20"/>
      <c r="B1019" s="19"/>
      <c r="C1019" s="19"/>
      <c r="D1019" s="19"/>
      <c r="E1019" s="19"/>
      <c r="F1019" s="19"/>
      <c r="G1019" s="21"/>
      <c r="H1019" s="19"/>
      <c r="I1019" s="23" t="str">
        <f aca="false">IF(A1019="","",TEXT(A1019,"yyyy-mm"))</f>
        <v/>
      </c>
    </row>
    <row r="1020" customFormat="false" ht="15" hidden="false" customHeight="false" outlineLevel="0" collapsed="false">
      <c r="A1020" s="20"/>
      <c r="B1020" s="19"/>
      <c r="C1020" s="19"/>
      <c r="D1020" s="19"/>
      <c r="E1020" s="19"/>
      <c r="F1020" s="19"/>
      <c r="G1020" s="21"/>
      <c r="H1020" s="19"/>
      <c r="I1020" s="23" t="str">
        <f aca="false">IF(A1020="","",TEXT(A1020,"yyyy-mm"))</f>
        <v/>
      </c>
    </row>
    <row r="1021" customFormat="false" ht="15" hidden="false" customHeight="false" outlineLevel="0" collapsed="false">
      <c r="A1021" s="20"/>
      <c r="B1021" s="19"/>
      <c r="C1021" s="19"/>
      <c r="D1021" s="19"/>
      <c r="E1021" s="19"/>
      <c r="F1021" s="19"/>
      <c r="G1021" s="21"/>
      <c r="H1021" s="19"/>
      <c r="I1021" s="23" t="str">
        <f aca="false">IF(A1021="","",TEXT(A1021,"yyyy-mm"))</f>
        <v/>
      </c>
    </row>
    <row r="1022" customFormat="false" ht="15" hidden="false" customHeight="false" outlineLevel="0" collapsed="false">
      <c r="A1022" s="20"/>
      <c r="B1022" s="19"/>
      <c r="C1022" s="19"/>
      <c r="D1022" s="19"/>
      <c r="E1022" s="19"/>
      <c r="F1022" s="19"/>
      <c r="G1022" s="21"/>
      <c r="H1022" s="19"/>
      <c r="I1022" s="23" t="str">
        <f aca="false">IF(A1022="","",TEXT(A1022,"yyyy-mm"))</f>
        <v/>
      </c>
    </row>
    <row r="1023" customFormat="false" ht="15" hidden="false" customHeight="false" outlineLevel="0" collapsed="false">
      <c r="A1023" s="20"/>
      <c r="B1023" s="19"/>
      <c r="C1023" s="19"/>
      <c r="D1023" s="19"/>
      <c r="E1023" s="19"/>
      <c r="F1023" s="19"/>
      <c r="G1023" s="21"/>
      <c r="H1023" s="19"/>
      <c r="I1023" s="23" t="str">
        <f aca="false">IF(A1023="","",TEXT(A1023,"yyyy-mm"))</f>
        <v/>
      </c>
    </row>
    <row r="1024" customFormat="false" ht="15" hidden="false" customHeight="false" outlineLevel="0" collapsed="false">
      <c r="A1024" s="20"/>
      <c r="B1024" s="19"/>
      <c r="C1024" s="19"/>
      <c r="D1024" s="19"/>
      <c r="E1024" s="19"/>
      <c r="F1024" s="19"/>
      <c r="G1024" s="21"/>
      <c r="H1024" s="19"/>
      <c r="I1024" s="23" t="str">
        <f aca="false">IF(A1024="","",TEXT(A1024,"yyyy-mm"))</f>
        <v/>
      </c>
    </row>
    <row r="1025" customFormat="false" ht="15" hidden="false" customHeight="false" outlineLevel="0" collapsed="false">
      <c r="A1025" s="20"/>
      <c r="B1025" s="19"/>
      <c r="C1025" s="19"/>
      <c r="D1025" s="19"/>
      <c r="E1025" s="19"/>
      <c r="F1025" s="19"/>
      <c r="G1025" s="21"/>
      <c r="H1025" s="19"/>
      <c r="I1025" s="23" t="str">
        <f aca="false">IF(A1025="","",TEXT(A1025,"yyyy-mm"))</f>
        <v/>
      </c>
    </row>
    <row r="1026" customFormat="false" ht="15" hidden="false" customHeight="false" outlineLevel="0" collapsed="false">
      <c r="A1026" s="20"/>
      <c r="B1026" s="19"/>
      <c r="C1026" s="19"/>
      <c r="D1026" s="19"/>
      <c r="E1026" s="19"/>
      <c r="F1026" s="19"/>
      <c r="G1026" s="21"/>
      <c r="H1026" s="19"/>
      <c r="I1026" s="23" t="str">
        <f aca="false">IF(A1026="","",TEXT(A1026,"yyyy-mm"))</f>
        <v/>
      </c>
    </row>
    <row r="1027" customFormat="false" ht="15" hidden="false" customHeight="false" outlineLevel="0" collapsed="false">
      <c r="A1027" s="20"/>
      <c r="B1027" s="19"/>
      <c r="C1027" s="19"/>
      <c r="D1027" s="19"/>
      <c r="E1027" s="19"/>
      <c r="F1027" s="19"/>
      <c r="G1027" s="21"/>
      <c r="H1027" s="19"/>
      <c r="I1027" s="23" t="str">
        <f aca="false">IF(A1027="","",TEXT(A1027,"yyyy-mm"))</f>
        <v/>
      </c>
    </row>
    <row r="1028" customFormat="false" ht="15" hidden="false" customHeight="false" outlineLevel="0" collapsed="false">
      <c r="A1028" s="20"/>
      <c r="B1028" s="19"/>
      <c r="C1028" s="19"/>
      <c r="D1028" s="19"/>
      <c r="E1028" s="19"/>
      <c r="F1028" s="19"/>
      <c r="G1028" s="21"/>
      <c r="H1028" s="19"/>
      <c r="I1028" s="23" t="str">
        <f aca="false">IF(A1028="","",TEXT(A1028,"yyyy-mm"))</f>
        <v/>
      </c>
    </row>
    <row r="1029" customFormat="false" ht="15" hidden="false" customHeight="false" outlineLevel="0" collapsed="false">
      <c r="A1029" s="20"/>
      <c r="B1029" s="19"/>
      <c r="C1029" s="19"/>
      <c r="D1029" s="19"/>
      <c r="E1029" s="19"/>
      <c r="F1029" s="19"/>
      <c r="G1029" s="21"/>
      <c r="H1029" s="19"/>
      <c r="I1029" s="23" t="str">
        <f aca="false">IF(A1029="","",TEXT(A1029,"yyyy-mm"))</f>
        <v/>
      </c>
    </row>
    <row r="1030" customFormat="false" ht="15" hidden="false" customHeight="false" outlineLevel="0" collapsed="false">
      <c r="A1030" s="20"/>
      <c r="B1030" s="19"/>
      <c r="C1030" s="19"/>
      <c r="D1030" s="19"/>
      <c r="E1030" s="19"/>
      <c r="F1030" s="19"/>
      <c r="G1030" s="21"/>
      <c r="H1030" s="19"/>
      <c r="I1030" s="23" t="str">
        <f aca="false">IF(A1030="","",TEXT(A1030,"yyyy-mm"))</f>
        <v/>
      </c>
    </row>
    <row r="1031" customFormat="false" ht="15" hidden="false" customHeight="false" outlineLevel="0" collapsed="false">
      <c r="A1031" s="20"/>
      <c r="B1031" s="19"/>
      <c r="C1031" s="19"/>
      <c r="D1031" s="19"/>
      <c r="E1031" s="19"/>
      <c r="F1031" s="19"/>
      <c r="G1031" s="21"/>
      <c r="H1031" s="19"/>
      <c r="I1031" s="23" t="str">
        <f aca="false">IF(A1031="","",TEXT(A1031,"yyyy-mm"))</f>
        <v/>
      </c>
    </row>
    <row r="1032" customFormat="false" ht="15" hidden="false" customHeight="false" outlineLevel="0" collapsed="false">
      <c r="A1032" s="20"/>
      <c r="B1032" s="19"/>
      <c r="C1032" s="19"/>
      <c r="D1032" s="19"/>
      <c r="E1032" s="19"/>
      <c r="F1032" s="19"/>
      <c r="G1032" s="21"/>
      <c r="H1032" s="19"/>
      <c r="I1032" s="23" t="str">
        <f aca="false">IF(A1032="","",TEXT(A1032,"yyyy-mm"))</f>
        <v/>
      </c>
    </row>
    <row r="1033" customFormat="false" ht="15" hidden="false" customHeight="false" outlineLevel="0" collapsed="false">
      <c r="A1033" s="20"/>
      <c r="B1033" s="19"/>
      <c r="C1033" s="19"/>
      <c r="D1033" s="19"/>
      <c r="E1033" s="19"/>
      <c r="F1033" s="19"/>
      <c r="G1033" s="21"/>
      <c r="H1033" s="19"/>
      <c r="I1033" s="23" t="str">
        <f aca="false">IF(A1033="","",TEXT(A1033,"yyyy-mm"))</f>
        <v/>
      </c>
    </row>
    <row r="1034" customFormat="false" ht="15" hidden="false" customHeight="false" outlineLevel="0" collapsed="false">
      <c r="A1034" s="20"/>
      <c r="B1034" s="19"/>
      <c r="C1034" s="19"/>
      <c r="D1034" s="19"/>
      <c r="E1034" s="19"/>
      <c r="F1034" s="19"/>
      <c r="G1034" s="21"/>
      <c r="H1034" s="19"/>
      <c r="I1034" s="23" t="str">
        <f aca="false">IF(A1034="","",TEXT(A1034,"yyyy-mm"))</f>
        <v/>
      </c>
    </row>
    <row r="1035" customFormat="false" ht="15" hidden="false" customHeight="false" outlineLevel="0" collapsed="false">
      <c r="A1035" s="20"/>
      <c r="B1035" s="19"/>
      <c r="C1035" s="19"/>
      <c r="D1035" s="19"/>
      <c r="E1035" s="19"/>
      <c r="F1035" s="19"/>
      <c r="G1035" s="21"/>
      <c r="H1035" s="19"/>
      <c r="I1035" s="23" t="str">
        <f aca="false">IF(A1035="","",TEXT(A1035,"yyyy-mm"))</f>
        <v/>
      </c>
    </row>
    <row r="1036" customFormat="false" ht="15" hidden="false" customHeight="false" outlineLevel="0" collapsed="false">
      <c r="A1036" s="20"/>
      <c r="B1036" s="19"/>
      <c r="C1036" s="19"/>
      <c r="D1036" s="19"/>
      <c r="E1036" s="19"/>
      <c r="F1036" s="19"/>
      <c r="G1036" s="21"/>
      <c r="H1036" s="19"/>
      <c r="I1036" s="23" t="str">
        <f aca="false">IF(A1036="","",TEXT(A1036,"yyyy-mm"))</f>
        <v/>
      </c>
    </row>
    <row r="1037" customFormat="false" ht="15" hidden="false" customHeight="false" outlineLevel="0" collapsed="false">
      <c r="A1037" s="20"/>
      <c r="B1037" s="19"/>
      <c r="C1037" s="19"/>
      <c r="D1037" s="19"/>
      <c r="E1037" s="19"/>
      <c r="F1037" s="19"/>
      <c r="G1037" s="21"/>
      <c r="H1037" s="19"/>
      <c r="I1037" s="23" t="str">
        <f aca="false">IF(A1037="","",TEXT(A1037,"yyyy-mm"))</f>
        <v/>
      </c>
    </row>
    <row r="1038" customFormat="false" ht="15" hidden="false" customHeight="false" outlineLevel="0" collapsed="false">
      <c r="A1038" s="20"/>
      <c r="B1038" s="19"/>
      <c r="C1038" s="19"/>
      <c r="D1038" s="19"/>
      <c r="E1038" s="19"/>
      <c r="F1038" s="19"/>
      <c r="G1038" s="21"/>
      <c r="H1038" s="19"/>
      <c r="I1038" s="23" t="str">
        <f aca="false">IF(A1038="","",TEXT(A1038,"yyyy-mm"))</f>
        <v/>
      </c>
    </row>
    <row r="1039" customFormat="false" ht="15" hidden="false" customHeight="false" outlineLevel="0" collapsed="false">
      <c r="A1039" s="20"/>
      <c r="B1039" s="19"/>
      <c r="C1039" s="19"/>
      <c r="D1039" s="19"/>
      <c r="E1039" s="19"/>
      <c r="F1039" s="19"/>
      <c r="G1039" s="21"/>
      <c r="H1039" s="19"/>
      <c r="I1039" s="23" t="str">
        <f aca="false">IF(A1039="","",TEXT(A1039,"yyyy-mm"))</f>
        <v/>
      </c>
    </row>
    <row r="1040" customFormat="false" ht="15" hidden="false" customHeight="false" outlineLevel="0" collapsed="false">
      <c r="A1040" s="20"/>
      <c r="B1040" s="19"/>
      <c r="C1040" s="19"/>
      <c r="D1040" s="19"/>
      <c r="E1040" s="19"/>
      <c r="F1040" s="19"/>
      <c r="G1040" s="21"/>
      <c r="H1040" s="19"/>
      <c r="I1040" s="23" t="str">
        <f aca="false">IF(A1040="","",TEXT(A1040,"yyyy-mm"))</f>
        <v/>
      </c>
    </row>
    <row r="1041" customFormat="false" ht="15" hidden="false" customHeight="false" outlineLevel="0" collapsed="false">
      <c r="A1041" s="20"/>
      <c r="B1041" s="19"/>
      <c r="C1041" s="19"/>
      <c r="D1041" s="19"/>
      <c r="E1041" s="19"/>
      <c r="F1041" s="19"/>
      <c r="G1041" s="21"/>
      <c r="H1041" s="19"/>
      <c r="I1041" s="23" t="str">
        <f aca="false">IF(A1041="","",TEXT(A1041,"yyyy-mm"))</f>
        <v/>
      </c>
    </row>
    <row r="1042" customFormat="false" ht="15" hidden="false" customHeight="false" outlineLevel="0" collapsed="false">
      <c r="A1042" s="20"/>
      <c r="B1042" s="19"/>
      <c r="C1042" s="19"/>
      <c r="D1042" s="19"/>
      <c r="E1042" s="19"/>
      <c r="F1042" s="19"/>
      <c r="G1042" s="21"/>
      <c r="H1042" s="19"/>
      <c r="I1042" s="23" t="str">
        <f aca="false">IF(A1042="","",TEXT(A1042,"yyyy-mm"))</f>
        <v/>
      </c>
    </row>
    <row r="1043" customFormat="false" ht="15" hidden="false" customHeight="false" outlineLevel="0" collapsed="false">
      <c r="A1043" s="20"/>
      <c r="B1043" s="19"/>
      <c r="C1043" s="19"/>
      <c r="D1043" s="19"/>
      <c r="E1043" s="19"/>
      <c r="F1043" s="19"/>
      <c r="G1043" s="21"/>
      <c r="H1043" s="19"/>
      <c r="I1043" s="23" t="str">
        <f aca="false">IF(A1043="","",TEXT(A1043,"yyyy-mm"))</f>
        <v/>
      </c>
    </row>
    <row r="1044" customFormat="false" ht="15" hidden="false" customHeight="false" outlineLevel="0" collapsed="false">
      <c r="A1044" s="20"/>
      <c r="B1044" s="19"/>
      <c r="C1044" s="19"/>
      <c r="D1044" s="19"/>
      <c r="E1044" s="19"/>
      <c r="F1044" s="19"/>
      <c r="G1044" s="21"/>
      <c r="H1044" s="19"/>
      <c r="I1044" s="23" t="str">
        <f aca="false">IF(A1044="","",TEXT(A1044,"yyyy-mm"))</f>
        <v/>
      </c>
    </row>
    <row r="1045" customFormat="false" ht="15" hidden="false" customHeight="false" outlineLevel="0" collapsed="false">
      <c r="A1045" s="20"/>
      <c r="B1045" s="19"/>
      <c r="C1045" s="19"/>
      <c r="D1045" s="19"/>
      <c r="E1045" s="19"/>
      <c r="F1045" s="19"/>
      <c r="G1045" s="21"/>
      <c r="H1045" s="19"/>
      <c r="I1045" s="23" t="str">
        <f aca="false">IF(A1045="","",TEXT(A1045,"yyyy-mm"))</f>
        <v/>
      </c>
    </row>
    <row r="1046" customFormat="false" ht="15" hidden="false" customHeight="false" outlineLevel="0" collapsed="false">
      <c r="A1046" s="20"/>
      <c r="B1046" s="19"/>
      <c r="C1046" s="19"/>
      <c r="D1046" s="19"/>
      <c r="E1046" s="19"/>
      <c r="F1046" s="19"/>
      <c r="G1046" s="21"/>
      <c r="H1046" s="19"/>
      <c r="I1046" s="23" t="str">
        <f aca="false">IF(A1046="","",TEXT(A1046,"yyyy-mm"))</f>
        <v/>
      </c>
    </row>
    <row r="1047" customFormat="false" ht="15" hidden="false" customHeight="false" outlineLevel="0" collapsed="false">
      <c r="A1047" s="20"/>
      <c r="B1047" s="19"/>
      <c r="C1047" s="19"/>
      <c r="D1047" s="19"/>
      <c r="E1047" s="19"/>
      <c r="F1047" s="19"/>
      <c r="G1047" s="21"/>
      <c r="H1047" s="19"/>
      <c r="I1047" s="23" t="str">
        <f aca="false">IF(A1047="","",TEXT(A1047,"yyyy-mm"))</f>
        <v/>
      </c>
    </row>
    <row r="1048" customFormat="false" ht="15" hidden="false" customHeight="false" outlineLevel="0" collapsed="false">
      <c r="A1048" s="20"/>
      <c r="B1048" s="19"/>
      <c r="C1048" s="19"/>
      <c r="D1048" s="19"/>
      <c r="E1048" s="19"/>
      <c r="F1048" s="19"/>
      <c r="G1048" s="21"/>
      <c r="H1048" s="19"/>
      <c r="I1048" s="23" t="str">
        <f aca="false">IF(A1048="","",TEXT(A1048,"yyyy-mm"))</f>
        <v/>
      </c>
    </row>
    <row r="1049" customFormat="false" ht="15" hidden="false" customHeight="false" outlineLevel="0" collapsed="false">
      <c r="A1049" s="20"/>
      <c r="B1049" s="19"/>
      <c r="C1049" s="19"/>
      <c r="D1049" s="19"/>
      <c r="E1049" s="19"/>
      <c r="F1049" s="19"/>
      <c r="G1049" s="21"/>
      <c r="H1049" s="19"/>
      <c r="I1049" s="23" t="str">
        <f aca="false">IF(A1049="","",TEXT(A1049,"yyyy-mm"))</f>
        <v/>
      </c>
    </row>
    <row r="1050" customFormat="false" ht="15" hidden="false" customHeight="false" outlineLevel="0" collapsed="false">
      <c r="A1050" s="20"/>
      <c r="B1050" s="19"/>
      <c r="C1050" s="19"/>
      <c r="D1050" s="19"/>
      <c r="E1050" s="19"/>
      <c r="F1050" s="19"/>
      <c r="G1050" s="21"/>
      <c r="H1050" s="19"/>
      <c r="I1050" s="23" t="str">
        <f aca="false">IF(A1050="","",TEXT(A1050,"yyyy-mm"))</f>
        <v/>
      </c>
    </row>
    <row r="1051" customFormat="false" ht="15" hidden="false" customHeight="false" outlineLevel="0" collapsed="false">
      <c r="A1051" s="20"/>
      <c r="B1051" s="19"/>
      <c r="C1051" s="19"/>
      <c r="D1051" s="19"/>
      <c r="E1051" s="19"/>
      <c r="F1051" s="19"/>
      <c r="G1051" s="21"/>
      <c r="H1051" s="19"/>
      <c r="I1051" s="23" t="str">
        <f aca="false">IF(A1051="","",TEXT(A1051,"yyyy-mm"))</f>
        <v/>
      </c>
    </row>
    <row r="1052" customFormat="false" ht="15" hidden="false" customHeight="false" outlineLevel="0" collapsed="false">
      <c r="A1052" s="20"/>
      <c r="B1052" s="19"/>
      <c r="C1052" s="19"/>
      <c r="D1052" s="19"/>
      <c r="E1052" s="19"/>
      <c r="F1052" s="19"/>
      <c r="G1052" s="21"/>
      <c r="H1052" s="19"/>
      <c r="I1052" s="23" t="str">
        <f aca="false">IF(A1052="","",TEXT(A1052,"yyyy-mm"))</f>
        <v/>
      </c>
    </row>
    <row r="1053" customFormat="false" ht="15" hidden="false" customHeight="false" outlineLevel="0" collapsed="false">
      <c r="A1053" s="20"/>
      <c r="B1053" s="19"/>
      <c r="C1053" s="19"/>
      <c r="D1053" s="19"/>
      <c r="E1053" s="19"/>
      <c r="F1053" s="19"/>
      <c r="G1053" s="21"/>
      <c r="H1053" s="19"/>
      <c r="I1053" s="23" t="str">
        <f aca="false">IF(A1053="","",TEXT(A1053,"yyyy-mm"))</f>
        <v/>
      </c>
    </row>
    <row r="1054" customFormat="false" ht="15" hidden="false" customHeight="false" outlineLevel="0" collapsed="false">
      <c r="A1054" s="20"/>
      <c r="B1054" s="19"/>
      <c r="C1054" s="19"/>
      <c r="D1054" s="19"/>
      <c r="E1054" s="19"/>
      <c r="F1054" s="19"/>
      <c r="G1054" s="21"/>
      <c r="H1054" s="19"/>
      <c r="I1054" s="23" t="str">
        <f aca="false">IF(A1054="","",TEXT(A1054,"yyyy-mm"))</f>
        <v/>
      </c>
    </row>
    <row r="1055" customFormat="false" ht="15" hidden="false" customHeight="false" outlineLevel="0" collapsed="false">
      <c r="A1055" s="20"/>
      <c r="B1055" s="19"/>
      <c r="C1055" s="19"/>
      <c r="D1055" s="19"/>
      <c r="E1055" s="19"/>
      <c r="F1055" s="19"/>
      <c r="G1055" s="21"/>
      <c r="H1055" s="19"/>
      <c r="I1055" s="23" t="str">
        <f aca="false">IF(A1055="","",TEXT(A1055,"yyyy-mm"))</f>
        <v/>
      </c>
    </row>
    <row r="1056" customFormat="false" ht="15" hidden="false" customHeight="false" outlineLevel="0" collapsed="false">
      <c r="A1056" s="20"/>
      <c r="B1056" s="19"/>
      <c r="C1056" s="19"/>
      <c r="D1056" s="19"/>
      <c r="E1056" s="19"/>
      <c r="F1056" s="19"/>
      <c r="G1056" s="21"/>
      <c r="H1056" s="19"/>
      <c r="I1056" s="23" t="str">
        <f aca="false">IF(A1056="","",TEXT(A1056,"yyyy-mm"))</f>
        <v/>
      </c>
    </row>
    <row r="1057" customFormat="false" ht="15" hidden="false" customHeight="false" outlineLevel="0" collapsed="false">
      <c r="A1057" s="20"/>
      <c r="B1057" s="19"/>
      <c r="C1057" s="19"/>
      <c r="D1057" s="19"/>
      <c r="E1057" s="19"/>
      <c r="F1057" s="19"/>
      <c r="G1057" s="21"/>
      <c r="H1057" s="19"/>
      <c r="I1057" s="23" t="str">
        <f aca="false">IF(A1057="","",TEXT(A1057,"yyyy-mm"))</f>
        <v/>
      </c>
    </row>
    <row r="1058" customFormat="false" ht="15" hidden="false" customHeight="false" outlineLevel="0" collapsed="false">
      <c r="A1058" s="20"/>
      <c r="B1058" s="19"/>
      <c r="C1058" s="19"/>
      <c r="D1058" s="19"/>
      <c r="E1058" s="19"/>
      <c r="F1058" s="19"/>
      <c r="G1058" s="21"/>
      <c r="H1058" s="19"/>
      <c r="I1058" s="23" t="str">
        <f aca="false">IF(A1058="","",TEXT(A1058,"yyyy-mm"))</f>
        <v/>
      </c>
    </row>
    <row r="1059" customFormat="false" ht="15" hidden="false" customHeight="false" outlineLevel="0" collapsed="false">
      <c r="A1059" s="20"/>
      <c r="B1059" s="19"/>
      <c r="C1059" s="19"/>
      <c r="D1059" s="19"/>
      <c r="E1059" s="19"/>
      <c r="F1059" s="19"/>
      <c r="G1059" s="21"/>
      <c r="H1059" s="19"/>
      <c r="I1059" s="23" t="str">
        <f aca="false">IF(A1059="","",TEXT(A1059,"yyyy-mm"))</f>
        <v/>
      </c>
    </row>
    <row r="1060" customFormat="false" ht="15" hidden="false" customHeight="false" outlineLevel="0" collapsed="false">
      <c r="A1060" s="20"/>
      <c r="B1060" s="19"/>
      <c r="C1060" s="19"/>
      <c r="D1060" s="19"/>
      <c r="E1060" s="19"/>
      <c r="F1060" s="19"/>
      <c r="G1060" s="21"/>
      <c r="H1060" s="19"/>
      <c r="I1060" s="23" t="str">
        <f aca="false">IF(A1060="","",TEXT(A1060,"yyyy-mm"))</f>
        <v/>
      </c>
    </row>
    <row r="1061" customFormat="false" ht="15" hidden="false" customHeight="false" outlineLevel="0" collapsed="false">
      <c r="A1061" s="20"/>
      <c r="B1061" s="19"/>
      <c r="C1061" s="19"/>
      <c r="D1061" s="19"/>
      <c r="E1061" s="19"/>
      <c r="F1061" s="19"/>
      <c r="G1061" s="21"/>
      <c r="H1061" s="19"/>
      <c r="I1061" s="23" t="str">
        <f aca="false">IF(A1061="","",TEXT(A1061,"yyyy-mm"))</f>
        <v/>
      </c>
    </row>
    <row r="1062" customFormat="false" ht="15" hidden="false" customHeight="false" outlineLevel="0" collapsed="false">
      <c r="A1062" s="20"/>
      <c r="B1062" s="19"/>
      <c r="C1062" s="19"/>
      <c r="D1062" s="19"/>
      <c r="E1062" s="19"/>
      <c r="F1062" s="19"/>
      <c r="G1062" s="21"/>
      <c r="H1062" s="19"/>
      <c r="I1062" s="23" t="str">
        <f aca="false">IF(A1062="","",TEXT(A1062,"yyyy-mm"))</f>
        <v/>
      </c>
    </row>
    <row r="1063" customFormat="false" ht="15" hidden="false" customHeight="false" outlineLevel="0" collapsed="false">
      <c r="A1063" s="20"/>
      <c r="B1063" s="19"/>
      <c r="C1063" s="19"/>
      <c r="D1063" s="19"/>
      <c r="E1063" s="19"/>
      <c r="F1063" s="19"/>
      <c r="G1063" s="21"/>
      <c r="H1063" s="19"/>
      <c r="I1063" s="23" t="str">
        <f aca="false">IF(A1063="","",TEXT(A1063,"yyyy-mm"))</f>
        <v/>
      </c>
    </row>
    <row r="1064" customFormat="false" ht="15" hidden="false" customHeight="false" outlineLevel="0" collapsed="false">
      <c r="A1064" s="20"/>
      <c r="B1064" s="19"/>
      <c r="C1064" s="19"/>
      <c r="D1064" s="19"/>
      <c r="E1064" s="19"/>
      <c r="F1064" s="19"/>
      <c r="G1064" s="21"/>
      <c r="H1064" s="19"/>
      <c r="I1064" s="23" t="str">
        <f aca="false">IF(A1064="","",TEXT(A1064,"yyyy-mm"))</f>
        <v/>
      </c>
    </row>
    <row r="1065" customFormat="false" ht="15" hidden="false" customHeight="false" outlineLevel="0" collapsed="false">
      <c r="A1065" s="20"/>
      <c r="B1065" s="19"/>
      <c r="C1065" s="19"/>
      <c r="D1065" s="19"/>
      <c r="E1065" s="19"/>
      <c r="F1065" s="19"/>
      <c r="G1065" s="21"/>
      <c r="H1065" s="19"/>
      <c r="I1065" s="23" t="str">
        <f aca="false">IF(A1065="","",TEXT(A1065,"yyyy-mm"))</f>
        <v/>
      </c>
    </row>
    <row r="1066" customFormat="false" ht="15" hidden="false" customHeight="false" outlineLevel="0" collapsed="false">
      <c r="A1066" s="20"/>
      <c r="B1066" s="19"/>
      <c r="C1066" s="19"/>
      <c r="D1066" s="19"/>
      <c r="E1066" s="19"/>
      <c r="F1066" s="19"/>
      <c r="G1066" s="21"/>
      <c r="H1066" s="19"/>
      <c r="I1066" s="23" t="str">
        <f aca="false">IF(A1066="","",TEXT(A1066,"yyyy-mm"))</f>
        <v/>
      </c>
    </row>
    <row r="1067" customFormat="false" ht="15" hidden="false" customHeight="false" outlineLevel="0" collapsed="false">
      <c r="A1067" s="20"/>
      <c r="B1067" s="19"/>
      <c r="C1067" s="19"/>
      <c r="D1067" s="19"/>
      <c r="E1067" s="19"/>
      <c r="F1067" s="19"/>
      <c r="G1067" s="21"/>
      <c r="H1067" s="19"/>
      <c r="I1067" s="23" t="str">
        <f aca="false">IF(A1067="","",TEXT(A1067,"yyyy-mm"))</f>
        <v/>
      </c>
    </row>
    <row r="1068" customFormat="false" ht="15" hidden="false" customHeight="false" outlineLevel="0" collapsed="false">
      <c r="A1068" s="20"/>
      <c r="B1068" s="19"/>
      <c r="C1068" s="19"/>
      <c r="D1068" s="19"/>
      <c r="E1068" s="19"/>
      <c r="F1068" s="19"/>
      <c r="G1068" s="21"/>
      <c r="H1068" s="19"/>
      <c r="I1068" s="23" t="str">
        <f aca="false">IF(A1068="","",TEXT(A1068,"yyyy-mm"))</f>
        <v/>
      </c>
    </row>
    <row r="1069" customFormat="false" ht="15" hidden="false" customHeight="false" outlineLevel="0" collapsed="false">
      <c r="A1069" s="20"/>
      <c r="B1069" s="19"/>
      <c r="C1069" s="19"/>
      <c r="D1069" s="19"/>
      <c r="E1069" s="19"/>
      <c r="F1069" s="19"/>
      <c r="G1069" s="21"/>
      <c r="H1069" s="19"/>
      <c r="I1069" s="23" t="str">
        <f aca="false">IF(A1069="","",TEXT(A1069,"yyyy-mm"))</f>
        <v/>
      </c>
    </row>
    <row r="1070" customFormat="false" ht="15" hidden="false" customHeight="false" outlineLevel="0" collapsed="false">
      <c r="A1070" s="20"/>
      <c r="B1070" s="19"/>
      <c r="C1070" s="19"/>
      <c r="D1070" s="19"/>
      <c r="E1070" s="19"/>
      <c r="F1070" s="19"/>
      <c r="G1070" s="21"/>
      <c r="H1070" s="19"/>
      <c r="I1070" s="23" t="str">
        <f aca="false">IF(A1070="","",TEXT(A1070,"yyyy-mm"))</f>
        <v/>
      </c>
    </row>
    <row r="1071" customFormat="false" ht="15" hidden="false" customHeight="false" outlineLevel="0" collapsed="false">
      <c r="A1071" s="20"/>
      <c r="B1071" s="19"/>
      <c r="C1071" s="19"/>
      <c r="D1071" s="19"/>
      <c r="E1071" s="19"/>
      <c r="F1071" s="19"/>
      <c r="G1071" s="21"/>
      <c r="H1071" s="19"/>
      <c r="I1071" s="23" t="str">
        <f aca="false">IF(A1071="","",TEXT(A1071,"yyyy-mm"))</f>
        <v/>
      </c>
    </row>
    <row r="1072" customFormat="false" ht="15" hidden="false" customHeight="false" outlineLevel="0" collapsed="false">
      <c r="A1072" s="20"/>
      <c r="B1072" s="19"/>
      <c r="C1072" s="19"/>
      <c r="D1072" s="19"/>
      <c r="E1072" s="19"/>
      <c r="F1072" s="19"/>
      <c r="G1072" s="21"/>
      <c r="H1072" s="19"/>
      <c r="I1072" s="23" t="str">
        <f aca="false">IF(A1072="","",TEXT(A1072,"yyyy-mm"))</f>
        <v/>
      </c>
    </row>
    <row r="1073" customFormat="false" ht="15" hidden="false" customHeight="false" outlineLevel="0" collapsed="false">
      <c r="A1073" s="20"/>
      <c r="B1073" s="19"/>
      <c r="C1073" s="19"/>
      <c r="D1073" s="19"/>
      <c r="E1073" s="19"/>
      <c r="F1073" s="19"/>
      <c r="G1073" s="21"/>
      <c r="H1073" s="19"/>
      <c r="I1073" s="23" t="str">
        <f aca="false">IF(A1073="","",TEXT(A1073,"yyyy-mm"))</f>
        <v/>
      </c>
    </row>
    <row r="1074" customFormat="false" ht="15" hidden="false" customHeight="false" outlineLevel="0" collapsed="false">
      <c r="A1074" s="20"/>
      <c r="B1074" s="19"/>
      <c r="C1074" s="19"/>
      <c r="D1074" s="19"/>
      <c r="E1074" s="19"/>
      <c r="F1074" s="19"/>
      <c r="G1074" s="21"/>
      <c r="H1074" s="19"/>
      <c r="I1074" s="23" t="str">
        <f aca="false">IF(A1074="","",TEXT(A1074,"yyyy-mm"))</f>
        <v/>
      </c>
    </row>
    <row r="1075" customFormat="false" ht="15" hidden="false" customHeight="false" outlineLevel="0" collapsed="false">
      <c r="A1075" s="20"/>
      <c r="B1075" s="19"/>
      <c r="C1075" s="19"/>
      <c r="D1075" s="19"/>
      <c r="E1075" s="19"/>
      <c r="F1075" s="19"/>
      <c r="G1075" s="21"/>
      <c r="H1075" s="19"/>
      <c r="I1075" s="23" t="str">
        <f aca="false">IF(A1075="","",TEXT(A1075,"yyyy-mm"))</f>
        <v/>
      </c>
    </row>
    <row r="1076" customFormat="false" ht="15" hidden="false" customHeight="false" outlineLevel="0" collapsed="false">
      <c r="A1076" s="20"/>
      <c r="B1076" s="19"/>
      <c r="C1076" s="19"/>
      <c r="D1076" s="19"/>
      <c r="E1076" s="19"/>
      <c r="F1076" s="19"/>
      <c r="G1076" s="21"/>
      <c r="H1076" s="19"/>
      <c r="I1076" s="23" t="str">
        <f aca="false">IF(A1076="","",TEXT(A1076,"yyyy-mm"))</f>
        <v/>
      </c>
    </row>
    <row r="1077" customFormat="false" ht="15" hidden="false" customHeight="false" outlineLevel="0" collapsed="false">
      <c r="A1077" s="20"/>
      <c r="B1077" s="19"/>
      <c r="C1077" s="19"/>
      <c r="D1077" s="19"/>
      <c r="E1077" s="19"/>
      <c r="F1077" s="19"/>
      <c r="G1077" s="21"/>
      <c r="H1077" s="19"/>
      <c r="I1077" s="23" t="str">
        <f aca="false">IF(A1077="","",TEXT(A1077,"yyyy-mm"))</f>
        <v/>
      </c>
    </row>
    <row r="1078" customFormat="false" ht="15" hidden="false" customHeight="false" outlineLevel="0" collapsed="false">
      <c r="A1078" s="20"/>
      <c r="B1078" s="19"/>
      <c r="C1078" s="19"/>
      <c r="D1078" s="19"/>
      <c r="E1078" s="19"/>
      <c r="F1078" s="19"/>
      <c r="G1078" s="21"/>
      <c r="H1078" s="19"/>
      <c r="I1078" s="23" t="str">
        <f aca="false">IF(A1078="","",TEXT(A1078,"yyyy-mm"))</f>
        <v/>
      </c>
    </row>
    <row r="1079" customFormat="false" ht="15" hidden="false" customHeight="false" outlineLevel="0" collapsed="false">
      <c r="A1079" s="20"/>
      <c r="B1079" s="19"/>
      <c r="C1079" s="19"/>
      <c r="D1079" s="19"/>
      <c r="E1079" s="19"/>
      <c r="F1079" s="19"/>
      <c r="G1079" s="21"/>
      <c r="H1079" s="19"/>
      <c r="I1079" s="23" t="str">
        <f aca="false">IF(A1079="","",TEXT(A1079,"yyyy-mm"))</f>
        <v/>
      </c>
    </row>
    <row r="1080" customFormat="false" ht="15" hidden="false" customHeight="false" outlineLevel="0" collapsed="false">
      <c r="A1080" s="20"/>
      <c r="B1080" s="19"/>
      <c r="C1080" s="19"/>
      <c r="D1080" s="19"/>
      <c r="E1080" s="19"/>
      <c r="F1080" s="19"/>
      <c r="G1080" s="21"/>
      <c r="H1080" s="19"/>
      <c r="I1080" s="23" t="str">
        <f aca="false">IF(A1080="","",TEXT(A1080,"yyyy-mm"))</f>
        <v/>
      </c>
    </row>
    <row r="1081" customFormat="false" ht="15" hidden="false" customHeight="false" outlineLevel="0" collapsed="false">
      <c r="A1081" s="20"/>
      <c r="B1081" s="19"/>
      <c r="C1081" s="19"/>
      <c r="D1081" s="19"/>
      <c r="E1081" s="19"/>
      <c r="F1081" s="19"/>
      <c r="G1081" s="21"/>
      <c r="H1081" s="19"/>
      <c r="I1081" s="23" t="str">
        <f aca="false">IF(A1081="","",TEXT(A1081,"yyyy-mm"))</f>
        <v/>
      </c>
    </row>
    <row r="1082" customFormat="false" ht="15" hidden="false" customHeight="false" outlineLevel="0" collapsed="false">
      <c r="A1082" s="20"/>
      <c r="B1082" s="19"/>
      <c r="C1082" s="19"/>
      <c r="D1082" s="19"/>
      <c r="E1082" s="19"/>
      <c r="F1082" s="19"/>
      <c r="G1082" s="21"/>
      <c r="H1082" s="19"/>
      <c r="I1082" s="23" t="str">
        <f aca="false">IF(A1082="","",TEXT(A1082,"yyyy-mm"))</f>
        <v/>
      </c>
    </row>
    <row r="1083" customFormat="false" ht="15" hidden="false" customHeight="false" outlineLevel="0" collapsed="false">
      <c r="A1083" s="20"/>
      <c r="B1083" s="19"/>
      <c r="C1083" s="19"/>
      <c r="D1083" s="19"/>
      <c r="E1083" s="19"/>
      <c r="F1083" s="19"/>
      <c r="G1083" s="21"/>
      <c r="H1083" s="19"/>
      <c r="I1083" s="23" t="str">
        <f aca="false">IF(A1083="","",TEXT(A1083,"yyyy-mm"))</f>
        <v/>
      </c>
    </row>
    <row r="1084" customFormat="false" ht="15" hidden="false" customHeight="false" outlineLevel="0" collapsed="false">
      <c r="A1084" s="20"/>
      <c r="B1084" s="19"/>
      <c r="C1084" s="19"/>
      <c r="D1084" s="19"/>
      <c r="E1084" s="19"/>
      <c r="F1084" s="19"/>
      <c r="G1084" s="21"/>
      <c r="H1084" s="19"/>
      <c r="I1084" s="23" t="str">
        <f aca="false">IF(A1084="","",TEXT(A1084,"yyyy-mm"))</f>
        <v/>
      </c>
    </row>
    <row r="1085" customFormat="false" ht="15" hidden="false" customHeight="false" outlineLevel="0" collapsed="false">
      <c r="A1085" s="20"/>
      <c r="B1085" s="19"/>
      <c r="C1085" s="19"/>
      <c r="D1085" s="19"/>
      <c r="E1085" s="19"/>
      <c r="F1085" s="19"/>
      <c r="G1085" s="21"/>
      <c r="H1085" s="19"/>
      <c r="I1085" s="23" t="str">
        <f aca="false">IF(A1085="","",TEXT(A1085,"yyyy-mm"))</f>
        <v/>
      </c>
    </row>
    <row r="1086" customFormat="false" ht="15" hidden="false" customHeight="false" outlineLevel="0" collapsed="false">
      <c r="A1086" s="20"/>
      <c r="B1086" s="19"/>
      <c r="C1086" s="19"/>
      <c r="D1086" s="19"/>
      <c r="E1086" s="19"/>
      <c r="F1086" s="19"/>
      <c r="G1086" s="21"/>
      <c r="H1086" s="19"/>
      <c r="I1086" s="23" t="str">
        <f aca="false">IF(A1086="","",TEXT(A1086,"yyyy-mm"))</f>
        <v/>
      </c>
    </row>
    <row r="1087" customFormat="false" ht="15" hidden="false" customHeight="false" outlineLevel="0" collapsed="false">
      <c r="A1087" s="20"/>
      <c r="B1087" s="19"/>
      <c r="C1087" s="19"/>
      <c r="D1087" s="19"/>
      <c r="E1087" s="19"/>
      <c r="F1087" s="19"/>
      <c r="G1087" s="21"/>
      <c r="H1087" s="19"/>
      <c r="I1087" s="23" t="str">
        <f aca="false">IF(A1087="","",TEXT(A1087,"yyyy-mm"))</f>
        <v/>
      </c>
    </row>
    <row r="1088" customFormat="false" ht="15" hidden="false" customHeight="false" outlineLevel="0" collapsed="false">
      <c r="A1088" s="20"/>
      <c r="B1088" s="19"/>
      <c r="C1088" s="19"/>
      <c r="D1088" s="19"/>
      <c r="E1088" s="19"/>
      <c r="F1088" s="19"/>
      <c r="G1088" s="21"/>
      <c r="H1088" s="19"/>
      <c r="I1088" s="23" t="str">
        <f aca="false">IF(A1088="","",TEXT(A1088,"yyyy-mm"))</f>
        <v/>
      </c>
    </row>
    <row r="1089" customFormat="false" ht="15" hidden="false" customHeight="false" outlineLevel="0" collapsed="false">
      <c r="A1089" s="20"/>
      <c r="B1089" s="19"/>
      <c r="C1089" s="19"/>
      <c r="D1089" s="19"/>
      <c r="E1089" s="19"/>
      <c r="F1089" s="19"/>
      <c r="G1089" s="21"/>
      <c r="H1089" s="19"/>
      <c r="I1089" s="23" t="str">
        <f aca="false">IF(A1089="","",TEXT(A1089,"yyyy-mm"))</f>
        <v/>
      </c>
    </row>
    <row r="1090" customFormat="false" ht="15" hidden="false" customHeight="false" outlineLevel="0" collapsed="false">
      <c r="A1090" s="20"/>
      <c r="B1090" s="19"/>
      <c r="C1090" s="19"/>
      <c r="D1090" s="19"/>
      <c r="E1090" s="19"/>
      <c r="F1090" s="19"/>
      <c r="G1090" s="21"/>
      <c r="H1090" s="19"/>
      <c r="I1090" s="23" t="str">
        <f aca="false">IF(A1090="","",TEXT(A1090,"yyyy-mm"))</f>
        <v/>
      </c>
    </row>
    <row r="1091" customFormat="false" ht="15" hidden="false" customHeight="false" outlineLevel="0" collapsed="false">
      <c r="A1091" s="20"/>
      <c r="B1091" s="19"/>
      <c r="C1091" s="19"/>
      <c r="D1091" s="19"/>
      <c r="E1091" s="19"/>
      <c r="F1091" s="19"/>
      <c r="G1091" s="21"/>
      <c r="H1091" s="19"/>
      <c r="I1091" s="23" t="str">
        <f aca="false">IF(A1091="","",TEXT(A1091,"yyyy-mm"))</f>
        <v/>
      </c>
    </row>
    <row r="1092" customFormat="false" ht="15" hidden="false" customHeight="false" outlineLevel="0" collapsed="false">
      <c r="A1092" s="20"/>
      <c r="B1092" s="19"/>
      <c r="C1092" s="19"/>
      <c r="D1092" s="19"/>
      <c r="E1092" s="19"/>
      <c r="F1092" s="19"/>
      <c r="G1092" s="21"/>
      <c r="H1092" s="19"/>
      <c r="I1092" s="23" t="str">
        <f aca="false">IF(A1092="","",TEXT(A1092,"yyyy-mm"))</f>
        <v/>
      </c>
    </row>
    <row r="1093" customFormat="false" ht="15" hidden="false" customHeight="false" outlineLevel="0" collapsed="false">
      <c r="A1093" s="20"/>
      <c r="B1093" s="19"/>
      <c r="C1093" s="19"/>
      <c r="D1093" s="19"/>
      <c r="E1093" s="19"/>
      <c r="F1093" s="19"/>
      <c r="G1093" s="21"/>
      <c r="H1093" s="19"/>
      <c r="I1093" s="23" t="str">
        <f aca="false">IF(A1093="","",TEXT(A1093,"yyyy-mm"))</f>
        <v/>
      </c>
    </row>
    <row r="1094" customFormat="false" ht="15" hidden="false" customHeight="false" outlineLevel="0" collapsed="false">
      <c r="A1094" s="20"/>
      <c r="B1094" s="19"/>
      <c r="C1094" s="19"/>
      <c r="D1094" s="19"/>
      <c r="E1094" s="19"/>
      <c r="F1094" s="19"/>
      <c r="G1094" s="21"/>
      <c r="H1094" s="19"/>
      <c r="I1094" s="23" t="str">
        <f aca="false">IF(A1094="","",TEXT(A1094,"yyyy-mm"))</f>
        <v/>
      </c>
    </row>
    <row r="1095" customFormat="false" ht="15" hidden="false" customHeight="false" outlineLevel="0" collapsed="false">
      <c r="A1095" s="20"/>
      <c r="B1095" s="19"/>
      <c r="C1095" s="19"/>
      <c r="D1095" s="19"/>
      <c r="E1095" s="19"/>
      <c r="F1095" s="19"/>
      <c r="G1095" s="21"/>
      <c r="H1095" s="19"/>
      <c r="I1095" s="23" t="str">
        <f aca="false">IF(A1095="","",TEXT(A1095,"yyyy-mm"))</f>
        <v/>
      </c>
    </row>
    <row r="1096" customFormat="false" ht="15" hidden="false" customHeight="false" outlineLevel="0" collapsed="false">
      <c r="A1096" s="20"/>
      <c r="B1096" s="19"/>
      <c r="C1096" s="19"/>
      <c r="D1096" s="19"/>
      <c r="E1096" s="19"/>
      <c r="F1096" s="19"/>
      <c r="G1096" s="21"/>
      <c r="H1096" s="19"/>
      <c r="I1096" s="23" t="str">
        <f aca="false">IF(A1096="","",TEXT(A1096,"yyyy-mm"))</f>
        <v/>
      </c>
    </row>
    <row r="1097" customFormat="false" ht="15" hidden="false" customHeight="false" outlineLevel="0" collapsed="false">
      <c r="A1097" s="20"/>
      <c r="B1097" s="19"/>
      <c r="C1097" s="19"/>
      <c r="D1097" s="19"/>
      <c r="E1097" s="19"/>
      <c r="F1097" s="19"/>
      <c r="G1097" s="21"/>
      <c r="H1097" s="19"/>
      <c r="I1097" s="23" t="str">
        <f aca="false">IF(A1097="","",TEXT(A1097,"yyyy-mm"))</f>
        <v/>
      </c>
    </row>
    <row r="1098" customFormat="false" ht="15" hidden="false" customHeight="false" outlineLevel="0" collapsed="false">
      <c r="A1098" s="20"/>
      <c r="B1098" s="19"/>
      <c r="C1098" s="19"/>
      <c r="D1098" s="19"/>
      <c r="E1098" s="19"/>
      <c r="F1098" s="19"/>
      <c r="G1098" s="21"/>
      <c r="H1098" s="19"/>
      <c r="I1098" s="23" t="str">
        <f aca="false">IF(A1098="","",TEXT(A1098,"yyyy-mm"))</f>
        <v/>
      </c>
    </row>
    <row r="1099" customFormat="false" ht="15" hidden="false" customHeight="false" outlineLevel="0" collapsed="false">
      <c r="A1099" s="20"/>
      <c r="B1099" s="19"/>
      <c r="C1099" s="19"/>
      <c r="D1099" s="19"/>
      <c r="E1099" s="19"/>
      <c r="F1099" s="19"/>
      <c r="G1099" s="21"/>
      <c r="H1099" s="19"/>
      <c r="I1099" s="23" t="str">
        <f aca="false">IF(A1099="","",TEXT(A1099,"yyyy-mm"))</f>
        <v/>
      </c>
    </row>
    <row r="1100" customFormat="false" ht="15" hidden="false" customHeight="false" outlineLevel="0" collapsed="false">
      <c r="A1100" s="20"/>
      <c r="B1100" s="19"/>
      <c r="C1100" s="19"/>
      <c r="D1100" s="19"/>
      <c r="E1100" s="19"/>
      <c r="F1100" s="19"/>
      <c r="G1100" s="21"/>
      <c r="H1100" s="19"/>
      <c r="I1100" s="23" t="str">
        <f aca="false">IF(A1100="","",TEXT(A1100,"yyyy-mm"))</f>
        <v/>
      </c>
    </row>
    <row r="1101" customFormat="false" ht="15" hidden="false" customHeight="false" outlineLevel="0" collapsed="false">
      <c r="A1101" s="20"/>
      <c r="B1101" s="19"/>
      <c r="C1101" s="19"/>
      <c r="D1101" s="19"/>
      <c r="E1101" s="19"/>
      <c r="F1101" s="19"/>
      <c r="G1101" s="21"/>
      <c r="H1101" s="19"/>
      <c r="I1101" s="23" t="str">
        <f aca="false">IF(A1101="","",TEXT(A1101,"yyyy-mm"))</f>
        <v/>
      </c>
    </row>
    <row r="1102" customFormat="false" ht="15" hidden="false" customHeight="false" outlineLevel="0" collapsed="false">
      <c r="A1102" s="20"/>
      <c r="B1102" s="19"/>
      <c r="C1102" s="19"/>
      <c r="D1102" s="19"/>
      <c r="E1102" s="19"/>
      <c r="F1102" s="19"/>
      <c r="G1102" s="21"/>
      <c r="H1102" s="19"/>
      <c r="I1102" s="23" t="str">
        <f aca="false">IF(A1102="","",TEXT(A1102,"yyyy-mm"))</f>
        <v/>
      </c>
    </row>
    <row r="1103" customFormat="false" ht="15" hidden="false" customHeight="false" outlineLevel="0" collapsed="false">
      <c r="A1103" s="20"/>
      <c r="B1103" s="19"/>
      <c r="C1103" s="19"/>
      <c r="D1103" s="19"/>
      <c r="E1103" s="19"/>
      <c r="F1103" s="19"/>
      <c r="G1103" s="21"/>
      <c r="H1103" s="19"/>
      <c r="I1103" s="23" t="str">
        <f aca="false">IF(A1103="","",TEXT(A1103,"yyyy-mm"))</f>
        <v/>
      </c>
    </row>
    <row r="1104" customFormat="false" ht="15" hidden="false" customHeight="false" outlineLevel="0" collapsed="false">
      <c r="A1104" s="20"/>
      <c r="B1104" s="19"/>
      <c r="C1104" s="19"/>
      <c r="D1104" s="19"/>
      <c r="E1104" s="19"/>
      <c r="F1104" s="19"/>
      <c r="G1104" s="21"/>
      <c r="H1104" s="19"/>
      <c r="I1104" s="23" t="str">
        <f aca="false">IF(A1104="","",TEXT(A1104,"yyyy-mm"))</f>
        <v/>
      </c>
    </row>
    <row r="1105" customFormat="false" ht="15" hidden="false" customHeight="false" outlineLevel="0" collapsed="false">
      <c r="A1105" s="20"/>
      <c r="B1105" s="19"/>
      <c r="C1105" s="19"/>
      <c r="D1105" s="19"/>
      <c r="E1105" s="19"/>
      <c r="F1105" s="19"/>
      <c r="G1105" s="21"/>
      <c r="H1105" s="19"/>
      <c r="I1105" s="23" t="str">
        <f aca="false">IF(A1105="","",TEXT(A1105,"yyyy-mm"))</f>
        <v/>
      </c>
    </row>
    <row r="1106" customFormat="false" ht="15" hidden="false" customHeight="false" outlineLevel="0" collapsed="false">
      <c r="A1106" s="20"/>
      <c r="B1106" s="19"/>
      <c r="C1106" s="19"/>
      <c r="D1106" s="19"/>
      <c r="E1106" s="19"/>
      <c r="F1106" s="19"/>
      <c r="G1106" s="21"/>
      <c r="H1106" s="19"/>
      <c r="I1106" s="23" t="str">
        <f aca="false">IF(A1106="","",TEXT(A1106,"yyyy-mm"))</f>
        <v/>
      </c>
    </row>
    <row r="1107" customFormat="false" ht="15" hidden="false" customHeight="false" outlineLevel="0" collapsed="false">
      <c r="A1107" s="20"/>
      <c r="B1107" s="19"/>
      <c r="C1107" s="19"/>
      <c r="D1107" s="19"/>
      <c r="E1107" s="19"/>
      <c r="F1107" s="19"/>
      <c r="G1107" s="21"/>
      <c r="H1107" s="19"/>
      <c r="I1107" s="23" t="str">
        <f aca="false">IF(A1107="","",TEXT(A1107,"yyyy-mm"))</f>
        <v/>
      </c>
    </row>
    <row r="1108" customFormat="false" ht="15" hidden="false" customHeight="false" outlineLevel="0" collapsed="false">
      <c r="A1108" s="20"/>
      <c r="B1108" s="19"/>
      <c r="C1108" s="19"/>
      <c r="D1108" s="19"/>
      <c r="E1108" s="19"/>
      <c r="F1108" s="19"/>
      <c r="G1108" s="21"/>
      <c r="H1108" s="19"/>
      <c r="I1108" s="23" t="str">
        <f aca="false">IF(A1108="","",TEXT(A1108,"yyyy-mm"))</f>
        <v/>
      </c>
    </row>
    <row r="1109" customFormat="false" ht="15" hidden="false" customHeight="false" outlineLevel="0" collapsed="false">
      <c r="A1109" s="20"/>
      <c r="B1109" s="19"/>
      <c r="C1109" s="19"/>
      <c r="D1109" s="19"/>
      <c r="E1109" s="19"/>
      <c r="F1109" s="19"/>
      <c r="G1109" s="21"/>
      <c r="H1109" s="19"/>
      <c r="I1109" s="23" t="str">
        <f aca="false">IF(A1109="","",TEXT(A1109,"yyyy-mm"))</f>
        <v/>
      </c>
    </row>
    <row r="1110" customFormat="false" ht="15" hidden="false" customHeight="false" outlineLevel="0" collapsed="false">
      <c r="A1110" s="20"/>
      <c r="B1110" s="19"/>
      <c r="C1110" s="19"/>
      <c r="D1110" s="19"/>
      <c r="E1110" s="19"/>
      <c r="F1110" s="19"/>
      <c r="G1110" s="21"/>
      <c r="H1110" s="19"/>
      <c r="I1110" s="23" t="str">
        <f aca="false">IF(A1110="","",TEXT(A1110,"yyyy-mm"))</f>
        <v/>
      </c>
    </row>
    <row r="1111" customFormat="false" ht="15" hidden="false" customHeight="false" outlineLevel="0" collapsed="false">
      <c r="A1111" s="20"/>
      <c r="B1111" s="19"/>
      <c r="C1111" s="19"/>
      <c r="D1111" s="19"/>
      <c r="E1111" s="19"/>
      <c r="F1111" s="19"/>
      <c r="G1111" s="21"/>
      <c r="H1111" s="19"/>
      <c r="I1111" s="23" t="str">
        <f aca="false">IF(A1111="","",TEXT(A1111,"yyyy-mm"))</f>
        <v/>
      </c>
    </row>
    <row r="1112" customFormat="false" ht="15" hidden="false" customHeight="false" outlineLevel="0" collapsed="false">
      <c r="A1112" s="20"/>
      <c r="B1112" s="19"/>
      <c r="C1112" s="19"/>
      <c r="D1112" s="19"/>
      <c r="E1112" s="19"/>
      <c r="F1112" s="19"/>
      <c r="G1112" s="21"/>
      <c r="H1112" s="19"/>
      <c r="I1112" s="23" t="str">
        <f aca="false">IF(A1112="","",TEXT(A1112,"yyyy-mm"))</f>
        <v/>
      </c>
    </row>
    <row r="1113" customFormat="false" ht="15" hidden="false" customHeight="false" outlineLevel="0" collapsed="false">
      <c r="A1113" s="20"/>
      <c r="B1113" s="19"/>
      <c r="C1113" s="19"/>
      <c r="D1113" s="19"/>
      <c r="E1113" s="19"/>
      <c r="F1113" s="19"/>
      <c r="G1113" s="21"/>
      <c r="H1113" s="19"/>
      <c r="I1113" s="23" t="str">
        <f aca="false">IF(A1113="","",TEXT(A1113,"yyyy-mm"))</f>
        <v/>
      </c>
    </row>
    <row r="1114" customFormat="false" ht="15" hidden="false" customHeight="false" outlineLevel="0" collapsed="false">
      <c r="A1114" s="20"/>
      <c r="B1114" s="19"/>
      <c r="C1114" s="19"/>
      <c r="D1114" s="19"/>
      <c r="E1114" s="19"/>
      <c r="F1114" s="19"/>
      <c r="G1114" s="21"/>
      <c r="H1114" s="19"/>
      <c r="I1114" s="23" t="str">
        <f aca="false">IF(A1114="","",TEXT(A1114,"yyyy-mm"))</f>
        <v/>
      </c>
    </row>
    <row r="1115" customFormat="false" ht="15" hidden="false" customHeight="false" outlineLevel="0" collapsed="false">
      <c r="A1115" s="20"/>
      <c r="B1115" s="19"/>
      <c r="C1115" s="19"/>
      <c r="D1115" s="19"/>
      <c r="E1115" s="19"/>
      <c r="F1115" s="19"/>
      <c r="G1115" s="21"/>
      <c r="H1115" s="19"/>
      <c r="I1115" s="23" t="str">
        <f aca="false">IF(A1115="","",TEXT(A1115,"yyyy-mm"))</f>
        <v/>
      </c>
    </row>
    <row r="1116" customFormat="false" ht="15" hidden="false" customHeight="false" outlineLevel="0" collapsed="false">
      <c r="A1116" s="20"/>
      <c r="B1116" s="19"/>
      <c r="C1116" s="19"/>
      <c r="D1116" s="19"/>
      <c r="E1116" s="19"/>
      <c r="F1116" s="19"/>
      <c r="G1116" s="21"/>
      <c r="H1116" s="19"/>
      <c r="I1116" s="23" t="str">
        <f aca="false">IF(A1116="","",TEXT(A1116,"yyyy-mm"))</f>
        <v/>
      </c>
    </row>
    <row r="1117" customFormat="false" ht="15" hidden="false" customHeight="false" outlineLevel="0" collapsed="false">
      <c r="A1117" s="20"/>
      <c r="B1117" s="19"/>
      <c r="C1117" s="19"/>
      <c r="D1117" s="19"/>
      <c r="E1117" s="19"/>
      <c r="F1117" s="19"/>
      <c r="G1117" s="21"/>
      <c r="H1117" s="19"/>
      <c r="I1117" s="23" t="str">
        <f aca="false">IF(A1117="","",TEXT(A1117,"yyyy-mm"))</f>
        <v/>
      </c>
    </row>
    <row r="1118" customFormat="false" ht="15" hidden="false" customHeight="false" outlineLevel="0" collapsed="false">
      <c r="A1118" s="20"/>
      <c r="B1118" s="19"/>
      <c r="C1118" s="19"/>
      <c r="D1118" s="19"/>
      <c r="E1118" s="19"/>
      <c r="F1118" s="19"/>
      <c r="G1118" s="21"/>
      <c r="H1118" s="19"/>
      <c r="I1118" s="23" t="str">
        <f aca="false">IF(A1118="","",TEXT(A1118,"yyyy-mm"))</f>
        <v/>
      </c>
    </row>
    <row r="1119" customFormat="false" ht="15" hidden="false" customHeight="false" outlineLevel="0" collapsed="false">
      <c r="A1119" s="20"/>
      <c r="B1119" s="19"/>
      <c r="C1119" s="19"/>
      <c r="D1119" s="19"/>
      <c r="E1119" s="19"/>
      <c r="F1119" s="19"/>
      <c r="G1119" s="21"/>
      <c r="H1119" s="19"/>
      <c r="I1119" s="23" t="str">
        <f aca="false">IF(A1119="","",TEXT(A1119,"yyyy-mm"))</f>
        <v/>
      </c>
    </row>
    <row r="1120" customFormat="false" ht="15" hidden="false" customHeight="false" outlineLevel="0" collapsed="false">
      <c r="A1120" s="20"/>
      <c r="B1120" s="19"/>
      <c r="C1120" s="19"/>
      <c r="D1120" s="19"/>
      <c r="E1120" s="19"/>
      <c r="F1120" s="19"/>
      <c r="G1120" s="21"/>
      <c r="H1120" s="19"/>
      <c r="I1120" s="23" t="str">
        <f aca="false">IF(A1120="","",TEXT(A1120,"yyyy-mm"))</f>
        <v/>
      </c>
    </row>
    <row r="1121" customFormat="false" ht="15" hidden="false" customHeight="false" outlineLevel="0" collapsed="false">
      <c r="A1121" s="20"/>
      <c r="B1121" s="19"/>
      <c r="C1121" s="19"/>
      <c r="D1121" s="19"/>
      <c r="E1121" s="19"/>
      <c r="F1121" s="19"/>
      <c r="G1121" s="21"/>
      <c r="H1121" s="19"/>
      <c r="I1121" s="23" t="str">
        <f aca="false">IF(A1121="","",TEXT(A1121,"yyyy-mm"))</f>
        <v/>
      </c>
    </row>
    <row r="1122" customFormat="false" ht="15" hidden="false" customHeight="false" outlineLevel="0" collapsed="false">
      <c r="A1122" s="20"/>
      <c r="B1122" s="19"/>
      <c r="C1122" s="19"/>
      <c r="D1122" s="19"/>
      <c r="E1122" s="19"/>
      <c r="F1122" s="19"/>
      <c r="G1122" s="21"/>
      <c r="H1122" s="19"/>
      <c r="I1122" s="23" t="str">
        <f aca="false">IF(A1122="","",TEXT(A1122,"yyyy-mm"))</f>
        <v/>
      </c>
    </row>
    <row r="1123" customFormat="false" ht="15" hidden="false" customHeight="false" outlineLevel="0" collapsed="false">
      <c r="A1123" s="20"/>
      <c r="B1123" s="19"/>
      <c r="C1123" s="19"/>
      <c r="D1123" s="19"/>
      <c r="E1123" s="19"/>
      <c r="F1123" s="19"/>
      <c r="G1123" s="21"/>
      <c r="H1123" s="19"/>
      <c r="I1123" s="23" t="str">
        <f aca="false">IF(A1123="","",TEXT(A1123,"yyyy-mm"))</f>
        <v/>
      </c>
    </row>
    <row r="1124" customFormat="false" ht="15" hidden="false" customHeight="false" outlineLevel="0" collapsed="false">
      <c r="A1124" s="20"/>
      <c r="B1124" s="19"/>
      <c r="C1124" s="19"/>
      <c r="D1124" s="19"/>
      <c r="E1124" s="19"/>
      <c r="F1124" s="19"/>
      <c r="G1124" s="21"/>
      <c r="H1124" s="19"/>
      <c r="I1124" s="23" t="str">
        <f aca="false">IF(A1124="","",TEXT(A1124,"yyyy-mm"))</f>
        <v/>
      </c>
    </row>
    <row r="1125" customFormat="false" ht="15" hidden="false" customHeight="false" outlineLevel="0" collapsed="false">
      <c r="A1125" s="20"/>
      <c r="B1125" s="19"/>
      <c r="C1125" s="19"/>
      <c r="D1125" s="19"/>
      <c r="E1125" s="19"/>
      <c r="F1125" s="19"/>
      <c r="G1125" s="21"/>
      <c r="H1125" s="19"/>
      <c r="I1125" s="23" t="str">
        <f aca="false">IF(A1125="","",TEXT(A1125,"yyyy-mm"))</f>
        <v/>
      </c>
    </row>
    <row r="1126" customFormat="false" ht="15" hidden="false" customHeight="false" outlineLevel="0" collapsed="false">
      <c r="A1126" s="20"/>
      <c r="B1126" s="19"/>
      <c r="C1126" s="19"/>
      <c r="D1126" s="19"/>
      <c r="E1126" s="19"/>
      <c r="F1126" s="19"/>
      <c r="G1126" s="21"/>
      <c r="H1126" s="19"/>
      <c r="I1126" s="23" t="str">
        <f aca="false">IF(A1126="","",TEXT(A1126,"yyyy-mm"))</f>
        <v/>
      </c>
    </row>
    <row r="1127" customFormat="false" ht="15" hidden="false" customHeight="false" outlineLevel="0" collapsed="false">
      <c r="A1127" s="20"/>
      <c r="B1127" s="19"/>
      <c r="C1127" s="19"/>
      <c r="D1127" s="19"/>
      <c r="E1127" s="19"/>
      <c r="F1127" s="19"/>
      <c r="G1127" s="21"/>
      <c r="H1127" s="19"/>
      <c r="I1127" s="23" t="str">
        <f aca="false">IF(A1127="","",TEXT(A1127,"yyyy-mm"))</f>
        <v/>
      </c>
    </row>
    <row r="1128" customFormat="false" ht="15" hidden="false" customHeight="false" outlineLevel="0" collapsed="false">
      <c r="A1128" s="20"/>
      <c r="B1128" s="19"/>
      <c r="C1128" s="19"/>
      <c r="D1128" s="19"/>
      <c r="E1128" s="19"/>
      <c r="F1128" s="19"/>
      <c r="G1128" s="21"/>
      <c r="H1128" s="19"/>
      <c r="I1128" s="23" t="str">
        <f aca="false">IF(A1128="","",TEXT(A1128,"yyyy-mm"))</f>
        <v/>
      </c>
    </row>
    <row r="1129" customFormat="false" ht="15" hidden="false" customHeight="false" outlineLevel="0" collapsed="false">
      <c r="A1129" s="20"/>
      <c r="B1129" s="19"/>
      <c r="C1129" s="19"/>
      <c r="D1129" s="19"/>
      <c r="E1129" s="19"/>
      <c r="F1129" s="19"/>
      <c r="G1129" s="21"/>
      <c r="H1129" s="19"/>
      <c r="I1129" s="23" t="str">
        <f aca="false">IF(A1129="","",TEXT(A1129,"yyyy-mm"))</f>
        <v/>
      </c>
    </row>
    <row r="1130" customFormat="false" ht="15" hidden="false" customHeight="false" outlineLevel="0" collapsed="false">
      <c r="A1130" s="20"/>
      <c r="B1130" s="19"/>
      <c r="C1130" s="19"/>
      <c r="D1130" s="19"/>
      <c r="E1130" s="19"/>
      <c r="F1130" s="19"/>
      <c r="G1130" s="21"/>
      <c r="H1130" s="19"/>
      <c r="I1130" s="23" t="str">
        <f aca="false">IF(A1130="","",TEXT(A1130,"yyyy-mm"))</f>
        <v/>
      </c>
    </row>
    <row r="1131" customFormat="false" ht="15" hidden="false" customHeight="false" outlineLevel="0" collapsed="false">
      <c r="A1131" s="20"/>
      <c r="B1131" s="19"/>
      <c r="C1131" s="19"/>
      <c r="D1131" s="19"/>
      <c r="E1131" s="19"/>
      <c r="F1131" s="19"/>
      <c r="G1131" s="21"/>
      <c r="H1131" s="19"/>
      <c r="I1131" s="23" t="str">
        <f aca="false">IF(A1131="","",TEXT(A1131,"yyyy-mm"))</f>
        <v/>
      </c>
    </row>
    <row r="1132" customFormat="false" ht="15" hidden="false" customHeight="false" outlineLevel="0" collapsed="false">
      <c r="A1132" s="20"/>
      <c r="B1132" s="19"/>
      <c r="C1132" s="19"/>
      <c r="D1132" s="19"/>
      <c r="E1132" s="19"/>
      <c r="F1132" s="19"/>
      <c r="G1132" s="21"/>
      <c r="H1132" s="19"/>
      <c r="I1132" s="23" t="str">
        <f aca="false">IF(A1132="","",TEXT(A1132,"yyyy-mm"))</f>
        <v/>
      </c>
    </row>
    <row r="1133" customFormat="false" ht="15" hidden="false" customHeight="false" outlineLevel="0" collapsed="false">
      <c r="A1133" s="20"/>
      <c r="B1133" s="19"/>
      <c r="C1133" s="19"/>
      <c r="D1133" s="19"/>
      <c r="E1133" s="19"/>
      <c r="F1133" s="19"/>
      <c r="G1133" s="21"/>
      <c r="H1133" s="19"/>
      <c r="I1133" s="23" t="str">
        <f aca="false">IF(A1133="","",TEXT(A1133,"yyyy-mm"))</f>
        <v/>
      </c>
    </row>
    <row r="1134" customFormat="false" ht="15" hidden="false" customHeight="false" outlineLevel="0" collapsed="false">
      <c r="A1134" s="20"/>
      <c r="B1134" s="19"/>
      <c r="C1134" s="19"/>
      <c r="D1134" s="19"/>
      <c r="E1134" s="19"/>
      <c r="F1134" s="19"/>
      <c r="G1134" s="21"/>
      <c r="H1134" s="19"/>
      <c r="I1134" s="23" t="str">
        <f aca="false">IF(A1134="","",TEXT(A1134,"yyyy-mm"))</f>
        <v/>
      </c>
    </row>
    <row r="1135" customFormat="false" ht="15" hidden="false" customHeight="false" outlineLevel="0" collapsed="false">
      <c r="A1135" s="20"/>
      <c r="B1135" s="19"/>
      <c r="C1135" s="19"/>
      <c r="D1135" s="19"/>
      <c r="E1135" s="19"/>
      <c r="F1135" s="19"/>
      <c r="G1135" s="21"/>
      <c r="H1135" s="19"/>
      <c r="I1135" s="23" t="str">
        <f aca="false">IF(A1135="","",TEXT(A1135,"yyyy-mm"))</f>
        <v/>
      </c>
    </row>
    <row r="1136" customFormat="false" ht="15" hidden="false" customHeight="false" outlineLevel="0" collapsed="false">
      <c r="A1136" s="20"/>
      <c r="B1136" s="19"/>
      <c r="C1136" s="19"/>
      <c r="D1136" s="19"/>
      <c r="E1136" s="19"/>
      <c r="F1136" s="19"/>
      <c r="G1136" s="21"/>
      <c r="H1136" s="19"/>
      <c r="I1136" s="23" t="str">
        <f aca="false">IF(A1136="","",TEXT(A1136,"yyyy-mm"))</f>
        <v/>
      </c>
    </row>
    <row r="1137" customFormat="false" ht="15" hidden="false" customHeight="false" outlineLevel="0" collapsed="false">
      <c r="A1137" s="20"/>
      <c r="B1137" s="19"/>
      <c r="C1137" s="19"/>
      <c r="D1137" s="19"/>
      <c r="E1137" s="19"/>
      <c r="F1137" s="19"/>
      <c r="G1137" s="21"/>
      <c r="H1137" s="19"/>
      <c r="I1137" s="23" t="str">
        <f aca="false">IF(A1137="","",TEXT(A1137,"yyyy-mm"))</f>
        <v/>
      </c>
    </row>
    <row r="1138" customFormat="false" ht="15" hidden="false" customHeight="false" outlineLevel="0" collapsed="false">
      <c r="A1138" s="20"/>
      <c r="B1138" s="19"/>
      <c r="C1138" s="19"/>
      <c r="D1138" s="19"/>
      <c r="E1138" s="19"/>
      <c r="F1138" s="19"/>
      <c r="G1138" s="21"/>
      <c r="H1138" s="19"/>
      <c r="I1138" s="23" t="str">
        <f aca="false">IF(A1138="","",TEXT(A1138,"yyyy-mm"))</f>
        <v/>
      </c>
    </row>
    <row r="1139" customFormat="false" ht="15" hidden="false" customHeight="false" outlineLevel="0" collapsed="false">
      <c r="A1139" s="20"/>
      <c r="B1139" s="19"/>
      <c r="C1139" s="19"/>
      <c r="D1139" s="19"/>
      <c r="E1139" s="19"/>
      <c r="F1139" s="19"/>
      <c r="G1139" s="21"/>
      <c r="H1139" s="19"/>
      <c r="I1139" s="23" t="str">
        <f aca="false">IF(A1139="","",TEXT(A1139,"yyyy-mm"))</f>
        <v/>
      </c>
    </row>
    <row r="1140" customFormat="false" ht="15" hidden="false" customHeight="false" outlineLevel="0" collapsed="false">
      <c r="A1140" s="20"/>
      <c r="B1140" s="19"/>
      <c r="C1140" s="19"/>
      <c r="D1140" s="19"/>
      <c r="E1140" s="19"/>
      <c r="F1140" s="19"/>
      <c r="G1140" s="21"/>
      <c r="H1140" s="19"/>
      <c r="I1140" s="23" t="str">
        <f aca="false">IF(A1140="","",TEXT(A1140,"yyyy-mm"))</f>
        <v/>
      </c>
    </row>
    <row r="1141" customFormat="false" ht="15" hidden="false" customHeight="false" outlineLevel="0" collapsed="false">
      <c r="A1141" s="20"/>
      <c r="B1141" s="19"/>
      <c r="C1141" s="19"/>
      <c r="D1141" s="19"/>
      <c r="E1141" s="19"/>
      <c r="F1141" s="19"/>
      <c r="G1141" s="21"/>
      <c r="H1141" s="19"/>
      <c r="I1141" s="23" t="str">
        <f aca="false">IF(A1141="","",TEXT(A1141,"yyyy-mm"))</f>
        <v/>
      </c>
    </row>
    <row r="1142" customFormat="false" ht="15" hidden="false" customHeight="false" outlineLevel="0" collapsed="false">
      <c r="A1142" s="20"/>
      <c r="B1142" s="19"/>
      <c r="C1142" s="19"/>
      <c r="D1142" s="19"/>
      <c r="E1142" s="19"/>
      <c r="F1142" s="19"/>
      <c r="G1142" s="21"/>
      <c r="H1142" s="19"/>
      <c r="I1142" s="23" t="str">
        <f aca="false">IF(A1142="","",TEXT(A1142,"yyyy-mm"))</f>
        <v/>
      </c>
    </row>
    <row r="1143" customFormat="false" ht="15" hidden="false" customHeight="false" outlineLevel="0" collapsed="false">
      <c r="A1143" s="20"/>
      <c r="B1143" s="19"/>
      <c r="C1143" s="19"/>
      <c r="D1143" s="19"/>
      <c r="E1143" s="19"/>
      <c r="F1143" s="19"/>
      <c r="G1143" s="21"/>
      <c r="H1143" s="19"/>
      <c r="I1143" s="23" t="str">
        <f aca="false">IF(A1143="","",TEXT(A1143,"yyyy-mm"))</f>
        <v/>
      </c>
    </row>
    <row r="1144" customFormat="false" ht="15" hidden="false" customHeight="false" outlineLevel="0" collapsed="false">
      <c r="A1144" s="20"/>
      <c r="B1144" s="19"/>
      <c r="C1144" s="19"/>
      <c r="D1144" s="19"/>
      <c r="E1144" s="19"/>
      <c r="F1144" s="19"/>
      <c r="G1144" s="21"/>
      <c r="H1144" s="19"/>
      <c r="I1144" s="23" t="str">
        <f aca="false">IF(A1144="","",TEXT(A1144,"yyyy-mm"))</f>
        <v/>
      </c>
    </row>
    <row r="1145" customFormat="false" ht="15" hidden="false" customHeight="false" outlineLevel="0" collapsed="false">
      <c r="A1145" s="20"/>
      <c r="B1145" s="19"/>
      <c r="C1145" s="19"/>
      <c r="D1145" s="19"/>
      <c r="E1145" s="19"/>
      <c r="F1145" s="19"/>
      <c r="G1145" s="21"/>
      <c r="H1145" s="19"/>
      <c r="I1145" s="23" t="str">
        <f aca="false">IF(A1145="","",TEXT(A1145,"yyyy-mm"))</f>
        <v/>
      </c>
    </row>
    <row r="1146" customFormat="false" ht="15" hidden="false" customHeight="false" outlineLevel="0" collapsed="false">
      <c r="A1146" s="20"/>
      <c r="B1146" s="19"/>
      <c r="C1146" s="19"/>
      <c r="D1146" s="19"/>
      <c r="E1146" s="19"/>
      <c r="F1146" s="19"/>
      <c r="G1146" s="21"/>
      <c r="H1146" s="19"/>
      <c r="I1146" s="23" t="str">
        <f aca="false">IF(A1146="","",TEXT(A1146,"yyyy-mm"))</f>
        <v/>
      </c>
    </row>
    <row r="1147" customFormat="false" ht="15" hidden="false" customHeight="false" outlineLevel="0" collapsed="false">
      <c r="A1147" s="20"/>
      <c r="B1147" s="19"/>
      <c r="C1147" s="19"/>
      <c r="D1147" s="19"/>
      <c r="E1147" s="19"/>
      <c r="F1147" s="19"/>
      <c r="G1147" s="21"/>
      <c r="H1147" s="19"/>
      <c r="I1147" s="23" t="str">
        <f aca="false">IF(A1147="","",TEXT(A1147,"yyyy-mm"))</f>
        <v/>
      </c>
    </row>
    <row r="1148" customFormat="false" ht="15" hidden="false" customHeight="false" outlineLevel="0" collapsed="false">
      <c r="A1148" s="20"/>
      <c r="B1148" s="19"/>
      <c r="C1148" s="19"/>
      <c r="D1148" s="19"/>
      <c r="E1148" s="19"/>
      <c r="F1148" s="19"/>
      <c r="G1148" s="21"/>
      <c r="H1148" s="19"/>
      <c r="I1148" s="23" t="str">
        <f aca="false">IF(A1148="","",TEXT(A1148,"yyyy-mm"))</f>
        <v/>
      </c>
    </row>
    <row r="1149" customFormat="false" ht="15" hidden="false" customHeight="false" outlineLevel="0" collapsed="false">
      <c r="A1149" s="20"/>
      <c r="B1149" s="19"/>
      <c r="C1149" s="19"/>
      <c r="D1149" s="19"/>
      <c r="E1149" s="19"/>
      <c r="F1149" s="19"/>
      <c r="G1149" s="21"/>
      <c r="H1149" s="19"/>
      <c r="I1149" s="23" t="str">
        <f aca="false">IF(A1149="","",TEXT(A1149,"yyyy-mm"))</f>
        <v/>
      </c>
    </row>
    <row r="1150" customFormat="false" ht="15" hidden="false" customHeight="false" outlineLevel="0" collapsed="false">
      <c r="A1150" s="20"/>
      <c r="B1150" s="19"/>
      <c r="C1150" s="19"/>
      <c r="D1150" s="19"/>
      <c r="E1150" s="19"/>
      <c r="F1150" s="19"/>
      <c r="G1150" s="21"/>
      <c r="H1150" s="19"/>
      <c r="I1150" s="23" t="str">
        <f aca="false">IF(A1150="","",TEXT(A1150,"yyyy-mm"))</f>
        <v/>
      </c>
    </row>
    <row r="1151" customFormat="false" ht="15" hidden="false" customHeight="false" outlineLevel="0" collapsed="false">
      <c r="A1151" s="20"/>
      <c r="B1151" s="19"/>
      <c r="C1151" s="19"/>
      <c r="D1151" s="19"/>
      <c r="E1151" s="19"/>
      <c r="F1151" s="19"/>
      <c r="G1151" s="21"/>
      <c r="H1151" s="19"/>
      <c r="I1151" s="23" t="str">
        <f aca="false">IF(A1151="","",TEXT(A1151,"yyyy-mm"))</f>
        <v/>
      </c>
    </row>
    <row r="1152" customFormat="false" ht="15" hidden="false" customHeight="false" outlineLevel="0" collapsed="false">
      <c r="A1152" s="20"/>
      <c r="B1152" s="19"/>
      <c r="C1152" s="19"/>
      <c r="D1152" s="19"/>
      <c r="E1152" s="19"/>
      <c r="F1152" s="19"/>
      <c r="G1152" s="21"/>
      <c r="H1152" s="19"/>
      <c r="I1152" s="23" t="str">
        <f aca="false">IF(A1152="","",TEXT(A1152,"yyyy-mm"))</f>
        <v/>
      </c>
    </row>
    <row r="1153" customFormat="false" ht="15" hidden="false" customHeight="false" outlineLevel="0" collapsed="false">
      <c r="A1153" s="20"/>
      <c r="B1153" s="19"/>
      <c r="C1153" s="19"/>
      <c r="D1153" s="19"/>
      <c r="E1153" s="19"/>
      <c r="F1153" s="19"/>
      <c r="G1153" s="21"/>
      <c r="H1153" s="19"/>
      <c r="I1153" s="23" t="str">
        <f aca="false">IF(A1153="","",TEXT(A1153,"yyyy-mm"))</f>
        <v/>
      </c>
    </row>
    <row r="1154" customFormat="false" ht="15" hidden="false" customHeight="false" outlineLevel="0" collapsed="false">
      <c r="A1154" s="20"/>
      <c r="B1154" s="19"/>
      <c r="C1154" s="19"/>
      <c r="D1154" s="19"/>
      <c r="E1154" s="19"/>
      <c r="F1154" s="19"/>
      <c r="G1154" s="21"/>
      <c r="H1154" s="19"/>
      <c r="I1154" s="23" t="str">
        <f aca="false">IF(A1154="","",TEXT(A1154,"yyyy-mm"))</f>
        <v/>
      </c>
    </row>
    <row r="1155" customFormat="false" ht="15" hidden="false" customHeight="false" outlineLevel="0" collapsed="false">
      <c r="A1155" s="20"/>
      <c r="B1155" s="19"/>
      <c r="C1155" s="19"/>
      <c r="D1155" s="19"/>
      <c r="E1155" s="19"/>
      <c r="F1155" s="19"/>
      <c r="G1155" s="21"/>
      <c r="H1155" s="19"/>
      <c r="I1155" s="23" t="str">
        <f aca="false">IF(A1155="","",TEXT(A1155,"yyyy-mm"))</f>
        <v/>
      </c>
    </row>
    <row r="1156" customFormat="false" ht="15" hidden="false" customHeight="false" outlineLevel="0" collapsed="false">
      <c r="A1156" s="20"/>
      <c r="B1156" s="19"/>
      <c r="C1156" s="19"/>
      <c r="D1156" s="19"/>
      <c r="E1156" s="19"/>
      <c r="F1156" s="19"/>
      <c r="G1156" s="21"/>
      <c r="H1156" s="19"/>
      <c r="I1156" s="23" t="str">
        <f aca="false">IF(A1156="","",TEXT(A1156,"yyyy-mm"))</f>
        <v/>
      </c>
    </row>
    <row r="1157" customFormat="false" ht="15" hidden="false" customHeight="false" outlineLevel="0" collapsed="false">
      <c r="A1157" s="20"/>
      <c r="B1157" s="19"/>
      <c r="C1157" s="19"/>
      <c r="D1157" s="19"/>
      <c r="E1157" s="19"/>
      <c r="F1157" s="19"/>
      <c r="G1157" s="21"/>
      <c r="H1157" s="19"/>
      <c r="I1157" s="23" t="str">
        <f aca="false">IF(A1157="","",TEXT(A1157,"yyyy-mm"))</f>
        <v/>
      </c>
    </row>
    <row r="1158" customFormat="false" ht="15" hidden="false" customHeight="false" outlineLevel="0" collapsed="false">
      <c r="A1158" s="20"/>
      <c r="B1158" s="19"/>
      <c r="C1158" s="19"/>
      <c r="D1158" s="19"/>
      <c r="E1158" s="19"/>
      <c r="F1158" s="19"/>
      <c r="G1158" s="21"/>
      <c r="H1158" s="19"/>
      <c r="I1158" s="23" t="str">
        <f aca="false">IF(A1158="","",TEXT(A1158,"yyyy-mm"))</f>
        <v/>
      </c>
    </row>
    <row r="1159" customFormat="false" ht="15" hidden="false" customHeight="false" outlineLevel="0" collapsed="false">
      <c r="A1159" s="20"/>
      <c r="B1159" s="19"/>
      <c r="C1159" s="19"/>
      <c r="D1159" s="19"/>
      <c r="E1159" s="19"/>
      <c r="F1159" s="19"/>
      <c r="G1159" s="21"/>
      <c r="H1159" s="19"/>
      <c r="I1159" s="23" t="str">
        <f aca="false">IF(A1159="","",TEXT(A1159,"yyyy-mm"))</f>
        <v/>
      </c>
    </row>
    <row r="1160" customFormat="false" ht="15" hidden="false" customHeight="false" outlineLevel="0" collapsed="false">
      <c r="A1160" s="20"/>
      <c r="B1160" s="19"/>
      <c r="C1160" s="19"/>
      <c r="D1160" s="19"/>
      <c r="E1160" s="19"/>
      <c r="F1160" s="19"/>
      <c r="G1160" s="21"/>
      <c r="H1160" s="19"/>
      <c r="I1160" s="23" t="str">
        <f aca="false">IF(A1160="","",TEXT(A1160,"yyyy-mm"))</f>
        <v/>
      </c>
    </row>
    <row r="1161" customFormat="false" ht="15" hidden="false" customHeight="false" outlineLevel="0" collapsed="false">
      <c r="A1161" s="20"/>
      <c r="B1161" s="19"/>
      <c r="C1161" s="19"/>
      <c r="D1161" s="19"/>
      <c r="E1161" s="19"/>
      <c r="F1161" s="19"/>
      <c r="G1161" s="21"/>
      <c r="H1161" s="19"/>
      <c r="I1161" s="23" t="str">
        <f aca="false">IF(A1161="","",TEXT(A1161,"yyyy-mm"))</f>
        <v/>
      </c>
    </row>
    <row r="1162" customFormat="false" ht="15" hidden="false" customHeight="false" outlineLevel="0" collapsed="false">
      <c r="A1162" s="20"/>
      <c r="B1162" s="19"/>
      <c r="C1162" s="19"/>
      <c r="D1162" s="19"/>
      <c r="E1162" s="19"/>
      <c r="F1162" s="19"/>
      <c r="G1162" s="21"/>
      <c r="H1162" s="19"/>
      <c r="I1162" s="23" t="str">
        <f aca="false">IF(A1162="","",TEXT(A1162,"yyyy-mm"))</f>
        <v/>
      </c>
    </row>
    <row r="1163" customFormat="false" ht="15" hidden="false" customHeight="false" outlineLevel="0" collapsed="false">
      <c r="A1163" s="20"/>
      <c r="B1163" s="19"/>
      <c r="C1163" s="19"/>
      <c r="D1163" s="19"/>
      <c r="E1163" s="19"/>
      <c r="F1163" s="19"/>
      <c r="G1163" s="21"/>
      <c r="H1163" s="19"/>
      <c r="I1163" s="23" t="str">
        <f aca="false">IF(A1163="","",TEXT(A1163,"yyyy-mm"))</f>
        <v/>
      </c>
    </row>
    <row r="1164" customFormat="false" ht="15" hidden="false" customHeight="false" outlineLevel="0" collapsed="false">
      <c r="A1164" s="20"/>
      <c r="B1164" s="19"/>
      <c r="C1164" s="19"/>
      <c r="D1164" s="19"/>
      <c r="E1164" s="19"/>
      <c r="F1164" s="19"/>
      <c r="G1164" s="21"/>
      <c r="H1164" s="19"/>
      <c r="I1164" s="23" t="str">
        <f aca="false">IF(A1164="","",TEXT(A1164,"yyyy-mm"))</f>
        <v/>
      </c>
    </row>
    <row r="1165" customFormat="false" ht="15" hidden="false" customHeight="false" outlineLevel="0" collapsed="false">
      <c r="A1165" s="20"/>
      <c r="B1165" s="19"/>
      <c r="C1165" s="19"/>
      <c r="D1165" s="19"/>
      <c r="E1165" s="19"/>
      <c r="F1165" s="19"/>
      <c r="G1165" s="21"/>
      <c r="H1165" s="19"/>
      <c r="I1165" s="23" t="str">
        <f aca="false">IF(A1165="","",TEXT(A1165,"yyyy-mm"))</f>
        <v/>
      </c>
    </row>
    <row r="1166" customFormat="false" ht="15" hidden="false" customHeight="false" outlineLevel="0" collapsed="false">
      <c r="A1166" s="20"/>
      <c r="B1166" s="19"/>
      <c r="C1166" s="19"/>
      <c r="D1166" s="19"/>
      <c r="E1166" s="19"/>
      <c r="F1166" s="19"/>
      <c r="G1166" s="21"/>
      <c r="H1166" s="19"/>
      <c r="I1166" s="23" t="str">
        <f aca="false">IF(A1166="","",TEXT(A1166,"yyyy-mm"))</f>
        <v/>
      </c>
    </row>
    <row r="1167" customFormat="false" ht="15" hidden="false" customHeight="false" outlineLevel="0" collapsed="false">
      <c r="A1167" s="20"/>
      <c r="B1167" s="19"/>
      <c r="C1167" s="19"/>
      <c r="D1167" s="19"/>
      <c r="E1167" s="19"/>
      <c r="F1167" s="19"/>
      <c r="G1167" s="21"/>
      <c r="H1167" s="19"/>
      <c r="I1167" s="23" t="str">
        <f aca="false">IF(A1167="","",TEXT(A1167,"yyyy-mm"))</f>
        <v/>
      </c>
    </row>
    <row r="1168" customFormat="false" ht="15" hidden="false" customHeight="false" outlineLevel="0" collapsed="false">
      <c r="A1168" s="20"/>
      <c r="B1168" s="19"/>
      <c r="C1168" s="19"/>
      <c r="D1168" s="19"/>
      <c r="E1168" s="19"/>
      <c r="F1168" s="19"/>
      <c r="G1168" s="21"/>
      <c r="H1168" s="19"/>
      <c r="I1168" s="23" t="str">
        <f aca="false">IF(A1168="","",TEXT(A1168,"yyyy-mm"))</f>
        <v/>
      </c>
    </row>
    <row r="1169" customFormat="false" ht="15" hidden="false" customHeight="false" outlineLevel="0" collapsed="false">
      <c r="A1169" s="20"/>
      <c r="B1169" s="19"/>
      <c r="C1169" s="19"/>
      <c r="D1169" s="19"/>
      <c r="E1169" s="19"/>
      <c r="F1169" s="19"/>
      <c r="G1169" s="21"/>
      <c r="H1169" s="19"/>
      <c r="I1169" s="23" t="str">
        <f aca="false">IF(A1169="","",TEXT(A1169,"yyyy-mm"))</f>
        <v/>
      </c>
    </row>
    <row r="1170" customFormat="false" ht="15" hidden="false" customHeight="false" outlineLevel="0" collapsed="false">
      <c r="A1170" s="20"/>
      <c r="B1170" s="19"/>
      <c r="C1170" s="19"/>
      <c r="D1170" s="19"/>
      <c r="E1170" s="19"/>
      <c r="F1170" s="19"/>
      <c r="G1170" s="21"/>
      <c r="H1170" s="19"/>
      <c r="I1170" s="23" t="str">
        <f aca="false">IF(A1170="","",TEXT(A1170,"yyyy-mm"))</f>
        <v/>
      </c>
    </row>
    <row r="1171" customFormat="false" ht="15" hidden="false" customHeight="false" outlineLevel="0" collapsed="false">
      <c r="A1171" s="20"/>
      <c r="B1171" s="19"/>
      <c r="C1171" s="19"/>
      <c r="D1171" s="19"/>
      <c r="E1171" s="19"/>
      <c r="F1171" s="19"/>
      <c r="G1171" s="21"/>
      <c r="H1171" s="19"/>
      <c r="I1171" s="23" t="str">
        <f aca="false">IF(A1171="","",TEXT(A1171,"yyyy-mm"))</f>
        <v/>
      </c>
    </row>
    <row r="1172" customFormat="false" ht="15" hidden="false" customHeight="false" outlineLevel="0" collapsed="false">
      <c r="A1172" s="20"/>
      <c r="B1172" s="19"/>
      <c r="C1172" s="19"/>
      <c r="D1172" s="19"/>
      <c r="E1172" s="19"/>
      <c r="F1172" s="19"/>
      <c r="G1172" s="21"/>
      <c r="H1172" s="19"/>
      <c r="I1172" s="23" t="str">
        <f aca="false">IF(A1172="","",TEXT(A1172,"yyyy-mm"))</f>
        <v/>
      </c>
    </row>
    <row r="1173" customFormat="false" ht="15" hidden="false" customHeight="false" outlineLevel="0" collapsed="false">
      <c r="A1173" s="20"/>
      <c r="B1173" s="19"/>
      <c r="C1173" s="19"/>
      <c r="D1173" s="19"/>
      <c r="E1173" s="19"/>
      <c r="F1173" s="19"/>
      <c r="G1173" s="21"/>
      <c r="H1173" s="19"/>
      <c r="I1173" s="23" t="str">
        <f aca="false">IF(A1173="","",TEXT(A1173,"yyyy-mm"))</f>
        <v/>
      </c>
    </row>
    <row r="1174" customFormat="false" ht="15" hidden="false" customHeight="false" outlineLevel="0" collapsed="false">
      <c r="A1174" s="20"/>
      <c r="B1174" s="19"/>
      <c r="C1174" s="19"/>
      <c r="D1174" s="19"/>
      <c r="E1174" s="19"/>
      <c r="F1174" s="19"/>
      <c r="G1174" s="21"/>
      <c r="H1174" s="19"/>
      <c r="I1174" s="23" t="str">
        <f aca="false">IF(A1174="","",TEXT(A1174,"yyyy-mm"))</f>
        <v/>
      </c>
    </row>
    <row r="1175" customFormat="false" ht="15" hidden="false" customHeight="false" outlineLevel="0" collapsed="false">
      <c r="A1175" s="20"/>
      <c r="B1175" s="19"/>
      <c r="C1175" s="19"/>
      <c r="D1175" s="19"/>
      <c r="E1175" s="19"/>
      <c r="F1175" s="19"/>
      <c r="G1175" s="21"/>
      <c r="H1175" s="19"/>
      <c r="I1175" s="23" t="str">
        <f aca="false">IF(A1175="","",TEXT(A1175,"yyyy-mm"))</f>
        <v/>
      </c>
    </row>
    <row r="1176" customFormat="false" ht="15" hidden="false" customHeight="false" outlineLevel="0" collapsed="false">
      <c r="A1176" s="20"/>
      <c r="B1176" s="19"/>
      <c r="C1176" s="19"/>
      <c r="D1176" s="19"/>
      <c r="E1176" s="19"/>
      <c r="F1176" s="19"/>
      <c r="G1176" s="21"/>
      <c r="H1176" s="19"/>
      <c r="I1176" s="23" t="str">
        <f aca="false">IF(A1176="","",TEXT(A1176,"yyyy-mm"))</f>
        <v/>
      </c>
    </row>
    <row r="1177" customFormat="false" ht="15" hidden="false" customHeight="false" outlineLevel="0" collapsed="false">
      <c r="A1177" s="20"/>
      <c r="B1177" s="19"/>
      <c r="C1177" s="19"/>
      <c r="D1177" s="19"/>
      <c r="E1177" s="19"/>
      <c r="F1177" s="19"/>
      <c r="G1177" s="21"/>
      <c r="H1177" s="19"/>
      <c r="I1177" s="23" t="str">
        <f aca="false">IF(A1177="","",TEXT(A1177,"yyyy-mm"))</f>
        <v/>
      </c>
    </row>
    <row r="1178" customFormat="false" ht="15" hidden="false" customHeight="false" outlineLevel="0" collapsed="false">
      <c r="A1178" s="20"/>
      <c r="B1178" s="19"/>
      <c r="C1178" s="19"/>
      <c r="D1178" s="19"/>
      <c r="E1178" s="19"/>
      <c r="F1178" s="19"/>
      <c r="G1178" s="21"/>
      <c r="H1178" s="19"/>
      <c r="I1178" s="23" t="str">
        <f aca="false">IF(A1178="","",TEXT(A1178,"yyyy-mm"))</f>
        <v/>
      </c>
    </row>
    <row r="1179" customFormat="false" ht="15" hidden="false" customHeight="false" outlineLevel="0" collapsed="false">
      <c r="A1179" s="20"/>
      <c r="B1179" s="19"/>
      <c r="C1179" s="19"/>
      <c r="D1179" s="19"/>
      <c r="E1179" s="19"/>
      <c r="F1179" s="19"/>
      <c r="G1179" s="21"/>
      <c r="H1179" s="19"/>
      <c r="I1179" s="23" t="str">
        <f aca="false">IF(A1179="","",TEXT(A1179,"yyyy-mm"))</f>
        <v/>
      </c>
    </row>
    <row r="1180" customFormat="false" ht="15" hidden="false" customHeight="false" outlineLevel="0" collapsed="false">
      <c r="A1180" s="20"/>
      <c r="B1180" s="19"/>
      <c r="C1180" s="19"/>
      <c r="D1180" s="19"/>
      <c r="E1180" s="19"/>
      <c r="F1180" s="19"/>
      <c r="G1180" s="21"/>
      <c r="H1180" s="19"/>
      <c r="I1180" s="23" t="str">
        <f aca="false">IF(A1180="","",TEXT(A1180,"yyyy-mm"))</f>
        <v/>
      </c>
    </row>
    <row r="1181" customFormat="false" ht="15" hidden="false" customHeight="false" outlineLevel="0" collapsed="false">
      <c r="A1181" s="20"/>
      <c r="B1181" s="19"/>
      <c r="C1181" s="19"/>
      <c r="D1181" s="19"/>
      <c r="E1181" s="19"/>
      <c r="F1181" s="19"/>
      <c r="G1181" s="21"/>
      <c r="H1181" s="19"/>
      <c r="I1181" s="23" t="str">
        <f aca="false">IF(A1181="","",TEXT(A1181,"yyyy-mm"))</f>
        <v/>
      </c>
    </row>
    <row r="1182" customFormat="false" ht="15" hidden="false" customHeight="false" outlineLevel="0" collapsed="false">
      <c r="A1182" s="20"/>
      <c r="B1182" s="19"/>
      <c r="C1182" s="19"/>
      <c r="D1182" s="19"/>
      <c r="E1182" s="19"/>
      <c r="F1182" s="19"/>
      <c r="G1182" s="21"/>
      <c r="H1182" s="19"/>
      <c r="I1182" s="23" t="str">
        <f aca="false">IF(A1182="","",TEXT(A1182,"yyyy-mm"))</f>
        <v/>
      </c>
    </row>
    <row r="1183" customFormat="false" ht="15" hidden="false" customHeight="false" outlineLevel="0" collapsed="false">
      <c r="A1183" s="20"/>
      <c r="B1183" s="19"/>
      <c r="C1183" s="19"/>
      <c r="D1183" s="19"/>
      <c r="E1183" s="19"/>
      <c r="F1183" s="19"/>
      <c r="G1183" s="21"/>
      <c r="H1183" s="19"/>
      <c r="I1183" s="23" t="str">
        <f aca="false">IF(A1183="","",TEXT(A1183,"yyyy-mm"))</f>
        <v/>
      </c>
    </row>
    <row r="1184" customFormat="false" ht="15" hidden="false" customHeight="false" outlineLevel="0" collapsed="false">
      <c r="A1184" s="20"/>
      <c r="B1184" s="19"/>
      <c r="C1184" s="19"/>
      <c r="D1184" s="19"/>
      <c r="E1184" s="19"/>
      <c r="F1184" s="19"/>
      <c r="G1184" s="21"/>
      <c r="H1184" s="19"/>
      <c r="I1184" s="23" t="str">
        <f aca="false">IF(A1184="","",TEXT(A1184,"yyyy-mm"))</f>
        <v/>
      </c>
    </row>
    <row r="1185" customFormat="false" ht="15" hidden="false" customHeight="false" outlineLevel="0" collapsed="false">
      <c r="A1185" s="20"/>
      <c r="B1185" s="19"/>
      <c r="C1185" s="19"/>
      <c r="D1185" s="19"/>
      <c r="E1185" s="19"/>
      <c r="F1185" s="19"/>
      <c r="G1185" s="21"/>
      <c r="H1185" s="19"/>
      <c r="I1185" s="23" t="str">
        <f aca="false">IF(A1185="","",TEXT(A1185,"yyyy-mm"))</f>
        <v/>
      </c>
    </row>
    <row r="1186" customFormat="false" ht="15" hidden="false" customHeight="false" outlineLevel="0" collapsed="false">
      <c r="A1186" s="20"/>
      <c r="B1186" s="19"/>
      <c r="C1186" s="19"/>
      <c r="D1186" s="19"/>
      <c r="E1186" s="19"/>
      <c r="F1186" s="19"/>
      <c r="G1186" s="21"/>
      <c r="H1186" s="19"/>
      <c r="I1186" s="23" t="str">
        <f aca="false">IF(A1186="","",TEXT(A1186,"yyyy-mm"))</f>
        <v/>
      </c>
    </row>
    <row r="1187" customFormat="false" ht="15" hidden="false" customHeight="false" outlineLevel="0" collapsed="false">
      <c r="A1187" s="20"/>
      <c r="B1187" s="19"/>
      <c r="C1187" s="19"/>
      <c r="D1187" s="19"/>
      <c r="E1187" s="19"/>
      <c r="F1187" s="19"/>
      <c r="G1187" s="21"/>
      <c r="H1187" s="19"/>
      <c r="I1187" s="23" t="str">
        <f aca="false">IF(A1187="","",TEXT(A1187,"yyyy-mm"))</f>
        <v/>
      </c>
    </row>
    <row r="1188" customFormat="false" ht="15" hidden="false" customHeight="false" outlineLevel="0" collapsed="false">
      <c r="A1188" s="20"/>
      <c r="B1188" s="19"/>
      <c r="C1188" s="19"/>
      <c r="D1188" s="19"/>
      <c r="E1188" s="19"/>
      <c r="F1188" s="19"/>
      <c r="G1188" s="21"/>
      <c r="H1188" s="19"/>
      <c r="I1188" s="23" t="str">
        <f aca="false">IF(A1188="","",TEXT(A1188,"yyyy-mm"))</f>
        <v/>
      </c>
    </row>
    <row r="1189" customFormat="false" ht="15" hidden="false" customHeight="false" outlineLevel="0" collapsed="false">
      <c r="A1189" s="20"/>
      <c r="B1189" s="19"/>
      <c r="C1189" s="19"/>
      <c r="D1189" s="19"/>
      <c r="E1189" s="19"/>
      <c r="F1189" s="19"/>
      <c r="G1189" s="21"/>
      <c r="H1189" s="19"/>
      <c r="I1189" s="23" t="str">
        <f aca="false">IF(A1189="","",TEXT(A1189,"yyyy-mm"))</f>
        <v/>
      </c>
    </row>
    <row r="1190" customFormat="false" ht="15" hidden="false" customHeight="false" outlineLevel="0" collapsed="false">
      <c r="A1190" s="20"/>
      <c r="B1190" s="19"/>
      <c r="C1190" s="19"/>
      <c r="D1190" s="19"/>
      <c r="E1190" s="19"/>
      <c r="F1190" s="19"/>
      <c r="G1190" s="21"/>
      <c r="H1190" s="19"/>
      <c r="I1190" s="23" t="str">
        <f aca="false">IF(A1190="","",TEXT(A1190,"yyyy-mm"))</f>
        <v/>
      </c>
    </row>
    <row r="1191" customFormat="false" ht="15" hidden="false" customHeight="false" outlineLevel="0" collapsed="false">
      <c r="A1191" s="20"/>
      <c r="B1191" s="19"/>
      <c r="C1191" s="19"/>
      <c r="D1191" s="19"/>
      <c r="E1191" s="19"/>
      <c r="F1191" s="19"/>
      <c r="G1191" s="21"/>
      <c r="H1191" s="19"/>
      <c r="I1191" s="23" t="str">
        <f aca="false">IF(A1191="","",TEXT(A1191,"yyyy-mm"))</f>
        <v/>
      </c>
    </row>
    <row r="1192" customFormat="false" ht="15" hidden="false" customHeight="false" outlineLevel="0" collapsed="false">
      <c r="A1192" s="20"/>
      <c r="B1192" s="19"/>
      <c r="C1192" s="19"/>
      <c r="D1192" s="19"/>
      <c r="E1192" s="19"/>
      <c r="F1192" s="19"/>
      <c r="G1192" s="21"/>
      <c r="H1192" s="19"/>
      <c r="I1192" s="23" t="str">
        <f aca="false">IF(A1192="","",TEXT(A1192,"yyyy-mm"))</f>
        <v/>
      </c>
    </row>
    <row r="1193" customFormat="false" ht="15" hidden="false" customHeight="false" outlineLevel="0" collapsed="false">
      <c r="A1193" s="20"/>
      <c r="B1193" s="19"/>
      <c r="C1193" s="19"/>
      <c r="D1193" s="19"/>
      <c r="E1193" s="19"/>
      <c r="F1193" s="19"/>
      <c r="G1193" s="21"/>
      <c r="H1193" s="19"/>
      <c r="I1193" s="23" t="str">
        <f aca="false">IF(A1193="","",TEXT(A1193,"yyyy-mm"))</f>
        <v/>
      </c>
    </row>
    <row r="1194" customFormat="false" ht="15" hidden="false" customHeight="false" outlineLevel="0" collapsed="false">
      <c r="A1194" s="20"/>
      <c r="B1194" s="19"/>
      <c r="C1194" s="19"/>
      <c r="D1194" s="19"/>
      <c r="E1194" s="19"/>
      <c r="F1194" s="19"/>
      <c r="G1194" s="21"/>
      <c r="H1194" s="19"/>
      <c r="I1194" s="23" t="str">
        <f aca="false">IF(A1194="","",TEXT(A1194,"yyyy-mm"))</f>
        <v/>
      </c>
    </row>
    <row r="1195" customFormat="false" ht="15" hidden="false" customHeight="false" outlineLevel="0" collapsed="false">
      <c r="A1195" s="20"/>
      <c r="B1195" s="19"/>
      <c r="C1195" s="19"/>
      <c r="D1195" s="19"/>
      <c r="E1195" s="19"/>
      <c r="F1195" s="19"/>
      <c r="G1195" s="21"/>
      <c r="H1195" s="19"/>
      <c r="I1195" s="23" t="str">
        <f aca="false">IF(A1195="","",TEXT(A1195,"yyyy-mm"))</f>
        <v/>
      </c>
    </row>
    <row r="1196" customFormat="false" ht="15" hidden="false" customHeight="false" outlineLevel="0" collapsed="false">
      <c r="A1196" s="20"/>
      <c r="B1196" s="19"/>
      <c r="C1196" s="19"/>
      <c r="D1196" s="19"/>
      <c r="E1196" s="19"/>
      <c r="F1196" s="19"/>
      <c r="G1196" s="21"/>
      <c r="H1196" s="19"/>
      <c r="I1196" s="23" t="str">
        <f aca="false">IF(A1196="","",TEXT(A1196,"yyyy-mm"))</f>
        <v/>
      </c>
    </row>
    <row r="1197" customFormat="false" ht="15" hidden="false" customHeight="false" outlineLevel="0" collapsed="false">
      <c r="A1197" s="20"/>
      <c r="B1197" s="19"/>
      <c r="C1197" s="19"/>
      <c r="D1197" s="19"/>
      <c r="E1197" s="19"/>
      <c r="F1197" s="19"/>
      <c r="G1197" s="21"/>
      <c r="H1197" s="19"/>
      <c r="I1197" s="23" t="str">
        <f aca="false">IF(A1197="","",TEXT(A1197,"yyyy-mm"))</f>
        <v/>
      </c>
    </row>
    <row r="1198" customFormat="false" ht="15" hidden="false" customHeight="false" outlineLevel="0" collapsed="false">
      <c r="A1198" s="20"/>
      <c r="B1198" s="19"/>
      <c r="C1198" s="19"/>
      <c r="D1198" s="19"/>
      <c r="E1198" s="19"/>
      <c r="F1198" s="19"/>
      <c r="G1198" s="21"/>
      <c r="H1198" s="19"/>
      <c r="I1198" s="23" t="str">
        <f aca="false">IF(A1198="","",TEXT(A1198,"yyyy-mm"))</f>
        <v/>
      </c>
    </row>
    <row r="1199" customFormat="false" ht="15" hidden="false" customHeight="false" outlineLevel="0" collapsed="false">
      <c r="A1199" s="20"/>
      <c r="B1199" s="19"/>
      <c r="C1199" s="19"/>
      <c r="D1199" s="19"/>
      <c r="E1199" s="19"/>
      <c r="F1199" s="19"/>
      <c r="G1199" s="21"/>
      <c r="H1199" s="19"/>
      <c r="I1199" s="23" t="str">
        <f aca="false">IF(A1199="","",TEXT(A1199,"yyyy-mm"))</f>
        <v/>
      </c>
    </row>
    <row r="1200" customFormat="false" ht="15" hidden="false" customHeight="false" outlineLevel="0" collapsed="false">
      <c r="A1200" s="20"/>
      <c r="B1200" s="19"/>
      <c r="C1200" s="19"/>
      <c r="D1200" s="19"/>
      <c r="E1200" s="19"/>
      <c r="F1200" s="19"/>
      <c r="G1200" s="21"/>
      <c r="H1200" s="19"/>
      <c r="I1200" s="23" t="str">
        <f aca="false">IF(A1200="","",TEXT(A1200,"yyyy-mm"))</f>
        <v/>
      </c>
    </row>
    <row r="1201" customFormat="false" ht="15" hidden="false" customHeight="false" outlineLevel="0" collapsed="false">
      <c r="A1201" s="20"/>
      <c r="B1201" s="19"/>
      <c r="C1201" s="19"/>
      <c r="D1201" s="19"/>
      <c r="E1201" s="19"/>
      <c r="F1201" s="19"/>
      <c r="G1201" s="21"/>
      <c r="H1201" s="19"/>
      <c r="I1201" s="23" t="str">
        <f aca="false">IF(A1201="","",TEXT(A1201,"yyyy-mm"))</f>
        <v/>
      </c>
    </row>
    <row r="1202" customFormat="false" ht="15" hidden="false" customHeight="false" outlineLevel="0" collapsed="false">
      <c r="A1202" s="20"/>
      <c r="B1202" s="19"/>
      <c r="C1202" s="19"/>
      <c r="D1202" s="19"/>
      <c r="E1202" s="19"/>
      <c r="F1202" s="19"/>
      <c r="G1202" s="21"/>
      <c r="H1202" s="19"/>
      <c r="I1202" s="23" t="str">
        <f aca="false">IF(A1202="","",TEXT(A1202,"yyyy-mm"))</f>
        <v/>
      </c>
    </row>
    <row r="1203" customFormat="false" ht="15" hidden="false" customHeight="false" outlineLevel="0" collapsed="false">
      <c r="A1203" s="20"/>
      <c r="B1203" s="19"/>
      <c r="C1203" s="19"/>
      <c r="D1203" s="19"/>
      <c r="E1203" s="19"/>
      <c r="F1203" s="19"/>
      <c r="G1203" s="21"/>
      <c r="H1203" s="19"/>
      <c r="I1203" s="23" t="str">
        <f aca="false">IF(A1203="","",TEXT(A1203,"yyyy-mm"))</f>
        <v/>
      </c>
    </row>
    <row r="1204" customFormat="false" ht="15" hidden="false" customHeight="false" outlineLevel="0" collapsed="false">
      <c r="A1204" s="20"/>
      <c r="B1204" s="19"/>
      <c r="C1204" s="19"/>
      <c r="D1204" s="19"/>
      <c r="E1204" s="19"/>
      <c r="F1204" s="19"/>
      <c r="G1204" s="21"/>
      <c r="H1204" s="19"/>
      <c r="I1204" s="23" t="str">
        <f aca="false">IF(A1204="","",TEXT(A1204,"yyyy-mm"))</f>
        <v/>
      </c>
    </row>
    <row r="1205" customFormat="false" ht="15" hidden="false" customHeight="false" outlineLevel="0" collapsed="false">
      <c r="A1205" s="20"/>
      <c r="B1205" s="19"/>
      <c r="C1205" s="19"/>
      <c r="D1205" s="19"/>
      <c r="E1205" s="19"/>
      <c r="F1205" s="19"/>
      <c r="G1205" s="21"/>
      <c r="H1205" s="19"/>
      <c r="I1205" s="23" t="str">
        <f aca="false">IF(A1205="","",TEXT(A1205,"yyyy-mm"))</f>
        <v/>
      </c>
    </row>
    <row r="1206" customFormat="false" ht="15" hidden="false" customHeight="false" outlineLevel="0" collapsed="false">
      <c r="A1206" s="20"/>
      <c r="B1206" s="19"/>
      <c r="C1206" s="19"/>
      <c r="D1206" s="19"/>
      <c r="E1206" s="19"/>
      <c r="F1206" s="19"/>
      <c r="G1206" s="21"/>
      <c r="H1206" s="19"/>
      <c r="I1206" s="23" t="str">
        <f aca="false">IF(A1206="","",TEXT(A1206,"yyyy-mm"))</f>
        <v/>
      </c>
    </row>
    <row r="1207" customFormat="false" ht="15" hidden="false" customHeight="false" outlineLevel="0" collapsed="false">
      <c r="A1207" s="20"/>
      <c r="B1207" s="19"/>
      <c r="C1207" s="19"/>
      <c r="D1207" s="19"/>
      <c r="E1207" s="19"/>
      <c r="F1207" s="19"/>
      <c r="G1207" s="21"/>
      <c r="H1207" s="19"/>
      <c r="I1207" s="23" t="str">
        <f aca="false">IF(A1207="","",TEXT(A1207,"yyyy-mm"))</f>
        <v/>
      </c>
    </row>
    <row r="1208" customFormat="false" ht="15" hidden="false" customHeight="false" outlineLevel="0" collapsed="false">
      <c r="A1208" s="20"/>
      <c r="B1208" s="19"/>
      <c r="C1208" s="19"/>
      <c r="D1208" s="19"/>
      <c r="E1208" s="19"/>
      <c r="F1208" s="19"/>
      <c r="G1208" s="21"/>
      <c r="H1208" s="19"/>
      <c r="I1208" s="23" t="str">
        <f aca="false">IF(A1208="","",TEXT(A1208,"yyyy-mm"))</f>
        <v/>
      </c>
    </row>
    <row r="1209" customFormat="false" ht="15" hidden="false" customHeight="false" outlineLevel="0" collapsed="false">
      <c r="A1209" s="20"/>
      <c r="B1209" s="19"/>
      <c r="C1209" s="19"/>
      <c r="D1209" s="19"/>
      <c r="E1209" s="19"/>
      <c r="F1209" s="19"/>
      <c r="G1209" s="21"/>
      <c r="H1209" s="19"/>
      <c r="I1209" s="23" t="str">
        <f aca="false">IF(A1209="","",TEXT(A1209,"yyyy-mm"))</f>
        <v/>
      </c>
    </row>
    <row r="1210" customFormat="false" ht="15" hidden="false" customHeight="false" outlineLevel="0" collapsed="false">
      <c r="A1210" s="20"/>
      <c r="B1210" s="19"/>
      <c r="C1210" s="19"/>
      <c r="D1210" s="19"/>
      <c r="E1210" s="19"/>
      <c r="F1210" s="19"/>
      <c r="G1210" s="21"/>
      <c r="H1210" s="19"/>
      <c r="I1210" s="23" t="str">
        <f aca="false">IF(A1210="","",TEXT(A1210,"yyyy-mm"))</f>
        <v/>
      </c>
    </row>
    <row r="1211" customFormat="false" ht="15" hidden="false" customHeight="false" outlineLevel="0" collapsed="false">
      <c r="A1211" s="20"/>
      <c r="B1211" s="19"/>
      <c r="C1211" s="19"/>
      <c r="D1211" s="19"/>
      <c r="E1211" s="19"/>
      <c r="F1211" s="19"/>
      <c r="G1211" s="21"/>
      <c r="H1211" s="19"/>
      <c r="I1211" s="23" t="str">
        <f aca="false">IF(A1211="","",TEXT(A1211,"yyyy-mm"))</f>
        <v/>
      </c>
    </row>
    <row r="1212" customFormat="false" ht="15" hidden="false" customHeight="false" outlineLevel="0" collapsed="false">
      <c r="A1212" s="20"/>
      <c r="B1212" s="19"/>
      <c r="C1212" s="19"/>
      <c r="D1212" s="19"/>
      <c r="E1212" s="19"/>
      <c r="F1212" s="19"/>
      <c r="G1212" s="21"/>
      <c r="H1212" s="19"/>
      <c r="I1212" s="23" t="str">
        <f aca="false">IF(A1212="","",TEXT(A1212,"yyyy-mm"))</f>
        <v/>
      </c>
    </row>
    <row r="1213" customFormat="false" ht="15" hidden="false" customHeight="false" outlineLevel="0" collapsed="false">
      <c r="A1213" s="20"/>
      <c r="B1213" s="19"/>
      <c r="C1213" s="19"/>
      <c r="D1213" s="19"/>
      <c r="E1213" s="19"/>
      <c r="F1213" s="19"/>
      <c r="G1213" s="21"/>
      <c r="H1213" s="19"/>
      <c r="I1213" s="23" t="str">
        <f aca="false">IF(A1213="","",TEXT(A1213,"yyyy-mm"))</f>
        <v/>
      </c>
    </row>
    <row r="1214" customFormat="false" ht="15" hidden="false" customHeight="false" outlineLevel="0" collapsed="false">
      <c r="A1214" s="20"/>
      <c r="B1214" s="19"/>
      <c r="C1214" s="19"/>
      <c r="D1214" s="19"/>
      <c r="E1214" s="19"/>
      <c r="F1214" s="19"/>
      <c r="G1214" s="21"/>
      <c r="H1214" s="19"/>
      <c r="I1214" s="23" t="str">
        <f aca="false">IF(A1214="","",TEXT(A1214,"yyyy-mm"))</f>
        <v/>
      </c>
    </row>
    <row r="1215" customFormat="false" ht="15" hidden="false" customHeight="false" outlineLevel="0" collapsed="false">
      <c r="A1215" s="20"/>
      <c r="B1215" s="19"/>
      <c r="C1215" s="19"/>
      <c r="D1215" s="19"/>
      <c r="E1215" s="19"/>
      <c r="F1215" s="19"/>
      <c r="G1215" s="21"/>
      <c r="H1215" s="19"/>
      <c r="I1215" s="23" t="str">
        <f aca="false">IF(A1215="","",TEXT(A1215,"yyyy-mm"))</f>
        <v/>
      </c>
    </row>
    <row r="1216" customFormat="false" ht="15" hidden="false" customHeight="false" outlineLevel="0" collapsed="false">
      <c r="A1216" s="20"/>
      <c r="B1216" s="19"/>
      <c r="C1216" s="19"/>
      <c r="D1216" s="19"/>
      <c r="E1216" s="19"/>
      <c r="F1216" s="19"/>
      <c r="G1216" s="21"/>
      <c r="H1216" s="19"/>
      <c r="I1216" s="23" t="str">
        <f aca="false">IF(A1216="","",TEXT(A1216,"yyyy-mm"))</f>
        <v/>
      </c>
    </row>
    <row r="1217" customFormat="false" ht="15" hidden="false" customHeight="false" outlineLevel="0" collapsed="false">
      <c r="A1217" s="20"/>
      <c r="B1217" s="19"/>
      <c r="C1217" s="19"/>
      <c r="D1217" s="19"/>
      <c r="E1217" s="19"/>
      <c r="F1217" s="19"/>
      <c r="G1217" s="21"/>
      <c r="H1217" s="19"/>
      <c r="I1217" s="23" t="str">
        <f aca="false">IF(A1217="","",TEXT(A1217,"yyyy-mm"))</f>
        <v/>
      </c>
    </row>
    <row r="1218" customFormat="false" ht="15" hidden="false" customHeight="false" outlineLevel="0" collapsed="false">
      <c r="A1218" s="20"/>
      <c r="B1218" s="19"/>
      <c r="C1218" s="19"/>
      <c r="D1218" s="19"/>
      <c r="E1218" s="19"/>
      <c r="F1218" s="19"/>
      <c r="G1218" s="21"/>
      <c r="H1218" s="19"/>
      <c r="I1218" s="23" t="str">
        <f aca="false">IF(A1218="","",TEXT(A1218,"yyyy-mm"))</f>
        <v/>
      </c>
    </row>
    <row r="1219" customFormat="false" ht="15" hidden="false" customHeight="false" outlineLevel="0" collapsed="false">
      <c r="A1219" s="20"/>
      <c r="B1219" s="19"/>
      <c r="C1219" s="19"/>
      <c r="D1219" s="19"/>
      <c r="E1219" s="19"/>
      <c r="F1219" s="19"/>
      <c r="G1219" s="21"/>
      <c r="H1219" s="19"/>
      <c r="I1219" s="23" t="str">
        <f aca="false">IF(A1219="","",TEXT(A1219,"yyyy-mm"))</f>
        <v/>
      </c>
    </row>
    <row r="1220" customFormat="false" ht="15" hidden="false" customHeight="false" outlineLevel="0" collapsed="false">
      <c r="A1220" s="20"/>
      <c r="B1220" s="19"/>
      <c r="C1220" s="19"/>
      <c r="D1220" s="19"/>
      <c r="E1220" s="19"/>
      <c r="F1220" s="19"/>
      <c r="G1220" s="21"/>
      <c r="H1220" s="19"/>
      <c r="I1220" s="23" t="str">
        <f aca="false">IF(A1220="","",TEXT(A1220,"yyyy-mm"))</f>
        <v/>
      </c>
    </row>
    <row r="1221" customFormat="false" ht="15" hidden="false" customHeight="false" outlineLevel="0" collapsed="false">
      <c r="A1221" s="20"/>
      <c r="B1221" s="19"/>
      <c r="C1221" s="19"/>
      <c r="D1221" s="19"/>
      <c r="E1221" s="19"/>
      <c r="F1221" s="19"/>
      <c r="G1221" s="21"/>
      <c r="H1221" s="19"/>
      <c r="I1221" s="23" t="str">
        <f aca="false">IF(A1221="","",TEXT(A1221,"yyyy-mm"))</f>
        <v/>
      </c>
    </row>
    <row r="1222" customFormat="false" ht="15" hidden="false" customHeight="false" outlineLevel="0" collapsed="false">
      <c r="A1222" s="20"/>
      <c r="B1222" s="19"/>
      <c r="C1222" s="19"/>
      <c r="D1222" s="19"/>
      <c r="E1222" s="19"/>
      <c r="F1222" s="19"/>
      <c r="G1222" s="21"/>
      <c r="H1222" s="19"/>
      <c r="I1222" s="23" t="str">
        <f aca="false">IF(A1222="","",TEXT(A1222,"yyyy-mm"))</f>
        <v/>
      </c>
    </row>
    <row r="1223" customFormat="false" ht="15" hidden="false" customHeight="false" outlineLevel="0" collapsed="false">
      <c r="A1223" s="20"/>
      <c r="B1223" s="19"/>
      <c r="C1223" s="19"/>
      <c r="D1223" s="19"/>
      <c r="E1223" s="19"/>
      <c r="F1223" s="19"/>
      <c r="G1223" s="21"/>
      <c r="H1223" s="19"/>
      <c r="I1223" s="23" t="str">
        <f aca="false">IF(A1223="","",TEXT(A1223,"yyyy-mm"))</f>
        <v/>
      </c>
    </row>
    <row r="1224" customFormat="false" ht="15" hidden="false" customHeight="false" outlineLevel="0" collapsed="false">
      <c r="A1224" s="20"/>
      <c r="B1224" s="19"/>
      <c r="C1224" s="19"/>
      <c r="D1224" s="19"/>
      <c r="E1224" s="19"/>
      <c r="F1224" s="19"/>
      <c r="G1224" s="21"/>
      <c r="H1224" s="19"/>
      <c r="I1224" s="23" t="str">
        <f aca="false">IF(A1224="","",TEXT(A1224,"yyyy-mm"))</f>
        <v/>
      </c>
    </row>
    <row r="1225" customFormat="false" ht="15" hidden="false" customHeight="false" outlineLevel="0" collapsed="false">
      <c r="A1225" s="20"/>
      <c r="B1225" s="19"/>
      <c r="C1225" s="19"/>
      <c r="D1225" s="19"/>
      <c r="E1225" s="19"/>
      <c r="F1225" s="19"/>
      <c r="G1225" s="21"/>
      <c r="H1225" s="19"/>
      <c r="I1225" s="23" t="str">
        <f aca="false">IF(A1225="","",TEXT(A1225,"yyyy-mm"))</f>
        <v/>
      </c>
    </row>
    <row r="1226" customFormat="false" ht="15" hidden="false" customHeight="false" outlineLevel="0" collapsed="false">
      <c r="A1226" s="20"/>
      <c r="B1226" s="19"/>
      <c r="C1226" s="19"/>
      <c r="D1226" s="19"/>
      <c r="E1226" s="19"/>
      <c r="F1226" s="19"/>
      <c r="G1226" s="21"/>
      <c r="H1226" s="19"/>
      <c r="I1226" s="23" t="str">
        <f aca="false">IF(A1226="","",TEXT(A1226,"yyyy-mm"))</f>
        <v/>
      </c>
    </row>
    <row r="1227" customFormat="false" ht="15" hidden="false" customHeight="false" outlineLevel="0" collapsed="false">
      <c r="A1227" s="20"/>
      <c r="B1227" s="19"/>
      <c r="C1227" s="19"/>
      <c r="D1227" s="19"/>
      <c r="E1227" s="19"/>
      <c r="F1227" s="19"/>
      <c r="G1227" s="21"/>
      <c r="H1227" s="19"/>
      <c r="I1227" s="23" t="str">
        <f aca="false">IF(A1227="","",TEXT(A1227,"yyyy-mm"))</f>
        <v/>
      </c>
    </row>
    <row r="1228" customFormat="false" ht="15" hidden="false" customHeight="false" outlineLevel="0" collapsed="false">
      <c r="A1228" s="20"/>
      <c r="B1228" s="19"/>
      <c r="C1228" s="19"/>
      <c r="D1228" s="19"/>
      <c r="E1228" s="19"/>
      <c r="F1228" s="19"/>
      <c r="G1228" s="21"/>
      <c r="H1228" s="19"/>
      <c r="I1228" s="23" t="str">
        <f aca="false">IF(A1228="","",TEXT(A1228,"yyyy-mm"))</f>
        <v/>
      </c>
    </row>
    <row r="1229" customFormat="false" ht="15" hidden="false" customHeight="false" outlineLevel="0" collapsed="false">
      <c r="A1229" s="20"/>
      <c r="B1229" s="19"/>
      <c r="C1229" s="19"/>
      <c r="D1229" s="19"/>
      <c r="E1229" s="19"/>
      <c r="F1229" s="19"/>
      <c r="G1229" s="21"/>
      <c r="H1229" s="19"/>
      <c r="I1229" s="23" t="str">
        <f aca="false">IF(A1229="","",TEXT(A1229,"yyyy-mm"))</f>
        <v/>
      </c>
    </row>
    <row r="1230" customFormat="false" ht="15" hidden="false" customHeight="false" outlineLevel="0" collapsed="false">
      <c r="A1230" s="20"/>
      <c r="B1230" s="19"/>
      <c r="C1230" s="19"/>
      <c r="D1230" s="19"/>
      <c r="E1230" s="19"/>
      <c r="F1230" s="19"/>
      <c r="G1230" s="21"/>
      <c r="H1230" s="19"/>
      <c r="I1230" s="23" t="str">
        <f aca="false">IF(A1230="","",TEXT(A1230,"yyyy-mm"))</f>
        <v/>
      </c>
    </row>
    <row r="1231" customFormat="false" ht="15" hidden="false" customHeight="false" outlineLevel="0" collapsed="false">
      <c r="A1231" s="20"/>
      <c r="B1231" s="19"/>
      <c r="C1231" s="19"/>
      <c r="D1231" s="19"/>
      <c r="E1231" s="19"/>
      <c r="F1231" s="19"/>
      <c r="G1231" s="21"/>
      <c r="H1231" s="19"/>
      <c r="I1231" s="23" t="str">
        <f aca="false">IF(A1231="","",TEXT(A1231,"yyyy-mm"))</f>
        <v/>
      </c>
    </row>
    <row r="1232" customFormat="false" ht="15" hidden="false" customHeight="false" outlineLevel="0" collapsed="false">
      <c r="A1232" s="20"/>
      <c r="B1232" s="19"/>
      <c r="C1232" s="19"/>
      <c r="D1232" s="19"/>
      <c r="E1232" s="19"/>
      <c r="F1232" s="19"/>
      <c r="G1232" s="21"/>
      <c r="H1232" s="19"/>
      <c r="I1232" s="23" t="str">
        <f aca="false">IF(A1232="","",TEXT(A1232,"yyyy-mm"))</f>
        <v/>
      </c>
    </row>
    <row r="1233" customFormat="false" ht="15" hidden="false" customHeight="false" outlineLevel="0" collapsed="false">
      <c r="A1233" s="20"/>
      <c r="B1233" s="19"/>
      <c r="C1233" s="19"/>
      <c r="D1233" s="19"/>
      <c r="E1233" s="19"/>
      <c r="F1233" s="19"/>
      <c r="G1233" s="21"/>
      <c r="H1233" s="19"/>
      <c r="I1233" s="23" t="str">
        <f aca="false">IF(A1233="","",TEXT(A1233,"yyyy-mm"))</f>
        <v/>
      </c>
    </row>
    <row r="1234" customFormat="false" ht="15" hidden="false" customHeight="false" outlineLevel="0" collapsed="false">
      <c r="A1234" s="20"/>
      <c r="B1234" s="19"/>
      <c r="C1234" s="19"/>
      <c r="D1234" s="19"/>
      <c r="E1234" s="19"/>
      <c r="F1234" s="19"/>
      <c r="G1234" s="21"/>
      <c r="H1234" s="19"/>
      <c r="I1234" s="23" t="str">
        <f aca="false">IF(A1234="","",TEXT(A1234,"yyyy-mm"))</f>
        <v/>
      </c>
    </row>
    <row r="1235" customFormat="false" ht="15" hidden="false" customHeight="false" outlineLevel="0" collapsed="false">
      <c r="A1235" s="20"/>
      <c r="B1235" s="19"/>
      <c r="C1235" s="19"/>
      <c r="D1235" s="19"/>
      <c r="E1235" s="19"/>
      <c r="F1235" s="19"/>
      <c r="G1235" s="21"/>
      <c r="H1235" s="19"/>
      <c r="I1235" s="23" t="str">
        <f aca="false">IF(A1235="","",TEXT(A1235,"yyyy-mm"))</f>
        <v/>
      </c>
    </row>
    <row r="1236" customFormat="false" ht="15" hidden="false" customHeight="false" outlineLevel="0" collapsed="false">
      <c r="A1236" s="20"/>
      <c r="B1236" s="19"/>
      <c r="C1236" s="19"/>
      <c r="D1236" s="19"/>
      <c r="E1236" s="19"/>
      <c r="F1236" s="19"/>
      <c r="G1236" s="21"/>
      <c r="H1236" s="19"/>
      <c r="I1236" s="23" t="str">
        <f aca="false">IF(A1236="","",TEXT(A1236,"yyyy-mm"))</f>
        <v/>
      </c>
    </row>
    <row r="1237" customFormat="false" ht="15" hidden="false" customHeight="false" outlineLevel="0" collapsed="false">
      <c r="A1237" s="20"/>
      <c r="B1237" s="19"/>
      <c r="C1237" s="19"/>
      <c r="D1237" s="19"/>
      <c r="E1237" s="19"/>
      <c r="F1237" s="19"/>
      <c r="G1237" s="21"/>
      <c r="H1237" s="19"/>
      <c r="I1237" s="23" t="str">
        <f aca="false">IF(A1237="","",TEXT(A1237,"yyyy-mm"))</f>
        <v/>
      </c>
    </row>
    <row r="1238" customFormat="false" ht="15" hidden="false" customHeight="false" outlineLevel="0" collapsed="false">
      <c r="A1238" s="20"/>
      <c r="B1238" s="19"/>
      <c r="C1238" s="19"/>
      <c r="D1238" s="19"/>
      <c r="E1238" s="19"/>
      <c r="F1238" s="19"/>
      <c r="G1238" s="21"/>
      <c r="H1238" s="19"/>
      <c r="I1238" s="23" t="str">
        <f aca="false">IF(A1238="","",TEXT(A1238,"yyyy-mm"))</f>
        <v/>
      </c>
    </row>
    <row r="1239" customFormat="false" ht="15" hidden="false" customHeight="false" outlineLevel="0" collapsed="false">
      <c r="A1239" s="20"/>
      <c r="B1239" s="19"/>
      <c r="C1239" s="19"/>
      <c r="D1239" s="19"/>
      <c r="E1239" s="19"/>
      <c r="F1239" s="19"/>
      <c r="G1239" s="21"/>
      <c r="H1239" s="19"/>
      <c r="I1239" s="23" t="str">
        <f aca="false">IF(A1239="","",TEXT(A1239,"yyyy-mm"))</f>
        <v/>
      </c>
    </row>
    <row r="1240" customFormat="false" ht="15" hidden="false" customHeight="false" outlineLevel="0" collapsed="false">
      <c r="A1240" s="20"/>
      <c r="B1240" s="19"/>
      <c r="C1240" s="19"/>
      <c r="D1240" s="19"/>
      <c r="E1240" s="19"/>
      <c r="F1240" s="19"/>
      <c r="G1240" s="21"/>
      <c r="H1240" s="19"/>
      <c r="I1240" s="23" t="str">
        <f aca="false">IF(A1240="","",TEXT(A1240,"yyyy-mm"))</f>
        <v/>
      </c>
    </row>
    <row r="1241" customFormat="false" ht="15" hidden="false" customHeight="false" outlineLevel="0" collapsed="false">
      <c r="A1241" s="20"/>
      <c r="B1241" s="19"/>
      <c r="C1241" s="19"/>
      <c r="D1241" s="19"/>
      <c r="E1241" s="19"/>
      <c r="F1241" s="19"/>
      <c r="G1241" s="21"/>
      <c r="H1241" s="19"/>
      <c r="I1241" s="23" t="str">
        <f aca="false">IF(A1241="","",TEXT(A1241,"yyyy-mm"))</f>
        <v/>
      </c>
    </row>
    <row r="1242" customFormat="false" ht="15" hidden="false" customHeight="false" outlineLevel="0" collapsed="false">
      <c r="A1242" s="20"/>
      <c r="B1242" s="19"/>
      <c r="C1242" s="19"/>
      <c r="D1242" s="19"/>
      <c r="E1242" s="19"/>
      <c r="F1242" s="19"/>
      <c r="G1242" s="21"/>
      <c r="H1242" s="19"/>
      <c r="I1242" s="23" t="str">
        <f aca="false">IF(A1242="","",TEXT(A1242,"yyyy-mm"))</f>
        <v/>
      </c>
    </row>
    <row r="1243" customFormat="false" ht="15" hidden="false" customHeight="false" outlineLevel="0" collapsed="false">
      <c r="A1243" s="20"/>
      <c r="B1243" s="19"/>
      <c r="C1243" s="19"/>
      <c r="D1243" s="19"/>
      <c r="E1243" s="19"/>
      <c r="F1243" s="19"/>
      <c r="G1243" s="21"/>
      <c r="H1243" s="19"/>
      <c r="I1243" s="23" t="str">
        <f aca="false">IF(A1243="","",TEXT(A1243,"yyyy-mm"))</f>
        <v/>
      </c>
    </row>
    <row r="1244" customFormat="false" ht="15" hidden="false" customHeight="false" outlineLevel="0" collapsed="false">
      <c r="A1244" s="20"/>
      <c r="B1244" s="19"/>
      <c r="C1244" s="19"/>
      <c r="D1244" s="19"/>
      <c r="E1244" s="19"/>
      <c r="F1244" s="19"/>
      <c r="G1244" s="21"/>
      <c r="H1244" s="19"/>
      <c r="I1244" s="23" t="str">
        <f aca="false">IF(A1244="","",TEXT(A1244,"yyyy-mm"))</f>
        <v/>
      </c>
    </row>
    <row r="1245" customFormat="false" ht="15" hidden="false" customHeight="false" outlineLevel="0" collapsed="false">
      <c r="A1245" s="20"/>
      <c r="B1245" s="19"/>
      <c r="C1245" s="19"/>
      <c r="D1245" s="19"/>
      <c r="E1245" s="19"/>
      <c r="F1245" s="19"/>
      <c r="G1245" s="21"/>
      <c r="H1245" s="19"/>
      <c r="I1245" s="23" t="str">
        <f aca="false">IF(A1245="","",TEXT(A1245,"yyyy-mm"))</f>
        <v/>
      </c>
    </row>
    <row r="1246" customFormat="false" ht="15" hidden="false" customHeight="false" outlineLevel="0" collapsed="false">
      <c r="A1246" s="20"/>
      <c r="B1246" s="19"/>
      <c r="C1246" s="19"/>
      <c r="D1246" s="19"/>
      <c r="E1246" s="19"/>
      <c r="F1246" s="19"/>
      <c r="G1246" s="21"/>
      <c r="H1246" s="19"/>
      <c r="I1246" s="23" t="str">
        <f aca="false">IF(A1246="","",TEXT(A1246,"yyyy-mm"))</f>
        <v/>
      </c>
    </row>
    <row r="1247" customFormat="false" ht="15" hidden="false" customHeight="false" outlineLevel="0" collapsed="false">
      <c r="A1247" s="20"/>
      <c r="B1247" s="19"/>
      <c r="C1247" s="19"/>
      <c r="D1247" s="19"/>
      <c r="E1247" s="19"/>
      <c r="F1247" s="19"/>
      <c r="G1247" s="21"/>
      <c r="H1247" s="19"/>
      <c r="I1247" s="23" t="str">
        <f aca="false">IF(A1247="","",TEXT(A1247,"yyyy-mm"))</f>
        <v/>
      </c>
    </row>
    <row r="1248" customFormat="false" ht="15" hidden="false" customHeight="false" outlineLevel="0" collapsed="false">
      <c r="A1248" s="20"/>
      <c r="B1248" s="19"/>
      <c r="C1248" s="19"/>
      <c r="D1248" s="19"/>
      <c r="E1248" s="19"/>
      <c r="F1248" s="19"/>
      <c r="G1248" s="21"/>
      <c r="H1248" s="19"/>
      <c r="I1248" s="23" t="str">
        <f aca="false">IF(A1248="","",TEXT(A1248,"yyyy-mm"))</f>
        <v/>
      </c>
    </row>
    <row r="1249" customFormat="false" ht="15" hidden="false" customHeight="false" outlineLevel="0" collapsed="false">
      <c r="A1249" s="20"/>
      <c r="B1249" s="19"/>
      <c r="C1249" s="19"/>
      <c r="D1249" s="19"/>
      <c r="E1249" s="19"/>
      <c r="F1249" s="19"/>
      <c r="G1249" s="21"/>
      <c r="H1249" s="19"/>
      <c r="I1249" s="23" t="str">
        <f aca="false">IF(A1249="","",TEXT(A1249,"yyyy-mm"))</f>
        <v/>
      </c>
    </row>
    <row r="1250" customFormat="false" ht="15" hidden="false" customHeight="false" outlineLevel="0" collapsed="false">
      <c r="A1250" s="20"/>
      <c r="B1250" s="19"/>
      <c r="C1250" s="19"/>
      <c r="D1250" s="19"/>
      <c r="E1250" s="19"/>
      <c r="F1250" s="19"/>
      <c r="G1250" s="21"/>
      <c r="H1250" s="19"/>
      <c r="I1250" s="23" t="str">
        <f aca="false">IF(A1250="","",TEXT(A1250,"yyyy-mm"))</f>
        <v/>
      </c>
    </row>
    <row r="1251" customFormat="false" ht="15" hidden="false" customHeight="false" outlineLevel="0" collapsed="false">
      <c r="A1251" s="20"/>
      <c r="B1251" s="19"/>
      <c r="C1251" s="19"/>
      <c r="D1251" s="19"/>
      <c r="E1251" s="19"/>
      <c r="F1251" s="19"/>
      <c r="G1251" s="21"/>
      <c r="H1251" s="19"/>
      <c r="I1251" s="23" t="str">
        <f aca="false">IF(A1251="","",TEXT(A1251,"yyyy-mm"))</f>
        <v/>
      </c>
    </row>
    <row r="1252" customFormat="false" ht="15" hidden="false" customHeight="false" outlineLevel="0" collapsed="false">
      <c r="A1252" s="20"/>
      <c r="B1252" s="19"/>
      <c r="C1252" s="19"/>
      <c r="D1252" s="19"/>
      <c r="E1252" s="19"/>
      <c r="F1252" s="19"/>
      <c r="G1252" s="21"/>
      <c r="H1252" s="19"/>
      <c r="I1252" s="23" t="str">
        <f aca="false">IF(A1252="","",TEXT(A1252,"yyyy-mm"))</f>
        <v/>
      </c>
    </row>
    <row r="1253" customFormat="false" ht="15" hidden="false" customHeight="false" outlineLevel="0" collapsed="false">
      <c r="A1253" s="20"/>
      <c r="B1253" s="19"/>
      <c r="C1253" s="19"/>
      <c r="D1253" s="19"/>
      <c r="E1253" s="19"/>
      <c r="F1253" s="19"/>
      <c r="G1253" s="21"/>
      <c r="H1253" s="19"/>
      <c r="I1253" s="23" t="str">
        <f aca="false">IF(A1253="","",TEXT(A1253,"yyyy-mm"))</f>
        <v/>
      </c>
    </row>
    <row r="1254" customFormat="false" ht="15" hidden="false" customHeight="false" outlineLevel="0" collapsed="false">
      <c r="A1254" s="20"/>
      <c r="B1254" s="19"/>
      <c r="C1254" s="19"/>
      <c r="D1254" s="19"/>
      <c r="E1254" s="19"/>
      <c r="F1254" s="19"/>
      <c r="G1254" s="21"/>
      <c r="H1254" s="19"/>
      <c r="I1254" s="23" t="str">
        <f aca="false">IF(A1254="","",TEXT(A1254,"yyyy-mm"))</f>
        <v/>
      </c>
    </row>
    <row r="1255" customFormat="false" ht="15" hidden="false" customHeight="false" outlineLevel="0" collapsed="false">
      <c r="A1255" s="20"/>
      <c r="B1255" s="19"/>
      <c r="C1255" s="19"/>
      <c r="D1255" s="19"/>
      <c r="E1255" s="19"/>
      <c r="F1255" s="19"/>
      <c r="G1255" s="21"/>
      <c r="H1255" s="19"/>
      <c r="I1255" s="23" t="str">
        <f aca="false">IF(A1255="","",TEXT(A1255,"yyyy-mm"))</f>
        <v/>
      </c>
    </row>
    <row r="1256" customFormat="false" ht="15" hidden="false" customHeight="false" outlineLevel="0" collapsed="false">
      <c r="A1256" s="20"/>
      <c r="B1256" s="19"/>
      <c r="C1256" s="19"/>
      <c r="D1256" s="19"/>
      <c r="E1256" s="19"/>
      <c r="F1256" s="19"/>
      <c r="G1256" s="21"/>
      <c r="H1256" s="19"/>
      <c r="I1256" s="23" t="str">
        <f aca="false">IF(A1256="","",TEXT(A1256,"yyyy-mm"))</f>
        <v/>
      </c>
    </row>
    <row r="1257" customFormat="false" ht="15" hidden="false" customHeight="false" outlineLevel="0" collapsed="false">
      <c r="A1257" s="20"/>
      <c r="B1257" s="19"/>
      <c r="C1257" s="19"/>
      <c r="D1257" s="19"/>
      <c r="E1257" s="19"/>
      <c r="F1257" s="19"/>
      <c r="G1257" s="21"/>
      <c r="H1257" s="19"/>
      <c r="I1257" s="23" t="str">
        <f aca="false">IF(A1257="","",TEXT(A1257,"yyyy-mm"))</f>
        <v/>
      </c>
    </row>
    <row r="1258" customFormat="false" ht="15" hidden="false" customHeight="false" outlineLevel="0" collapsed="false">
      <c r="A1258" s="20"/>
      <c r="B1258" s="19"/>
      <c r="C1258" s="19"/>
      <c r="D1258" s="19"/>
      <c r="E1258" s="19"/>
      <c r="F1258" s="19"/>
      <c r="G1258" s="21"/>
      <c r="H1258" s="19"/>
      <c r="I1258" s="23" t="str">
        <f aca="false">IF(A1258="","",TEXT(A1258,"yyyy-mm"))</f>
        <v/>
      </c>
    </row>
    <row r="1259" customFormat="false" ht="15" hidden="false" customHeight="false" outlineLevel="0" collapsed="false">
      <c r="A1259" s="20"/>
      <c r="B1259" s="19"/>
      <c r="C1259" s="19"/>
      <c r="D1259" s="19"/>
      <c r="E1259" s="19"/>
      <c r="F1259" s="19"/>
      <c r="G1259" s="21"/>
      <c r="H1259" s="19"/>
      <c r="I1259" s="23" t="str">
        <f aca="false">IF(A1259="","",TEXT(A1259,"yyyy-mm"))</f>
        <v/>
      </c>
    </row>
    <row r="1260" customFormat="false" ht="15" hidden="false" customHeight="false" outlineLevel="0" collapsed="false">
      <c r="A1260" s="20"/>
      <c r="B1260" s="19"/>
      <c r="C1260" s="19"/>
      <c r="D1260" s="19"/>
      <c r="E1260" s="19"/>
      <c r="F1260" s="19"/>
      <c r="G1260" s="21"/>
      <c r="H1260" s="19"/>
      <c r="I1260" s="23" t="str">
        <f aca="false">IF(A1260="","",TEXT(A1260,"yyyy-mm"))</f>
        <v/>
      </c>
    </row>
    <row r="1261" customFormat="false" ht="15" hidden="false" customHeight="false" outlineLevel="0" collapsed="false">
      <c r="A1261" s="20"/>
      <c r="B1261" s="19"/>
      <c r="C1261" s="19"/>
      <c r="D1261" s="19"/>
      <c r="E1261" s="19"/>
      <c r="F1261" s="19"/>
      <c r="G1261" s="21"/>
      <c r="H1261" s="19"/>
      <c r="I1261" s="23" t="str">
        <f aca="false">IF(A1261="","",TEXT(A1261,"yyyy-mm"))</f>
        <v/>
      </c>
    </row>
    <row r="1262" customFormat="false" ht="15" hidden="false" customHeight="false" outlineLevel="0" collapsed="false">
      <c r="A1262" s="20"/>
      <c r="B1262" s="19"/>
      <c r="C1262" s="19"/>
      <c r="D1262" s="19"/>
      <c r="E1262" s="19"/>
      <c r="F1262" s="19"/>
      <c r="G1262" s="21"/>
      <c r="H1262" s="19"/>
      <c r="I1262" s="23" t="str">
        <f aca="false">IF(A1262="","",TEXT(A1262,"yyyy-mm"))</f>
        <v/>
      </c>
    </row>
    <row r="1263" customFormat="false" ht="15" hidden="false" customHeight="false" outlineLevel="0" collapsed="false">
      <c r="A1263" s="20"/>
      <c r="B1263" s="19"/>
      <c r="C1263" s="19"/>
      <c r="D1263" s="19"/>
      <c r="E1263" s="19"/>
      <c r="F1263" s="19"/>
      <c r="G1263" s="21"/>
      <c r="H1263" s="19"/>
      <c r="I1263" s="23" t="str">
        <f aca="false">IF(A1263="","",TEXT(A1263,"yyyy-mm"))</f>
        <v/>
      </c>
    </row>
    <row r="1264" customFormat="false" ht="15" hidden="false" customHeight="false" outlineLevel="0" collapsed="false">
      <c r="A1264" s="20"/>
      <c r="B1264" s="19"/>
      <c r="C1264" s="19"/>
      <c r="D1264" s="19"/>
      <c r="E1264" s="19"/>
      <c r="F1264" s="19"/>
      <c r="G1264" s="21"/>
      <c r="H1264" s="19"/>
      <c r="I1264" s="23" t="str">
        <f aca="false">IF(A1264="","",TEXT(A1264,"yyyy-mm"))</f>
        <v/>
      </c>
    </row>
    <row r="1265" customFormat="false" ht="15" hidden="false" customHeight="false" outlineLevel="0" collapsed="false">
      <c r="A1265" s="20"/>
      <c r="B1265" s="19"/>
      <c r="C1265" s="19"/>
      <c r="D1265" s="19"/>
      <c r="E1265" s="19"/>
      <c r="F1265" s="19"/>
      <c r="G1265" s="21"/>
      <c r="H1265" s="19"/>
      <c r="I1265" s="23" t="str">
        <f aca="false">IF(A1265="","",TEXT(A1265,"yyyy-mm"))</f>
        <v/>
      </c>
    </row>
    <row r="1266" customFormat="false" ht="15" hidden="false" customHeight="false" outlineLevel="0" collapsed="false">
      <c r="A1266" s="20"/>
      <c r="B1266" s="19"/>
      <c r="C1266" s="19"/>
      <c r="D1266" s="19"/>
      <c r="E1266" s="19"/>
      <c r="F1266" s="19"/>
      <c r="G1266" s="21"/>
      <c r="H1266" s="19"/>
      <c r="I1266" s="23" t="str">
        <f aca="false">IF(A1266="","",TEXT(A1266,"yyyy-mm"))</f>
        <v/>
      </c>
    </row>
    <row r="1267" customFormat="false" ht="15" hidden="false" customHeight="false" outlineLevel="0" collapsed="false">
      <c r="A1267" s="20"/>
      <c r="B1267" s="19"/>
      <c r="C1267" s="19"/>
      <c r="D1267" s="19"/>
      <c r="E1267" s="19"/>
      <c r="F1267" s="19"/>
      <c r="G1267" s="21"/>
      <c r="H1267" s="19"/>
      <c r="I1267" s="23" t="str">
        <f aca="false">IF(A1267="","",TEXT(A1267,"yyyy-mm"))</f>
        <v/>
      </c>
    </row>
    <row r="1268" customFormat="false" ht="15" hidden="false" customHeight="false" outlineLevel="0" collapsed="false">
      <c r="A1268" s="20"/>
      <c r="B1268" s="19"/>
      <c r="C1268" s="19"/>
      <c r="D1268" s="19"/>
      <c r="E1268" s="19"/>
      <c r="F1268" s="19"/>
      <c r="G1268" s="21"/>
      <c r="H1268" s="19"/>
      <c r="I1268" s="23" t="str">
        <f aca="false">IF(A1268="","",TEXT(A1268,"yyyy-mm"))</f>
        <v/>
      </c>
    </row>
    <row r="1269" customFormat="false" ht="15" hidden="false" customHeight="false" outlineLevel="0" collapsed="false">
      <c r="A1269" s="20"/>
      <c r="B1269" s="19"/>
      <c r="C1269" s="19"/>
      <c r="D1269" s="19"/>
      <c r="E1269" s="19"/>
      <c r="F1269" s="19"/>
      <c r="G1269" s="21"/>
      <c r="H1269" s="19"/>
      <c r="I1269" s="23" t="str">
        <f aca="false">IF(A1269="","",TEXT(A1269,"yyyy-mm"))</f>
        <v/>
      </c>
    </row>
    <row r="1270" customFormat="false" ht="15" hidden="false" customHeight="false" outlineLevel="0" collapsed="false">
      <c r="A1270" s="20"/>
      <c r="B1270" s="19"/>
      <c r="C1270" s="19"/>
      <c r="D1270" s="19"/>
      <c r="E1270" s="19"/>
      <c r="F1270" s="19"/>
      <c r="G1270" s="21"/>
      <c r="H1270" s="19"/>
      <c r="I1270" s="23" t="str">
        <f aca="false">IF(A1270="","",TEXT(A1270,"yyyy-mm"))</f>
        <v/>
      </c>
    </row>
    <row r="1271" customFormat="false" ht="15" hidden="false" customHeight="false" outlineLevel="0" collapsed="false">
      <c r="A1271" s="20"/>
      <c r="B1271" s="19"/>
      <c r="C1271" s="19"/>
      <c r="D1271" s="19"/>
      <c r="E1271" s="19"/>
      <c r="F1271" s="19"/>
      <c r="G1271" s="21"/>
      <c r="H1271" s="19"/>
      <c r="I1271" s="23" t="str">
        <f aca="false">IF(A1271="","",TEXT(A1271,"yyyy-mm"))</f>
        <v/>
      </c>
    </row>
    <row r="1272" customFormat="false" ht="15" hidden="false" customHeight="false" outlineLevel="0" collapsed="false">
      <c r="A1272" s="20"/>
      <c r="B1272" s="19"/>
      <c r="C1272" s="19"/>
      <c r="D1272" s="19"/>
      <c r="E1272" s="19"/>
      <c r="F1272" s="19"/>
      <c r="G1272" s="21"/>
      <c r="H1272" s="19"/>
      <c r="I1272" s="23" t="str">
        <f aca="false">IF(A1272="","",TEXT(A1272,"yyyy-mm"))</f>
        <v/>
      </c>
    </row>
    <row r="1273" customFormat="false" ht="15" hidden="false" customHeight="false" outlineLevel="0" collapsed="false">
      <c r="A1273" s="20"/>
      <c r="B1273" s="19"/>
      <c r="C1273" s="19"/>
      <c r="D1273" s="19"/>
      <c r="E1273" s="19"/>
      <c r="F1273" s="19"/>
      <c r="G1273" s="21"/>
      <c r="H1273" s="19"/>
      <c r="I1273" s="23" t="str">
        <f aca="false">IF(A1273="","",TEXT(A1273,"yyyy-mm"))</f>
        <v/>
      </c>
    </row>
    <row r="1274" customFormat="false" ht="15" hidden="false" customHeight="false" outlineLevel="0" collapsed="false">
      <c r="A1274" s="20"/>
      <c r="B1274" s="19"/>
      <c r="C1274" s="19"/>
      <c r="D1274" s="19"/>
      <c r="E1274" s="19"/>
      <c r="F1274" s="19"/>
      <c r="G1274" s="21"/>
      <c r="H1274" s="19"/>
      <c r="I1274" s="23" t="str">
        <f aca="false">IF(A1274="","",TEXT(A1274,"yyyy-mm"))</f>
        <v/>
      </c>
    </row>
    <row r="1275" customFormat="false" ht="15" hidden="false" customHeight="false" outlineLevel="0" collapsed="false">
      <c r="A1275" s="20"/>
      <c r="B1275" s="19"/>
      <c r="C1275" s="19"/>
      <c r="D1275" s="19"/>
      <c r="E1275" s="19"/>
      <c r="F1275" s="19"/>
      <c r="G1275" s="21"/>
      <c r="H1275" s="19"/>
      <c r="I1275" s="23" t="str">
        <f aca="false">IF(A1275="","",TEXT(A1275,"yyyy-mm"))</f>
        <v/>
      </c>
    </row>
    <row r="1276" customFormat="false" ht="15" hidden="false" customHeight="false" outlineLevel="0" collapsed="false">
      <c r="A1276" s="20"/>
      <c r="B1276" s="19"/>
      <c r="C1276" s="19"/>
      <c r="D1276" s="19"/>
      <c r="E1276" s="19"/>
      <c r="F1276" s="19"/>
      <c r="G1276" s="21"/>
      <c r="H1276" s="19"/>
      <c r="I1276" s="23" t="str">
        <f aca="false">IF(A1276="","",TEXT(A1276,"yyyy-mm"))</f>
        <v/>
      </c>
    </row>
    <row r="1277" customFormat="false" ht="15" hidden="false" customHeight="false" outlineLevel="0" collapsed="false">
      <c r="A1277" s="20"/>
      <c r="B1277" s="19"/>
      <c r="C1277" s="19"/>
      <c r="D1277" s="19"/>
      <c r="E1277" s="19"/>
      <c r="F1277" s="19"/>
      <c r="G1277" s="21"/>
      <c r="H1277" s="19"/>
      <c r="I1277" s="23" t="str">
        <f aca="false">IF(A1277="","",TEXT(A1277,"yyyy-mm"))</f>
        <v/>
      </c>
    </row>
    <row r="1278" customFormat="false" ht="15" hidden="false" customHeight="false" outlineLevel="0" collapsed="false">
      <c r="A1278" s="20"/>
      <c r="B1278" s="19"/>
      <c r="C1278" s="19"/>
      <c r="D1278" s="19"/>
      <c r="E1278" s="19"/>
      <c r="F1278" s="19"/>
      <c r="G1278" s="21"/>
      <c r="H1278" s="19"/>
      <c r="I1278" s="23" t="str">
        <f aca="false">IF(A1278="","",TEXT(A1278,"yyyy-mm"))</f>
        <v/>
      </c>
    </row>
    <row r="1279" customFormat="false" ht="15" hidden="false" customHeight="false" outlineLevel="0" collapsed="false">
      <c r="A1279" s="20"/>
      <c r="B1279" s="19"/>
      <c r="C1279" s="19"/>
      <c r="D1279" s="19"/>
      <c r="E1279" s="19"/>
      <c r="F1279" s="19"/>
      <c r="G1279" s="21"/>
      <c r="H1279" s="19"/>
      <c r="I1279" s="23" t="str">
        <f aca="false">IF(A1279="","",TEXT(A1279,"yyyy-mm"))</f>
        <v/>
      </c>
    </row>
    <row r="1280" customFormat="false" ht="15" hidden="false" customHeight="false" outlineLevel="0" collapsed="false">
      <c r="A1280" s="20"/>
      <c r="B1280" s="19"/>
      <c r="C1280" s="19"/>
      <c r="D1280" s="19"/>
      <c r="E1280" s="19"/>
      <c r="F1280" s="19"/>
      <c r="G1280" s="21"/>
      <c r="H1280" s="19"/>
      <c r="I1280" s="23" t="str">
        <f aca="false">IF(A1280="","",TEXT(A1280,"yyyy-mm"))</f>
        <v/>
      </c>
    </row>
    <row r="1281" customFormat="false" ht="15" hidden="false" customHeight="false" outlineLevel="0" collapsed="false">
      <c r="A1281" s="20"/>
      <c r="B1281" s="19"/>
      <c r="C1281" s="19"/>
      <c r="D1281" s="19"/>
      <c r="E1281" s="19"/>
      <c r="F1281" s="19"/>
      <c r="G1281" s="21"/>
      <c r="H1281" s="19"/>
      <c r="I1281" s="23" t="str">
        <f aca="false">IF(A1281="","",TEXT(A1281,"yyyy-mm"))</f>
        <v/>
      </c>
    </row>
    <row r="1282" customFormat="false" ht="15" hidden="false" customHeight="false" outlineLevel="0" collapsed="false">
      <c r="A1282" s="20"/>
      <c r="B1282" s="19"/>
      <c r="C1282" s="19"/>
      <c r="D1282" s="19"/>
      <c r="E1282" s="19"/>
      <c r="F1282" s="19"/>
      <c r="G1282" s="21"/>
      <c r="H1282" s="19"/>
      <c r="I1282" s="23" t="str">
        <f aca="false">IF(A1282="","",TEXT(A1282,"yyyy-mm"))</f>
        <v/>
      </c>
    </row>
    <row r="1283" customFormat="false" ht="15" hidden="false" customHeight="false" outlineLevel="0" collapsed="false">
      <c r="A1283" s="20"/>
      <c r="B1283" s="19"/>
      <c r="C1283" s="19"/>
      <c r="D1283" s="19"/>
      <c r="E1283" s="19"/>
      <c r="F1283" s="19"/>
      <c r="G1283" s="21"/>
      <c r="H1283" s="19"/>
      <c r="I1283" s="23" t="str">
        <f aca="false">IF(A1283="","",TEXT(A1283,"yyyy-mm"))</f>
        <v/>
      </c>
    </row>
    <row r="1284" customFormat="false" ht="15" hidden="false" customHeight="false" outlineLevel="0" collapsed="false">
      <c r="A1284" s="20"/>
      <c r="B1284" s="19"/>
      <c r="C1284" s="19"/>
      <c r="D1284" s="19"/>
      <c r="E1284" s="19"/>
      <c r="F1284" s="19"/>
      <c r="G1284" s="21"/>
      <c r="H1284" s="19"/>
      <c r="I1284" s="23" t="str">
        <f aca="false">IF(A1284="","",TEXT(A1284,"yyyy-mm"))</f>
        <v/>
      </c>
    </row>
    <row r="1285" customFormat="false" ht="15" hidden="false" customHeight="false" outlineLevel="0" collapsed="false">
      <c r="A1285" s="20"/>
      <c r="B1285" s="19"/>
      <c r="C1285" s="19"/>
      <c r="D1285" s="19"/>
      <c r="E1285" s="19"/>
      <c r="F1285" s="19"/>
      <c r="G1285" s="21"/>
      <c r="H1285" s="19"/>
      <c r="I1285" s="23" t="str">
        <f aca="false">IF(A1285="","",TEXT(A1285,"yyyy-mm"))</f>
        <v/>
      </c>
    </row>
    <row r="1286" customFormat="false" ht="15" hidden="false" customHeight="false" outlineLevel="0" collapsed="false">
      <c r="A1286" s="20"/>
      <c r="B1286" s="19"/>
      <c r="C1286" s="19"/>
      <c r="D1286" s="19"/>
      <c r="E1286" s="19"/>
      <c r="F1286" s="19"/>
      <c r="G1286" s="21"/>
      <c r="H1286" s="19"/>
      <c r="I1286" s="23" t="str">
        <f aca="false">IF(A1286="","",TEXT(A1286,"yyyy-mm"))</f>
        <v/>
      </c>
    </row>
    <row r="1287" customFormat="false" ht="15" hidden="false" customHeight="false" outlineLevel="0" collapsed="false">
      <c r="A1287" s="20"/>
      <c r="B1287" s="19"/>
      <c r="C1287" s="19"/>
      <c r="D1287" s="19"/>
      <c r="E1287" s="19"/>
      <c r="F1287" s="19"/>
      <c r="G1287" s="21"/>
      <c r="H1287" s="19"/>
      <c r="I1287" s="23" t="str">
        <f aca="false">IF(A1287="","",TEXT(A1287,"yyyy-mm"))</f>
        <v/>
      </c>
    </row>
    <row r="1288" customFormat="false" ht="15" hidden="false" customHeight="false" outlineLevel="0" collapsed="false">
      <c r="A1288" s="20"/>
      <c r="B1288" s="19"/>
      <c r="C1288" s="19"/>
      <c r="D1288" s="19"/>
      <c r="E1288" s="19"/>
      <c r="F1288" s="19"/>
      <c r="G1288" s="21"/>
      <c r="H1288" s="19"/>
      <c r="I1288" s="23" t="str">
        <f aca="false">IF(A1288="","",TEXT(A1288,"yyyy-mm"))</f>
        <v/>
      </c>
    </row>
    <row r="1289" customFormat="false" ht="15" hidden="false" customHeight="false" outlineLevel="0" collapsed="false">
      <c r="A1289" s="20"/>
      <c r="B1289" s="19"/>
      <c r="C1289" s="19"/>
      <c r="D1289" s="19"/>
      <c r="E1289" s="19"/>
      <c r="F1289" s="19"/>
      <c r="G1289" s="21"/>
      <c r="H1289" s="19"/>
      <c r="I1289" s="23" t="str">
        <f aca="false">IF(A1289="","",TEXT(A1289,"yyyy-mm"))</f>
        <v/>
      </c>
    </row>
    <row r="1290" customFormat="false" ht="15" hidden="false" customHeight="false" outlineLevel="0" collapsed="false">
      <c r="A1290" s="20"/>
      <c r="B1290" s="19"/>
      <c r="C1290" s="19"/>
      <c r="D1290" s="19"/>
      <c r="E1290" s="19"/>
      <c r="F1290" s="19"/>
      <c r="G1290" s="21"/>
      <c r="H1290" s="19"/>
      <c r="I1290" s="23" t="str">
        <f aca="false">IF(A1290="","",TEXT(A1290,"yyyy-mm"))</f>
        <v/>
      </c>
    </row>
    <row r="1291" customFormat="false" ht="15" hidden="false" customHeight="false" outlineLevel="0" collapsed="false">
      <c r="A1291" s="20"/>
      <c r="B1291" s="19"/>
      <c r="C1291" s="19"/>
      <c r="D1291" s="19"/>
      <c r="E1291" s="19"/>
      <c r="F1291" s="19"/>
      <c r="G1291" s="21"/>
      <c r="H1291" s="19"/>
      <c r="I1291" s="23" t="str">
        <f aca="false">IF(A1291="","",TEXT(A1291,"yyyy-mm"))</f>
        <v/>
      </c>
    </row>
    <row r="1292" customFormat="false" ht="15" hidden="false" customHeight="false" outlineLevel="0" collapsed="false">
      <c r="A1292" s="20"/>
      <c r="B1292" s="19"/>
      <c r="C1292" s="19"/>
      <c r="D1292" s="19"/>
      <c r="E1292" s="19"/>
      <c r="F1292" s="19"/>
      <c r="G1292" s="21"/>
      <c r="H1292" s="19"/>
      <c r="I1292" s="23" t="str">
        <f aca="false">IF(A1292="","",TEXT(A1292,"yyyy-mm"))</f>
        <v/>
      </c>
    </row>
    <row r="1293" customFormat="false" ht="15" hidden="false" customHeight="false" outlineLevel="0" collapsed="false">
      <c r="A1293" s="20"/>
      <c r="B1293" s="19"/>
      <c r="C1293" s="19"/>
      <c r="D1293" s="19"/>
      <c r="E1293" s="19"/>
      <c r="F1293" s="19"/>
      <c r="G1293" s="21"/>
      <c r="H1293" s="19"/>
      <c r="I1293" s="23" t="str">
        <f aca="false">IF(A1293="","",TEXT(A1293,"yyyy-mm"))</f>
        <v/>
      </c>
    </row>
    <row r="1294" customFormat="false" ht="15" hidden="false" customHeight="false" outlineLevel="0" collapsed="false">
      <c r="A1294" s="20"/>
      <c r="B1294" s="19"/>
      <c r="C1294" s="19"/>
      <c r="D1294" s="19"/>
      <c r="E1294" s="19"/>
      <c r="F1294" s="19"/>
      <c r="G1294" s="21"/>
      <c r="H1294" s="19"/>
      <c r="I1294" s="23" t="str">
        <f aca="false">IF(A1294="","",TEXT(A1294,"yyyy-mm"))</f>
        <v/>
      </c>
    </row>
    <row r="1295" customFormat="false" ht="15" hidden="false" customHeight="false" outlineLevel="0" collapsed="false">
      <c r="A1295" s="20"/>
      <c r="B1295" s="19"/>
      <c r="C1295" s="19"/>
      <c r="D1295" s="19"/>
      <c r="E1295" s="19"/>
      <c r="F1295" s="19"/>
      <c r="G1295" s="21"/>
      <c r="H1295" s="19"/>
      <c r="I1295" s="23" t="str">
        <f aca="false">IF(A1295="","",TEXT(A1295,"yyyy-mm"))</f>
        <v/>
      </c>
    </row>
    <row r="1296" customFormat="false" ht="15" hidden="false" customHeight="false" outlineLevel="0" collapsed="false">
      <c r="A1296" s="20"/>
      <c r="B1296" s="19"/>
      <c r="C1296" s="19"/>
      <c r="D1296" s="19"/>
      <c r="E1296" s="19"/>
      <c r="F1296" s="19"/>
      <c r="G1296" s="21"/>
      <c r="H1296" s="19"/>
      <c r="I1296" s="23" t="str">
        <f aca="false">IF(A1296="","",TEXT(A1296,"yyyy-mm"))</f>
        <v/>
      </c>
    </row>
    <row r="1297" customFormat="false" ht="15" hidden="false" customHeight="false" outlineLevel="0" collapsed="false">
      <c r="A1297" s="20"/>
      <c r="B1297" s="19"/>
      <c r="C1297" s="19"/>
      <c r="D1297" s="19"/>
      <c r="E1297" s="19"/>
      <c r="F1297" s="19"/>
      <c r="G1297" s="21"/>
      <c r="H1297" s="19"/>
      <c r="I1297" s="23" t="str">
        <f aca="false">IF(A1297="","",TEXT(A1297,"yyyy-mm"))</f>
        <v/>
      </c>
    </row>
    <row r="1298" customFormat="false" ht="15" hidden="false" customHeight="false" outlineLevel="0" collapsed="false">
      <c r="A1298" s="20"/>
      <c r="B1298" s="19"/>
      <c r="C1298" s="19"/>
      <c r="D1298" s="19"/>
      <c r="E1298" s="19"/>
      <c r="F1298" s="19"/>
      <c r="G1298" s="21"/>
      <c r="H1298" s="19"/>
      <c r="I1298" s="23" t="str">
        <f aca="false">IF(A1298="","",TEXT(A1298,"yyyy-mm"))</f>
        <v/>
      </c>
    </row>
    <row r="1299" customFormat="false" ht="15" hidden="false" customHeight="false" outlineLevel="0" collapsed="false">
      <c r="A1299" s="20"/>
      <c r="B1299" s="19"/>
      <c r="C1299" s="19"/>
      <c r="D1299" s="19"/>
      <c r="E1299" s="19"/>
      <c r="F1299" s="19"/>
      <c r="G1299" s="21"/>
      <c r="H1299" s="19"/>
      <c r="I1299" s="23" t="str">
        <f aca="false">IF(A1299="","",TEXT(A1299,"yyyy-mm"))</f>
        <v/>
      </c>
    </row>
    <row r="1300" customFormat="false" ht="15" hidden="false" customHeight="false" outlineLevel="0" collapsed="false">
      <c r="A1300" s="20"/>
      <c r="B1300" s="19"/>
      <c r="C1300" s="19"/>
      <c r="D1300" s="19"/>
      <c r="E1300" s="19"/>
      <c r="F1300" s="19"/>
      <c r="G1300" s="21"/>
      <c r="H1300" s="19"/>
      <c r="I1300" s="23" t="str">
        <f aca="false">IF(A1300="","",TEXT(A1300,"yyyy-mm"))</f>
        <v/>
      </c>
    </row>
    <row r="1301" customFormat="false" ht="15" hidden="false" customHeight="false" outlineLevel="0" collapsed="false">
      <c r="A1301" s="20"/>
      <c r="B1301" s="19"/>
      <c r="C1301" s="19"/>
      <c r="D1301" s="19"/>
      <c r="E1301" s="19"/>
      <c r="F1301" s="19"/>
      <c r="G1301" s="21"/>
      <c r="H1301" s="19"/>
      <c r="I1301" s="23" t="str">
        <f aca="false">IF(A1301="","",TEXT(A1301,"yyyy-mm"))</f>
        <v/>
      </c>
    </row>
    <row r="1302" customFormat="false" ht="15" hidden="false" customHeight="false" outlineLevel="0" collapsed="false">
      <c r="A1302" s="20"/>
      <c r="B1302" s="19"/>
      <c r="C1302" s="19"/>
      <c r="D1302" s="19"/>
      <c r="E1302" s="19"/>
      <c r="F1302" s="19"/>
      <c r="G1302" s="21"/>
      <c r="H1302" s="19"/>
      <c r="I1302" s="23" t="str">
        <f aca="false">IF(A1302="","",TEXT(A1302,"yyyy-mm"))</f>
        <v/>
      </c>
    </row>
    <row r="1303" customFormat="false" ht="15" hidden="false" customHeight="false" outlineLevel="0" collapsed="false">
      <c r="A1303" s="20"/>
      <c r="B1303" s="19"/>
      <c r="C1303" s="19"/>
      <c r="D1303" s="19"/>
      <c r="E1303" s="19"/>
      <c r="F1303" s="19"/>
      <c r="G1303" s="21"/>
      <c r="H1303" s="19"/>
      <c r="I1303" s="23" t="str">
        <f aca="false">IF(A1303="","",TEXT(A1303,"yyyy-mm"))</f>
        <v/>
      </c>
    </row>
    <row r="1304" customFormat="false" ht="15" hidden="false" customHeight="false" outlineLevel="0" collapsed="false">
      <c r="A1304" s="20"/>
      <c r="B1304" s="19"/>
      <c r="C1304" s="19"/>
      <c r="D1304" s="19"/>
      <c r="E1304" s="19"/>
      <c r="F1304" s="19"/>
      <c r="G1304" s="21"/>
      <c r="H1304" s="19"/>
      <c r="I1304" s="23" t="str">
        <f aca="false">IF(A1304="","",TEXT(A1304,"yyyy-mm"))</f>
        <v/>
      </c>
    </row>
    <row r="1305" customFormat="false" ht="15" hidden="false" customHeight="false" outlineLevel="0" collapsed="false">
      <c r="A1305" s="20"/>
      <c r="B1305" s="19"/>
      <c r="C1305" s="19"/>
      <c r="D1305" s="19"/>
      <c r="E1305" s="19"/>
      <c r="F1305" s="19"/>
      <c r="G1305" s="21"/>
      <c r="H1305" s="19"/>
      <c r="I1305" s="23" t="str">
        <f aca="false">IF(A1305="","",TEXT(A1305,"yyyy-mm"))</f>
        <v/>
      </c>
    </row>
    <row r="1306" customFormat="false" ht="15" hidden="false" customHeight="false" outlineLevel="0" collapsed="false">
      <c r="A1306" s="20"/>
      <c r="B1306" s="19"/>
      <c r="C1306" s="19"/>
      <c r="D1306" s="19"/>
      <c r="E1306" s="19"/>
      <c r="F1306" s="19"/>
      <c r="G1306" s="21"/>
      <c r="H1306" s="19"/>
      <c r="I1306" s="23" t="str">
        <f aca="false">IF(A1306="","",TEXT(A1306,"yyyy-mm"))</f>
        <v/>
      </c>
    </row>
    <row r="1307" customFormat="false" ht="15" hidden="false" customHeight="false" outlineLevel="0" collapsed="false">
      <c r="A1307" s="20"/>
      <c r="B1307" s="19"/>
      <c r="C1307" s="19"/>
      <c r="D1307" s="19"/>
      <c r="E1307" s="19"/>
      <c r="F1307" s="19"/>
      <c r="G1307" s="21"/>
      <c r="H1307" s="19"/>
      <c r="I1307" s="23" t="str">
        <f aca="false">IF(A1307="","",TEXT(A1307,"yyyy-mm"))</f>
        <v/>
      </c>
    </row>
    <row r="1308" customFormat="false" ht="15" hidden="false" customHeight="false" outlineLevel="0" collapsed="false">
      <c r="A1308" s="20"/>
      <c r="B1308" s="19"/>
      <c r="C1308" s="19"/>
      <c r="D1308" s="19"/>
      <c r="E1308" s="19"/>
      <c r="F1308" s="19"/>
      <c r="G1308" s="21"/>
      <c r="H1308" s="19"/>
      <c r="I1308" s="23" t="str">
        <f aca="false">IF(A1308="","",TEXT(A1308,"yyyy-mm"))</f>
        <v/>
      </c>
    </row>
    <row r="1309" customFormat="false" ht="15" hidden="false" customHeight="false" outlineLevel="0" collapsed="false">
      <c r="A1309" s="20"/>
      <c r="B1309" s="19"/>
      <c r="C1309" s="19"/>
      <c r="D1309" s="19"/>
      <c r="E1309" s="19"/>
      <c r="F1309" s="19"/>
      <c r="G1309" s="21"/>
      <c r="H1309" s="19"/>
      <c r="I1309" s="23" t="str">
        <f aca="false">IF(A1309="","",TEXT(A1309,"yyyy-mm"))</f>
        <v/>
      </c>
    </row>
    <row r="1310" customFormat="false" ht="15" hidden="false" customHeight="false" outlineLevel="0" collapsed="false">
      <c r="A1310" s="20"/>
      <c r="B1310" s="19"/>
      <c r="C1310" s="19"/>
      <c r="D1310" s="19"/>
      <c r="E1310" s="19"/>
      <c r="F1310" s="19"/>
      <c r="G1310" s="21"/>
      <c r="H1310" s="19"/>
      <c r="I1310" s="23" t="str">
        <f aca="false">IF(A1310="","",TEXT(A1310,"yyyy-mm"))</f>
        <v/>
      </c>
    </row>
    <row r="1311" customFormat="false" ht="15" hidden="false" customHeight="false" outlineLevel="0" collapsed="false">
      <c r="A1311" s="20"/>
      <c r="B1311" s="19"/>
      <c r="C1311" s="19"/>
      <c r="D1311" s="19"/>
      <c r="E1311" s="19"/>
      <c r="F1311" s="19"/>
      <c r="G1311" s="21"/>
      <c r="H1311" s="19"/>
      <c r="I1311" s="23" t="str">
        <f aca="false">IF(A1311="","",TEXT(A1311,"yyyy-mm"))</f>
        <v/>
      </c>
    </row>
    <row r="1312" customFormat="false" ht="15" hidden="false" customHeight="false" outlineLevel="0" collapsed="false">
      <c r="A1312" s="20"/>
      <c r="B1312" s="19"/>
      <c r="C1312" s="19"/>
      <c r="D1312" s="19"/>
      <c r="E1312" s="19"/>
      <c r="F1312" s="19"/>
      <c r="G1312" s="21"/>
      <c r="H1312" s="19"/>
      <c r="I1312" s="23" t="str">
        <f aca="false">IF(A1312="","",TEXT(A1312,"yyyy-mm"))</f>
        <v/>
      </c>
    </row>
    <row r="1313" customFormat="false" ht="15" hidden="false" customHeight="false" outlineLevel="0" collapsed="false">
      <c r="A1313" s="20"/>
      <c r="B1313" s="19"/>
      <c r="C1313" s="19"/>
      <c r="D1313" s="19"/>
      <c r="E1313" s="19"/>
      <c r="F1313" s="19"/>
      <c r="G1313" s="21"/>
      <c r="H1313" s="19"/>
      <c r="I1313" s="23" t="str">
        <f aca="false">IF(A1313="","",TEXT(A1313,"yyyy-mm"))</f>
        <v/>
      </c>
    </row>
    <row r="1314" customFormat="false" ht="15" hidden="false" customHeight="false" outlineLevel="0" collapsed="false">
      <c r="A1314" s="20"/>
      <c r="B1314" s="19"/>
      <c r="C1314" s="19"/>
      <c r="D1314" s="19"/>
      <c r="E1314" s="19"/>
      <c r="F1314" s="19"/>
      <c r="G1314" s="21"/>
      <c r="H1314" s="19"/>
      <c r="I1314" s="23" t="str">
        <f aca="false">IF(A1314="","",TEXT(A1314,"yyyy-mm"))</f>
        <v/>
      </c>
    </row>
    <row r="1315" customFormat="false" ht="15" hidden="false" customHeight="false" outlineLevel="0" collapsed="false">
      <c r="A1315" s="20"/>
      <c r="B1315" s="19"/>
      <c r="C1315" s="19"/>
      <c r="D1315" s="19"/>
      <c r="E1315" s="19"/>
      <c r="F1315" s="19"/>
      <c r="G1315" s="21"/>
      <c r="H1315" s="19"/>
      <c r="I1315" s="23" t="str">
        <f aca="false">IF(A1315="","",TEXT(A1315,"yyyy-mm"))</f>
        <v/>
      </c>
    </row>
    <row r="1316" customFormat="false" ht="15" hidden="false" customHeight="false" outlineLevel="0" collapsed="false">
      <c r="A1316" s="20"/>
      <c r="B1316" s="19"/>
      <c r="C1316" s="19"/>
      <c r="D1316" s="19"/>
      <c r="E1316" s="19"/>
      <c r="F1316" s="19"/>
      <c r="G1316" s="21"/>
      <c r="H1316" s="19"/>
      <c r="I1316" s="23" t="str">
        <f aca="false">IF(A1316="","",TEXT(A1316,"yyyy-mm"))</f>
        <v/>
      </c>
    </row>
    <row r="1317" customFormat="false" ht="15" hidden="false" customHeight="false" outlineLevel="0" collapsed="false">
      <c r="A1317" s="20"/>
      <c r="B1317" s="19"/>
      <c r="C1317" s="19"/>
      <c r="D1317" s="19"/>
      <c r="E1317" s="19"/>
      <c r="F1317" s="19"/>
      <c r="G1317" s="21"/>
      <c r="H1317" s="19"/>
      <c r="I1317" s="23" t="str">
        <f aca="false">IF(A1317="","",TEXT(A1317,"yyyy-mm"))</f>
        <v/>
      </c>
    </row>
    <row r="1318" customFormat="false" ht="15" hidden="false" customHeight="false" outlineLevel="0" collapsed="false">
      <c r="A1318" s="20"/>
      <c r="B1318" s="19"/>
      <c r="C1318" s="19"/>
      <c r="D1318" s="19"/>
      <c r="E1318" s="19"/>
      <c r="F1318" s="19"/>
      <c r="G1318" s="21"/>
      <c r="H1318" s="19"/>
      <c r="I1318" s="23" t="str">
        <f aca="false">IF(A1318="","",TEXT(A1318,"yyyy-mm"))</f>
        <v/>
      </c>
    </row>
    <row r="1319" customFormat="false" ht="15" hidden="false" customHeight="false" outlineLevel="0" collapsed="false">
      <c r="A1319" s="20"/>
      <c r="B1319" s="19"/>
      <c r="C1319" s="19"/>
      <c r="D1319" s="19"/>
      <c r="E1319" s="19"/>
      <c r="F1319" s="19"/>
      <c r="G1319" s="21"/>
      <c r="H1319" s="19"/>
      <c r="I1319" s="23" t="str">
        <f aca="false">IF(A1319="","",TEXT(A1319,"yyyy-mm"))</f>
        <v/>
      </c>
    </row>
    <row r="1320" customFormat="false" ht="15" hidden="false" customHeight="false" outlineLevel="0" collapsed="false">
      <c r="A1320" s="20"/>
      <c r="B1320" s="19"/>
      <c r="C1320" s="19"/>
      <c r="D1320" s="19"/>
      <c r="E1320" s="19"/>
      <c r="F1320" s="19"/>
      <c r="G1320" s="21"/>
      <c r="H1320" s="19"/>
      <c r="I1320" s="23" t="str">
        <f aca="false">IF(A1320="","",TEXT(A1320,"yyyy-mm"))</f>
        <v/>
      </c>
    </row>
    <row r="1321" customFormat="false" ht="15" hidden="false" customHeight="false" outlineLevel="0" collapsed="false">
      <c r="A1321" s="20"/>
      <c r="B1321" s="19"/>
      <c r="C1321" s="19"/>
      <c r="D1321" s="19"/>
      <c r="E1321" s="19"/>
      <c r="F1321" s="19"/>
      <c r="G1321" s="21"/>
      <c r="H1321" s="19"/>
      <c r="I1321" s="23" t="str">
        <f aca="false">IF(A1321="","",TEXT(A1321,"yyyy-mm"))</f>
        <v/>
      </c>
    </row>
    <row r="1322" customFormat="false" ht="15" hidden="false" customHeight="false" outlineLevel="0" collapsed="false">
      <c r="A1322" s="20"/>
      <c r="B1322" s="19"/>
      <c r="C1322" s="19"/>
      <c r="D1322" s="19"/>
      <c r="E1322" s="19"/>
      <c r="F1322" s="19"/>
      <c r="G1322" s="21"/>
      <c r="H1322" s="19"/>
      <c r="I1322" s="23" t="str">
        <f aca="false">IF(A1322="","",TEXT(A1322,"yyyy-mm"))</f>
        <v/>
      </c>
    </row>
    <row r="1323" customFormat="false" ht="15" hidden="false" customHeight="false" outlineLevel="0" collapsed="false">
      <c r="A1323" s="20"/>
      <c r="B1323" s="19"/>
      <c r="C1323" s="19"/>
      <c r="D1323" s="19"/>
      <c r="E1323" s="19"/>
      <c r="F1323" s="19"/>
      <c r="G1323" s="21"/>
      <c r="H1323" s="19"/>
      <c r="I1323" s="23" t="str">
        <f aca="false">IF(A1323="","",TEXT(A1323,"yyyy-mm"))</f>
        <v/>
      </c>
    </row>
    <row r="1324" customFormat="false" ht="15" hidden="false" customHeight="false" outlineLevel="0" collapsed="false">
      <c r="A1324" s="20"/>
      <c r="B1324" s="19"/>
      <c r="C1324" s="19"/>
      <c r="D1324" s="19"/>
      <c r="E1324" s="19"/>
      <c r="F1324" s="19"/>
      <c r="G1324" s="21"/>
      <c r="H1324" s="19"/>
      <c r="I1324" s="23" t="str">
        <f aca="false">IF(A1324="","",TEXT(A1324,"yyyy-mm"))</f>
        <v/>
      </c>
    </row>
    <row r="1325" customFormat="false" ht="15" hidden="false" customHeight="false" outlineLevel="0" collapsed="false">
      <c r="A1325" s="20"/>
      <c r="B1325" s="19"/>
      <c r="C1325" s="19"/>
      <c r="D1325" s="19"/>
      <c r="E1325" s="19"/>
      <c r="F1325" s="19"/>
      <c r="G1325" s="21"/>
      <c r="H1325" s="19"/>
      <c r="I1325" s="23" t="str">
        <f aca="false">IF(A1325="","",TEXT(A1325,"yyyy-mm"))</f>
        <v/>
      </c>
    </row>
    <row r="1326" customFormat="false" ht="15" hidden="false" customHeight="false" outlineLevel="0" collapsed="false">
      <c r="A1326" s="20"/>
      <c r="B1326" s="19"/>
      <c r="C1326" s="19"/>
      <c r="D1326" s="19"/>
      <c r="E1326" s="19"/>
      <c r="F1326" s="19"/>
      <c r="G1326" s="21"/>
      <c r="H1326" s="19"/>
      <c r="I1326" s="23" t="str">
        <f aca="false">IF(A1326="","",TEXT(A1326,"yyyy-mm"))</f>
        <v/>
      </c>
    </row>
    <row r="1327" customFormat="false" ht="15" hidden="false" customHeight="false" outlineLevel="0" collapsed="false">
      <c r="A1327" s="20"/>
      <c r="B1327" s="19"/>
      <c r="C1327" s="19"/>
      <c r="D1327" s="19"/>
      <c r="E1327" s="19"/>
      <c r="F1327" s="19"/>
      <c r="G1327" s="21"/>
      <c r="H1327" s="19"/>
      <c r="I1327" s="23" t="str">
        <f aca="false">IF(A1327="","",TEXT(A1327,"yyyy-mm"))</f>
        <v/>
      </c>
    </row>
    <row r="1328" customFormat="false" ht="15" hidden="false" customHeight="false" outlineLevel="0" collapsed="false">
      <c r="A1328" s="20"/>
      <c r="B1328" s="19"/>
      <c r="C1328" s="19"/>
      <c r="D1328" s="19"/>
      <c r="E1328" s="19"/>
      <c r="F1328" s="19"/>
      <c r="G1328" s="21"/>
      <c r="H1328" s="19"/>
      <c r="I1328" s="23" t="str">
        <f aca="false">IF(A1328="","",TEXT(A1328,"yyyy-mm"))</f>
        <v/>
      </c>
    </row>
    <row r="1329" customFormat="false" ht="15" hidden="false" customHeight="false" outlineLevel="0" collapsed="false">
      <c r="A1329" s="20"/>
      <c r="B1329" s="19"/>
      <c r="C1329" s="19"/>
      <c r="D1329" s="19"/>
      <c r="E1329" s="19"/>
      <c r="F1329" s="19"/>
      <c r="G1329" s="21"/>
      <c r="H1329" s="19"/>
      <c r="I1329" s="23" t="str">
        <f aca="false">IF(A1329="","",TEXT(A1329,"yyyy-mm"))</f>
        <v/>
      </c>
    </row>
    <row r="1330" customFormat="false" ht="15" hidden="false" customHeight="false" outlineLevel="0" collapsed="false">
      <c r="A1330" s="20"/>
      <c r="B1330" s="19"/>
      <c r="C1330" s="19"/>
      <c r="D1330" s="19"/>
      <c r="E1330" s="19"/>
      <c r="F1330" s="19"/>
      <c r="G1330" s="21"/>
      <c r="H1330" s="19"/>
      <c r="I1330" s="23" t="str">
        <f aca="false">IF(A1330="","",TEXT(A1330,"yyyy-mm"))</f>
        <v/>
      </c>
    </row>
    <row r="1331" customFormat="false" ht="15" hidden="false" customHeight="false" outlineLevel="0" collapsed="false">
      <c r="A1331" s="20"/>
      <c r="B1331" s="19"/>
      <c r="C1331" s="19"/>
      <c r="D1331" s="19"/>
      <c r="E1331" s="19"/>
      <c r="F1331" s="19"/>
      <c r="G1331" s="21"/>
      <c r="H1331" s="19"/>
      <c r="I1331" s="23" t="str">
        <f aca="false">IF(A1331="","",TEXT(A1331,"yyyy-mm"))</f>
        <v/>
      </c>
    </row>
    <row r="1332" customFormat="false" ht="15" hidden="false" customHeight="false" outlineLevel="0" collapsed="false">
      <c r="A1332" s="20"/>
      <c r="B1332" s="19"/>
      <c r="C1332" s="19"/>
      <c r="D1332" s="19"/>
      <c r="E1332" s="19"/>
      <c r="F1332" s="19"/>
      <c r="G1332" s="21"/>
      <c r="H1332" s="19"/>
      <c r="I1332" s="23" t="str">
        <f aca="false">IF(A1332="","",TEXT(A1332,"yyyy-mm"))</f>
        <v/>
      </c>
    </row>
    <row r="1333" customFormat="false" ht="15" hidden="false" customHeight="false" outlineLevel="0" collapsed="false">
      <c r="A1333" s="20"/>
      <c r="B1333" s="19"/>
      <c r="C1333" s="19"/>
      <c r="D1333" s="19"/>
      <c r="E1333" s="19"/>
      <c r="F1333" s="19"/>
      <c r="G1333" s="21"/>
      <c r="H1333" s="19"/>
      <c r="I1333" s="23" t="str">
        <f aca="false">IF(A1333="","",TEXT(A1333,"yyyy-mm"))</f>
        <v/>
      </c>
    </row>
    <row r="1334" customFormat="false" ht="15" hidden="false" customHeight="false" outlineLevel="0" collapsed="false">
      <c r="A1334" s="20"/>
      <c r="B1334" s="19"/>
      <c r="C1334" s="19"/>
      <c r="D1334" s="19"/>
      <c r="E1334" s="19"/>
      <c r="F1334" s="19"/>
      <c r="G1334" s="21"/>
      <c r="H1334" s="19"/>
      <c r="I1334" s="23" t="str">
        <f aca="false">IF(A1334="","",TEXT(A1334,"yyyy-mm"))</f>
        <v/>
      </c>
    </row>
    <row r="1335" customFormat="false" ht="15" hidden="false" customHeight="false" outlineLevel="0" collapsed="false">
      <c r="A1335" s="20"/>
      <c r="B1335" s="19"/>
      <c r="C1335" s="19"/>
      <c r="D1335" s="19"/>
      <c r="E1335" s="19"/>
      <c r="F1335" s="19"/>
      <c r="G1335" s="21"/>
      <c r="H1335" s="19"/>
      <c r="I1335" s="23" t="str">
        <f aca="false">IF(A1335="","",TEXT(A1335,"yyyy-mm"))</f>
        <v/>
      </c>
    </row>
    <row r="1336" customFormat="false" ht="15" hidden="false" customHeight="false" outlineLevel="0" collapsed="false">
      <c r="A1336" s="20"/>
      <c r="B1336" s="19"/>
      <c r="C1336" s="19"/>
      <c r="D1336" s="19"/>
      <c r="E1336" s="19"/>
      <c r="F1336" s="19"/>
      <c r="G1336" s="21"/>
      <c r="H1336" s="19"/>
      <c r="I1336" s="23" t="str">
        <f aca="false">IF(A1336="","",TEXT(A1336,"yyyy-mm"))</f>
        <v/>
      </c>
    </row>
    <row r="1337" customFormat="false" ht="15" hidden="false" customHeight="false" outlineLevel="0" collapsed="false">
      <c r="A1337" s="20"/>
      <c r="B1337" s="19"/>
      <c r="C1337" s="19"/>
      <c r="D1337" s="19"/>
      <c r="E1337" s="19"/>
      <c r="F1337" s="19"/>
      <c r="G1337" s="21"/>
      <c r="H1337" s="19"/>
      <c r="I1337" s="23" t="str">
        <f aca="false">IF(A1337="","",TEXT(A1337,"yyyy-mm"))</f>
        <v/>
      </c>
    </row>
    <row r="1338" customFormat="false" ht="15" hidden="false" customHeight="false" outlineLevel="0" collapsed="false">
      <c r="A1338" s="20"/>
      <c r="B1338" s="19"/>
      <c r="C1338" s="19"/>
      <c r="D1338" s="19"/>
      <c r="E1338" s="19"/>
      <c r="F1338" s="19"/>
      <c r="G1338" s="21"/>
      <c r="H1338" s="19"/>
      <c r="I1338" s="23" t="str">
        <f aca="false">IF(A1338="","",TEXT(A1338,"yyyy-mm"))</f>
        <v/>
      </c>
    </row>
    <row r="1339" customFormat="false" ht="15" hidden="false" customHeight="false" outlineLevel="0" collapsed="false">
      <c r="A1339" s="20"/>
      <c r="B1339" s="19"/>
      <c r="C1339" s="19"/>
      <c r="D1339" s="19"/>
      <c r="E1339" s="19"/>
      <c r="F1339" s="19"/>
      <c r="G1339" s="21"/>
      <c r="H1339" s="19"/>
      <c r="I1339" s="23" t="str">
        <f aca="false">IF(A1339="","",TEXT(A1339,"yyyy-mm"))</f>
        <v/>
      </c>
    </row>
    <row r="1340" customFormat="false" ht="15" hidden="false" customHeight="false" outlineLevel="0" collapsed="false">
      <c r="A1340" s="20"/>
      <c r="B1340" s="19"/>
      <c r="C1340" s="19"/>
      <c r="D1340" s="19"/>
      <c r="E1340" s="19"/>
      <c r="F1340" s="19"/>
      <c r="G1340" s="21"/>
      <c r="H1340" s="19"/>
      <c r="I1340" s="23" t="str">
        <f aca="false">IF(A1340="","",TEXT(A1340,"yyyy-mm"))</f>
        <v/>
      </c>
    </row>
    <row r="1341" customFormat="false" ht="15" hidden="false" customHeight="false" outlineLevel="0" collapsed="false">
      <c r="A1341" s="20"/>
      <c r="B1341" s="19"/>
      <c r="C1341" s="19"/>
      <c r="D1341" s="19"/>
      <c r="E1341" s="19"/>
      <c r="F1341" s="19"/>
      <c r="G1341" s="21"/>
      <c r="H1341" s="19"/>
      <c r="I1341" s="23" t="str">
        <f aca="false">IF(A1341="","",TEXT(A1341,"yyyy-mm"))</f>
        <v/>
      </c>
    </row>
    <row r="1342" customFormat="false" ht="15" hidden="false" customHeight="false" outlineLevel="0" collapsed="false">
      <c r="A1342" s="20"/>
      <c r="B1342" s="19"/>
      <c r="C1342" s="19"/>
      <c r="D1342" s="19"/>
      <c r="E1342" s="19"/>
      <c r="F1342" s="19"/>
      <c r="G1342" s="21"/>
      <c r="H1342" s="19"/>
      <c r="I1342" s="23" t="str">
        <f aca="false">IF(A1342="","",TEXT(A1342,"yyyy-mm"))</f>
        <v/>
      </c>
    </row>
    <row r="1343" customFormat="false" ht="15" hidden="false" customHeight="false" outlineLevel="0" collapsed="false">
      <c r="A1343" s="20"/>
      <c r="B1343" s="19"/>
      <c r="C1343" s="19"/>
      <c r="D1343" s="19"/>
      <c r="E1343" s="19"/>
      <c r="F1343" s="19"/>
      <c r="G1343" s="21"/>
      <c r="H1343" s="19"/>
      <c r="I1343" s="23" t="str">
        <f aca="false">IF(A1343="","",TEXT(A1343,"yyyy-mm"))</f>
        <v/>
      </c>
    </row>
    <row r="1344" customFormat="false" ht="15" hidden="false" customHeight="false" outlineLevel="0" collapsed="false">
      <c r="A1344" s="20"/>
      <c r="B1344" s="19"/>
      <c r="C1344" s="19"/>
      <c r="D1344" s="19"/>
      <c r="E1344" s="19"/>
      <c r="F1344" s="19"/>
      <c r="G1344" s="21"/>
      <c r="H1344" s="19"/>
      <c r="I1344" s="23" t="str">
        <f aca="false">IF(A1344="","",TEXT(A1344,"yyyy-mm"))</f>
        <v/>
      </c>
    </row>
    <row r="1345" customFormat="false" ht="15" hidden="false" customHeight="false" outlineLevel="0" collapsed="false">
      <c r="A1345" s="20"/>
      <c r="B1345" s="19"/>
      <c r="C1345" s="19"/>
      <c r="D1345" s="19"/>
      <c r="E1345" s="19"/>
      <c r="F1345" s="19"/>
      <c r="G1345" s="21"/>
      <c r="H1345" s="19"/>
      <c r="I1345" s="23" t="str">
        <f aca="false">IF(A1345="","",TEXT(A1345,"yyyy-mm"))</f>
        <v/>
      </c>
    </row>
    <row r="1346" customFormat="false" ht="15" hidden="false" customHeight="false" outlineLevel="0" collapsed="false">
      <c r="A1346" s="20"/>
      <c r="B1346" s="19"/>
      <c r="C1346" s="19"/>
      <c r="D1346" s="19"/>
      <c r="E1346" s="19"/>
      <c r="F1346" s="19"/>
      <c r="G1346" s="21"/>
      <c r="H1346" s="19"/>
      <c r="I1346" s="23" t="str">
        <f aca="false">IF(A1346="","",TEXT(A1346,"yyyy-mm"))</f>
        <v/>
      </c>
    </row>
    <row r="1347" customFormat="false" ht="15" hidden="false" customHeight="false" outlineLevel="0" collapsed="false">
      <c r="A1347" s="20"/>
      <c r="B1347" s="19"/>
      <c r="C1347" s="19"/>
      <c r="D1347" s="19"/>
      <c r="E1347" s="19"/>
      <c r="F1347" s="19"/>
      <c r="G1347" s="21"/>
      <c r="H1347" s="19"/>
      <c r="I1347" s="23" t="str">
        <f aca="false">IF(A1347="","",TEXT(A1347,"yyyy-mm"))</f>
        <v/>
      </c>
    </row>
    <row r="1348" customFormat="false" ht="15" hidden="false" customHeight="false" outlineLevel="0" collapsed="false">
      <c r="A1348" s="20"/>
      <c r="B1348" s="19"/>
      <c r="C1348" s="19"/>
      <c r="D1348" s="19"/>
      <c r="E1348" s="19"/>
      <c r="F1348" s="19"/>
      <c r="G1348" s="21"/>
      <c r="H1348" s="19"/>
      <c r="I1348" s="23" t="str">
        <f aca="false">IF(A1348="","",TEXT(A1348,"yyyy-mm"))</f>
        <v/>
      </c>
    </row>
    <row r="1349" customFormat="false" ht="15" hidden="false" customHeight="false" outlineLevel="0" collapsed="false">
      <c r="A1349" s="20"/>
      <c r="B1349" s="19"/>
      <c r="C1349" s="19"/>
      <c r="D1349" s="19"/>
      <c r="E1349" s="19"/>
      <c r="F1349" s="19"/>
      <c r="G1349" s="21"/>
      <c r="H1349" s="19"/>
      <c r="I1349" s="23" t="str">
        <f aca="false">IF(A1349="","",TEXT(A1349,"yyyy-mm"))</f>
        <v/>
      </c>
    </row>
    <row r="1350" customFormat="false" ht="15" hidden="false" customHeight="false" outlineLevel="0" collapsed="false">
      <c r="A1350" s="20"/>
      <c r="B1350" s="19"/>
      <c r="C1350" s="19"/>
      <c r="D1350" s="19"/>
      <c r="E1350" s="19"/>
      <c r="F1350" s="19"/>
      <c r="G1350" s="21"/>
      <c r="H1350" s="19"/>
      <c r="I1350" s="23" t="str">
        <f aca="false">IF(A1350="","",TEXT(A1350,"yyyy-mm"))</f>
        <v/>
      </c>
    </row>
    <row r="1351" customFormat="false" ht="15" hidden="false" customHeight="false" outlineLevel="0" collapsed="false">
      <c r="A1351" s="20"/>
      <c r="B1351" s="19"/>
      <c r="C1351" s="19"/>
      <c r="D1351" s="19"/>
      <c r="E1351" s="19"/>
      <c r="F1351" s="19"/>
      <c r="G1351" s="21"/>
      <c r="H1351" s="19"/>
      <c r="I1351" s="23" t="str">
        <f aca="false">IF(A1351="","",TEXT(A1351,"yyyy-mm"))</f>
        <v/>
      </c>
    </row>
    <row r="1352" customFormat="false" ht="15" hidden="false" customHeight="false" outlineLevel="0" collapsed="false">
      <c r="A1352" s="20"/>
      <c r="B1352" s="19"/>
      <c r="C1352" s="19"/>
      <c r="D1352" s="19"/>
      <c r="E1352" s="19"/>
      <c r="F1352" s="19"/>
      <c r="G1352" s="21"/>
      <c r="H1352" s="19"/>
      <c r="I1352" s="23" t="str">
        <f aca="false">IF(A1352="","",TEXT(A1352,"yyyy-mm"))</f>
        <v/>
      </c>
    </row>
    <row r="1353" customFormat="false" ht="15" hidden="false" customHeight="false" outlineLevel="0" collapsed="false">
      <c r="A1353" s="20"/>
      <c r="B1353" s="19"/>
      <c r="C1353" s="19"/>
      <c r="D1353" s="19"/>
      <c r="E1353" s="19"/>
      <c r="F1353" s="19"/>
      <c r="G1353" s="21"/>
      <c r="H1353" s="19"/>
      <c r="I1353" s="23" t="str">
        <f aca="false">IF(A1353="","",TEXT(A1353,"yyyy-mm"))</f>
        <v/>
      </c>
    </row>
    <row r="1354" customFormat="false" ht="15" hidden="false" customHeight="false" outlineLevel="0" collapsed="false">
      <c r="A1354" s="20"/>
      <c r="B1354" s="19"/>
      <c r="C1354" s="19"/>
      <c r="D1354" s="19"/>
      <c r="E1354" s="19"/>
      <c r="F1354" s="19"/>
      <c r="G1354" s="21"/>
      <c r="H1354" s="19"/>
      <c r="I1354" s="23" t="str">
        <f aca="false">IF(A1354="","",TEXT(A1354,"yyyy-mm"))</f>
        <v/>
      </c>
    </row>
    <row r="1355" customFormat="false" ht="15" hidden="false" customHeight="false" outlineLevel="0" collapsed="false">
      <c r="A1355" s="20"/>
      <c r="B1355" s="19"/>
      <c r="C1355" s="19"/>
      <c r="D1355" s="19"/>
      <c r="E1355" s="19"/>
      <c r="F1355" s="19"/>
      <c r="G1355" s="21"/>
      <c r="H1355" s="19"/>
      <c r="I1355" s="23" t="str">
        <f aca="false">IF(A1355="","",TEXT(A1355,"yyyy-mm"))</f>
        <v/>
      </c>
    </row>
    <row r="1356" customFormat="false" ht="15" hidden="false" customHeight="false" outlineLevel="0" collapsed="false">
      <c r="A1356" s="20"/>
      <c r="B1356" s="19"/>
      <c r="C1356" s="19"/>
      <c r="D1356" s="19"/>
      <c r="E1356" s="19"/>
      <c r="F1356" s="19"/>
      <c r="G1356" s="21"/>
      <c r="H1356" s="19"/>
      <c r="I1356" s="23" t="str">
        <f aca="false">IF(A1356="","",TEXT(A1356,"yyyy-mm"))</f>
        <v/>
      </c>
    </row>
    <row r="1357" customFormat="false" ht="15" hidden="false" customHeight="false" outlineLevel="0" collapsed="false">
      <c r="A1357" s="20"/>
      <c r="B1357" s="19"/>
      <c r="C1357" s="19"/>
      <c r="D1357" s="19"/>
      <c r="E1357" s="19"/>
      <c r="F1357" s="19"/>
      <c r="G1357" s="21"/>
      <c r="H1357" s="19"/>
      <c r="I1357" s="23" t="str">
        <f aca="false">IF(A1357="","",TEXT(A1357,"yyyy-mm"))</f>
        <v/>
      </c>
    </row>
    <row r="1358" customFormat="false" ht="15" hidden="false" customHeight="false" outlineLevel="0" collapsed="false">
      <c r="A1358" s="20"/>
      <c r="B1358" s="19"/>
      <c r="C1358" s="19"/>
      <c r="D1358" s="19"/>
      <c r="E1358" s="19"/>
      <c r="F1358" s="19"/>
      <c r="G1358" s="21"/>
      <c r="H1358" s="19"/>
      <c r="I1358" s="23" t="str">
        <f aca="false">IF(A1358="","",TEXT(A1358,"yyyy-mm"))</f>
        <v/>
      </c>
    </row>
    <row r="1359" customFormat="false" ht="15" hidden="false" customHeight="false" outlineLevel="0" collapsed="false">
      <c r="A1359" s="20"/>
      <c r="B1359" s="19"/>
      <c r="C1359" s="19"/>
      <c r="D1359" s="19"/>
      <c r="E1359" s="19"/>
      <c r="F1359" s="19"/>
      <c r="G1359" s="21"/>
      <c r="H1359" s="19"/>
      <c r="I1359" s="23" t="str">
        <f aca="false">IF(A1359="","",TEXT(A1359,"yyyy-mm"))</f>
        <v/>
      </c>
    </row>
    <row r="1360" customFormat="false" ht="15" hidden="false" customHeight="false" outlineLevel="0" collapsed="false">
      <c r="A1360" s="20"/>
      <c r="B1360" s="19"/>
      <c r="C1360" s="19"/>
      <c r="D1360" s="19"/>
      <c r="E1360" s="19"/>
      <c r="F1360" s="19"/>
      <c r="G1360" s="21"/>
      <c r="H1360" s="19"/>
      <c r="I1360" s="23" t="str">
        <f aca="false">IF(A1360="","",TEXT(A1360,"yyyy-mm"))</f>
        <v/>
      </c>
    </row>
    <row r="1361" customFormat="false" ht="15" hidden="false" customHeight="false" outlineLevel="0" collapsed="false">
      <c r="A1361" s="20"/>
      <c r="B1361" s="19"/>
      <c r="C1361" s="19"/>
      <c r="D1361" s="19"/>
      <c r="E1361" s="19"/>
      <c r="F1361" s="19"/>
      <c r="G1361" s="21"/>
      <c r="H1361" s="19"/>
      <c r="I1361" s="23" t="str">
        <f aca="false">IF(A1361="","",TEXT(A1361,"yyyy-mm"))</f>
        <v/>
      </c>
    </row>
    <row r="1362" customFormat="false" ht="15" hidden="false" customHeight="false" outlineLevel="0" collapsed="false">
      <c r="A1362" s="20"/>
      <c r="B1362" s="19"/>
      <c r="C1362" s="19"/>
      <c r="D1362" s="19"/>
      <c r="E1362" s="19"/>
      <c r="F1362" s="19"/>
      <c r="G1362" s="21"/>
      <c r="H1362" s="19"/>
      <c r="I1362" s="23" t="str">
        <f aca="false">IF(A1362="","",TEXT(A1362,"yyyy-mm"))</f>
        <v/>
      </c>
    </row>
    <row r="1363" customFormat="false" ht="15" hidden="false" customHeight="false" outlineLevel="0" collapsed="false">
      <c r="A1363" s="20"/>
      <c r="B1363" s="19"/>
      <c r="C1363" s="19"/>
      <c r="D1363" s="19"/>
      <c r="E1363" s="19"/>
      <c r="F1363" s="19"/>
      <c r="G1363" s="21"/>
      <c r="H1363" s="19"/>
      <c r="I1363" s="23" t="str">
        <f aca="false">IF(A1363="","",TEXT(A1363,"yyyy-mm"))</f>
        <v/>
      </c>
    </row>
    <row r="1364" customFormat="false" ht="15" hidden="false" customHeight="false" outlineLevel="0" collapsed="false">
      <c r="A1364" s="20"/>
      <c r="B1364" s="19"/>
      <c r="C1364" s="19"/>
      <c r="D1364" s="19"/>
      <c r="E1364" s="19"/>
      <c r="F1364" s="19"/>
      <c r="G1364" s="21"/>
      <c r="H1364" s="19"/>
      <c r="I1364" s="23" t="str">
        <f aca="false">IF(A1364="","",TEXT(A1364,"yyyy-mm"))</f>
        <v/>
      </c>
    </row>
    <row r="1365" customFormat="false" ht="15" hidden="false" customHeight="false" outlineLevel="0" collapsed="false">
      <c r="A1365" s="20"/>
      <c r="B1365" s="19"/>
      <c r="C1365" s="19"/>
      <c r="D1365" s="19"/>
      <c r="E1365" s="19"/>
      <c r="F1365" s="19"/>
      <c r="G1365" s="21"/>
      <c r="H1365" s="19"/>
      <c r="I1365" s="23" t="str">
        <f aca="false">IF(A1365="","",TEXT(A1365,"yyyy-mm"))</f>
        <v/>
      </c>
    </row>
    <row r="1366" customFormat="false" ht="15" hidden="false" customHeight="false" outlineLevel="0" collapsed="false">
      <c r="A1366" s="20"/>
      <c r="B1366" s="19"/>
      <c r="C1366" s="19"/>
      <c r="D1366" s="19"/>
      <c r="E1366" s="19"/>
      <c r="F1366" s="19"/>
      <c r="G1366" s="21"/>
      <c r="H1366" s="19"/>
      <c r="I1366" s="23" t="str">
        <f aca="false">IF(A1366="","",TEXT(A1366,"yyyy-mm"))</f>
        <v/>
      </c>
    </row>
    <row r="1367" customFormat="false" ht="15" hidden="false" customHeight="false" outlineLevel="0" collapsed="false">
      <c r="A1367" s="20"/>
      <c r="B1367" s="19"/>
      <c r="C1367" s="19"/>
      <c r="D1367" s="19"/>
      <c r="E1367" s="19"/>
      <c r="F1367" s="19"/>
      <c r="G1367" s="21"/>
      <c r="H1367" s="19"/>
      <c r="I1367" s="23" t="str">
        <f aca="false">IF(A1367="","",TEXT(A1367,"yyyy-mm"))</f>
        <v/>
      </c>
    </row>
    <row r="1368" customFormat="false" ht="15" hidden="false" customHeight="false" outlineLevel="0" collapsed="false">
      <c r="A1368" s="20"/>
      <c r="B1368" s="19"/>
      <c r="C1368" s="19"/>
      <c r="D1368" s="19"/>
      <c r="E1368" s="19"/>
      <c r="F1368" s="19"/>
      <c r="G1368" s="21"/>
      <c r="H1368" s="19"/>
      <c r="I1368" s="23" t="str">
        <f aca="false">IF(A1368="","",TEXT(A1368,"yyyy-mm"))</f>
        <v/>
      </c>
    </row>
    <row r="1369" customFormat="false" ht="15" hidden="false" customHeight="false" outlineLevel="0" collapsed="false">
      <c r="A1369" s="20"/>
      <c r="B1369" s="19"/>
      <c r="C1369" s="19"/>
      <c r="D1369" s="19"/>
      <c r="E1369" s="19"/>
      <c r="F1369" s="19"/>
      <c r="G1369" s="21"/>
      <c r="H1369" s="19"/>
      <c r="I1369" s="23" t="str">
        <f aca="false">IF(A1369="","",TEXT(A1369,"yyyy-mm"))</f>
        <v/>
      </c>
    </row>
    <row r="1370" customFormat="false" ht="15" hidden="false" customHeight="false" outlineLevel="0" collapsed="false">
      <c r="A1370" s="20"/>
      <c r="B1370" s="19"/>
      <c r="C1370" s="19"/>
      <c r="D1370" s="19"/>
      <c r="E1370" s="19"/>
      <c r="F1370" s="19"/>
      <c r="G1370" s="21"/>
      <c r="H1370" s="19"/>
      <c r="I1370" s="23" t="str">
        <f aca="false">IF(A1370="","",TEXT(A1370,"yyyy-mm"))</f>
        <v/>
      </c>
    </row>
    <row r="1371" customFormat="false" ht="15" hidden="false" customHeight="false" outlineLevel="0" collapsed="false">
      <c r="A1371" s="20"/>
      <c r="B1371" s="19"/>
      <c r="C1371" s="19"/>
      <c r="D1371" s="19"/>
      <c r="E1371" s="19"/>
      <c r="F1371" s="19"/>
      <c r="G1371" s="21"/>
      <c r="H1371" s="19"/>
      <c r="I1371" s="23" t="str">
        <f aca="false">IF(A1371="","",TEXT(A1371,"yyyy-mm"))</f>
        <v/>
      </c>
    </row>
    <row r="1372" customFormat="false" ht="15" hidden="false" customHeight="false" outlineLevel="0" collapsed="false">
      <c r="A1372" s="20"/>
      <c r="B1372" s="19"/>
      <c r="C1372" s="19"/>
      <c r="D1372" s="19"/>
      <c r="E1372" s="19"/>
      <c r="F1372" s="19"/>
      <c r="G1372" s="21"/>
      <c r="H1372" s="19"/>
      <c r="I1372" s="23" t="str">
        <f aca="false">IF(A1372="","",TEXT(A1372,"yyyy-mm"))</f>
        <v/>
      </c>
    </row>
    <row r="1373" customFormat="false" ht="15" hidden="false" customHeight="false" outlineLevel="0" collapsed="false">
      <c r="A1373" s="20"/>
      <c r="B1373" s="19"/>
      <c r="C1373" s="19"/>
      <c r="D1373" s="19"/>
      <c r="E1373" s="19"/>
      <c r="F1373" s="19"/>
      <c r="G1373" s="21"/>
      <c r="H1373" s="19"/>
      <c r="I1373" s="23" t="str">
        <f aca="false">IF(A1373="","",TEXT(A1373,"yyyy-mm"))</f>
        <v/>
      </c>
    </row>
    <row r="1374" customFormat="false" ht="15" hidden="false" customHeight="false" outlineLevel="0" collapsed="false">
      <c r="A1374" s="20"/>
      <c r="B1374" s="19"/>
      <c r="C1374" s="19"/>
      <c r="D1374" s="19"/>
      <c r="E1374" s="19"/>
      <c r="F1374" s="19"/>
      <c r="G1374" s="21"/>
      <c r="H1374" s="19"/>
      <c r="I1374" s="23" t="str">
        <f aca="false">IF(A1374="","",TEXT(A1374,"yyyy-mm"))</f>
        <v/>
      </c>
    </row>
    <row r="1375" customFormat="false" ht="15" hidden="false" customHeight="false" outlineLevel="0" collapsed="false">
      <c r="A1375" s="20"/>
      <c r="B1375" s="19"/>
      <c r="C1375" s="19"/>
      <c r="D1375" s="19"/>
      <c r="E1375" s="19"/>
      <c r="F1375" s="19"/>
      <c r="G1375" s="21"/>
      <c r="H1375" s="19"/>
      <c r="I1375" s="23" t="str">
        <f aca="false">IF(A1375="","",TEXT(A1375,"yyyy-mm"))</f>
        <v/>
      </c>
    </row>
    <row r="1376" customFormat="false" ht="15" hidden="false" customHeight="false" outlineLevel="0" collapsed="false">
      <c r="A1376" s="20"/>
      <c r="B1376" s="19"/>
      <c r="C1376" s="19"/>
      <c r="D1376" s="19"/>
      <c r="E1376" s="19"/>
      <c r="F1376" s="19"/>
      <c r="G1376" s="21"/>
      <c r="H1376" s="19"/>
      <c r="I1376" s="23" t="str">
        <f aca="false">IF(A1376="","",TEXT(A1376,"yyyy-mm"))</f>
        <v/>
      </c>
    </row>
    <row r="1377" customFormat="false" ht="15" hidden="false" customHeight="false" outlineLevel="0" collapsed="false">
      <c r="A1377" s="20"/>
      <c r="B1377" s="19"/>
      <c r="C1377" s="19"/>
      <c r="D1377" s="19"/>
      <c r="E1377" s="19"/>
      <c r="F1377" s="19"/>
      <c r="G1377" s="21"/>
      <c r="H1377" s="19"/>
      <c r="I1377" s="23" t="str">
        <f aca="false">IF(A1377="","",TEXT(A1377,"yyyy-mm"))</f>
        <v/>
      </c>
    </row>
    <row r="1378" customFormat="false" ht="15" hidden="false" customHeight="false" outlineLevel="0" collapsed="false">
      <c r="A1378" s="20"/>
      <c r="B1378" s="19"/>
      <c r="C1378" s="19"/>
      <c r="D1378" s="19"/>
      <c r="E1378" s="19"/>
      <c r="F1378" s="19"/>
      <c r="G1378" s="21"/>
      <c r="H1378" s="19"/>
      <c r="I1378" s="23" t="str">
        <f aca="false">IF(A1378="","",TEXT(A1378,"yyyy-mm"))</f>
        <v/>
      </c>
    </row>
    <row r="1379" customFormat="false" ht="15" hidden="false" customHeight="false" outlineLevel="0" collapsed="false">
      <c r="A1379" s="20"/>
      <c r="B1379" s="19"/>
      <c r="C1379" s="19"/>
      <c r="D1379" s="19"/>
      <c r="E1379" s="19"/>
      <c r="F1379" s="19"/>
      <c r="G1379" s="21"/>
      <c r="H1379" s="19"/>
      <c r="I1379" s="23" t="str">
        <f aca="false">IF(A1379="","",TEXT(A1379,"yyyy-mm"))</f>
        <v/>
      </c>
    </row>
    <row r="1380" customFormat="false" ht="15" hidden="false" customHeight="false" outlineLevel="0" collapsed="false">
      <c r="A1380" s="20"/>
      <c r="B1380" s="19"/>
      <c r="C1380" s="19"/>
      <c r="D1380" s="19"/>
      <c r="E1380" s="19"/>
      <c r="F1380" s="19"/>
      <c r="G1380" s="21"/>
      <c r="H1380" s="19"/>
      <c r="I1380" s="23" t="str">
        <f aca="false">IF(A1380="","",TEXT(A1380,"yyyy-mm"))</f>
        <v/>
      </c>
    </row>
    <row r="1381" customFormat="false" ht="15" hidden="false" customHeight="false" outlineLevel="0" collapsed="false">
      <c r="A1381" s="20"/>
      <c r="B1381" s="19"/>
      <c r="C1381" s="19"/>
      <c r="D1381" s="19"/>
      <c r="E1381" s="19"/>
      <c r="F1381" s="19"/>
      <c r="G1381" s="21"/>
      <c r="H1381" s="19"/>
      <c r="I1381" s="23" t="str">
        <f aca="false">IF(A1381="","",TEXT(A1381,"yyyy-mm"))</f>
        <v/>
      </c>
    </row>
    <row r="1382" customFormat="false" ht="15" hidden="false" customHeight="false" outlineLevel="0" collapsed="false">
      <c r="A1382" s="20"/>
      <c r="B1382" s="19"/>
      <c r="C1382" s="19"/>
      <c r="D1382" s="19"/>
      <c r="E1382" s="19"/>
      <c r="F1382" s="19"/>
      <c r="G1382" s="21"/>
      <c r="H1382" s="19"/>
      <c r="I1382" s="23" t="str">
        <f aca="false">IF(A1382="","",TEXT(A1382,"yyyy-mm"))</f>
        <v/>
      </c>
    </row>
    <row r="1383" customFormat="false" ht="15" hidden="false" customHeight="false" outlineLevel="0" collapsed="false">
      <c r="A1383" s="20"/>
      <c r="B1383" s="19"/>
      <c r="C1383" s="19"/>
      <c r="D1383" s="19"/>
      <c r="E1383" s="19"/>
      <c r="F1383" s="19"/>
      <c r="G1383" s="21"/>
      <c r="H1383" s="19"/>
      <c r="I1383" s="23" t="str">
        <f aca="false">IF(A1383="","",TEXT(A1383,"yyyy-mm"))</f>
        <v/>
      </c>
    </row>
    <row r="1384" customFormat="false" ht="15" hidden="false" customHeight="false" outlineLevel="0" collapsed="false">
      <c r="A1384" s="20"/>
      <c r="B1384" s="19"/>
      <c r="C1384" s="19"/>
      <c r="D1384" s="19"/>
      <c r="E1384" s="19"/>
      <c r="F1384" s="19"/>
      <c r="G1384" s="21"/>
      <c r="H1384" s="19"/>
      <c r="I1384" s="23" t="str">
        <f aca="false">IF(A1384="","",TEXT(A1384,"yyyy-mm"))</f>
        <v/>
      </c>
    </row>
    <row r="1385" customFormat="false" ht="15" hidden="false" customHeight="false" outlineLevel="0" collapsed="false">
      <c r="A1385" s="20"/>
      <c r="B1385" s="19"/>
      <c r="C1385" s="19"/>
      <c r="D1385" s="19"/>
      <c r="E1385" s="19"/>
      <c r="F1385" s="19"/>
      <c r="G1385" s="21"/>
      <c r="H1385" s="19"/>
      <c r="I1385" s="23" t="str">
        <f aca="false">IF(A1385="","",TEXT(A1385,"yyyy-mm"))</f>
        <v/>
      </c>
    </row>
    <row r="1386" customFormat="false" ht="15" hidden="false" customHeight="false" outlineLevel="0" collapsed="false">
      <c r="A1386" s="20"/>
      <c r="B1386" s="19"/>
      <c r="C1386" s="19"/>
      <c r="D1386" s="19"/>
      <c r="E1386" s="19"/>
      <c r="F1386" s="19"/>
      <c r="G1386" s="21"/>
      <c r="H1386" s="19"/>
      <c r="I1386" s="23" t="str">
        <f aca="false">IF(A1386="","",TEXT(A1386,"yyyy-mm"))</f>
        <v/>
      </c>
    </row>
    <row r="1387" customFormat="false" ht="15" hidden="false" customHeight="false" outlineLevel="0" collapsed="false">
      <c r="A1387" s="20"/>
      <c r="B1387" s="19"/>
      <c r="C1387" s="19"/>
      <c r="D1387" s="19"/>
      <c r="E1387" s="19"/>
      <c r="F1387" s="19"/>
      <c r="G1387" s="21"/>
      <c r="H1387" s="19"/>
      <c r="I1387" s="23" t="str">
        <f aca="false">IF(A1387="","",TEXT(A1387,"yyyy-mm"))</f>
        <v/>
      </c>
    </row>
    <row r="1388" customFormat="false" ht="15" hidden="false" customHeight="false" outlineLevel="0" collapsed="false">
      <c r="A1388" s="20"/>
      <c r="B1388" s="19"/>
      <c r="C1388" s="19"/>
      <c r="D1388" s="19"/>
      <c r="E1388" s="19"/>
      <c r="F1388" s="19"/>
      <c r="G1388" s="21"/>
      <c r="H1388" s="19"/>
      <c r="I1388" s="23" t="str">
        <f aca="false">IF(A1388="","",TEXT(A1388,"yyyy-mm"))</f>
        <v/>
      </c>
    </row>
    <row r="1389" customFormat="false" ht="15" hidden="false" customHeight="false" outlineLevel="0" collapsed="false">
      <c r="A1389" s="20"/>
      <c r="B1389" s="19"/>
      <c r="C1389" s="19"/>
      <c r="D1389" s="19"/>
      <c r="E1389" s="19"/>
      <c r="F1389" s="19"/>
      <c r="G1389" s="21"/>
      <c r="H1389" s="19"/>
      <c r="I1389" s="23" t="str">
        <f aca="false">IF(A1389="","",TEXT(A1389,"yyyy-mm"))</f>
        <v/>
      </c>
    </row>
    <row r="1390" customFormat="false" ht="15" hidden="false" customHeight="false" outlineLevel="0" collapsed="false">
      <c r="A1390" s="20"/>
      <c r="B1390" s="19"/>
      <c r="C1390" s="19"/>
      <c r="D1390" s="19"/>
      <c r="E1390" s="19"/>
      <c r="F1390" s="19"/>
      <c r="G1390" s="21"/>
      <c r="H1390" s="19"/>
      <c r="I1390" s="23" t="str">
        <f aca="false">IF(A1390="","",TEXT(A1390,"yyyy-mm"))</f>
        <v/>
      </c>
    </row>
    <row r="1391" customFormat="false" ht="15" hidden="false" customHeight="false" outlineLevel="0" collapsed="false">
      <c r="A1391" s="20"/>
      <c r="B1391" s="19"/>
      <c r="C1391" s="19"/>
      <c r="D1391" s="19"/>
      <c r="E1391" s="19"/>
      <c r="F1391" s="19"/>
      <c r="G1391" s="21"/>
      <c r="H1391" s="19"/>
      <c r="I1391" s="23" t="str">
        <f aca="false">IF(A1391="","",TEXT(A1391,"yyyy-mm"))</f>
        <v/>
      </c>
    </row>
    <row r="1392" customFormat="false" ht="15" hidden="false" customHeight="false" outlineLevel="0" collapsed="false">
      <c r="A1392" s="20"/>
      <c r="B1392" s="19"/>
      <c r="C1392" s="19"/>
      <c r="D1392" s="19"/>
      <c r="E1392" s="19"/>
      <c r="F1392" s="19"/>
      <c r="G1392" s="21"/>
      <c r="H1392" s="19"/>
      <c r="I1392" s="23" t="str">
        <f aca="false">IF(A1392="","",TEXT(A1392,"yyyy-mm"))</f>
        <v/>
      </c>
    </row>
    <row r="1393" customFormat="false" ht="15" hidden="false" customHeight="false" outlineLevel="0" collapsed="false">
      <c r="A1393" s="20"/>
      <c r="B1393" s="19"/>
      <c r="C1393" s="19"/>
      <c r="D1393" s="19"/>
      <c r="E1393" s="19"/>
      <c r="F1393" s="19"/>
      <c r="G1393" s="21"/>
      <c r="H1393" s="19"/>
      <c r="I1393" s="23" t="str">
        <f aca="false">IF(A1393="","",TEXT(A1393,"yyyy-mm"))</f>
        <v/>
      </c>
    </row>
    <row r="1394" customFormat="false" ht="15" hidden="false" customHeight="false" outlineLevel="0" collapsed="false">
      <c r="A1394" s="20"/>
      <c r="B1394" s="19"/>
      <c r="C1394" s="19"/>
      <c r="D1394" s="19"/>
      <c r="E1394" s="19"/>
      <c r="F1394" s="19"/>
      <c r="G1394" s="21"/>
      <c r="H1394" s="19"/>
      <c r="I1394" s="23" t="str">
        <f aca="false">IF(A1394="","",TEXT(A1394,"yyyy-mm"))</f>
        <v/>
      </c>
    </row>
    <row r="1395" customFormat="false" ht="15" hidden="false" customHeight="false" outlineLevel="0" collapsed="false">
      <c r="A1395" s="20"/>
      <c r="B1395" s="19"/>
      <c r="C1395" s="19"/>
      <c r="D1395" s="19"/>
      <c r="E1395" s="19"/>
      <c r="F1395" s="19"/>
      <c r="G1395" s="21"/>
      <c r="H1395" s="19"/>
      <c r="I1395" s="23" t="str">
        <f aca="false">IF(A1395="","",TEXT(A1395,"yyyy-mm"))</f>
        <v/>
      </c>
    </row>
    <row r="1396" customFormat="false" ht="15" hidden="false" customHeight="false" outlineLevel="0" collapsed="false">
      <c r="A1396" s="20"/>
      <c r="B1396" s="19"/>
      <c r="C1396" s="19"/>
      <c r="D1396" s="19"/>
      <c r="E1396" s="19"/>
      <c r="F1396" s="19"/>
      <c r="G1396" s="21"/>
      <c r="H1396" s="19"/>
      <c r="I1396" s="23" t="str">
        <f aca="false">IF(A1396="","",TEXT(A1396,"yyyy-mm"))</f>
        <v/>
      </c>
    </row>
    <row r="1397" customFormat="false" ht="15" hidden="false" customHeight="false" outlineLevel="0" collapsed="false">
      <c r="A1397" s="20"/>
      <c r="B1397" s="19"/>
      <c r="C1397" s="19"/>
      <c r="D1397" s="19"/>
      <c r="E1397" s="19"/>
      <c r="F1397" s="19"/>
      <c r="G1397" s="21"/>
      <c r="H1397" s="19"/>
      <c r="I1397" s="23" t="str">
        <f aca="false">IF(A1397="","",TEXT(A1397,"yyyy-mm"))</f>
        <v/>
      </c>
    </row>
    <row r="1398" customFormat="false" ht="15" hidden="false" customHeight="false" outlineLevel="0" collapsed="false">
      <c r="A1398" s="20"/>
      <c r="B1398" s="19"/>
      <c r="C1398" s="19"/>
      <c r="D1398" s="19"/>
      <c r="E1398" s="19"/>
      <c r="F1398" s="19"/>
      <c r="G1398" s="21"/>
      <c r="H1398" s="19"/>
      <c r="I1398" s="23" t="str">
        <f aca="false">IF(A1398="","",TEXT(A1398,"yyyy-mm"))</f>
        <v/>
      </c>
    </row>
    <row r="1399" customFormat="false" ht="15" hidden="false" customHeight="false" outlineLevel="0" collapsed="false">
      <c r="A1399" s="20"/>
      <c r="B1399" s="19"/>
      <c r="C1399" s="19"/>
      <c r="D1399" s="19"/>
      <c r="E1399" s="19"/>
      <c r="F1399" s="19"/>
      <c r="G1399" s="21"/>
      <c r="H1399" s="19"/>
      <c r="I1399" s="23" t="str">
        <f aca="false">IF(A1399="","",TEXT(A1399,"yyyy-mm"))</f>
        <v/>
      </c>
    </row>
    <row r="1400" customFormat="false" ht="15" hidden="false" customHeight="false" outlineLevel="0" collapsed="false">
      <c r="A1400" s="20"/>
      <c r="B1400" s="19"/>
      <c r="C1400" s="19"/>
      <c r="D1400" s="19"/>
      <c r="E1400" s="19"/>
      <c r="F1400" s="19"/>
      <c r="G1400" s="21"/>
      <c r="H1400" s="19"/>
      <c r="I1400" s="23" t="str">
        <f aca="false">IF(A1400="","",TEXT(A1400,"yyyy-mm"))</f>
        <v/>
      </c>
    </row>
    <row r="1401" customFormat="false" ht="15" hidden="false" customHeight="false" outlineLevel="0" collapsed="false">
      <c r="A1401" s="20"/>
      <c r="B1401" s="19"/>
      <c r="C1401" s="19"/>
      <c r="D1401" s="19"/>
      <c r="E1401" s="19"/>
      <c r="F1401" s="19"/>
      <c r="G1401" s="21"/>
      <c r="H1401" s="19"/>
      <c r="I1401" s="23" t="str">
        <f aca="false">IF(A1401="","",TEXT(A1401,"yyyy-mm"))</f>
        <v/>
      </c>
    </row>
    <row r="1402" customFormat="false" ht="15" hidden="false" customHeight="false" outlineLevel="0" collapsed="false">
      <c r="A1402" s="20"/>
      <c r="B1402" s="19"/>
      <c r="C1402" s="19"/>
      <c r="D1402" s="19"/>
      <c r="E1402" s="19"/>
      <c r="F1402" s="19"/>
      <c r="G1402" s="21"/>
      <c r="H1402" s="19"/>
      <c r="I1402" s="23" t="str">
        <f aca="false">IF(A1402="","",TEXT(A1402,"yyyy-mm"))</f>
        <v/>
      </c>
    </row>
    <row r="1403" customFormat="false" ht="15" hidden="false" customHeight="false" outlineLevel="0" collapsed="false">
      <c r="A1403" s="20"/>
      <c r="B1403" s="19"/>
      <c r="C1403" s="19"/>
      <c r="D1403" s="19"/>
      <c r="E1403" s="19"/>
      <c r="F1403" s="19"/>
      <c r="G1403" s="21"/>
      <c r="H1403" s="19"/>
      <c r="I1403" s="23" t="str">
        <f aca="false">IF(A1403="","",TEXT(A1403,"yyyy-mm"))</f>
        <v/>
      </c>
    </row>
    <row r="1404" customFormat="false" ht="15" hidden="false" customHeight="false" outlineLevel="0" collapsed="false">
      <c r="A1404" s="20"/>
      <c r="B1404" s="19"/>
      <c r="C1404" s="19"/>
      <c r="D1404" s="19"/>
      <c r="E1404" s="19"/>
      <c r="F1404" s="19"/>
      <c r="G1404" s="21"/>
      <c r="H1404" s="19"/>
      <c r="I1404" s="23" t="str">
        <f aca="false">IF(A1404="","",TEXT(A1404,"yyyy-mm"))</f>
        <v/>
      </c>
    </row>
    <row r="1405" customFormat="false" ht="15" hidden="false" customHeight="false" outlineLevel="0" collapsed="false">
      <c r="A1405" s="20"/>
      <c r="B1405" s="19"/>
      <c r="C1405" s="19"/>
      <c r="D1405" s="19"/>
      <c r="E1405" s="19"/>
      <c r="F1405" s="19"/>
      <c r="G1405" s="21"/>
      <c r="H1405" s="19"/>
      <c r="I1405" s="23" t="str">
        <f aca="false">IF(A1405="","",TEXT(A1405,"yyyy-mm"))</f>
        <v/>
      </c>
    </row>
    <row r="1406" customFormat="false" ht="15" hidden="false" customHeight="false" outlineLevel="0" collapsed="false">
      <c r="A1406" s="20"/>
      <c r="B1406" s="19"/>
      <c r="C1406" s="19"/>
      <c r="D1406" s="19"/>
      <c r="E1406" s="19"/>
      <c r="F1406" s="19"/>
      <c r="G1406" s="21"/>
      <c r="H1406" s="19"/>
      <c r="I1406" s="23" t="str">
        <f aca="false">IF(A1406="","",TEXT(A1406,"yyyy-mm"))</f>
        <v/>
      </c>
    </row>
    <row r="1407" customFormat="false" ht="15" hidden="false" customHeight="false" outlineLevel="0" collapsed="false">
      <c r="A1407" s="20"/>
      <c r="B1407" s="19"/>
      <c r="C1407" s="19"/>
      <c r="D1407" s="19"/>
      <c r="E1407" s="19"/>
      <c r="F1407" s="19"/>
      <c r="G1407" s="21"/>
      <c r="H1407" s="19"/>
      <c r="I1407" s="23" t="str">
        <f aca="false">IF(A1407="","",TEXT(A1407,"yyyy-mm"))</f>
        <v/>
      </c>
    </row>
    <row r="1408" customFormat="false" ht="15" hidden="false" customHeight="false" outlineLevel="0" collapsed="false">
      <c r="A1408" s="20"/>
      <c r="B1408" s="19"/>
      <c r="C1408" s="19"/>
      <c r="D1408" s="19"/>
      <c r="E1408" s="19"/>
      <c r="F1408" s="19"/>
      <c r="G1408" s="21"/>
      <c r="H1408" s="19"/>
      <c r="I1408" s="23" t="str">
        <f aca="false">IF(A1408="","",TEXT(A1408,"yyyy-mm"))</f>
        <v/>
      </c>
    </row>
    <row r="1409" customFormat="false" ht="15" hidden="false" customHeight="false" outlineLevel="0" collapsed="false">
      <c r="A1409" s="20"/>
      <c r="B1409" s="19"/>
      <c r="C1409" s="19"/>
      <c r="D1409" s="19"/>
      <c r="E1409" s="19"/>
      <c r="F1409" s="19"/>
      <c r="G1409" s="21"/>
      <c r="H1409" s="19"/>
      <c r="I1409" s="23" t="str">
        <f aca="false">IF(A1409="","",TEXT(A1409,"yyyy-mm"))</f>
        <v/>
      </c>
    </row>
    <row r="1410" customFormat="false" ht="15" hidden="false" customHeight="false" outlineLevel="0" collapsed="false">
      <c r="A1410" s="20"/>
      <c r="B1410" s="19"/>
      <c r="C1410" s="19"/>
      <c r="D1410" s="19"/>
      <c r="E1410" s="19"/>
      <c r="F1410" s="19"/>
      <c r="G1410" s="21"/>
      <c r="H1410" s="19"/>
      <c r="I1410" s="23" t="str">
        <f aca="false">IF(A1410="","",TEXT(A1410,"yyyy-mm"))</f>
        <v/>
      </c>
    </row>
    <row r="1411" customFormat="false" ht="15" hidden="false" customHeight="false" outlineLevel="0" collapsed="false">
      <c r="A1411" s="20"/>
      <c r="B1411" s="19"/>
      <c r="C1411" s="19"/>
      <c r="D1411" s="19"/>
      <c r="E1411" s="19"/>
      <c r="F1411" s="19"/>
      <c r="G1411" s="21"/>
      <c r="H1411" s="19"/>
      <c r="I1411" s="23" t="str">
        <f aca="false">IF(A1411="","",TEXT(A1411,"yyyy-mm"))</f>
        <v/>
      </c>
    </row>
    <row r="1412" customFormat="false" ht="15" hidden="false" customHeight="false" outlineLevel="0" collapsed="false">
      <c r="A1412" s="20"/>
      <c r="B1412" s="19"/>
      <c r="C1412" s="19"/>
      <c r="D1412" s="19"/>
      <c r="E1412" s="19"/>
      <c r="F1412" s="19"/>
      <c r="G1412" s="21"/>
      <c r="H1412" s="19"/>
      <c r="I1412" s="23" t="str">
        <f aca="false">IF(A1412="","",TEXT(A1412,"yyyy-mm"))</f>
        <v/>
      </c>
    </row>
    <row r="1413" customFormat="false" ht="15" hidden="false" customHeight="false" outlineLevel="0" collapsed="false">
      <c r="A1413" s="20"/>
      <c r="B1413" s="19"/>
      <c r="C1413" s="19"/>
      <c r="D1413" s="19"/>
      <c r="E1413" s="19"/>
      <c r="F1413" s="19"/>
      <c r="G1413" s="21"/>
      <c r="H1413" s="19"/>
      <c r="I1413" s="23" t="str">
        <f aca="false">IF(A1413="","",TEXT(A1413,"yyyy-mm"))</f>
        <v/>
      </c>
    </row>
    <row r="1414" customFormat="false" ht="15" hidden="false" customHeight="false" outlineLevel="0" collapsed="false">
      <c r="A1414" s="20"/>
      <c r="B1414" s="19"/>
      <c r="C1414" s="19"/>
      <c r="D1414" s="19"/>
      <c r="E1414" s="19"/>
      <c r="F1414" s="19"/>
      <c r="G1414" s="21"/>
      <c r="H1414" s="19"/>
      <c r="I1414" s="23" t="str">
        <f aca="false">IF(A1414="","",TEXT(A1414,"yyyy-mm"))</f>
        <v/>
      </c>
    </row>
    <row r="1415" customFormat="false" ht="15" hidden="false" customHeight="false" outlineLevel="0" collapsed="false">
      <c r="A1415" s="20"/>
      <c r="B1415" s="19"/>
      <c r="C1415" s="19"/>
      <c r="D1415" s="19"/>
      <c r="E1415" s="19"/>
      <c r="F1415" s="19"/>
      <c r="G1415" s="21"/>
      <c r="H1415" s="19"/>
      <c r="I1415" s="23" t="str">
        <f aca="false">IF(A1415="","",TEXT(A1415,"yyyy-mm"))</f>
        <v/>
      </c>
    </row>
    <row r="1416" customFormat="false" ht="15" hidden="false" customHeight="false" outlineLevel="0" collapsed="false">
      <c r="A1416" s="20"/>
      <c r="B1416" s="19"/>
      <c r="C1416" s="19"/>
      <c r="D1416" s="19"/>
      <c r="E1416" s="19"/>
      <c r="F1416" s="19"/>
      <c r="G1416" s="21"/>
      <c r="H1416" s="19"/>
      <c r="I1416" s="23" t="str">
        <f aca="false">IF(A1416="","",TEXT(A1416,"yyyy-mm"))</f>
        <v/>
      </c>
    </row>
    <row r="1417" customFormat="false" ht="15" hidden="false" customHeight="false" outlineLevel="0" collapsed="false">
      <c r="A1417" s="20"/>
      <c r="B1417" s="19"/>
      <c r="C1417" s="19"/>
      <c r="D1417" s="19"/>
      <c r="E1417" s="19"/>
      <c r="F1417" s="19"/>
      <c r="G1417" s="21"/>
      <c r="H1417" s="19"/>
      <c r="I1417" s="23" t="str">
        <f aca="false">IF(A1417="","",TEXT(A1417,"yyyy-mm"))</f>
        <v/>
      </c>
    </row>
    <row r="1418" customFormat="false" ht="15" hidden="false" customHeight="false" outlineLevel="0" collapsed="false">
      <c r="A1418" s="20"/>
      <c r="B1418" s="19"/>
      <c r="C1418" s="19"/>
      <c r="D1418" s="19"/>
      <c r="E1418" s="19"/>
      <c r="F1418" s="19"/>
      <c r="G1418" s="21"/>
      <c r="H1418" s="19"/>
      <c r="I1418" s="23" t="str">
        <f aca="false">IF(A1418="","",TEXT(A1418,"yyyy-mm"))</f>
        <v/>
      </c>
    </row>
    <row r="1419" customFormat="false" ht="15" hidden="false" customHeight="false" outlineLevel="0" collapsed="false">
      <c r="A1419" s="20"/>
      <c r="B1419" s="19"/>
      <c r="C1419" s="19"/>
      <c r="D1419" s="19"/>
      <c r="E1419" s="19"/>
      <c r="F1419" s="19"/>
      <c r="G1419" s="21"/>
      <c r="H1419" s="19"/>
      <c r="I1419" s="23" t="str">
        <f aca="false">IF(A1419="","",TEXT(A1419,"yyyy-mm"))</f>
        <v/>
      </c>
    </row>
    <row r="1420" customFormat="false" ht="15" hidden="false" customHeight="false" outlineLevel="0" collapsed="false">
      <c r="A1420" s="20"/>
      <c r="B1420" s="19"/>
      <c r="C1420" s="19"/>
      <c r="D1420" s="19"/>
      <c r="E1420" s="19"/>
      <c r="F1420" s="19"/>
      <c r="G1420" s="21"/>
      <c r="H1420" s="19"/>
      <c r="I1420" s="23" t="str">
        <f aca="false">IF(A1420="","",TEXT(A1420,"yyyy-mm"))</f>
        <v/>
      </c>
    </row>
    <row r="1421" customFormat="false" ht="15" hidden="false" customHeight="false" outlineLevel="0" collapsed="false">
      <c r="A1421" s="20"/>
      <c r="B1421" s="19"/>
      <c r="C1421" s="19"/>
      <c r="D1421" s="19"/>
      <c r="E1421" s="19"/>
      <c r="F1421" s="19"/>
      <c r="G1421" s="21"/>
      <c r="H1421" s="19"/>
      <c r="I1421" s="23" t="str">
        <f aca="false">IF(A1421="","",TEXT(A1421,"yyyy-mm"))</f>
        <v/>
      </c>
    </row>
    <row r="1422" customFormat="false" ht="15" hidden="false" customHeight="false" outlineLevel="0" collapsed="false">
      <c r="A1422" s="20"/>
      <c r="B1422" s="19"/>
      <c r="C1422" s="19"/>
      <c r="D1422" s="19"/>
      <c r="E1422" s="19"/>
      <c r="F1422" s="19"/>
      <c r="G1422" s="21"/>
      <c r="H1422" s="19"/>
      <c r="I1422" s="23" t="str">
        <f aca="false">IF(A1422="","",TEXT(A1422,"yyyy-mm"))</f>
        <v/>
      </c>
    </row>
    <row r="1423" customFormat="false" ht="15" hidden="false" customHeight="false" outlineLevel="0" collapsed="false">
      <c r="A1423" s="20"/>
      <c r="B1423" s="19"/>
      <c r="C1423" s="19"/>
      <c r="D1423" s="19"/>
      <c r="E1423" s="19"/>
      <c r="F1423" s="19"/>
      <c r="G1423" s="21"/>
      <c r="H1423" s="19"/>
      <c r="I1423" s="23" t="str">
        <f aca="false">IF(A1423="","",TEXT(A1423,"yyyy-mm"))</f>
        <v/>
      </c>
    </row>
    <row r="1424" customFormat="false" ht="15" hidden="false" customHeight="false" outlineLevel="0" collapsed="false">
      <c r="A1424" s="20"/>
      <c r="B1424" s="19"/>
      <c r="C1424" s="19"/>
      <c r="D1424" s="19"/>
      <c r="E1424" s="19"/>
      <c r="F1424" s="19"/>
      <c r="G1424" s="21"/>
      <c r="H1424" s="19"/>
      <c r="I1424" s="23" t="str">
        <f aca="false">IF(A1424="","",TEXT(A1424,"yyyy-mm"))</f>
        <v/>
      </c>
    </row>
    <row r="1425" customFormat="false" ht="15" hidden="false" customHeight="false" outlineLevel="0" collapsed="false">
      <c r="A1425" s="20"/>
      <c r="B1425" s="19"/>
      <c r="C1425" s="19"/>
      <c r="D1425" s="19"/>
      <c r="E1425" s="19"/>
      <c r="F1425" s="19"/>
      <c r="G1425" s="21"/>
      <c r="H1425" s="19"/>
      <c r="I1425" s="23" t="str">
        <f aca="false">IF(A1425="","",TEXT(A1425,"yyyy-mm"))</f>
        <v/>
      </c>
    </row>
    <row r="1426" customFormat="false" ht="15" hidden="false" customHeight="false" outlineLevel="0" collapsed="false">
      <c r="A1426" s="20"/>
      <c r="B1426" s="19"/>
      <c r="C1426" s="19"/>
      <c r="D1426" s="19"/>
      <c r="E1426" s="19"/>
      <c r="F1426" s="19"/>
      <c r="G1426" s="21"/>
      <c r="H1426" s="19"/>
      <c r="I1426" s="23" t="str">
        <f aca="false">IF(A1426="","",TEXT(A1426,"yyyy-mm"))</f>
        <v/>
      </c>
    </row>
    <row r="1427" customFormat="false" ht="15" hidden="false" customHeight="false" outlineLevel="0" collapsed="false">
      <c r="A1427" s="20"/>
      <c r="B1427" s="19"/>
      <c r="C1427" s="19"/>
      <c r="D1427" s="19"/>
      <c r="E1427" s="19"/>
      <c r="F1427" s="19"/>
      <c r="G1427" s="21"/>
      <c r="H1427" s="19"/>
      <c r="I1427" s="23" t="str">
        <f aca="false">IF(A1427="","",TEXT(A1427,"yyyy-mm"))</f>
        <v/>
      </c>
    </row>
    <row r="1428" customFormat="false" ht="15" hidden="false" customHeight="false" outlineLevel="0" collapsed="false">
      <c r="A1428" s="20"/>
      <c r="B1428" s="19"/>
      <c r="C1428" s="19"/>
      <c r="D1428" s="19"/>
      <c r="E1428" s="19"/>
      <c r="F1428" s="19"/>
      <c r="G1428" s="21"/>
      <c r="H1428" s="19"/>
      <c r="I1428" s="23" t="str">
        <f aca="false">IF(A1428="","",TEXT(A1428,"yyyy-mm"))</f>
        <v/>
      </c>
    </row>
    <row r="1429" customFormat="false" ht="15" hidden="false" customHeight="false" outlineLevel="0" collapsed="false">
      <c r="A1429" s="20"/>
      <c r="B1429" s="19"/>
      <c r="C1429" s="19"/>
      <c r="D1429" s="19"/>
      <c r="E1429" s="19"/>
      <c r="F1429" s="19"/>
      <c r="G1429" s="21"/>
      <c r="H1429" s="19"/>
      <c r="I1429" s="23" t="str">
        <f aca="false">IF(A1429="","",TEXT(A1429,"yyyy-mm"))</f>
        <v/>
      </c>
    </row>
    <row r="1430" customFormat="false" ht="15" hidden="false" customHeight="false" outlineLevel="0" collapsed="false">
      <c r="A1430" s="20"/>
      <c r="B1430" s="19"/>
      <c r="C1430" s="19"/>
      <c r="D1430" s="19"/>
      <c r="E1430" s="19"/>
      <c r="F1430" s="19"/>
      <c r="G1430" s="21"/>
      <c r="H1430" s="19"/>
      <c r="I1430" s="23" t="str">
        <f aca="false">IF(A1430="","",TEXT(A1430,"yyyy-mm"))</f>
        <v/>
      </c>
    </row>
    <row r="1431" customFormat="false" ht="15" hidden="false" customHeight="false" outlineLevel="0" collapsed="false">
      <c r="A1431" s="20"/>
      <c r="B1431" s="19"/>
      <c r="C1431" s="19"/>
      <c r="D1431" s="19"/>
      <c r="E1431" s="19"/>
      <c r="F1431" s="19"/>
      <c r="G1431" s="21"/>
      <c r="H1431" s="19"/>
      <c r="I1431" s="23" t="str">
        <f aca="false">IF(A1431="","",TEXT(A1431,"yyyy-mm"))</f>
        <v/>
      </c>
    </row>
    <row r="1432" customFormat="false" ht="15" hidden="false" customHeight="false" outlineLevel="0" collapsed="false">
      <c r="A1432" s="20"/>
      <c r="B1432" s="19"/>
      <c r="C1432" s="19"/>
      <c r="D1432" s="19"/>
      <c r="E1432" s="19"/>
      <c r="F1432" s="19"/>
      <c r="G1432" s="21"/>
      <c r="H1432" s="19"/>
      <c r="I1432" s="23" t="str">
        <f aca="false">IF(A1432="","",TEXT(A1432,"yyyy-mm"))</f>
        <v/>
      </c>
    </row>
    <row r="1433" customFormat="false" ht="15" hidden="false" customHeight="false" outlineLevel="0" collapsed="false">
      <c r="A1433" s="20"/>
      <c r="B1433" s="19"/>
      <c r="C1433" s="19"/>
      <c r="D1433" s="19"/>
      <c r="E1433" s="19"/>
      <c r="F1433" s="19"/>
      <c r="G1433" s="21"/>
      <c r="H1433" s="19"/>
      <c r="I1433" s="23" t="str">
        <f aca="false">IF(A1433="","",TEXT(A1433,"yyyy-mm"))</f>
        <v/>
      </c>
    </row>
    <row r="1434" customFormat="false" ht="15" hidden="false" customHeight="false" outlineLevel="0" collapsed="false">
      <c r="A1434" s="20"/>
      <c r="B1434" s="19"/>
      <c r="C1434" s="19"/>
      <c r="D1434" s="19"/>
      <c r="E1434" s="19"/>
      <c r="F1434" s="19"/>
      <c r="G1434" s="21"/>
      <c r="H1434" s="19"/>
      <c r="I1434" s="23" t="str">
        <f aca="false">IF(A1434="","",TEXT(A1434,"yyyy-mm"))</f>
        <v/>
      </c>
    </row>
    <row r="1435" customFormat="false" ht="15" hidden="false" customHeight="false" outlineLevel="0" collapsed="false">
      <c r="A1435" s="20"/>
      <c r="B1435" s="19"/>
      <c r="C1435" s="19"/>
      <c r="D1435" s="19"/>
      <c r="E1435" s="19"/>
      <c r="F1435" s="19"/>
      <c r="G1435" s="21"/>
      <c r="H1435" s="19"/>
      <c r="I1435" s="23" t="str">
        <f aca="false">IF(A1435="","",TEXT(A1435,"yyyy-mm"))</f>
        <v/>
      </c>
    </row>
    <row r="1436" customFormat="false" ht="15" hidden="false" customHeight="false" outlineLevel="0" collapsed="false">
      <c r="A1436" s="20"/>
      <c r="B1436" s="19"/>
      <c r="C1436" s="19"/>
      <c r="D1436" s="19"/>
      <c r="E1436" s="19"/>
      <c r="F1436" s="19"/>
      <c r="G1436" s="21"/>
      <c r="H1436" s="19"/>
      <c r="I1436" s="23" t="str">
        <f aca="false">IF(A1436="","",TEXT(A1436,"yyyy-mm"))</f>
        <v/>
      </c>
    </row>
    <row r="1437" customFormat="false" ht="15" hidden="false" customHeight="false" outlineLevel="0" collapsed="false">
      <c r="A1437" s="20"/>
      <c r="B1437" s="19"/>
      <c r="C1437" s="19"/>
      <c r="D1437" s="19"/>
      <c r="E1437" s="19"/>
      <c r="F1437" s="19"/>
      <c r="G1437" s="21"/>
      <c r="H1437" s="19"/>
      <c r="I1437" s="23" t="str">
        <f aca="false">IF(A1437="","",TEXT(A1437,"yyyy-mm"))</f>
        <v/>
      </c>
    </row>
    <row r="1438" customFormat="false" ht="15" hidden="false" customHeight="false" outlineLevel="0" collapsed="false">
      <c r="A1438" s="20"/>
      <c r="B1438" s="19"/>
      <c r="C1438" s="19"/>
      <c r="D1438" s="19"/>
      <c r="E1438" s="19"/>
      <c r="F1438" s="19"/>
      <c r="G1438" s="21"/>
      <c r="H1438" s="19"/>
      <c r="I1438" s="23" t="str">
        <f aca="false">IF(A1438="","",TEXT(A1438,"yyyy-mm"))</f>
        <v/>
      </c>
    </row>
    <row r="1439" customFormat="false" ht="15" hidden="false" customHeight="false" outlineLevel="0" collapsed="false">
      <c r="A1439" s="20"/>
      <c r="B1439" s="19"/>
      <c r="C1439" s="19"/>
      <c r="D1439" s="19"/>
      <c r="E1439" s="19"/>
      <c r="F1439" s="19"/>
      <c r="G1439" s="21"/>
      <c r="H1439" s="19"/>
      <c r="I1439" s="23" t="str">
        <f aca="false">IF(A1439="","",TEXT(A1439,"yyyy-mm"))</f>
        <v/>
      </c>
    </row>
    <row r="1440" customFormat="false" ht="15" hidden="false" customHeight="false" outlineLevel="0" collapsed="false">
      <c r="A1440" s="20"/>
      <c r="B1440" s="19"/>
      <c r="C1440" s="19"/>
      <c r="D1440" s="19"/>
      <c r="E1440" s="19"/>
      <c r="F1440" s="19"/>
      <c r="G1440" s="21"/>
      <c r="H1440" s="19"/>
      <c r="I1440" s="23" t="str">
        <f aca="false">IF(A1440="","",TEXT(A1440,"yyyy-mm"))</f>
        <v/>
      </c>
    </row>
    <row r="1441" customFormat="false" ht="15" hidden="false" customHeight="false" outlineLevel="0" collapsed="false">
      <c r="A1441" s="20"/>
      <c r="B1441" s="19"/>
      <c r="C1441" s="19"/>
      <c r="D1441" s="19"/>
      <c r="E1441" s="19"/>
      <c r="F1441" s="19"/>
      <c r="G1441" s="21"/>
      <c r="H1441" s="19"/>
      <c r="I1441" s="23" t="str">
        <f aca="false">IF(A1441="","",TEXT(A1441,"yyyy-mm"))</f>
        <v/>
      </c>
    </row>
    <row r="1442" customFormat="false" ht="15" hidden="false" customHeight="false" outlineLevel="0" collapsed="false">
      <c r="A1442" s="20"/>
      <c r="B1442" s="19"/>
      <c r="C1442" s="19"/>
      <c r="D1442" s="19"/>
      <c r="E1442" s="19"/>
      <c r="F1442" s="19"/>
      <c r="G1442" s="21"/>
      <c r="H1442" s="19"/>
      <c r="I1442" s="23" t="str">
        <f aca="false">IF(A1442="","",TEXT(A1442,"yyyy-mm"))</f>
        <v/>
      </c>
    </row>
    <row r="1443" customFormat="false" ht="15" hidden="false" customHeight="false" outlineLevel="0" collapsed="false">
      <c r="A1443" s="20"/>
      <c r="B1443" s="19"/>
      <c r="C1443" s="19"/>
      <c r="D1443" s="19"/>
      <c r="E1443" s="19"/>
      <c r="F1443" s="19"/>
      <c r="G1443" s="21"/>
      <c r="H1443" s="19"/>
      <c r="I1443" s="23" t="str">
        <f aca="false">IF(A1443="","",TEXT(A1443,"yyyy-mm"))</f>
        <v/>
      </c>
    </row>
    <row r="1444" customFormat="false" ht="15" hidden="false" customHeight="false" outlineLevel="0" collapsed="false">
      <c r="A1444" s="20"/>
      <c r="B1444" s="19"/>
      <c r="C1444" s="19"/>
      <c r="D1444" s="19"/>
      <c r="E1444" s="19"/>
      <c r="F1444" s="19"/>
      <c r="G1444" s="21"/>
      <c r="H1444" s="19"/>
      <c r="I1444" s="23" t="str">
        <f aca="false">IF(A1444="","",TEXT(A1444,"yyyy-mm"))</f>
        <v/>
      </c>
    </row>
    <row r="1445" customFormat="false" ht="15" hidden="false" customHeight="false" outlineLevel="0" collapsed="false">
      <c r="A1445" s="20"/>
      <c r="B1445" s="19"/>
      <c r="C1445" s="19"/>
      <c r="D1445" s="19"/>
      <c r="E1445" s="19"/>
      <c r="F1445" s="19"/>
      <c r="G1445" s="21"/>
      <c r="H1445" s="19"/>
      <c r="I1445" s="23" t="str">
        <f aca="false">IF(A1445="","",TEXT(A1445,"yyyy-mm"))</f>
        <v/>
      </c>
    </row>
    <row r="1446" customFormat="false" ht="15" hidden="false" customHeight="false" outlineLevel="0" collapsed="false">
      <c r="A1446" s="20"/>
      <c r="B1446" s="19"/>
      <c r="C1446" s="19"/>
      <c r="D1446" s="19"/>
      <c r="E1446" s="19"/>
      <c r="F1446" s="19"/>
      <c r="G1446" s="21"/>
      <c r="H1446" s="19"/>
      <c r="I1446" s="23" t="str">
        <f aca="false">IF(A1446="","",TEXT(A1446,"yyyy-mm"))</f>
        <v/>
      </c>
    </row>
    <row r="1447" customFormat="false" ht="15" hidden="false" customHeight="false" outlineLevel="0" collapsed="false">
      <c r="A1447" s="20"/>
      <c r="B1447" s="19"/>
      <c r="C1447" s="19"/>
      <c r="D1447" s="19"/>
      <c r="E1447" s="19"/>
      <c r="F1447" s="19"/>
      <c r="G1447" s="21"/>
      <c r="H1447" s="19"/>
      <c r="I1447" s="23" t="str">
        <f aca="false">IF(A1447="","",TEXT(A1447,"yyyy-mm"))</f>
        <v/>
      </c>
    </row>
    <row r="1448" customFormat="false" ht="15" hidden="false" customHeight="false" outlineLevel="0" collapsed="false">
      <c r="A1448" s="20"/>
      <c r="B1448" s="19"/>
      <c r="C1448" s="19"/>
      <c r="D1448" s="19"/>
      <c r="E1448" s="19"/>
      <c r="F1448" s="19"/>
      <c r="G1448" s="21"/>
      <c r="H1448" s="19"/>
      <c r="I1448" s="23" t="str">
        <f aca="false">IF(A1448="","",TEXT(A1448,"yyyy-mm"))</f>
        <v/>
      </c>
    </row>
    <row r="1449" customFormat="false" ht="15" hidden="false" customHeight="false" outlineLevel="0" collapsed="false">
      <c r="A1449" s="20"/>
      <c r="B1449" s="19"/>
      <c r="C1449" s="19"/>
      <c r="D1449" s="19"/>
      <c r="E1449" s="19"/>
      <c r="F1449" s="19"/>
      <c r="G1449" s="21"/>
      <c r="H1449" s="19"/>
      <c r="I1449" s="23" t="str">
        <f aca="false">IF(A1449="","",TEXT(A1449,"yyyy-mm"))</f>
        <v/>
      </c>
    </row>
    <row r="1450" customFormat="false" ht="15" hidden="false" customHeight="false" outlineLevel="0" collapsed="false">
      <c r="A1450" s="20"/>
      <c r="B1450" s="19"/>
      <c r="C1450" s="19"/>
      <c r="D1450" s="19"/>
      <c r="E1450" s="19"/>
      <c r="F1450" s="19"/>
      <c r="G1450" s="21"/>
      <c r="H1450" s="19"/>
      <c r="I1450" s="23" t="str">
        <f aca="false">IF(A1450="","",TEXT(A1450,"yyyy-mm"))</f>
        <v/>
      </c>
    </row>
    <row r="1451" customFormat="false" ht="15" hidden="false" customHeight="false" outlineLevel="0" collapsed="false">
      <c r="A1451" s="20"/>
      <c r="B1451" s="19"/>
      <c r="C1451" s="19"/>
      <c r="D1451" s="19"/>
      <c r="E1451" s="19"/>
      <c r="F1451" s="19"/>
      <c r="G1451" s="21"/>
      <c r="H1451" s="19"/>
      <c r="I1451" s="23" t="str">
        <f aca="false">IF(A1451="","",TEXT(A1451,"yyyy-mm"))</f>
        <v/>
      </c>
    </row>
    <row r="1452" customFormat="false" ht="15" hidden="false" customHeight="false" outlineLevel="0" collapsed="false">
      <c r="A1452" s="20"/>
      <c r="B1452" s="19"/>
      <c r="C1452" s="19"/>
      <c r="D1452" s="19"/>
      <c r="E1452" s="19"/>
      <c r="F1452" s="19"/>
      <c r="G1452" s="21"/>
      <c r="H1452" s="19"/>
      <c r="I1452" s="23" t="str">
        <f aca="false">IF(A1452="","",TEXT(A1452,"yyyy-mm"))</f>
        <v/>
      </c>
    </row>
    <row r="1453" customFormat="false" ht="15" hidden="false" customHeight="false" outlineLevel="0" collapsed="false">
      <c r="A1453" s="20"/>
      <c r="B1453" s="19"/>
      <c r="C1453" s="19"/>
      <c r="D1453" s="19"/>
      <c r="E1453" s="19"/>
      <c r="F1453" s="19"/>
      <c r="G1453" s="21"/>
      <c r="H1453" s="19"/>
      <c r="I1453" s="23" t="str">
        <f aca="false">IF(A1453="","",TEXT(A1453,"yyyy-mm"))</f>
        <v/>
      </c>
    </row>
    <row r="1454" customFormat="false" ht="15" hidden="false" customHeight="false" outlineLevel="0" collapsed="false">
      <c r="A1454" s="20"/>
      <c r="B1454" s="19"/>
      <c r="C1454" s="19"/>
      <c r="D1454" s="19"/>
      <c r="E1454" s="19"/>
      <c r="F1454" s="19"/>
      <c r="G1454" s="21"/>
      <c r="H1454" s="19"/>
      <c r="I1454" s="23" t="str">
        <f aca="false">IF(A1454="","",TEXT(A1454,"yyyy-mm"))</f>
        <v/>
      </c>
    </row>
    <row r="1455" customFormat="false" ht="15" hidden="false" customHeight="false" outlineLevel="0" collapsed="false">
      <c r="A1455" s="20"/>
      <c r="B1455" s="19"/>
      <c r="C1455" s="19"/>
      <c r="D1455" s="19"/>
      <c r="E1455" s="19"/>
      <c r="F1455" s="19"/>
      <c r="G1455" s="21"/>
      <c r="H1455" s="19"/>
      <c r="I1455" s="23" t="str">
        <f aca="false">IF(A1455="","",TEXT(A1455,"yyyy-mm"))</f>
        <v/>
      </c>
    </row>
    <row r="1456" customFormat="false" ht="15" hidden="false" customHeight="false" outlineLevel="0" collapsed="false">
      <c r="A1456" s="20"/>
      <c r="B1456" s="19"/>
      <c r="C1456" s="19"/>
      <c r="D1456" s="19"/>
      <c r="E1456" s="19"/>
      <c r="F1456" s="19"/>
      <c r="G1456" s="21"/>
      <c r="H1456" s="19"/>
      <c r="I1456" s="23" t="str">
        <f aca="false">IF(A1456="","",TEXT(A1456,"yyyy-mm"))</f>
        <v/>
      </c>
    </row>
    <row r="1457" customFormat="false" ht="15" hidden="false" customHeight="false" outlineLevel="0" collapsed="false">
      <c r="A1457" s="20"/>
      <c r="B1457" s="19"/>
      <c r="C1457" s="19"/>
      <c r="D1457" s="19"/>
      <c r="E1457" s="19"/>
      <c r="F1457" s="19"/>
      <c r="G1457" s="21"/>
      <c r="H1457" s="19"/>
      <c r="I1457" s="23" t="str">
        <f aca="false">IF(A1457="","",TEXT(A1457,"yyyy-mm"))</f>
        <v/>
      </c>
    </row>
    <row r="1458" customFormat="false" ht="15" hidden="false" customHeight="false" outlineLevel="0" collapsed="false">
      <c r="A1458" s="20"/>
      <c r="B1458" s="19"/>
      <c r="C1458" s="19"/>
      <c r="D1458" s="19"/>
      <c r="E1458" s="19"/>
      <c r="F1458" s="19"/>
      <c r="G1458" s="21"/>
      <c r="H1458" s="19"/>
      <c r="I1458" s="23" t="str">
        <f aca="false">IF(A1458="","",TEXT(A1458,"yyyy-mm"))</f>
        <v/>
      </c>
    </row>
    <row r="1459" customFormat="false" ht="15" hidden="false" customHeight="false" outlineLevel="0" collapsed="false">
      <c r="A1459" s="20"/>
      <c r="B1459" s="19"/>
      <c r="C1459" s="19"/>
      <c r="D1459" s="19"/>
      <c r="E1459" s="19"/>
      <c r="F1459" s="19"/>
      <c r="G1459" s="21"/>
      <c r="H1459" s="19"/>
      <c r="I1459" s="23" t="str">
        <f aca="false">IF(A1459="","",TEXT(A1459,"yyyy-mm"))</f>
        <v/>
      </c>
    </row>
    <row r="1460" customFormat="false" ht="15" hidden="false" customHeight="false" outlineLevel="0" collapsed="false">
      <c r="A1460" s="20"/>
      <c r="B1460" s="19"/>
      <c r="C1460" s="19"/>
      <c r="D1460" s="19"/>
      <c r="E1460" s="19"/>
      <c r="F1460" s="19"/>
      <c r="G1460" s="21"/>
      <c r="H1460" s="19"/>
      <c r="I1460" s="23" t="str">
        <f aca="false">IF(A1460="","",TEXT(A1460,"yyyy-mm"))</f>
        <v/>
      </c>
    </row>
    <row r="1461" customFormat="false" ht="15" hidden="false" customHeight="false" outlineLevel="0" collapsed="false">
      <c r="A1461" s="20"/>
      <c r="B1461" s="19"/>
      <c r="C1461" s="19"/>
      <c r="D1461" s="19"/>
      <c r="E1461" s="19"/>
      <c r="F1461" s="19"/>
      <c r="G1461" s="21"/>
      <c r="H1461" s="19"/>
      <c r="I1461" s="23" t="str">
        <f aca="false">IF(A1461="","",TEXT(A1461,"yyyy-mm"))</f>
        <v/>
      </c>
    </row>
    <row r="1462" customFormat="false" ht="15" hidden="false" customHeight="false" outlineLevel="0" collapsed="false">
      <c r="A1462" s="20"/>
      <c r="B1462" s="19"/>
      <c r="C1462" s="19"/>
      <c r="D1462" s="19"/>
      <c r="E1462" s="19"/>
      <c r="F1462" s="19"/>
      <c r="G1462" s="21"/>
      <c r="H1462" s="19"/>
      <c r="I1462" s="23" t="str">
        <f aca="false">IF(A1462="","",TEXT(A1462,"yyyy-mm"))</f>
        <v/>
      </c>
    </row>
    <row r="1463" customFormat="false" ht="15" hidden="false" customHeight="false" outlineLevel="0" collapsed="false">
      <c r="A1463" s="20"/>
      <c r="B1463" s="19"/>
      <c r="C1463" s="19"/>
      <c r="D1463" s="19"/>
      <c r="E1463" s="19"/>
      <c r="F1463" s="19"/>
      <c r="G1463" s="21"/>
      <c r="H1463" s="19"/>
      <c r="I1463" s="23" t="str">
        <f aca="false">IF(A1463="","",TEXT(A1463,"yyyy-mm"))</f>
        <v/>
      </c>
    </row>
    <row r="1464" customFormat="false" ht="15" hidden="false" customHeight="false" outlineLevel="0" collapsed="false">
      <c r="A1464" s="20"/>
      <c r="B1464" s="19"/>
      <c r="C1464" s="19"/>
      <c r="D1464" s="19"/>
      <c r="E1464" s="19"/>
      <c r="F1464" s="19"/>
      <c r="G1464" s="21"/>
      <c r="H1464" s="19"/>
      <c r="I1464" s="23" t="str">
        <f aca="false">IF(A1464="","",TEXT(A1464,"yyyy-mm"))</f>
        <v/>
      </c>
    </row>
    <row r="1465" customFormat="false" ht="15" hidden="false" customHeight="false" outlineLevel="0" collapsed="false">
      <c r="A1465" s="20"/>
      <c r="B1465" s="19"/>
      <c r="C1465" s="19"/>
      <c r="D1465" s="19"/>
      <c r="E1465" s="19"/>
      <c r="F1465" s="19"/>
      <c r="G1465" s="21"/>
      <c r="H1465" s="19"/>
      <c r="I1465" s="23" t="str">
        <f aca="false">IF(A1465="","",TEXT(A1465,"yyyy-mm"))</f>
        <v/>
      </c>
    </row>
    <row r="1466" customFormat="false" ht="15" hidden="false" customHeight="false" outlineLevel="0" collapsed="false">
      <c r="A1466" s="20"/>
      <c r="B1466" s="19"/>
      <c r="C1466" s="19"/>
      <c r="D1466" s="19"/>
      <c r="E1466" s="19"/>
      <c r="F1466" s="19"/>
      <c r="G1466" s="21"/>
      <c r="H1466" s="19"/>
      <c r="I1466" s="23" t="str">
        <f aca="false">IF(A1466="","",TEXT(A1466,"yyyy-mm"))</f>
        <v/>
      </c>
    </row>
    <row r="1467" customFormat="false" ht="15" hidden="false" customHeight="false" outlineLevel="0" collapsed="false">
      <c r="A1467" s="20"/>
      <c r="B1467" s="19"/>
      <c r="C1467" s="19"/>
      <c r="D1467" s="19"/>
      <c r="E1467" s="19"/>
      <c r="F1467" s="19"/>
      <c r="G1467" s="21"/>
      <c r="H1467" s="19"/>
      <c r="I1467" s="23" t="str">
        <f aca="false">IF(A1467="","",TEXT(A1467,"yyyy-mm"))</f>
        <v/>
      </c>
    </row>
    <row r="1468" customFormat="false" ht="15" hidden="false" customHeight="false" outlineLevel="0" collapsed="false">
      <c r="A1468" s="20"/>
      <c r="B1468" s="19"/>
      <c r="C1468" s="19"/>
      <c r="D1468" s="19"/>
      <c r="E1468" s="19"/>
      <c r="F1468" s="19"/>
      <c r="G1468" s="21"/>
      <c r="H1468" s="19"/>
      <c r="I1468" s="23" t="str">
        <f aca="false">IF(A1468="","",TEXT(A1468,"yyyy-mm"))</f>
        <v/>
      </c>
    </row>
    <row r="1469" customFormat="false" ht="15" hidden="false" customHeight="false" outlineLevel="0" collapsed="false">
      <c r="A1469" s="20"/>
      <c r="B1469" s="19"/>
      <c r="C1469" s="19"/>
      <c r="D1469" s="19"/>
      <c r="E1469" s="19"/>
      <c r="F1469" s="19"/>
      <c r="G1469" s="21"/>
      <c r="H1469" s="19"/>
      <c r="I1469" s="23" t="str">
        <f aca="false">IF(A1469="","",TEXT(A1469,"yyyy-mm"))</f>
        <v/>
      </c>
    </row>
    <row r="1470" customFormat="false" ht="15" hidden="false" customHeight="false" outlineLevel="0" collapsed="false">
      <c r="A1470" s="20"/>
      <c r="B1470" s="19"/>
      <c r="C1470" s="19"/>
      <c r="D1470" s="19"/>
      <c r="E1470" s="19"/>
      <c r="F1470" s="19"/>
      <c r="G1470" s="21"/>
      <c r="H1470" s="19"/>
      <c r="I1470" s="23" t="str">
        <f aca="false">IF(A1470="","",TEXT(A1470,"yyyy-mm"))</f>
        <v/>
      </c>
    </row>
    <row r="1471" customFormat="false" ht="15" hidden="false" customHeight="false" outlineLevel="0" collapsed="false">
      <c r="A1471" s="20"/>
      <c r="B1471" s="19"/>
      <c r="C1471" s="19"/>
      <c r="D1471" s="19"/>
      <c r="E1471" s="19"/>
      <c r="F1471" s="19"/>
      <c r="G1471" s="21"/>
      <c r="H1471" s="19"/>
      <c r="I1471" s="23" t="str">
        <f aca="false">IF(A1471="","",TEXT(A1471,"yyyy-mm"))</f>
        <v/>
      </c>
    </row>
    <row r="1472" customFormat="false" ht="15" hidden="false" customHeight="false" outlineLevel="0" collapsed="false">
      <c r="A1472" s="20"/>
      <c r="B1472" s="19"/>
      <c r="C1472" s="19"/>
      <c r="D1472" s="19"/>
      <c r="E1472" s="19"/>
      <c r="F1472" s="19"/>
      <c r="G1472" s="21"/>
      <c r="H1472" s="19"/>
      <c r="I1472" s="23" t="str">
        <f aca="false">IF(A1472="","",TEXT(A1472,"yyyy-mm"))</f>
        <v/>
      </c>
    </row>
    <row r="1473" customFormat="false" ht="15" hidden="false" customHeight="false" outlineLevel="0" collapsed="false">
      <c r="A1473" s="20"/>
      <c r="B1473" s="19"/>
      <c r="C1473" s="19"/>
      <c r="D1473" s="19"/>
      <c r="E1473" s="19"/>
      <c r="F1473" s="19"/>
      <c r="G1473" s="21"/>
      <c r="H1473" s="19"/>
      <c r="I1473" s="23" t="str">
        <f aca="false">IF(A1473="","",TEXT(A1473,"yyyy-mm"))</f>
        <v/>
      </c>
    </row>
    <row r="1474" customFormat="false" ht="15" hidden="false" customHeight="false" outlineLevel="0" collapsed="false">
      <c r="A1474" s="20"/>
      <c r="B1474" s="19"/>
      <c r="C1474" s="19"/>
      <c r="D1474" s="19"/>
      <c r="E1474" s="19"/>
      <c r="F1474" s="19"/>
      <c r="G1474" s="21"/>
      <c r="H1474" s="19"/>
      <c r="I1474" s="23" t="str">
        <f aca="false">IF(A1474="","",TEXT(A1474,"yyyy-mm"))</f>
        <v/>
      </c>
    </row>
    <row r="1475" customFormat="false" ht="15" hidden="false" customHeight="false" outlineLevel="0" collapsed="false">
      <c r="A1475" s="20"/>
      <c r="B1475" s="19"/>
      <c r="C1475" s="19"/>
      <c r="D1475" s="19"/>
      <c r="E1475" s="19"/>
      <c r="F1475" s="19"/>
      <c r="G1475" s="21"/>
      <c r="H1475" s="19"/>
      <c r="I1475" s="23" t="str">
        <f aca="false">IF(A1475="","",TEXT(A1475,"yyyy-mm"))</f>
        <v/>
      </c>
    </row>
    <row r="1476" customFormat="false" ht="15" hidden="false" customHeight="false" outlineLevel="0" collapsed="false">
      <c r="A1476" s="20"/>
      <c r="B1476" s="19"/>
      <c r="C1476" s="19"/>
      <c r="D1476" s="19"/>
      <c r="E1476" s="19"/>
      <c r="F1476" s="19"/>
      <c r="G1476" s="21"/>
      <c r="H1476" s="19"/>
      <c r="I1476" s="23" t="str">
        <f aca="false">IF(A1476="","",TEXT(A1476,"yyyy-mm"))</f>
        <v/>
      </c>
    </row>
    <row r="1477" customFormat="false" ht="15" hidden="false" customHeight="false" outlineLevel="0" collapsed="false">
      <c r="A1477" s="20"/>
      <c r="B1477" s="19"/>
      <c r="C1477" s="19"/>
      <c r="D1477" s="19"/>
      <c r="E1477" s="19"/>
      <c r="F1477" s="19"/>
      <c r="G1477" s="21"/>
      <c r="H1477" s="19"/>
      <c r="I1477" s="23" t="str">
        <f aca="false">IF(A1477="","",TEXT(A1477,"yyyy-mm"))</f>
        <v/>
      </c>
    </row>
    <row r="1478" customFormat="false" ht="15" hidden="false" customHeight="false" outlineLevel="0" collapsed="false">
      <c r="A1478" s="20"/>
      <c r="B1478" s="19"/>
      <c r="C1478" s="19"/>
      <c r="D1478" s="19"/>
      <c r="E1478" s="19"/>
      <c r="F1478" s="19"/>
      <c r="G1478" s="21"/>
      <c r="H1478" s="19"/>
      <c r="I1478" s="23" t="str">
        <f aca="false">IF(A1478="","",TEXT(A1478,"yyyy-mm"))</f>
        <v/>
      </c>
    </row>
    <row r="1479" customFormat="false" ht="15" hidden="false" customHeight="false" outlineLevel="0" collapsed="false">
      <c r="A1479" s="20"/>
      <c r="B1479" s="19"/>
      <c r="C1479" s="19"/>
      <c r="D1479" s="19"/>
      <c r="E1479" s="19"/>
      <c r="F1479" s="19"/>
      <c r="G1479" s="21"/>
      <c r="H1479" s="19"/>
      <c r="I1479" s="23" t="str">
        <f aca="false">IF(A1479="","",TEXT(A1479,"yyyy-mm"))</f>
        <v/>
      </c>
    </row>
    <row r="1480" customFormat="false" ht="15" hidden="false" customHeight="false" outlineLevel="0" collapsed="false">
      <c r="A1480" s="20"/>
      <c r="B1480" s="19"/>
      <c r="C1480" s="19"/>
      <c r="D1480" s="19"/>
      <c r="E1480" s="19"/>
      <c r="F1480" s="19"/>
      <c r="G1480" s="21"/>
      <c r="H1480" s="19"/>
      <c r="I1480" s="23" t="str">
        <f aca="false">IF(A1480="","",TEXT(A1480,"yyyy-mm"))</f>
        <v/>
      </c>
    </row>
    <row r="1481" customFormat="false" ht="15" hidden="false" customHeight="false" outlineLevel="0" collapsed="false">
      <c r="A1481" s="20"/>
      <c r="B1481" s="19"/>
      <c r="C1481" s="19"/>
      <c r="D1481" s="19"/>
      <c r="E1481" s="19"/>
      <c r="F1481" s="19"/>
      <c r="G1481" s="21"/>
      <c r="H1481" s="19"/>
      <c r="I1481" s="23" t="str">
        <f aca="false">IF(A1481="","",TEXT(A1481,"yyyy-mm"))</f>
        <v/>
      </c>
    </row>
    <row r="1482" customFormat="false" ht="15" hidden="false" customHeight="false" outlineLevel="0" collapsed="false">
      <c r="A1482" s="20"/>
      <c r="B1482" s="19"/>
      <c r="C1482" s="19"/>
      <c r="D1482" s="19"/>
      <c r="E1482" s="19"/>
      <c r="F1482" s="19"/>
      <c r="G1482" s="21"/>
      <c r="H1482" s="19"/>
      <c r="I1482" s="23" t="str">
        <f aca="false">IF(A1482="","",TEXT(A1482,"yyyy-mm"))</f>
        <v/>
      </c>
    </row>
    <row r="1483" customFormat="false" ht="15" hidden="false" customHeight="false" outlineLevel="0" collapsed="false">
      <c r="A1483" s="20"/>
      <c r="B1483" s="19"/>
      <c r="C1483" s="19"/>
      <c r="D1483" s="19"/>
      <c r="E1483" s="19"/>
      <c r="F1483" s="19"/>
      <c r="G1483" s="21"/>
      <c r="H1483" s="19"/>
      <c r="I1483" s="23" t="str">
        <f aca="false">IF(A1483="","",TEXT(A1483,"yyyy-mm"))</f>
        <v/>
      </c>
    </row>
    <row r="1484" customFormat="false" ht="15" hidden="false" customHeight="false" outlineLevel="0" collapsed="false">
      <c r="A1484" s="20"/>
      <c r="B1484" s="19"/>
      <c r="C1484" s="19"/>
      <c r="D1484" s="19"/>
      <c r="E1484" s="19"/>
      <c r="F1484" s="19"/>
      <c r="G1484" s="21"/>
      <c r="H1484" s="19"/>
      <c r="I1484" s="23" t="str">
        <f aca="false">IF(A1484="","",TEXT(A1484,"yyyy-mm"))</f>
        <v/>
      </c>
    </row>
    <row r="1485" customFormat="false" ht="15" hidden="false" customHeight="false" outlineLevel="0" collapsed="false">
      <c r="A1485" s="20"/>
      <c r="B1485" s="19"/>
      <c r="C1485" s="19"/>
      <c r="D1485" s="19"/>
      <c r="E1485" s="19"/>
      <c r="F1485" s="19"/>
      <c r="G1485" s="21"/>
      <c r="H1485" s="19"/>
      <c r="I1485" s="23" t="str">
        <f aca="false">IF(A1485="","",TEXT(A1485,"yyyy-mm"))</f>
        <v/>
      </c>
    </row>
    <row r="1486" customFormat="false" ht="15" hidden="false" customHeight="false" outlineLevel="0" collapsed="false">
      <c r="A1486" s="20"/>
      <c r="B1486" s="19"/>
      <c r="C1486" s="19"/>
      <c r="D1486" s="19"/>
      <c r="E1486" s="19"/>
      <c r="F1486" s="19"/>
      <c r="G1486" s="21"/>
      <c r="H1486" s="19"/>
      <c r="I1486" s="23" t="str">
        <f aca="false">IF(A1486="","",TEXT(A1486,"yyyy-mm"))</f>
        <v/>
      </c>
    </row>
    <row r="1487" customFormat="false" ht="15" hidden="false" customHeight="false" outlineLevel="0" collapsed="false">
      <c r="A1487" s="20"/>
      <c r="B1487" s="19"/>
      <c r="C1487" s="19"/>
      <c r="D1487" s="19"/>
      <c r="E1487" s="19"/>
      <c r="F1487" s="19"/>
      <c r="G1487" s="21"/>
      <c r="H1487" s="19"/>
      <c r="I1487" s="23" t="str">
        <f aca="false">IF(A1487="","",TEXT(A1487,"yyyy-mm"))</f>
        <v/>
      </c>
    </row>
    <row r="1488" customFormat="false" ht="15" hidden="false" customHeight="false" outlineLevel="0" collapsed="false">
      <c r="A1488" s="20"/>
      <c r="B1488" s="19"/>
      <c r="C1488" s="19"/>
      <c r="D1488" s="19"/>
      <c r="E1488" s="19"/>
      <c r="F1488" s="19"/>
      <c r="G1488" s="21"/>
      <c r="H1488" s="19"/>
      <c r="I1488" s="23" t="str">
        <f aca="false">IF(A1488="","",TEXT(A1488,"yyyy-mm"))</f>
        <v/>
      </c>
    </row>
    <row r="1489" customFormat="false" ht="15" hidden="false" customHeight="false" outlineLevel="0" collapsed="false">
      <c r="A1489" s="20"/>
      <c r="B1489" s="19"/>
      <c r="C1489" s="19"/>
      <c r="D1489" s="19"/>
      <c r="E1489" s="19"/>
      <c r="F1489" s="19"/>
      <c r="G1489" s="21"/>
      <c r="H1489" s="19"/>
      <c r="I1489" s="23" t="str">
        <f aca="false">IF(A1489="","",TEXT(A1489,"yyyy-mm"))</f>
        <v/>
      </c>
    </row>
    <row r="1490" customFormat="false" ht="15" hidden="false" customHeight="false" outlineLevel="0" collapsed="false">
      <c r="A1490" s="20"/>
      <c r="B1490" s="19"/>
      <c r="C1490" s="19"/>
      <c r="D1490" s="19"/>
      <c r="E1490" s="19"/>
      <c r="F1490" s="19"/>
      <c r="G1490" s="21"/>
      <c r="H1490" s="19"/>
      <c r="I1490" s="23" t="str">
        <f aca="false">IF(A1490="","",TEXT(A1490,"yyyy-mm"))</f>
        <v/>
      </c>
    </row>
    <row r="1491" customFormat="false" ht="15" hidden="false" customHeight="false" outlineLevel="0" collapsed="false">
      <c r="A1491" s="20"/>
      <c r="B1491" s="19"/>
      <c r="C1491" s="19"/>
      <c r="D1491" s="19"/>
      <c r="E1491" s="19"/>
      <c r="F1491" s="19"/>
      <c r="G1491" s="21"/>
      <c r="H1491" s="19"/>
      <c r="I1491" s="23" t="str">
        <f aca="false">IF(A1491="","",TEXT(A1491,"yyyy-mm"))</f>
        <v/>
      </c>
    </row>
    <row r="1492" customFormat="false" ht="15" hidden="false" customHeight="false" outlineLevel="0" collapsed="false">
      <c r="A1492" s="20"/>
      <c r="B1492" s="19"/>
      <c r="C1492" s="19"/>
      <c r="D1492" s="19"/>
      <c r="E1492" s="19"/>
      <c r="F1492" s="19"/>
      <c r="G1492" s="21"/>
      <c r="H1492" s="19"/>
      <c r="I1492" s="23" t="str">
        <f aca="false">IF(A1492="","",TEXT(A1492,"yyyy-mm"))</f>
        <v/>
      </c>
    </row>
    <row r="1493" customFormat="false" ht="15" hidden="false" customHeight="false" outlineLevel="0" collapsed="false">
      <c r="A1493" s="20"/>
      <c r="B1493" s="19"/>
      <c r="C1493" s="19"/>
      <c r="D1493" s="19"/>
      <c r="E1493" s="19"/>
      <c r="F1493" s="19"/>
      <c r="G1493" s="21"/>
      <c r="H1493" s="19"/>
      <c r="I1493" s="23" t="str">
        <f aca="false">IF(A1493="","",TEXT(A1493,"yyyy-mm"))</f>
        <v/>
      </c>
    </row>
    <row r="1494" customFormat="false" ht="15" hidden="false" customHeight="false" outlineLevel="0" collapsed="false">
      <c r="A1494" s="20"/>
      <c r="B1494" s="19"/>
      <c r="C1494" s="19"/>
      <c r="D1494" s="19"/>
      <c r="E1494" s="19"/>
      <c r="F1494" s="19"/>
      <c r="G1494" s="21"/>
      <c r="H1494" s="19"/>
      <c r="I1494" s="23" t="str">
        <f aca="false">IF(A1494="","",TEXT(A1494,"yyyy-mm"))</f>
        <v/>
      </c>
    </row>
    <row r="1495" customFormat="false" ht="15" hidden="false" customHeight="false" outlineLevel="0" collapsed="false">
      <c r="A1495" s="20"/>
      <c r="B1495" s="19"/>
      <c r="C1495" s="19"/>
      <c r="D1495" s="19"/>
      <c r="E1495" s="19"/>
      <c r="F1495" s="19"/>
      <c r="G1495" s="21"/>
      <c r="H1495" s="19"/>
      <c r="I1495" s="23" t="str">
        <f aca="false">IF(A1495="","",TEXT(A1495,"yyyy-mm"))</f>
        <v/>
      </c>
    </row>
    <row r="1496" customFormat="false" ht="15" hidden="false" customHeight="false" outlineLevel="0" collapsed="false">
      <c r="A1496" s="20"/>
      <c r="B1496" s="19"/>
      <c r="C1496" s="19"/>
      <c r="D1496" s="19"/>
      <c r="E1496" s="19"/>
      <c r="F1496" s="19"/>
      <c r="G1496" s="21"/>
      <c r="H1496" s="19"/>
      <c r="I1496" s="23" t="str">
        <f aca="false">IF(A1496="","",TEXT(A1496,"yyyy-mm"))</f>
        <v/>
      </c>
    </row>
    <row r="1497" customFormat="false" ht="15" hidden="false" customHeight="false" outlineLevel="0" collapsed="false">
      <c r="A1497" s="20"/>
      <c r="B1497" s="19"/>
      <c r="C1497" s="19"/>
      <c r="D1497" s="19"/>
      <c r="E1497" s="19"/>
      <c r="F1497" s="19"/>
      <c r="G1497" s="21"/>
      <c r="H1497" s="19"/>
      <c r="I1497" s="23" t="str">
        <f aca="false">IF(A1497="","",TEXT(A1497,"yyyy-mm"))</f>
        <v/>
      </c>
    </row>
    <row r="1498" customFormat="false" ht="15" hidden="false" customHeight="false" outlineLevel="0" collapsed="false">
      <c r="A1498" s="20"/>
      <c r="B1498" s="19"/>
      <c r="C1498" s="19"/>
      <c r="D1498" s="19"/>
      <c r="E1498" s="19"/>
      <c r="F1498" s="19"/>
      <c r="G1498" s="21"/>
      <c r="H1498" s="19"/>
      <c r="I1498" s="23" t="str">
        <f aca="false">IF(A1498="","",TEXT(A1498,"yyyy-mm"))</f>
        <v/>
      </c>
    </row>
    <row r="1499" customFormat="false" ht="15" hidden="false" customHeight="false" outlineLevel="0" collapsed="false">
      <c r="A1499" s="20"/>
      <c r="B1499" s="19"/>
      <c r="C1499" s="19"/>
      <c r="D1499" s="19"/>
      <c r="E1499" s="19"/>
      <c r="F1499" s="19"/>
      <c r="G1499" s="21"/>
      <c r="H1499" s="19"/>
      <c r="I1499" s="23" t="str">
        <f aca="false">IF(A1499="","",TEXT(A1499,"yyyy-mm"))</f>
        <v/>
      </c>
    </row>
    <row r="1500" customFormat="false" ht="15" hidden="false" customHeight="false" outlineLevel="0" collapsed="false">
      <c r="A1500" s="20"/>
      <c r="B1500" s="19"/>
      <c r="C1500" s="19"/>
      <c r="D1500" s="19"/>
      <c r="E1500" s="19"/>
      <c r="F1500" s="19"/>
      <c r="G1500" s="21"/>
      <c r="H1500" s="19"/>
      <c r="I1500" s="23" t="str">
        <f aca="false">IF(A1500="","",TEXT(A1500,"yyyy-mm"))</f>
        <v/>
      </c>
    </row>
    <row r="1501" customFormat="false" ht="15" hidden="false" customHeight="false" outlineLevel="0" collapsed="false">
      <c r="A1501" s="20"/>
      <c r="B1501" s="19"/>
      <c r="C1501" s="19"/>
      <c r="D1501" s="19"/>
      <c r="E1501" s="19"/>
      <c r="F1501" s="19"/>
      <c r="G1501" s="21"/>
      <c r="H1501" s="19"/>
      <c r="I1501" s="23" t="str">
        <f aca="false">IF(A1501="","",TEXT(A1501,"yyyy-mm"))</f>
        <v/>
      </c>
    </row>
    <row r="1502" customFormat="false" ht="15" hidden="false" customHeight="false" outlineLevel="0" collapsed="false">
      <c r="A1502" s="20"/>
      <c r="B1502" s="19"/>
      <c r="C1502" s="19"/>
      <c r="D1502" s="19"/>
      <c r="E1502" s="19"/>
      <c r="F1502" s="19"/>
      <c r="G1502" s="21"/>
      <c r="H1502" s="19"/>
      <c r="I1502" s="23" t="str">
        <f aca="false">IF(A1502="","",TEXT(A1502,"yyyy-mm"))</f>
        <v/>
      </c>
    </row>
    <row r="1503" customFormat="false" ht="15" hidden="false" customHeight="false" outlineLevel="0" collapsed="false">
      <c r="A1503" s="20"/>
      <c r="B1503" s="19"/>
      <c r="C1503" s="19"/>
      <c r="D1503" s="19"/>
      <c r="E1503" s="19"/>
      <c r="F1503" s="19"/>
      <c r="G1503" s="21"/>
      <c r="H1503" s="19"/>
      <c r="I1503" s="23" t="str">
        <f aca="false">IF(A1503="","",TEXT(A1503,"yyyy-mm"))</f>
        <v/>
      </c>
    </row>
    <row r="1504" customFormat="false" ht="15" hidden="false" customHeight="false" outlineLevel="0" collapsed="false">
      <c r="A1504" s="20"/>
      <c r="B1504" s="19"/>
      <c r="C1504" s="19"/>
      <c r="D1504" s="19"/>
      <c r="E1504" s="19"/>
      <c r="F1504" s="19"/>
      <c r="G1504" s="21"/>
      <c r="H1504" s="19"/>
      <c r="I1504" s="23" t="str">
        <f aca="false">IF(A1504="","",TEXT(A1504,"yyyy-mm"))</f>
        <v/>
      </c>
    </row>
    <row r="1505" customFormat="false" ht="15" hidden="false" customHeight="false" outlineLevel="0" collapsed="false">
      <c r="A1505" s="20"/>
      <c r="B1505" s="19"/>
      <c r="C1505" s="19"/>
      <c r="D1505" s="19"/>
      <c r="E1505" s="19"/>
      <c r="F1505" s="19"/>
      <c r="G1505" s="21"/>
      <c r="H1505" s="19"/>
      <c r="I1505" s="23" t="str">
        <f aca="false">IF(A1505="","",TEXT(A1505,"yyyy-mm"))</f>
        <v/>
      </c>
    </row>
    <row r="1506" customFormat="false" ht="15" hidden="false" customHeight="false" outlineLevel="0" collapsed="false">
      <c r="A1506" s="20"/>
      <c r="B1506" s="19"/>
      <c r="C1506" s="19"/>
      <c r="D1506" s="19"/>
      <c r="E1506" s="19"/>
      <c r="F1506" s="19"/>
      <c r="G1506" s="21"/>
      <c r="H1506" s="19"/>
      <c r="I1506" s="23" t="str">
        <f aca="false">IF(A1506="","",TEXT(A1506,"yyyy-mm"))</f>
        <v/>
      </c>
    </row>
    <row r="1507" customFormat="false" ht="15" hidden="false" customHeight="false" outlineLevel="0" collapsed="false">
      <c r="A1507" s="20"/>
      <c r="B1507" s="19"/>
      <c r="C1507" s="19"/>
      <c r="D1507" s="19"/>
      <c r="E1507" s="19"/>
      <c r="F1507" s="19"/>
      <c r="G1507" s="21"/>
      <c r="H1507" s="19"/>
      <c r="I1507" s="23" t="str">
        <f aca="false">IF(A1507="","",TEXT(A1507,"yyyy-mm"))</f>
        <v/>
      </c>
    </row>
    <row r="1508" customFormat="false" ht="15" hidden="false" customHeight="false" outlineLevel="0" collapsed="false">
      <c r="A1508" s="20"/>
      <c r="B1508" s="19"/>
      <c r="C1508" s="19"/>
      <c r="D1508" s="19"/>
      <c r="E1508" s="19"/>
      <c r="F1508" s="19"/>
      <c r="G1508" s="21"/>
      <c r="H1508" s="19"/>
      <c r="I1508" s="23" t="str">
        <f aca="false">IF(A1508="","",TEXT(A1508,"yyyy-mm"))</f>
        <v/>
      </c>
    </row>
    <row r="1509" customFormat="false" ht="15" hidden="false" customHeight="false" outlineLevel="0" collapsed="false">
      <c r="A1509" s="20"/>
      <c r="B1509" s="19"/>
      <c r="C1509" s="19"/>
      <c r="D1509" s="19"/>
      <c r="E1509" s="19"/>
      <c r="F1509" s="19"/>
      <c r="G1509" s="21"/>
      <c r="H1509" s="19"/>
      <c r="I1509" s="23" t="str">
        <f aca="false">IF(A1509="","",TEXT(A1509,"yyyy-mm"))</f>
        <v/>
      </c>
    </row>
    <row r="1510" customFormat="false" ht="15" hidden="false" customHeight="false" outlineLevel="0" collapsed="false">
      <c r="A1510" s="20"/>
      <c r="B1510" s="19"/>
      <c r="C1510" s="19"/>
      <c r="D1510" s="19"/>
      <c r="E1510" s="19"/>
      <c r="F1510" s="19"/>
      <c r="G1510" s="21"/>
      <c r="H1510" s="19"/>
      <c r="I1510" s="23" t="str">
        <f aca="false">IF(A1510="","",TEXT(A1510,"yyyy-mm"))</f>
        <v/>
      </c>
    </row>
    <row r="1511" customFormat="false" ht="15" hidden="false" customHeight="false" outlineLevel="0" collapsed="false">
      <c r="A1511" s="20"/>
      <c r="B1511" s="19"/>
      <c r="C1511" s="19"/>
      <c r="D1511" s="19"/>
      <c r="E1511" s="19"/>
      <c r="F1511" s="19"/>
      <c r="G1511" s="21"/>
      <c r="H1511" s="19"/>
      <c r="I1511" s="23" t="str">
        <f aca="false">IF(A1511="","",TEXT(A1511,"yyyy-mm"))</f>
        <v/>
      </c>
    </row>
    <row r="1512" customFormat="false" ht="15" hidden="false" customHeight="false" outlineLevel="0" collapsed="false">
      <c r="A1512" s="20"/>
      <c r="B1512" s="19"/>
      <c r="C1512" s="19"/>
      <c r="D1512" s="19"/>
      <c r="E1512" s="19"/>
      <c r="F1512" s="19"/>
      <c r="G1512" s="21"/>
      <c r="H1512" s="19"/>
      <c r="I1512" s="23" t="str">
        <f aca="false">IF(A1512="","",TEXT(A1512,"yyyy-mm"))</f>
        <v/>
      </c>
    </row>
    <row r="1513" customFormat="false" ht="15" hidden="false" customHeight="false" outlineLevel="0" collapsed="false">
      <c r="A1513" s="20"/>
      <c r="B1513" s="19"/>
      <c r="C1513" s="19"/>
      <c r="D1513" s="19"/>
      <c r="E1513" s="19"/>
      <c r="F1513" s="19"/>
      <c r="G1513" s="21"/>
      <c r="H1513" s="19"/>
      <c r="I1513" s="23" t="str">
        <f aca="false">IF(A1513="","",TEXT(A1513,"yyyy-mm"))</f>
        <v/>
      </c>
    </row>
    <row r="1514" customFormat="false" ht="15" hidden="false" customHeight="false" outlineLevel="0" collapsed="false">
      <c r="A1514" s="20"/>
      <c r="B1514" s="19"/>
      <c r="C1514" s="19"/>
      <c r="D1514" s="19"/>
      <c r="E1514" s="19"/>
      <c r="F1514" s="19"/>
      <c r="G1514" s="21"/>
      <c r="H1514" s="19"/>
      <c r="I1514" s="23" t="str">
        <f aca="false">IF(A1514="","",TEXT(A1514,"yyyy-mm"))</f>
        <v/>
      </c>
    </row>
    <row r="1515" customFormat="false" ht="15" hidden="false" customHeight="false" outlineLevel="0" collapsed="false">
      <c r="A1515" s="20"/>
      <c r="B1515" s="19"/>
      <c r="C1515" s="19"/>
      <c r="D1515" s="19"/>
      <c r="E1515" s="19"/>
      <c r="F1515" s="19"/>
      <c r="G1515" s="21"/>
      <c r="H1515" s="19"/>
      <c r="I1515" s="23" t="str">
        <f aca="false">IF(A1515="","",TEXT(A1515,"yyyy-mm"))</f>
        <v/>
      </c>
    </row>
    <row r="1516" customFormat="false" ht="15" hidden="false" customHeight="false" outlineLevel="0" collapsed="false">
      <c r="A1516" s="20"/>
      <c r="B1516" s="19"/>
      <c r="C1516" s="19"/>
      <c r="D1516" s="19"/>
      <c r="E1516" s="19"/>
      <c r="F1516" s="19"/>
      <c r="G1516" s="21"/>
      <c r="H1516" s="19"/>
      <c r="I1516" s="23" t="str">
        <f aca="false">IF(A1516="","",TEXT(A1516,"yyyy-mm"))</f>
        <v/>
      </c>
    </row>
    <row r="1517" customFormat="false" ht="15" hidden="false" customHeight="false" outlineLevel="0" collapsed="false">
      <c r="A1517" s="20"/>
      <c r="B1517" s="19"/>
      <c r="C1517" s="19"/>
      <c r="D1517" s="19"/>
      <c r="E1517" s="19"/>
      <c r="F1517" s="19"/>
      <c r="G1517" s="21"/>
      <c r="H1517" s="19"/>
      <c r="I1517" s="23" t="str">
        <f aca="false">IF(A1517="","",TEXT(A1517,"yyyy-mm"))</f>
        <v/>
      </c>
    </row>
    <row r="1518" customFormat="false" ht="15" hidden="false" customHeight="false" outlineLevel="0" collapsed="false">
      <c r="A1518" s="20"/>
      <c r="B1518" s="19"/>
      <c r="C1518" s="19"/>
      <c r="D1518" s="19"/>
      <c r="E1518" s="19"/>
      <c r="F1518" s="19"/>
      <c r="G1518" s="21"/>
      <c r="H1518" s="19"/>
      <c r="I1518" s="23" t="str">
        <f aca="false">IF(A1518="","",TEXT(A1518,"yyyy-mm"))</f>
        <v/>
      </c>
    </row>
    <row r="1519" customFormat="false" ht="15" hidden="false" customHeight="false" outlineLevel="0" collapsed="false">
      <c r="A1519" s="20"/>
      <c r="B1519" s="19"/>
      <c r="C1519" s="19"/>
      <c r="D1519" s="19"/>
      <c r="E1519" s="19"/>
      <c r="F1519" s="19"/>
      <c r="G1519" s="21"/>
      <c r="H1519" s="19"/>
      <c r="I1519" s="23" t="str">
        <f aca="false">IF(A1519="","",TEXT(A1519,"yyyy-mm"))</f>
        <v/>
      </c>
    </row>
    <row r="1520" customFormat="false" ht="15" hidden="false" customHeight="false" outlineLevel="0" collapsed="false">
      <c r="A1520" s="20"/>
      <c r="B1520" s="19"/>
      <c r="C1520" s="19"/>
      <c r="D1520" s="19"/>
      <c r="E1520" s="19"/>
      <c r="F1520" s="19"/>
      <c r="G1520" s="21"/>
      <c r="H1520" s="19"/>
      <c r="I1520" s="23" t="str">
        <f aca="false">IF(A1520="","",TEXT(A1520,"yyyy-mm"))</f>
        <v/>
      </c>
    </row>
    <row r="1521" customFormat="false" ht="15" hidden="false" customHeight="false" outlineLevel="0" collapsed="false">
      <c r="A1521" s="20"/>
      <c r="B1521" s="19"/>
      <c r="C1521" s="19"/>
      <c r="D1521" s="19"/>
      <c r="E1521" s="19"/>
      <c r="F1521" s="19"/>
      <c r="G1521" s="21"/>
      <c r="H1521" s="19"/>
      <c r="I1521" s="23" t="str">
        <f aca="false">IF(A1521="","",TEXT(A1521,"yyyy-mm"))</f>
        <v/>
      </c>
    </row>
    <row r="1522" customFormat="false" ht="15" hidden="false" customHeight="false" outlineLevel="0" collapsed="false">
      <c r="A1522" s="20"/>
      <c r="B1522" s="19"/>
      <c r="C1522" s="19"/>
      <c r="D1522" s="19"/>
      <c r="E1522" s="19"/>
      <c r="F1522" s="19"/>
      <c r="G1522" s="21"/>
      <c r="H1522" s="19"/>
      <c r="I1522" s="23" t="str">
        <f aca="false">IF(A1522="","",TEXT(A1522,"yyyy-mm"))</f>
        <v/>
      </c>
    </row>
    <row r="1523" customFormat="false" ht="15" hidden="false" customHeight="false" outlineLevel="0" collapsed="false">
      <c r="A1523" s="20"/>
      <c r="B1523" s="19"/>
      <c r="C1523" s="19"/>
      <c r="D1523" s="19"/>
      <c r="E1523" s="19"/>
      <c r="F1523" s="19"/>
      <c r="G1523" s="21"/>
      <c r="H1523" s="19"/>
      <c r="I1523" s="23" t="str">
        <f aca="false">IF(A1523="","",TEXT(A1523,"yyyy-mm"))</f>
        <v/>
      </c>
    </row>
    <row r="1524" customFormat="false" ht="15" hidden="false" customHeight="false" outlineLevel="0" collapsed="false">
      <c r="A1524" s="20"/>
      <c r="B1524" s="19"/>
      <c r="C1524" s="19"/>
      <c r="D1524" s="19"/>
      <c r="E1524" s="19"/>
      <c r="F1524" s="19"/>
      <c r="G1524" s="21"/>
      <c r="H1524" s="19"/>
      <c r="I1524" s="23" t="str">
        <f aca="false">IF(A1524="","",TEXT(A1524,"yyyy-mm"))</f>
        <v/>
      </c>
    </row>
    <row r="1525" customFormat="false" ht="15" hidden="false" customHeight="false" outlineLevel="0" collapsed="false">
      <c r="A1525" s="20"/>
      <c r="B1525" s="19"/>
      <c r="C1525" s="19"/>
      <c r="D1525" s="19"/>
      <c r="E1525" s="19"/>
      <c r="F1525" s="19"/>
      <c r="G1525" s="21"/>
      <c r="H1525" s="19"/>
      <c r="I1525" s="23" t="str">
        <f aca="false">IF(A1525="","",TEXT(A1525,"yyyy-mm"))</f>
        <v/>
      </c>
    </row>
    <row r="1526" customFormat="false" ht="15" hidden="false" customHeight="false" outlineLevel="0" collapsed="false">
      <c r="A1526" s="20"/>
      <c r="B1526" s="19"/>
      <c r="C1526" s="19"/>
      <c r="D1526" s="19"/>
      <c r="E1526" s="19"/>
      <c r="F1526" s="19"/>
      <c r="G1526" s="21"/>
      <c r="H1526" s="19"/>
      <c r="I1526" s="23" t="str">
        <f aca="false">IF(A1526="","",TEXT(A1526,"yyyy-mm"))</f>
        <v/>
      </c>
    </row>
    <row r="1527" customFormat="false" ht="15" hidden="false" customHeight="false" outlineLevel="0" collapsed="false">
      <c r="A1527" s="20"/>
      <c r="B1527" s="19"/>
      <c r="C1527" s="19"/>
      <c r="D1527" s="19"/>
      <c r="E1527" s="19"/>
      <c r="F1527" s="19"/>
      <c r="G1527" s="21"/>
      <c r="H1527" s="19"/>
      <c r="I1527" s="23" t="str">
        <f aca="false">IF(A1527="","",TEXT(A1527,"yyyy-mm"))</f>
        <v/>
      </c>
    </row>
    <row r="1528" customFormat="false" ht="15" hidden="false" customHeight="false" outlineLevel="0" collapsed="false">
      <c r="A1528" s="20"/>
      <c r="B1528" s="19"/>
      <c r="C1528" s="19"/>
      <c r="D1528" s="19"/>
      <c r="E1528" s="19"/>
      <c r="F1528" s="19"/>
      <c r="G1528" s="21"/>
      <c r="H1528" s="19"/>
      <c r="I1528" s="23" t="str">
        <f aca="false">IF(A1528="","",TEXT(A1528,"yyyy-mm"))</f>
        <v/>
      </c>
    </row>
    <row r="1529" customFormat="false" ht="15" hidden="false" customHeight="false" outlineLevel="0" collapsed="false">
      <c r="A1529" s="20"/>
      <c r="B1529" s="19"/>
      <c r="C1529" s="19"/>
      <c r="D1529" s="19"/>
      <c r="E1529" s="19"/>
      <c r="F1529" s="19"/>
      <c r="G1529" s="21"/>
      <c r="H1529" s="19"/>
      <c r="I1529" s="23" t="str">
        <f aca="false">IF(A1529="","",TEXT(A1529,"yyyy-mm"))</f>
        <v/>
      </c>
    </row>
    <row r="1530" customFormat="false" ht="15" hidden="false" customHeight="false" outlineLevel="0" collapsed="false">
      <c r="A1530" s="20"/>
      <c r="B1530" s="19"/>
      <c r="C1530" s="19"/>
      <c r="D1530" s="19"/>
      <c r="E1530" s="19"/>
      <c r="F1530" s="19"/>
      <c r="G1530" s="21"/>
      <c r="H1530" s="19"/>
      <c r="I1530" s="23" t="str">
        <f aca="false">IF(A1530="","",TEXT(A1530,"yyyy-mm"))</f>
        <v/>
      </c>
    </row>
    <row r="1531" customFormat="false" ht="15" hidden="false" customHeight="false" outlineLevel="0" collapsed="false">
      <c r="A1531" s="20"/>
      <c r="B1531" s="19"/>
      <c r="C1531" s="19"/>
      <c r="D1531" s="19"/>
      <c r="E1531" s="19"/>
      <c r="F1531" s="19"/>
      <c r="G1531" s="21"/>
      <c r="H1531" s="19"/>
      <c r="I1531" s="23" t="str">
        <f aca="false">IF(A1531="","",TEXT(A1531,"yyyy-mm"))</f>
        <v/>
      </c>
    </row>
    <row r="1532" customFormat="false" ht="15" hidden="false" customHeight="false" outlineLevel="0" collapsed="false">
      <c r="A1532" s="20"/>
      <c r="B1532" s="19"/>
      <c r="C1532" s="19"/>
      <c r="D1532" s="19"/>
      <c r="E1532" s="19"/>
      <c r="F1532" s="19"/>
      <c r="G1532" s="21"/>
      <c r="H1532" s="19"/>
      <c r="I1532" s="23" t="str">
        <f aca="false">IF(A1532="","",TEXT(A1532,"yyyy-mm"))</f>
        <v/>
      </c>
    </row>
    <row r="1533" customFormat="false" ht="15" hidden="false" customHeight="false" outlineLevel="0" collapsed="false">
      <c r="A1533" s="20"/>
      <c r="B1533" s="19"/>
      <c r="C1533" s="19"/>
      <c r="D1533" s="19"/>
      <c r="E1533" s="19"/>
      <c r="F1533" s="19"/>
      <c r="G1533" s="21"/>
      <c r="H1533" s="19"/>
      <c r="I1533" s="23" t="str">
        <f aca="false">IF(A1533="","",TEXT(A1533,"yyyy-mm"))</f>
        <v/>
      </c>
    </row>
    <row r="1534" customFormat="false" ht="15" hidden="false" customHeight="false" outlineLevel="0" collapsed="false">
      <c r="A1534" s="20"/>
      <c r="B1534" s="19"/>
      <c r="C1534" s="19"/>
      <c r="D1534" s="19"/>
      <c r="E1534" s="19"/>
      <c r="F1534" s="19"/>
      <c r="G1534" s="21"/>
      <c r="H1534" s="19"/>
      <c r="I1534" s="23" t="str">
        <f aca="false">IF(A1534="","",TEXT(A1534,"yyyy-mm"))</f>
        <v/>
      </c>
    </row>
    <row r="1535" customFormat="false" ht="15" hidden="false" customHeight="false" outlineLevel="0" collapsed="false">
      <c r="A1535" s="20"/>
      <c r="B1535" s="19"/>
      <c r="C1535" s="19"/>
      <c r="D1535" s="19"/>
      <c r="E1535" s="19"/>
      <c r="F1535" s="19"/>
      <c r="G1535" s="21"/>
      <c r="H1535" s="19"/>
      <c r="I1535" s="23" t="str">
        <f aca="false">IF(A1535="","",TEXT(A1535,"yyyy-mm"))</f>
        <v/>
      </c>
    </row>
    <row r="1536" customFormat="false" ht="15" hidden="false" customHeight="false" outlineLevel="0" collapsed="false">
      <c r="A1536" s="20"/>
      <c r="B1536" s="19"/>
      <c r="C1536" s="19"/>
      <c r="D1536" s="19"/>
      <c r="E1536" s="19"/>
      <c r="F1536" s="19"/>
      <c r="G1536" s="21"/>
      <c r="H1536" s="19"/>
      <c r="I1536" s="23" t="str">
        <f aca="false">IF(A1536="","",TEXT(A1536,"yyyy-mm"))</f>
        <v/>
      </c>
    </row>
    <row r="1537" customFormat="false" ht="15" hidden="false" customHeight="false" outlineLevel="0" collapsed="false">
      <c r="A1537" s="20"/>
      <c r="B1537" s="19"/>
      <c r="C1537" s="19"/>
      <c r="D1537" s="19"/>
      <c r="E1537" s="19"/>
      <c r="F1537" s="19"/>
      <c r="G1537" s="21"/>
      <c r="H1537" s="19"/>
      <c r="I1537" s="23" t="str">
        <f aca="false">IF(A1537="","",TEXT(A1537,"yyyy-mm"))</f>
        <v/>
      </c>
    </row>
    <row r="1538" customFormat="false" ht="15" hidden="false" customHeight="false" outlineLevel="0" collapsed="false">
      <c r="A1538" s="20"/>
      <c r="B1538" s="19"/>
      <c r="C1538" s="19"/>
      <c r="D1538" s="19"/>
      <c r="E1538" s="19"/>
      <c r="F1538" s="19"/>
      <c r="G1538" s="21"/>
      <c r="H1538" s="19"/>
      <c r="I1538" s="23" t="str">
        <f aca="false">IF(A1538="","",TEXT(A1538,"yyyy-mm"))</f>
        <v/>
      </c>
    </row>
    <row r="1539" customFormat="false" ht="15" hidden="false" customHeight="false" outlineLevel="0" collapsed="false">
      <c r="A1539" s="20"/>
      <c r="B1539" s="19"/>
      <c r="C1539" s="19"/>
      <c r="D1539" s="19"/>
      <c r="E1539" s="19"/>
      <c r="F1539" s="19"/>
      <c r="G1539" s="21"/>
      <c r="H1539" s="19"/>
      <c r="I1539" s="23" t="str">
        <f aca="false">IF(A1539="","",TEXT(A1539,"yyyy-mm"))</f>
        <v/>
      </c>
    </row>
    <row r="1540" customFormat="false" ht="15" hidden="false" customHeight="false" outlineLevel="0" collapsed="false">
      <c r="A1540" s="20"/>
      <c r="B1540" s="19"/>
      <c r="C1540" s="19"/>
      <c r="D1540" s="19"/>
      <c r="E1540" s="19"/>
      <c r="F1540" s="19"/>
      <c r="G1540" s="21"/>
      <c r="H1540" s="19"/>
      <c r="I1540" s="23" t="str">
        <f aca="false">IF(A1540="","",TEXT(A1540,"yyyy-mm"))</f>
        <v/>
      </c>
    </row>
    <row r="1541" customFormat="false" ht="15" hidden="false" customHeight="false" outlineLevel="0" collapsed="false">
      <c r="A1541" s="20"/>
      <c r="B1541" s="19"/>
      <c r="C1541" s="19"/>
      <c r="D1541" s="19"/>
      <c r="E1541" s="19"/>
      <c r="F1541" s="19"/>
      <c r="G1541" s="21"/>
      <c r="H1541" s="19"/>
      <c r="I1541" s="23" t="str">
        <f aca="false">IF(A1541="","",TEXT(A1541,"yyyy-mm"))</f>
        <v/>
      </c>
    </row>
    <row r="1542" customFormat="false" ht="15" hidden="false" customHeight="false" outlineLevel="0" collapsed="false">
      <c r="A1542" s="20"/>
      <c r="B1542" s="19"/>
      <c r="C1542" s="19"/>
      <c r="D1542" s="19"/>
      <c r="E1542" s="19"/>
      <c r="F1542" s="19"/>
      <c r="G1542" s="21"/>
      <c r="H1542" s="19"/>
      <c r="I1542" s="23" t="str">
        <f aca="false">IF(A1542="","",TEXT(A1542,"yyyy-mm"))</f>
        <v/>
      </c>
    </row>
    <row r="1543" customFormat="false" ht="15" hidden="false" customHeight="false" outlineLevel="0" collapsed="false">
      <c r="A1543" s="20"/>
      <c r="B1543" s="19"/>
      <c r="C1543" s="19"/>
      <c r="D1543" s="19"/>
      <c r="E1543" s="19"/>
      <c r="F1543" s="19"/>
      <c r="G1543" s="21"/>
      <c r="H1543" s="19"/>
      <c r="I1543" s="23" t="str">
        <f aca="false">IF(A1543="","",TEXT(A1543,"yyyy-mm"))</f>
        <v/>
      </c>
    </row>
    <row r="1544" customFormat="false" ht="15" hidden="false" customHeight="false" outlineLevel="0" collapsed="false">
      <c r="A1544" s="20"/>
      <c r="B1544" s="19"/>
      <c r="C1544" s="19"/>
      <c r="D1544" s="19"/>
      <c r="E1544" s="19"/>
      <c r="F1544" s="19"/>
      <c r="G1544" s="21"/>
      <c r="H1544" s="19"/>
      <c r="I1544" s="23" t="str">
        <f aca="false">IF(A1544="","",TEXT(A1544,"yyyy-mm"))</f>
        <v/>
      </c>
    </row>
    <row r="1545" customFormat="false" ht="15" hidden="false" customHeight="false" outlineLevel="0" collapsed="false">
      <c r="A1545" s="20"/>
      <c r="B1545" s="19"/>
      <c r="C1545" s="19"/>
      <c r="D1545" s="19"/>
      <c r="E1545" s="19"/>
      <c r="F1545" s="19"/>
      <c r="G1545" s="21"/>
      <c r="H1545" s="19"/>
      <c r="I1545" s="23" t="str">
        <f aca="false">IF(A1545="","",TEXT(A1545,"yyyy-mm"))</f>
        <v/>
      </c>
    </row>
    <row r="1546" customFormat="false" ht="15" hidden="false" customHeight="false" outlineLevel="0" collapsed="false">
      <c r="A1546" s="20"/>
      <c r="B1546" s="19"/>
      <c r="C1546" s="19"/>
      <c r="D1546" s="19"/>
      <c r="E1546" s="19"/>
      <c r="F1546" s="19"/>
      <c r="G1546" s="21"/>
      <c r="H1546" s="19"/>
      <c r="I1546" s="23" t="str">
        <f aca="false">IF(A1546="","",TEXT(A1546,"yyyy-mm"))</f>
        <v/>
      </c>
    </row>
    <row r="1547" customFormat="false" ht="15" hidden="false" customHeight="false" outlineLevel="0" collapsed="false">
      <c r="A1547" s="20"/>
      <c r="B1547" s="19"/>
      <c r="C1547" s="19"/>
      <c r="D1547" s="19"/>
      <c r="E1547" s="19"/>
      <c r="F1547" s="19"/>
      <c r="G1547" s="21"/>
      <c r="H1547" s="19"/>
      <c r="I1547" s="23" t="str">
        <f aca="false">IF(A1547="","",TEXT(A1547,"yyyy-mm"))</f>
        <v/>
      </c>
    </row>
    <row r="1548" customFormat="false" ht="15" hidden="false" customHeight="false" outlineLevel="0" collapsed="false">
      <c r="A1548" s="20"/>
      <c r="B1548" s="19"/>
      <c r="C1548" s="19"/>
      <c r="D1548" s="19"/>
      <c r="E1548" s="19"/>
      <c r="F1548" s="19"/>
      <c r="G1548" s="21"/>
      <c r="H1548" s="19"/>
      <c r="I1548" s="23" t="str">
        <f aca="false">IF(A1548="","",TEXT(A1548,"yyyy-mm"))</f>
        <v/>
      </c>
    </row>
    <row r="1549" customFormat="false" ht="15" hidden="false" customHeight="false" outlineLevel="0" collapsed="false">
      <c r="A1549" s="20"/>
      <c r="B1549" s="19"/>
      <c r="C1549" s="19"/>
      <c r="D1549" s="19"/>
      <c r="E1549" s="19"/>
      <c r="F1549" s="19"/>
      <c r="G1549" s="21"/>
      <c r="H1549" s="19"/>
      <c r="I1549" s="23" t="str">
        <f aca="false">IF(A1549="","",TEXT(A1549,"yyyy-mm"))</f>
        <v/>
      </c>
    </row>
    <row r="1550" customFormat="false" ht="15" hidden="false" customHeight="false" outlineLevel="0" collapsed="false">
      <c r="A1550" s="20"/>
      <c r="B1550" s="19"/>
      <c r="C1550" s="19"/>
      <c r="D1550" s="19"/>
      <c r="E1550" s="19"/>
      <c r="F1550" s="19"/>
      <c r="G1550" s="21"/>
      <c r="H1550" s="19"/>
      <c r="I1550" s="23" t="str">
        <f aca="false">IF(A1550="","",TEXT(A1550,"yyyy-mm"))</f>
        <v/>
      </c>
    </row>
    <row r="1551" customFormat="false" ht="15" hidden="false" customHeight="false" outlineLevel="0" collapsed="false">
      <c r="A1551" s="20"/>
      <c r="B1551" s="19"/>
      <c r="C1551" s="19"/>
      <c r="D1551" s="19"/>
      <c r="E1551" s="19"/>
      <c r="F1551" s="19"/>
      <c r="G1551" s="21"/>
      <c r="H1551" s="19"/>
      <c r="I1551" s="23" t="str">
        <f aca="false">IF(A1551="","",TEXT(A1551,"yyyy-mm"))</f>
        <v/>
      </c>
    </row>
    <row r="1552" customFormat="false" ht="15" hidden="false" customHeight="false" outlineLevel="0" collapsed="false">
      <c r="A1552" s="20"/>
      <c r="B1552" s="19"/>
      <c r="C1552" s="19"/>
      <c r="D1552" s="19"/>
      <c r="E1552" s="19"/>
      <c r="F1552" s="19"/>
      <c r="G1552" s="21"/>
      <c r="H1552" s="19"/>
      <c r="I1552" s="23" t="str">
        <f aca="false">IF(A1552="","",TEXT(A1552,"yyyy-mm"))</f>
        <v/>
      </c>
    </row>
    <row r="1553" customFormat="false" ht="15" hidden="false" customHeight="false" outlineLevel="0" collapsed="false">
      <c r="A1553" s="20"/>
      <c r="B1553" s="19"/>
      <c r="C1553" s="19"/>
      <c r="D1553" s="19"/>
      <c r="E1553" s="19"/>
      <c r="F1553" s="19"/>
      <c r="G1553" s="21"/>
      <c r="H1553" s="19"/>
      <c r="I1553" s="23" t="str">
        <f aca="false">IF(A1553="","",TEXT(A1553,"yyyy-mm"))</f>
        <v/>
      </c>
    </row>
    <row r="1554" customFormat="false" ht="15" hidden="false" customHeight="false" outlineLevel="0" collapsed="false">
      <c r="A1554" s="20"/>
      <c r="B1554" s="19"/>
      <c r="C1554" s="19"/>
      <c r="D1554" s="19"/>
      <c r="E1554" s="19"/>
      <c r="F1554" s="19"/>
      <c r="G1554" s="21"/>
      <c r="H1554" s="19"/>
      <c r="I1554" s="23" t="str">
        <f aca="false">IF(A1554="","",TEXT(A1554,"yyyy-mm"))</f>
        <v/>
      </c>
    </row>
    <row r="1555" customFormat="false" ht="15" hidden="false" customHeight="false" outlineLevel="0" collapsed="false">
      <c r="A1555" s="20"/>
      <c r="B1555" s="19"/>
      <c r="C1555" s="19"/>
      <c r="D1555" s="19"/>
      <c r="E1555" s="19"/>
      <c r="F1555" s="19"/>
      <c r="G1555" s="21"/>
      <c r="H1555" s="19"/>
      <c r="I1555" s="23" t="str">
        <f aca="false">IF(A1555="","",TEXT(A1555,"yyyy-mm"))</f>
        <v/>
      </c>
    </row>
    <row r="1556" customFormat="false" ht="15" hidden="false" customHeight="false" outlineLevel="0" collapsed="false">
      <c r="A1556" s="20"/>
      <c r="B1556" s="19"/>
      <c r="C1556" s="19"/>
      <c r="D1556" s="19"/>
      <c r="E1556" s="19"/>
      <c r="F1556" s="19"/>
      <c r="G1556" s="21"/>
      <c r="H1556" s="19"/>
      <c r="I1556" s="23" t="str">
        <f aca="false">IF(A1556="","",TEXT(A1556,"yyyy-mm"))</f>
        <v/>
      </c>
    </row>
    <row r="1557" customFormat="false" ht="15" hidden="false" customHeight="false" outlineLevel="0" collapsed="false">
      <c r="A1557" s="20"/>
      <c r="B1557" s="19"/>
      <c r="C1557" s="19"/>
      <c r="D1557" s="19"/>
      <c r="E1557" s="19"/>
      <c r="F1557" s="19"/>
      <c r="G1557" s="21"/>
      <c r="H1557" s="19"/>
      <c r="I1557" s="23" t="str">
        <f aca="false">IF(A1557="","",TEXT(A1557,"yyyy-mm"))</f>
        <v/>
      </c>
    </row>
    <row r="1558" customFormat="false" ht="15" hidden="false" customHeight="false" outlineLevel="0" collapsed="false">
      <c r="A1558" s="20"/>
      <c r="B1558" s="19"/>
      <c r="C1558" s="19"/>
      <c r="D1558" s="19"/>
      <c r="E1558" s="19"/>
      <c r="F1558" s="19"/>
      <c r="G1558" s="21"/>
      <c r="H1558" s="19"/>
      <c r="I1558" s="23" t="str">
        <f aca="false">IF(A1558="","",TEXT(A1558,"yyyy-mm"))</f>
        <v/>
      </c>
    </row>
    <row r="1559" customFormat="false" ht="15" hidden="false" customHeight="false" outlineLevel="0" collapsed="false">
      <c r="A1559" s="20"/>
      <c r="B1559" s="19"/>
      <c r="C1559" s="19"/>
      <c r="D1559" s="19"/>
      <c r="E1559" s="19"/>
      <c r="F1559" s="19"/>
      <c r="G1559" s="21"/>
      <c r="H1559" s="19"/>
      <c r="I1559" s="23" t="str">
        <f aca="false">IF(A1559="","",TEXT(A1559,"yyyy-mm"))</f>
        <v/>
      </c>
    </row>
    <row r="1560" customFormat="false" ht="15" hidden="false" customHeight="false" outlineLevel="0" collapsed="false">
      <c r="A1560" s="20"/>
      <c r="B1560" s="19"/>
      <c r="C1560" s="19"/>
      <c r="D1560" s="19"/>
      <c r="E1560" s="19"/>
      <c r="F1560" s="19"/>
      <c r="G1560" s="21"/>
      <c r="H1560" s="19"/>
      <c r="I1560" s="23" t="str">
        <f aca="false">IF(A1560="","",TEXT(A1560,"yyyy-mm"))</f>
        <v/>
      </c>
    </row>
    <row r="1561" customFormat="false" ht="15" hidden="false" customHeight="false" outlineLevel="0" collapsed="false">
      <c r="A1561" s="20"/>
      <c r="B1561" s="19"/>
      <c r="C1561" s="19"/>
      <c r="D1561" s="19"/>
      <c r="E1561" s="19"/>
      <c r="F1561" s="19"/>
      <c r="G1561" s="21"/>
      <c r="H1561" s="19"/>
      <c r="I1561" s="23" t="str">
        <f aca="false">IF(A1561="","",TEXT(A1561,"yyyy-mm"))</f>
        <v/>
      </c>
    </row>
    <row r="1562" customFormat="false" ht="15" hidden="false" customHeight="false" outlineLevel="0" collapsed="false">
      <c r="A1562" s="20"/>
      <c r="B1562" s="19"/>
      <c r="C1562" s="19"/>
      <c r="D1562" s="19"/>
      <c r="E1562" s="19"/>
      <c r="F1562" s="19"/>
      <c r="G1562" s="21"/>
      <c r="H1562" s="19"/>
      <c r="I1562" s="23" t="str">
        <f aca="false">IF(A1562="","",TEXT(A1562,"yyyy-mm"))</f>
        <v/>
      </c>
    </row>
    <row r="1563" customFormat="false" ht="15" hidden="false" customHeight="false" outlineLevel="0" collapsed="false">
      <c r="A1563" s="20"/>
      <c r="B1563" s="19"/>
      <c r="C1563" s="19"/>
      <c r="D1563" s="19"/>
      <c r="E1563" s="19"/>
      <c r="F1563" s="19"/>
      <c r="G1563" s="21"/>
      <c r="H1563" s="19"/>
      <c r="I1563" s="23" t="str">
        <f aca="false">IF(A1563="","",TEXT(A1563,"yyyy-mm"))</f>
        <v/>
      </c>
    </row>
    <row r="1564" customFormat="false" ht="15" hidden="false" customHeight="false" outlineLevel="0" collapsed="false">
      <c r="A1564" s="20"/>
      <c r="B1564" s="19"/>
      <c r="C1564" s="19"/>
      <c r="D1564" s="19"/>
      <c r="E1564" s="19"/>
      <c r="F1564" s="19"/>
      <c r="G1564" s="21"/>
      <c r="H1564" s="19"/>
      <c r="I1564" s="23" t="str">
        <f aca="false">IF(A1564="","",TEXT(A1564,"yyyy-mm"))</f>
        <v/>
      </c>
    </row>
    <row r="1565" customFormat="false" ht="15" hidden="false" customHeight="false" outlineLevel="0" collapsed="false">
      <c r="A1565" s="20"/>
      <c r="B1565" s="19"/>
      <c r="C1565" s="19"/>
      <c r="D1565" s="19"/>
      <c r="E1565" s="19"/>
      <c r="F1565" s="19"/>
      <c r="G1565" s="21"/>
      <c r="H1565" s="19"/>
      <c r="I1565" s="23" t="str">
        <f aca="false">IF(A1565="","",TEXT(A1565,"yyyy-mm"))</f>
        <v/>
      </c>
    </row>
    <row r="1566" customFormat="false" ht="15" hidden="false" customHeight="false" outlineLevel="0" collapsed="false">
      <c r="A1566" s="20"/>
      <c r="B1566" s="19"/>
      <c r="C1566" s="19"/>
      <c r="D1566" s="19"/>
      <c r="E1566" s="19"/>
      <c r="F1566" s="19"/>
      <c r="G1566" s="21"/>
      <c r="H1566" s="19"/>
      <c r="I1566" s="23" t="str">
        <f aca="false">IF(A1566="","",TEXT(A1566,"yyyy-mm"))</f>
        <v/>
      </c>
    </row>
    <row r="1567" customFormat="false" ht="15" hidden="false" customHeight="false" outlineLevel="0" collapsed="false">
      <c r="A1567" s="20"/>
      <c r="B1567" s="19"/>
      <c r="C1567" s="19"/>
      <c r="D1567" s="19"/>
      <c r="E1567" s="19"/>
      <c r="F1567" s="19"/>
      <c r="G1567" s="21"/>
      <c r="H1567" s="19"/>
      <c r="I1567" s="23" t="str">
        <f aca="false">IF(A1567="","",TEXT(A1567,"yyyy-mm"))</f>
        <v/>
      </c>
    </row>
    <row r="1568" customFormat="false" ht="15" hidden="false" customHeight="false" outlineLevel="0" collapsed="false">
      <c r="A1568" s="20"/>
      <c r="B1568" s="19"/>
      <c r="C1568" s="19"/>
      <c r="D1568" s="19"/>
      <c r="E1568" s="19"/>
      <c r="F1568" s="19"/>
      <c r="G1568" s="21"/>
      <c r="H1568" s="19"/>
      <c r="I1568" s="23" t="str">
        <f aca="false">IF(A1568="","",TEXT(A1568,"yyyy-mm"))</f>
        <v/>
      </c>
    </row>
    <row r="1569" customFormat="false" ht="15" hidden="false" customHeight="false" outlineLevel="0" collapsed="false">
      <c r="A1569" s="20"/>
      <c r="B1569" s="19"/>
      <c r="C1569" s="19"/>
      <c r="D1569" s="19"/>
      <c r="E1569" s="19"/>
      <c r="F1569" s="19"/>
      <c r="G1569" s="21"/>
      <c r="H1569" s="19"/>
      <c r="I1569" s="23" t="str">
        <f aca="false">IF(A1569="","",TEXT(A1569,"yyyy-mm"))</f>
        <v/>
      </c>
    </row>
    <row r="1570" customFormat="false" ht="15" hidden="false" customHeight="false" outlineLevel="0" collapsed="false">
      <c r="A1570" s="20"/>
      <c r="B1570" s="19"/>
      <c r="C1570" s="19"/>
      <c r="D1570" s="19"/>
      <c r="E1570" s="19"/>
      <c r="F1570" s="19"/>
      <c r="G1570" s="21"/>
      <c r="H1570" s="19"/>
      <c r="I1570" s="23" t="str">
        <f aca="false">IF(A1570="","",TEXT(A1570,"yyyy-mm"))</f>
        <v/>
      </c>
    </row>
    <row r="1571" customFormat="false" ht="15" hidden="false" customHeight="false" outlineLevel="0" collapsed="false">
      <c r="A1571" s="20"/>
      <c r="B1571" s="19"/>
      <c r="C1571" s="19"/>
      <c r="D1571" s="19"/>
      <c r="E1571" s="19"/>
      <c r="F1571" s="19"/>
      <c r="G1571" s="21"/>
      <c r="H1571" s="19"/>
      <c r="I1571" s="23" t="str">
        <f aca="false">IF(A1571="","",TEXT(A1571,"yyyy-mm"))</f>
        <v/>
      </c>
    </row>
    <row r="1572" customFormat="false" ht="15" hidden="false" customHeight="false" outlineLevel="0" collapsed="false">
      <c r="A1572" s="20"/>
      <c r="B1572" s="19"/>
      <c r="C1572" s="19"/>
      <c r="D1572" s="19"/>
      <c r="E1572" s="19"/>
      <c r="F1572" s="19"/>
      <c r="G1572" s="21"/>
      <c r="H1572" s="19"/>
      <c r="I1572" s="23" t="str">
        <f aca="false">IF(A1572="","",TEXT(A1572,"yyyy-mm"))</f>
        <v/>
      </c>
    </row>
    <row r="1573" customFormat="false" ht="15" hidden="false" customHeight="false" outlineLevel="0" collapsed="false">
      <c r="A1573" s="20"/>
      <c r="B1573" s="19"/>
      <c r="C1573" s="19"/>
      <c r="D1573" s="19"/>
      <c r="E1573" s="19"/>
      <c r="F1573" s="19"/>
      <c r="G1573" s="21"/>
      <c r="H1573" s="19"/>
      <c r="I1573" s="23" t="str">
        <f aca="false">IF(A1573="","",TEXT(A1573,"yyyy-mm"))</f>
        <v/>
      </c>
    </row>
    <row r="1574" customFormat="false" ht="15" hidden="false" customHeight="false" outlineLevel="0" collapsed="false">
      <c r="A1574" s="20"/>
      <c r="B1574" s="19"/>
      <c r="C1574" s="19"/>
      <c r="D1574" s="19"/>
      <c r="E1574" s="19"/>
      <c r="F1574" s="19"/>
      <c r="G1574" s="21"/>
      <c r="H1574" s="19"/>
      <c r="I1574" s="23" t="str">
        <f aca="false">IF(A1574="","",TEXT(A1574,"yyyy-mm"))</f>
        <v/>
      </c>
    </row>
    <row r="1575" customFormat="false" ht="15" hidden="false" customHeight="false" outlineLevel="0" collapsed="false">
      <c r="A1575" s="20"/>
      <c r="B1575" s="19"/>
      <c r="C1575" s="19"/>
      <c r="D1575" s="19"/>
      <c r="E1575" s="19"/>
      <c r="F1575" s="19"/>
      <c r="G1575" s="21"/>
      <c r="H1575" s="19"/>
      <c r="I1575" s="23" t="str">
        <f aca="false">IF(A1575="","",TEXT(A1575,"yyyy-mm"))</f>
        <v/>
      </c>
    </row>
    <row r="1576" customFormat="false" ht="15" hidden="false" customHeight="false" outlineLevel="0" collapsed="false">
      <c r="A1576" s="20"/>
      <c r="B1576" s="19"/>
      <c r="C1576" s="19"/>
      <c r="D1576" s="19"/>
      <c r="E1576" s="19"/>
      <c r="F1576" s="19"/>
      <c r="G1576" s="21"/>
      <c r="H1576" s="19"/>
      <c r="I1576" s="23" t="str">
        <f aca="false">IF(A1576="","",TEXT(A1576,"yyyy-mm"))</f>
        <v/>
      </c>
    </row>
    <row r="1577" customFormat="false" ht="15" hidden="false" customHeight="false" outlineLevel="0" collapsed="false">
      <c r="A1577" s="20"/>
      <c r="B1577" s="19"/>
      <c r="C1577" s="19"/>
      <c r="D1577" s="19"/>
      <c r="E1577" s="19"/>
      <c r="F1577" s="19"/>
      <c r="G1577" s="21"/>
      <c r="H1577" s="19"/>
      <c r="I1577" s="23" t="str">
        <f aca="false">IF(A1577="","",TEXT(A1577,"yyyy-mm"))</f>
        <v/>
      </c>
    </row>
    <row r="1578" customFormat="false" ht="15" hidden="false" customHeight="false" outlineLevel="0" collapsed="false">
      <c r="A1578" s="20"/>
      <c r="B1578" s="19"/>
      <c r="C1578" s="19"/>
      <c r="D1578" s="19"/>
      <c r="E1578" s="19"/>
      <c r="F1578" s="19"/>
      <c r="G1578" s="21"/>
      <c r="H1578" s="19"/>
      <c r="I1578" s="23" t="str">
        <f aca="false">IF(A1578="","",TEXT(A1578,"yyyy-mm"))</f>
        <v/>
      </c>
    </row>
    <row r="1579" customFormat="false" ht="15" hidden="false" customHeight="false" outlineLevel="0" collapsed="false">
      <c r="A1579" s="20"/>
      <c r="B1579" s="19"/>
      <c r="C1579" s="19"/>
      <c r="D1579" s="19"/>
      <c r="E1579" s="19"/>
      <c r="F1579" s="19"/>
      <c r="G1579" s="21"/>
      <c r="H1579" s="19"/>
      <c r="I1579" s="23" t="str">
        <f aca="false">IF(A1579="","",TEXT(A1579,"yyyy-mm"))</f>
        <v/>
      </c>
    </row>
    <row r="1580" customFormat="false" ht="15" hidden="false" customHeight="false" outlineLevel="0" collapsed="false">
      <c r="A1580" s="20"/>
      <c r="B1580" s="19"/>
      <c r="C1580" s="19"/>
      <c r="D1580" s="19"/>
      <c r="E1580" s="19"/>
      <c r="F1580" s="19"/>
      <c r="G1580" s="21"/>
      <c r="H1580" s="19"/>
      <c r="I1580" s="23" t="str">
        <f aca="false">IF(A1580="","",TEXT(A1580,"yyyy-mm"))</f>
        <v/>
      </c>
    </row>
    <row r="1581" customFormat="false" ht="15" hidden="false" customHeight="false" outlineLevel="0" collapsed="false">
      <c r="A1581" s="20"/>
      <c r="B1581" s="19"/>
      <c r="C1581" s="19"/>
      <c r="D1581" s="19"/>
      <c r="E1581" s="19"/>
      <c r="F1581" s="19"/>
      <c r="G1581" s="21"/>
      <c r="H1581" s="19"/>
      <c r="I1581" s="23" t="str">
        <f aca="false">IF(A1581="","",TEXT(A1581,"yyyy-mm"))</f>
        <v/>
      </c>
    </row>
    <row r="1582" customFormat="false" ht="15" hidden="false" customHeight="false" outlineLevel="0" collapsed="false">
      <c r="A1582" s="20"/>
      <c r="B1582" s="19"/>
      <c r="C1582" s="19"/>
      <c r="D1582" s="19"/>
      <c r="E1582" s="19"/>
      <c r="F1582" s="19"/>
      <c r="G1582" s="21"/>
      <c r="H1582" s="19"/>
      <c r="I1582" s="23" t="str">
        <f aca="false">IF(A1582="","",TEXT(A1582,"yyyy-mm"))</f>
        <v/>
      </c>
    </row>
    <row r="1583" customFormat="false" ht="15" hidden="false" customHeight="false" outlineLevel="0" collapsed="false">
      <c r="A1583" s="20"/>
      <c r="B1583" s="19"/>
      <c r="C1583" s="19"/>
      <c r="D1583" s="19"/>
      <c r="E1583" s="19"/>
      <c r="F1583" s="19"/>
      <c r="G1583" s="21"/>
      <c r="H1583" s="19"/>
      <c r="I1583" s="23" t="str">
        <f aca="false">IF(A1583="","",TEXT(A1583,"yyyy-mm"))</f>
        <v/>
      </c>
    </row>
    <row r="1584" customFormat="false" ht="15" hidden="false" customHeight="false" outlineLevel="0" collapsed="false">
      <c r="A1584" s="20"/>
      <c r="B1584" s="19"/>
      <c r="C1584" s="19"/>
      <c r="D1584" s="19"/>
      <c r="E1584" s="19"/>
      <c r="F1584" s="19"/>
      <c r="G1584" s="21"/>
      <c r="H1584" s="19"/>
      <c r="I1584" s="23" t="str">
        <f aca="false">IF(A1584="","",TEXT(A1584,"yyyy-mm"))</f>
        <v/>
      </c>
    </row>
    <row r="1585" customFormat="false" ht="15" hidden="false" customHeight="false" outlineLevel="0" collapsed="false">
      <c r="A1585" s="20"/>
      <c r="B1585" s="19"/>
      <c r="C1585" s="19"/>
      <c r="D1585" s="19"/>
      <c r="E1585" s="19"/>
      <c r="F1585" s="19"/>
      <c r="G1585" s="21"/>
      <c r="H1585" s="19"/>
      <c r="I1585" s="23" t="str">
        <f aca="false">IF(A1585="","",TEXT(A1585,"yyyy-mm"))</f>
        <v/>
      </c>
    </row>
    <row r="1586" customFormat="false" ht="15" hidden="false" customHeight="false" outlineLevel="0" collapsed="false">
      <c r="A1586" s="20"/>
      <c r="B1586" s="19"/>
      <c r="C1586" s="19"/>
      <c r="D1586" s="19"/>
      <c r="E1586" s="19"/>
      <c r="F1586" s="19"/>
      <c r="G1586" s="21"/>
      <c r="H1586" s="19"/>
      <c r="I1586" s="23" t="str">
        <f aca="false">IF(A1586="","",TEXT(A1586,"yyyy-mm"))</f>
        <v/>
      </c>
    </row>
    <row r="1587" customFormat="false" ht="15" hidden="false" customHeight="false" outlineLevel="0" collapsed="false">
      <c r="A1587" s="20"/>
      <c r="B1587" s="19"/>
      <c r="C1587" s="19"/>
      <c r="D1587" s="19"/>
      <c r="E1587" s="19"/>
      <c r="F1587" s="19"/>
      <c r="G1587" s="21"/>
      <c r="H1587" s="19"/>
      <c r="I1587" s="23" t="str">
        <f aca="false">IF(A1587="","",TEXT(A1587,"yyyy-mm"))</f>
        <v/>
      </c>
    </row>
    <row r="1588" customFormat="false" ht="15" hidden="false" customHeight="false" outlineLevel="0" collapsed="false">
      <c r="A1588" s="20"/>
      <c r="B1588" s="19"/>
      <c r="C1588" s="19"/>
      <c r="D1588" s="19"/>
      <c r="E1588" s="19"/>
      <c r="F1588" s="19"/>
      <c r="G1588" s="21"/>
      <c r="H1588" s="19"/>
      <c r="I1588" s="23" t="str">
        <f aca="false">IF(A1588="","",TEXT(A1588,"yyyy-mm"))</f>
        <v/>
      </c>
    </row>
    <row r="1589" customFormat="false" ht="15" hidden="false" customHeight="false" outlineLevel="0" collapsed="false">
      <c r="A1589" s="20"/>
      <c r="B1589" s="19"/>
      <c r="C1589" s="19"/>
      <c r="D1589" s="19"/>
      <c r="E1589" s="19"/>
      <c r="F1589" s="19"/>
      <c r="G1589" s="21"/>
      <c r="H1589" s="19"/>
      <c r="I1589" s="23" t="str">
        <f aca="false">IF(A1589="","",TEXT(A1589,"yyyy-mm"))</f>
        <v/>
      </c>
    </row>
    <row r="1590" customFormat="false" ht="15" hidden="false" customHeight="false" outlineLevel="0" collapsed="false">
      <c r="A1590" s="20"/>
      <c r="B1590" s="19"/>
      <c r="C1590" s="19"/>
      <c r="D1590" s="19"/>
      <c r="E1590" s="19"/>
      <c r="F1590" s="19"/>
      <c r="G1590" s="21"/>
      <c r="H1590" s="19"/>
      <c r="I1590" s="23" t="str">
        <f aca="false">IF(A1590="","",TEXT(A1590,"yyyy-mm"))</f>
        <v/>
      </c>
    </row>
    <row r="1591" customFormat="false" ht="15" hidden="false" customHeight="false" outlineLevel="0" collapsed="false">
      <c r="A1591" s="20"/>
      <c r="B1591" s="19"/>
      <c r="C1591" s="19"/>
      <c r="D1591" s="19"/>
      <c r="E1591" s="19"/>
      <c r="F1591" s="19"/>
      <c r="G1591" s="21"/>
      <c r="H1591" s="19"/>
      <c r="I1591" s="23" t="str">
        <f aca="false">IF(A1591="","",TEXT(A1591,"yyyy-mm"))</f>
        <v/>
      </c>
    </row>
    <row r="1592" customFormat="false" ht="15" hidden="false" customHeight="false" outlineLevel="0" collapsed="false">
      <c r="A1592" s="20"/>
      <c r="B1592" s="19"/>
      <c r="C1592" s="19"/>
      <c r="D1592" s="19"/>
      <c r="E1592" s="19"/>
      <c r="F1592" s="19"/>
      <c r="G1592" s="21"/>
      <c r="H1592" s="19"/>
      <c r="I1592" s="23" t="str">
        <f aca="false">IF(A1592="","",TEXT(A1592,"yyyy-mm"))</f>
        <v/>
      </c>
    </row>
    <row r="1593" customFormat="false" ht="15" hidden="false" customHeight="false" outlineLevel="0" collapsed="false">
      <c r="A1593" s="20"/>
      <c r="B1593" s="19"/>
      <c r="C1593" s="19"/>
      <c r="D1593" s="19"/>
      <c r="E1593" s="19"/>
      <c r="F1593" s="19"/>
      <c r="G1593" s="21"/>
      <c r="H1593" s="19"/>
      <c r="I1593" s="23" t="str">
        <f aca="false">IF(A1593="","",TEXT(A1593,"yyyy-mm"))</f>
        <v/>
      </c>
    </row>
    <row r="1594" customFormat="false" ht="15" hidden="false" customHeight="false" outlineLevel="0" collapsed="false">
      <c r="A1594" s="20"/>
      <c r="B1594" s="19"/>
      <c r="C1594" s="19"/>
      <c r="D1594" s="19"/>
      <c r="E1594" s="19"/>
      <c r="F1594" s="19"/>
      <c r="G1594" s="21"/>
      <c r="H1594" s="19"/>
      <c r="I1594" s="23" t="str">
        <f aca="false">IF(A1594="","",TEXT(A1594,"yyyy-mm"))</f>
        <v/>
      </c>
    </row>
    <row r="1595" customFormat="false" ht="15" hidden="false" customHeight="false" outlineLevel="0" collapsed="false">
      <c r="A1595" s="20"/>
      <c r="B1595" s="19"/>
      <c r="C1595" s="19"/>
      <c r="D1595" s="19"/>
      <c r="E1595" s="19"/>
      <c r="F1595" s="19"/>
      <c r="G1595" s="21"/>
      <c r="H1595" s="19"/>
      <c r="I1595" s="23" t="str">
        <f aca="false">IF(A1595="","",TEXT(A1595,"yyyy-mm"))</f>
        <v/>
      </c>
    </row>
    <row r="1596" customFormat="false" ht="15" hidden="false" customHeight="false" outlineLevel="0" collapsed="false">
      <c r="A1596" s="20"/>
      <c r="B1596" s="19"/>
      <c r="C1596" s="19"/>
      <c r="D1596" s="19"/>
      <c r="E1596" s="19"/>
      <c r="F1596" s="19"/>
      <c r="G1596" s="21"/>
      <c r="H1596" s="19"/>
      <c r="I1596" s="23" t="str">
        <f aca="false">IF(A1596="","",TEXT(A1596,"yyyy-mm"))</f>
        <v/>
      </c>
    </row>
    <row r="1597" customFormat="false" ht="15" hidden="false" customHeight="false" outlineLevel="0" collapsed="false">
      <c r="A1597" s="20"/>
      <c r="B1597" s="19"/>
      <c r="C1597" s="19"/>
      <c r="D1597" s="19"/>
      <c r="E1597" s="19"/>
      <c r="F1597" s="19"/>
      <c r="G1597" s="21"/>
      <c r="H1597" s="19"/>
      <c r="I1597" s="23" t="str">
        <f aca="false">IF(A1597="","",TEXT(A1597,"yyyy-mm"))</f>
        <v/>
      </c>
    </row>
    <row r="1598" customFormat="false" ht="15" hidden="false" customHeight="false" outlineLevel="0" collapsed="false">
      <c r="A1598" s="20"/>
      <c r="B1598" s="19"/>
      <c r="C1598" s="19"/>
      <c r="D1598" s="19"/>
      <c r="E1598" s="19"/>
      <c r="F1598" s="19"/>
      <c r="G1598" s="21"/>
      <c r="H1598" s="19"/>
      <c r="I1598" s="23" t="str">
        <f aca="false">IF(A1598="","",TEXT(A1598,"yyyy-mm"))</f>
        <v/>
      </c>
    </row>
    <row r="1599" customFormat="false" ht="15" hidden="false" customHeight="false" outlineLevel="0" collapsed="false">
      <c r="A1599" s="20"/>
      <c r="B1599" s="19"/>
      <c r="C1599" s="19"/>
      <c r="D1599" s="19"/>
      <c r="E1599" s="19"/>
      <c r="F1599" s="19"/>
      <c r="G1599" s="21"/>
      <c r="H1599" s="19"/>
      <c r="I1599" s="23" t="str">
        <f aca="false">IF(A1599="","",TEXT(A1599,"yyyy-mm"))</f>
        <v/>
      </c>
    </row>
    <row r="1600" customFormat="false" ht="15" hidden="false" customHeight="false" outlineLevel="0" collapsed="false">
      <c r="A1600" s="20"/>
      <c r="B1600" s="19"/>
      <c r="C1600" s="19"/>
      <c r="D1600" s="19"/>
      <c r="E1600" s="19"/>
      <c r="F1600" s="19"/>
      <c r="G1600" s="21"/>
      <c r="H1600" s="19"/>
      <c r="I1600" s="23" t="str">
        <f aca="false">IF(A1600="","",TEXT(A1600,"yyyy-mm"))</f>
        <v/>
      </c>
    </row>
    <row r="1601" customFormat="false" ht="15" hidden="false" customHeight="false" outlineLevel="0" collapsed="false">
      <c r="A1601" s="20"/>
      <c r="B1601" s="19"/>
      <c r="C1601" s="19"/>
      <c r="D1601" s="19"/>
      <c r="E1601" s="19"/>
      <c r="F1601" s="19"/>
      <c r="G1601" s="21"/>
      <c r="H1601" s="19"/>
      <c r="I1601" s="23" t="str">
        <f aca="false">IF(A1601="","",TEXT(A1601,"yyyy-mm"))</f>
        <v/>
      </c>
    </row>
    <row r="1602" customFormat="false" ht="15" hidden="false" customHeight="false" outlineLevel="0" collapsed="false">
      <c r="A1602" s="20"/>
      <c r="B1602" s="19"/>
      <c r="C1602" s="19"/>
      <c r="D1602" s="19"/>
      <c r="E1602" s="19"/>
      <c r="F1602" s="19"/>
      <c r="G1602" s="21"/>
      <c r="H1602" s="19"/>
      <c r="I1602" s="23" t="str">
        <f aca="false">IF(A1602="","",TEXT(A1602,"yyyy-mm"))</f>
        <v/>
      </c>
    </row>
    <row r="1603" customFormat="false" ht="15" hidden="false" customHeight="false" outlineLevel="0" collapsed="false">
      <c r="A1603" s="20"/>
      <c r="B1603" s="19"/>
      <c r="C1603" s="19"/>
      <c r="D1603" s="19"/>
      <c r="E1603" s="19"/>
      <c r="F1603" s="19"/>
      <c r="G1603" s="21"/>
      <c r="H1603" s="19"/>
      <c r="I1603" s="23" t="str">
        <f aca="false">IF(A1603="","",TEXT(A1603,"yyyy-mm"))</f>
        <v/>
      </c>
    </row>
    <row r="1604" customFormat="false" ht="15" hidden="false" customHeight="false" outlineLevel="0" collapsed="false">
      <c r="A1604" s="20"/>
      <c r="B1604" s="19"/>
      <c r="C1604" s="19"/>
      <c r="D1604" s="19"/>
      <c r="E1604" s="19"/>
      <c r="F1604" s="19"/>
      <c r="G1604" s="21"/>
      <c r="H1604" s="19"/>
      <c r="I1604" s="23" t="str">
        <f aca="false">IF(A1604="","",TEXT(A1604,"yyyy-mm"))</f>
        <v/>
      </c>
    </row>
    <row r="1605" customFormat="false" ht="15" hidden="false" customHeight="false" outlineLevel="0" collapsed="false">
      <c r="A1605" s="20"/>
      <c r="B1605" s="19"/>
      <c r="C1605" s="19"/>
      <c r="D1605" s="19"/>
      <c r="E1605" s="19"/>
      <c r="F1605" s="19"/>
      <c r="G1605" s="21"/>
      <c r="H1605" s="19"/>
      <c r="I1605" s="23" t="str">
        <f aca="false">IF(A1605="","",TEXT(A1605,"yyyy-mm"))</f>
        <v/>
      </c>
    </row>
    <row r="1606" customFormat="false" ht="15" hidden="false" customHeight="false" outlineLevel="0" collapsed="false">
      <c r="A1606" s="20"/>
      <c r="B1606" s="19"/>
      <c r="C1606" s="19"/>
      <c r="D1606" s="19"/>
      <c r="E1606" s="19"/>
      <c r="F1606" s="19"/>
      <c r="G1606" s="21"/>
      <c r="H1606" s="19"/>
      <c r="I1606" s="23" t="str">
        <f aca="false">IF(A1606="","",TEXT(A1606,"yyyy-mm"))</f>
        <v/>
      </c>
    </row>
    <row r="1607" customFormat="false" ht="15" hidden="false" customHeight="false" outlineLevel="0" collapsed="false">
      <c r="A1607" s="20"/>
      <c r="B1607" s="19"/>
      <c r="C1607" s="19"/>
      <c r="D1607" s="19"/>
      <c r="E1607" s="19"/>
      <c r="F1607" s="19"/>
      <c r="G1607" s="21"/>
      <c r="H1607" s="19"/>
      <c r="I1607" s="23" t="str">
        <f aca="false">IF(A1607="","",TEXT(A1607,"yyyy-mm"))</f>
        <v/>
      </c>
    </row>
    <row r="1608" customFormat="false" ht="15" hidden="false" customHeight="false" outlineLevel="0" collapsed="false">
      <c r="A1608" s="20"/>
      <c r="B1608" s="19"/>
      <c r="C1608" s="19"/>
      <c r="D1608" s="19"/>
      <c r="E1608" s="19"/>
      <c r="F1608" s="19"/>
      <c r="G1608" s="21"/>
      <c r="H1608" s="19"/>
      <c r="I1608" s="23" t="str">
        <f aca="false">IF(A1608="","",TEXT(A1608,"yyyy-mm"))</f>
        <v/>
      </c>
    </row>
    <row r="1609" customFormat="false" ht="15" hidden="false" customHeight="false" outlineLevel="0" collapsed="false">
      <c r="A1609" s="20"/>
      <c r="B1609" s="19"/>
      <c r="C1609" s="19"/>
      <c r="D1609" s="19"/>
      <c r="E1609" s="19"/>
      <c r="F1609" s="19"/>
      <c r="G1609" s="21"/>
      <c r="H1609" s="19"/>
      <c r="I1609" s="23" t="str">
        <f aca="false">IF(A1609="","",TEXT(A1609,"yyyy-mm"))</f>
        <v/>
      </c>
    </row>
    <row r="1610" customFormat="false" ht="15" hidden="false" customHeight="false" outlineLevel="0" collapsed="false">
      <c r="A1610" s="20"/>
      <c r="B1610" s="19"/>
      <c r="C1610" s="19"/>
      <c r="D1610" s="19"/>
      <c r="E1610" s="19"/>
      <c r="F1610" s="19"/>
      <c r="G1610" s="21"/>
      <c r="H1610" s="19"/>
      <c r="I1610" s="23" t="str">
        <f aca="false">IF(A1610="","",TEXT(A1610,"yyyy-mm"))</f>
        <v/>
      </c>
    </row>
    <row r="1611" customFormat="false" ht="15" hidden="false" customHeight="false" outlineLevel="0" collapsed="false">
      <c r="A1611" s="20"/>
      <c r="B1611" s="19"/>
      <c r="C1611" s="19"/>
      <c r="D1611" s="19"/>
      <c r="E1611" s="19"/>
      <c r="F1611" s="19"/>
      <c r="G1611" s="21"/>
      <c r="H1611" s="19"/>
      <c r="I1611" s="23" t="str">
        <f aca="false">IF(A1611="","",TEXT(A1611,"yyyy-mm"))</f>
        <v/>
      </c>
    </row>
    <row r="1612" customFormat="false" ht="15" hidden="false" customHeight="false" outlineLevel="0" collapsed="false">
      <c r="A1612" s="20"/>
      <c r="B1612" s="19"/>
      <c r="C1612" s="19"/>
      <c r="D1612" s="19"/>
      <c r="E1612" s="19"/>
      <c r="F1612" s="19"/>
      <c r="G1612" s="21"/>
      <c r="H1612" s="19"/>
      <c r="I1612" s="23" t="str">
        <f aca="false">IF(A1612="","",TEXT(A1612,"yyyy-mm"))</f>
        <v/>
      </c>
    </row>
    <row r="1613" customFormat="false" ht="15" hidden="false" customHeight="false" outlineLevel="0" collapsed="false">
      <c r="A1613" s="20"/>
      <c r="B1613" s="19"/>
      <c r="C1613" s="19"/>
      <c r="D1613" s="19"/>
      <c r="E1613" s="19"/>
      <c r="F1613" s="19"/>
      <c r="G1613" s="21"/>
      <c r="H1613" s="19"/>
      <c r="I1613" s="23" t="str">
        <f aca="false">IF(A1613="","",TEXT(A1613,"yyyy-mm"))</f>
        <v/>
      </c>
    </row>
    <row r="1614" customFormat="false" ht="15" hidden="false" customHeight="false" outlineLevel="0" collapsed="false">
      <c r="A1614" s="20"/>
      <c r="B1614" s="19"/>
      <c r="C1614" s="19"/>
      <c r="D1614" s="19"/>
      <c r="E1614" s="19"/>
      <c r="F1614" s="19"/>
      <c r="G1614" s="21"/>
      <c r="H1614" s="19"/>
      <c r="I1614" s="23" t="str">
        <f aca="false">IF(A1614="","",TEXT(A1614,"yyyy-mm"))</f>
        <v/>
      </c>
    </row>
    <row r="1615" customFormat="false" ht="15" hidden="false" customHeight="false" outlineLevel="0" collapsed="false">
      <c r="A1615" s="20"/>
      <c r="B1615" s="19"/>
      <c r="C1615" s="19"/>
      <c r="D1615" s="19"/>
      <c r="E1615" s="19"/>
      <c r="F1615" s="19"/>
      <c r="G1615" s="21"/>
      <c r="H1615" s="19"/>
      <c r="I1615" s="23" t="str">
        <f aca="false">IF(A1615="","",TEXT(A1615,"yyyy-mm"))</f>
        <v/>
      </c>
    </row>
    <row r="1616" customFormat="false" ht="15" hidden="false" customHeight="false" outlineLevel="0" collapsed="false">
      <c r="A1616" s="20"/>
      <c r="B1616" s="19"/>
      <c r="C1616" s="19"/>
      <c r="D1616" s="19"/>
      <c r="E1616" s="19"/>
      <c r="F1616" s="19"/>
      <c r="G1616" s="21"/>
      <c r="H1616" s="19"/>
      <c r="I1616" s="23" t="str">
        <f aca="false">IF(A1616="","",TEXT(A1616,"yyyy-mm"))</f>
        <v/>
      </c>
    </row>
    <row r="1617" customFormat="false" ht="15" hidden="false" customHeight="false" outlineLevel="0" collapsed="false">
      <c r="A1617" s="20"/>
      <c r="B1617" s="19"/>
      <c r="C1617" s="19"/>
      <c r="D1617" s="19"/>
      <c r="E1617" s="19"/>
      <c r="F1617" s="19"/>
      <c r="G1617" s="21"/>
      <c r="H1617" s="19"/>
      <c r="I1617" s="23" t="str">
        <f aca="false">IF(A1617="","",TEXT(A1617,"yyyy-mm"))</f>
        <v/>
      </c>
    </row>
    <row r="1618" customFormat="false" ht="15" hidden="false" customHeight="false" outlineLevel="0" collapsed="false">
      <c r="A1618" s="20"/>
      <c r="B1618" s="19"/>
      <c r="C1618" s="19"/>
      <c r="D1618" s="19"/>
      <c r="E1618" s="19"/>
      <c r="F1618" s="19"/>
      <c r="G1618" s="21"/>
      <c r="H1618" s="19"/>
      <c r="I1618" s="23" t="str">
        <f aca="false">IF(A1618="","",TEXT(A1618,"yyyy-mm"))</f>
        <v/>
      </c>
    </row>
    <row r="1619" customFormat="false" ht="15" hidden="false" customHeight="false" outlineLevel="0" collapsed="false">
      <c r="A1619" s="20"/>
      <c r="B1619" s="19"/>
      <c r="C1619" s="19"/>
      <c r="D1619" s="19"/>
      <c r="E1619" s="19"/>
      <c r="F1619" s="19"/>
      <c r="G1619" s="21"/>
      <c r="H1619" s="19"/>
      <c r="I1619" s="23" t="str">
        <f aca="false">IF(A1619="","",TEXT(A1619,"yyyy-mm"))</f>
        <v/>
      </c>
    </row>
    <row r="1620" customFormat="false" ht="15" hidden="false" customHeight="false" outlineLevel="0" collapsed="false">
      <c r="A1620" s="20"/>
      <c r="B1620" s="19"/>
      <c r="C1620" s="19"/>
      <c r="D1620" s="19"/>
      <c r="E1620" s="19"/>
      <c r="F1620" s="19"/>
      <c r="G1620" s="21"/>
      <c r="H1620" s="19"/>
      <c r="I1620" s="23" t="str">
        <f aca="false">IF(A1620="","",TEXT(A1620,"yyyy-mm"))</f>
        <v/>
      </c>
    </row>
    <row r="1621" customFormat="false" ht="15" hidden="false" customHeight="false" outlineLevel="0" collapsed="false">
      <c r="A1621" s="20"/>
      <c r="B1621" s="19"/>
      <c r="C1621" s="19"/>
      <c r="D1621" s="19"/>
      <c r="E1621" s="19"/>
      <c r="F1621" s="19"/>
      <c r="G1621" s="21"/>
      <c r="H1621" s="19"/>
      <c r="I1621" s="23" t="str">
        <f aca="false">IF(A1621="","",TEXT(A1621,"yyyy-mm"))</f>
        <v/>
      </c>
    </row>
    <row r="1622" customFormat="false" ht="15" hidden="false" customHeight="false" outlineLevel="0" collapsed="false">
      <c r="A1622" s="20"/>
      <c r="B1622" s="19"/>
      <c r="C1622" s="19"/>
      <c r="D1622" s="19"/>
      <c r="E1622" s="19"/>
      <c r="F1622" s="19"/>
      <c r="G1622" s="21"/>
      <c r="H1622" s="19"/>
      <c r="I1622" s="23" t="str">
        <f aca="false">IF(A1622="","",TEXT(A1622,"yyyy-mm"))</f>
        <v/>
      </c>
    </row>
    <row r="1623" customFormat="false" ht="15" hidden="false" customHeight="false" outlineLevel="0" collapsed="false">
      <c r="A1623" s="20"/>
      <c r="B1623" s="19"/>
      <c r="C1623" s="19"/>
      <c r="D1623" s="19"/>
      <c r="E1623" s="19"/>
      <c r="F1623" s="19"/>
      <c r="G1623" s="21"/>
      <c r="H1623" s="19"/>
      <c r="I1623" s="23" t="str">
        <f aca="false">IF(A1623="","",TEXT(A1623,"yyyy-mm"))</f>
        <v/>
      </c>
    </row>
    <row r="1624" customFormat="false" ht="15" hidden="false" customHeight="false" outlineLevel="0" collapsed="false">
      <c r="A1624" s="20"/>
      <c r="B1624" s="19"/>
      <c r="C1624" s="19"/>
      <c r="D1624" s="19"/>
      <c r="E1624" s="19"/>
      <c r="F1624" s="19"/>
      <c r="G1624" s="21"/>
      <c r="H1624" s="19"/>
      <c r="I1624" s="23" t="str">
        <f aca="false">IF(A1624="","",TEXT(A1624,"yyyy-mm"))</f>
        <v/>
      </c>
    </row>
    <row r="1625" customFormat="false" ht="15" hidden="false" customHeight="false" outlineLevel="0" collapsed="false">
      <c r="A1625" s="20"/>
      <c r="B1625" s="19"/>
      <c r="C1625" s="19"/>
      <c r="D1625" s="19"/>
      <c r="E1625" s="19"/>
      <c r="F1625" s="19"/>
      <c r="G1625" s="21"/>
      <c r="H1625" s="19"/>
      <c r="I1625" s="23" t="str">
        <f aca="false">IF(A1625="","",TEXT(A1625,"yyyy-mm"))</f>
        <v/>
      </c>
    </row>
    <row r="1626" customFormat="false" ht="15" hidden="false" customHeight="false" outlineLevel="0" collapsed="false">
      <c r="A1626" s="20"/>
      <c r="B1626" s="19"/>
      <c r="C1626" s="19"/>
      <c r="D1626" s="19"/>
      <c r="E1626" s="19"/>
      <c r="F1626" s="19"/>
      <c r="G1626" s="21"/>
      <c r="H1626" s="19"/>
      <c r="I1626" s="23" t="str">
        <f aca="false">IF(A1626="","",TEXT(A1626,"yyyy-mm"))</f>
        <v/>
      </c>
    </row>
    <row r="1627" customFormat="false" ht="15" hidden="false" customHeight="false" outlineLevel="0" collapsed="false">
      <c r="A1627" s="20"/>
      <c r="B1627" s="19"/>
      <c r="C1627" s="19"/>
      <c r="D1627" s="19"/>
      <c r="E1627" s="19"/>
      <c r="F1627" s="19"/>
      <c r="G1627" s="21"/>
      <c r="H1627" s="19"/>
      <c r="I1627" s="23" t="str">
        <f aca="false">IF(A1627="","",TEXT(A1627,"yyyy-mm"))</f>
        <v/>
      </c>
    </row>
    <row r="1628" customFormat="false" ht="15" hidden="false" customHeight="false" outlineLevel="0" collapsed="false">
      <c r="A1628" s="20"/>
      <c r="B1628" s="19"/>
      <c r="C1628" s="19"/>
      <c r="D1628" s="19"/>
      <c r="E1628" s="19"/>
      <c r="F1628" s="19"/>
      <c r="G1628" s="21"/>
      <c r="H1628" s="19"/>
      <c r="I1628" s="23" t="str">
        <f aca="false">IF(A1628="","",TEXT(A1628,"yyyy-mm"))</f>
        <v/>
      </c>
    </row>
    <row r="1629" customFormat="false" ht="15" hidden="false" customHeight="false" outlineLevel="0" collapsed="false">
      <c r="A1629" s="20"/>
      <c r="B1629" s="19"/>
      <c r="C1629" s="19"/>
      <c r="D1629" s="19"/>
      <c r="E1629" s="19"/>
      <c r="F1629" s="19"/>
      <c r="G1629" s="21"/>
      <c r="H1629" s="19"/>
      <c r="I1629" s="23" t="str">
        <f aca="false">IF(A1629="","",TEXT(A1629,"yyyy-mm"))</f>
        <v/>
      </c>
    </row>
    <row r="1630" customFormat="false" ht="15" hidden="false" customHeight="false" outlineLevel="0" collapsed="false">
      <c r="A1630" s="20"/>
      <c r="B1630" s="19"/>
      <c r="C1630" s="19"/>
      <c r="D1630" s="19"/>
      <c r="E1630" s="19"/>
      <c r="F1630" s="19"/>
      <c r="G1630" s="21"/>
      <c r="H1630" s="19"/>
      <c r="I1630" s="23" t="str">
        <f aca="false">IF(A1630="","",TEXT(A1630,"yyyy-mm"))</f>
        <v/>
      </c>
    </row>
    <row r="1631" customFormat="false" ht="15" hidden="false" customHeight="false" outlineLevel="0" collapsed="false">
      <c r="A1631" s="20"/>
      <c r="B1631" s="19"/>
      <c r="C1631" s="19"/>
      <c r="D1631" s="19"/>
      <c r="E1631" s="19"/>
      <c r="F1631" s="19"/>
      <c r="G1631" s="21"/>
      <c r="H1631" s="19"/>
      <c r="I1631" s="23" t="str">
        <f aca="false">IF(A1631="","",TEXT(A1631,"yyyy-mm"))</f>
        <v/>
      </c>
    </row>
    <row r="1632" customFormat="false" ht="15" hidden="false" customHeight="false" outlineLevel="0" collapsed="false">
      <c r="A1632" s="20"/>
      <c r="B1632" s="19"/>
      <c r="C1632" s="19"/>
      <c r="D1632" s="19"/>
      <c r="E1632" s="19"/>
      <c r="F1632" s="19"/>
      <c r="G1632" s="21"/>
      <c r="H1632" s="19"/>
      <c r="I1632" s="23" t="str">
        <f aca="false">IF(A1632="","",TEXT(A1632,"yyyy-mm"))</f>
        <v/>
      </c>
    </row>
    <row r="1633" customFormat="false" ht="15" hidden="false" customHeight="false" outlineLevel="0" collapsed="false">
      <c r="A1633" s="20"/>
      <c r="B1633" s="19"/>
      <c r="C1633" s="19"/>
      <c r="D1633" s="19"/>
      <c r="E1633" s="19"/>
      <c r="F1633" s="19"/>
      <c r="G1633" s="21"/>
      <c r="H1633" s="19"/>
      <c r="I1633" s="23" t="str">
        <f aca="false">IF(A1633="","",TEXT(A1633,"yyyy-mm"))</f>
        <v/>
      </c>
    </row>
    <row r="1634" customFormat="false" ht="15" hidden="false" customHeight="false" outlineLevel="0" collapsed="false">
      <c r="A1634" s="20"/>
      <c r="B1634" s="19"/>
      <c r="C1634" s="19"/>
      <c r="D1634" s="19"/>
      <c r="E1634" s="19"/>
      <c r="F1634" s="19"/>
      <c r="G1634" s="21"/>
      <c r="H1634" s="19"/>
      <c r="I1634" s="23" t="str">
        <f aca="false">IF(A1634="","",TEXT(A1634,"yyyy-mm"))</f>
        <v/>
      </c>
    </row>
    <row r="1635" customFormat="false" ht="15" hidden="false" customHeight="false" outlineLevel="0" collapsed="false">
      <c r="A1635" s="20"/>
      <c r="B1635" s="19"/>
      <c r="C1635" s="19"/>
      <c r="D1635" s="19"/>
      <c r="E1635" s="19"/>
      <c r="F1635" s="19"/>
      <c r="G1635" s="21"/>
      <c r="H1635" s="19"/>
      <c r="I1635" s="23" t="str">
        <f aca="false">IF(A1635="","",TEXT(A1635,"yyyy-mm"))</f>
        <v/>
      </c>
    </row>
    <row r="1636" customFormat="false" ht="15" hidden="false" customHeight="false" outlineLevel="0" collapsed="false">
      <c r="A1636" s="20"/>
      <c r="B1636" s="19"/>
      <c r="C1636" s="19"/>
      <c r="D1636" s="19"/>
      <c r="E1636" s="19"/>
      <c r="F1636" s="19"/>
      <c r="G1636" s="21"/>
      <c r="H1636" s="19"/>
      <c r="I1636" s="23" t="str">
        <f aca="false">IF(A1636="","",TEXT(A1636,"yyyy-mm"))</f>
        <v/>
      </c>
    </row>
    <row r="1637" customFormat="false" ht="15" hidden="false" customHeight="false" outlineLevel="0" collapsed="false">
      <c r="A1637" s="20"/>
      <c r="B1637" s="19"/>
      <c r="C1637" s="19"/>
      <c r="D1637" s="19"/>
      <c r="E1637" s="19"/>
      <c r="F1637" s="19"/>
      <c r="G1637" s="21"/>
      <c r="H1637" s="19"/>
      <c r="I1637" s="23" t="str">
        <f aca="false">IF(A1637="","",TEXT(A1637,"yyyy-mm"))</f>
        <v/>
      </c>
    </row>
    <row r="1638" customFormat="false" ht="15" hidden="false" customHeight="false" outlineLevel="0" collapsed="false">
      <c r="A1638" s="20"/>
      <c r="B1638" s="19"/>
      <c r="C1638" s="19"/>
      <c r="D1638" s="19"/>
      <c r="E1638" s="19"/>
      <c r="F1638" s="19"/>
      <c r="G1638" s="21"/>
      <c r="H1638" s="19"/>
      <c r="I1638" s="23" t="str">
        <f aca="false">IF(A1638="","",TEXT(A1638,"yyyy-mm"))</f>
        <v/>
      </c>
    </row>
    <row r="1639" customFormat="false" ht="15" hidden="false" customHeight="false" outlineLevel="0" collapsed="false">
      <c r="A1639" s="20"/>
      <c r="B1639" s="19"/>
      <c r="C1639" s="19"/>
      <c r="D1639" s="19"/>
      <c r="E1639" s="19"/>
      <c r="F1639" s="19"/>
      <c r="G1639" s="21"/>
      <c r="H1639" s="19"/>
      <c r="I1639" s="23" t="str">
        <f aca="false">IF(A1639="","",TEXT(A1639,"yyyy-mm"))</f>
        <v/>
      </c>
    </row>
    <row r="1640" customFormat="false" ht="15" hidden="false" customHeight="false" outlineLevel="0" collapsed="false">
      <c r="A1640" s="20"/>
      <c r="B1640" s="19"/>
      <c r="C1640" s="19"/>
      <c r="D1640" s="19"/>
      <c r="E1640" s="19"/>
      <c r="F1640" s="19"/>
      <c r="G1640" s="21"/>
      <c r="H1640" s="19"/>
      <c r="I1640" s="23" t="str">
        <f aca="false">IF(A1640="","",TEXT(A1640,"yyyy-mm"))</f>
        <v/>
      </c>
    </row>
    <row r="1641" customFormat="false" ht="15" hidden="false" customHeight="false" outlineLevel="0" collapsed="false">
      <c r="A1641" s="20"/>
      <c r="B1641" s="19"/>
      <c r="C1641" s="19"/>
      <c r="D1641" s="19"/>
      <c r="E1641" s="19"/>
      <c r="F1641" s="19"/>
      <c r="G1641" s="21"/>
      <c r="H1641" s="19"/>
      <c r="I1641" s="23" t="str">
        <f aca="false">IF(A1641="","",TEXT(A1641,"yyyy-mm"))</f>
        <v/>
      </c>
    </row>
    <row r="1642" customFormat="false" ht="15" hidden="false" customHeight="false" outlineLevel="0" collapsed="false">
      <c r="A1642" s="20"/>
      <c r="B1642" s="19"/>
      <c r="C1642" s="19"/>
      <c r="D1642" s="19"/>
      <c r="E1642" s="19"/>
      <c r="F1642" s="19"/>
      <c r="G1642" s="21"/>
      <c r="H1642" s="19"/>
      <c r="I1642" s="23" t="str">
        <f aca="false">IF(A1642="","",TEXT(A1642,"yyyy-mm"))</f>
        <v/>
      </c>
    </row>
    <row r="1643" customFormat="false" ht="15" hidden="false" customHeight="false" outlineLevel="0" collapsed="false">
      <c r="A1643" s="20"/>
      <c r="B1643" s="19"/>
      <c r="C1643" s="19"/>
      <c r="D1643" s="19"/>
      <c r="E1643" s="19"/>
      <c r="F1643" s="19"/>
      <c r="G1643" s="21"/>
      <c r="H1643" s="19"/>
      <c r="I1643" s="23" t="str">
        <f aca="false">IF(A1643="","",TEXT(A1643,"yyyy-mm"))</f>
        <v/>
      </c>
    </row>
    <row r="1644" customFormat="false" ht="15" hidden="false" customHeight="false" outlineLevel="0" collapsed="false">
      <c r="A1644" s="20"/>
      <c r="B1644" s="19"/>
      <c r="C1644" s="19"/>
      <c r="D1644" s="19"/>
      <c r="E1644" s="19"/>
      <c r="F1644" s="19"/>
      <c r="G1644" s="21"/>
      <c r="H1644" s="19"/>
      <c r="I1644" s="23" t="str">
        <f aca="false">IF(A1644="","",TEXT(A1644,"yyyy-mm"))</f>
        <v/>
      </c>
    </row>
    <row r="1645" customFormat="false" ht="15" hidden="false" customHeight="false" outlineLevel="0" collapsed="false">
      <c r="A1645" s="20"/>
      <c r="B1645" s="19"/>
      <c r="C1645" s="19"/>
      <c r="D1645" s="19"/>
      <c r="E1645" s="19"/>
      <c r="F1645" s="19"/>
      <c r="G1645" s="21"/>
      <c r="H1645" s="19"/>
      <c r="I1645" s="23" t="str">
        <f aca="false">IF(A1645="","",TEXT(A1645,"yyyy-mm"))</f>
        <v/>
      </c>
    </row>
    <row r="1646" customFormat="false" ht="15" hidden="false" customHeight="false" outlineLevel="0" collapsed="false">
      <c r="A1646" s="20"/>
      <c r="B1646" s="19"/>
      <c r="C1646" s="19"/>
      <c r="D1646" s="19"/>
      <c r="E1646" s="19"/>
      <c r="F1646" s="19"/>
      <c r="G1646" s="21"/>
      <c r="H1646" s="19"/>
      <c r="I1646" s="23" t="str">
        <f aca="false">IF(A1646="","",TEXT(A1646,"yyyy-mm"))</f>
        <v/>
      </c>
    </row>
    <row r="1647" customFormat="false" ht="15" hidden="false" customHeight="false" outlineLevel="0" collapsed="false">
      <c r="A1647" s="20"/>
      <c r="B1647" s="19"/>
      <c r="C1647" s="19"/>
      <c r="D1647" s="19"/>
      <c r="E1647" s="19"/>
      <c r="F1647" s="19"/>
      <c r="G1647" s="21"/>
      <c r="H1647" s="19"/>
      <c r="I1647" s="23" t="str">
        <f aca="false">IF(A1647="","",TEXT(A1647,"yyyy-mm"))</f>
        <v/>
      </c>
    </row>
    <row r="1648" customFormat="false" ht="15" hidden="false" customHeight="false" outlineLevel="0" collapsed="false">
      <c r="A1648" s="20"/>
      <c r="B1648" s="19"/>
      <c r="C1648" s="19"/>
      <c r="D1648" s="19"/>
      <c r="E1648" s="19"/>
      <c r="F1648" s="19"/>
      <c r="G1648" s="21"/>
      <c r="H1648" s="19"/>
      <c r="I1648" s="23" t="str">
        <f aca="false">IF(A1648="","",TEXT(A1648,"yyyy-mm"))</f>
        <v/>
      </c>
    </row>
    <row r="1649" customFormat="false" ht="15" hidden="false" customHeight="false" outlineLevel="0" collapsed="false">
      <c r="A1649" s="20"/>
      <c r="B1649" s="19"/>
      <c r="C1649" s="19"/>
      <c r="D1649" s="19"/>
      <c r="E1649" s="19"/>
      <c r="F1649" s="19"/>
      <c r="G1649" s="21"/>
      <c r="H1649" s="19"/>
      <c r="I1649" s="23" t="str">
        <f aca="false">IF(A1649="","",TEXT(A1649,"yyyy-mm"))</f>
        <v/>
      </c>
    </row>
    <row r="1650" customFormat="false" ht="15" hidden="false" customHeight="false" outlineLevel="0" collapsed="false">
      <c r="A1650" s="20"/>
      <c r="B1650" s="19"/>
      <c r="C1650" s="19"/>
      <c r="D1650" s="19"/>
      <c r="E1650" s="19"/>
      <c r="F1650" s="19"/>
      <c r="G1650" s="21"/>
      <c r="H1650" s="19"/>
      <c r="I1650" s="23" t="str">
        <f aca="false">IF(A1650="","",TEXT(A1650,"yyyy-mm"))</f>
        <v/>
      </c>
    </row>
    <row r="1651" customFormat="false" ht="15" hidden="false" customHeight="false" outlineLevel="0" collapsed="false">
      <c r="A1651" s="20"/>
      <c r="B1651" s="19"/>
      <c r="C1651" s="19"/>
      <c r="D1651" s="19"/>
      <c r="E1651" s="19"/>
      <c r="F1651" s="19"/>
      <c r="G1651" s="21"/>
      <c r="H1651" s="19"/>
      <c r="I1651" s="23" t="str">
        <f aca="false">IF(A1651="","",TEXT(A1651,"yyyy-mm"))</f>
        <v/>
      </c>
    </row>
    <row r="1652" customFormat="false" ht="15" hidden="false" customHeight="false" outlineLevel="0" collapsed="false">
      <c r="A1652" s="20"/>
      <c r="B1652" s="19"/>
      <c r="C1652" s="19"/>
      <c r="D1652" s="19"/>
      <c r="E1652" s="19"/>
      <c r="F1652" s="19"/>
      <c r="G1652" s="21"/>
      <c r="H1652" s="19"/>
      <c r="I1652" s="23" t="str">
        <f aca="false">IF(A1652="","",TEXT(A1652,"yyyy-mm"))</f>
        <v/>
      </c>
    </row>
    <row r="1653" customFormat="false" ht="15" hidden="false" customHeight="false" outlineLevel="0" collapsed="false">
      <c r="A1653" s="20"/>
      <c r="B1653" s="19"/>
      <c r="C1653" s="19"/>
      <c r="D1653" s="19"/>
      <c r="E1653" s="19"/>
      <c r="F1653" s="19"/>
      <c r="G1653" s="21"/>
      <c r="H1653" s="19"/>
      <c r="I1653" s="23" t="str">
        <f aca="false">IF(A1653="","",TEXT(A1653,"yyyy-mm"))</f>
        <v/>
      </c>
    </row>
    <row r="1654" customFormat="false" ht="15" hidden="false" customHeight="false" outlineLevel="0" collapsed="false">
      <c r="A1654" s="20"/>
      <c r="B1654" s="19"/>
      <c r="C1654" s="19"/>
      <c r="D1654" s="19"/>
      <c r="E1654" s="19"/>
      <c r="F1654" s="19"/>
      <c r="G1654" s="21"/>
      <c r="H1654" s="19"/>
      <c r="I1654" s="23" t="str">
        <f aca="false">IF(A1654="","",TEXT(A1654,"yyyy-mm"))</f>
        <v/>
      </c>
    </row>
    <row r="1655" customFormat="false" ht="15" hidden="false" customHeight="false" outlineLevel="0" collapsed="false">
      <c r="A1655" s="20"/>
      <c r="B1655" s="19"/>
      <c r="C1655" s="19"/>
      <c r="D1655" s="19"/>
      <c r="E1655" s="19"/>
      <c r="F1655" s="19"/>
      <c r="G1655" s="21"/>
      <c r="H1655" s="19"/>
      <c r="I1655" s="23" t="str">
        <f aca="false">IF(A1655="","",TEXT(A1655,"yyyy-mm"))</f>
        <v/>
      </c>
    </row>
    <row r="1656" customFormat="false" ht="15" hidden="false" customHeight="false" outlineLevel="0" collapsed="false">
      <c r="A1656" s="20"/>
      <c r="B1656" s="19"/>
      <c r="C1656" s="19"/>
      <c r="D1656" s="19"/>
      <c r="E1656" s="19"/>
      <c r="F1656" s="19"/>
      <c r="G1656" s="21"/>
      <c r="H1656" s="19"/>
      <c r="I1656" s="23" t="str">
        <f aca="false">IF(A1656="","",TEXT(A1656,"yyyy-mm"))</f>
        <v/>
      </c>
    </row>
    <row r="1657" customFormat="false" ht="15" hidden="false" customHeight="false" outlineLevel="0" collapsed="false">
      <c r="A1657" s="20"/>
      <c r="B1657" s="19"/>
      <c r="C1657" s="19"/>
      <c r="D1657" s="19"/>
      <c r="E1657" s="19"/>
      <c r="F1657" s="19"/>
      <c r="G1657" s="21"/>
      <c r="H1657" s="19"/>
      <c r="I1657" s="23" t="str">
        <f aca="false">IF(A1657="","",TEXT(A1657,"yyyy-mm"))</f>
        <v/>
      </c>
    </row>
    <row r="1658" customFormat="false" ht="15" hidden="false" customHeight="false" outlineLevel="0" collapsed="false">
      <c r="A1658" s="20"/>
      <c r="B1658" s="19"/>
      <c r="C1658" s="19"/>
      <c r="D1658" s="19"/>
      <c r="E1658" s="19"/>
      <c r="F1658" s="19"/>
      <c r="G1658" s="21"/>
      <c r="H1658" s="19"/>
      <c r="I1658" s="23" t="str">
        <f aca="false">IF(A1658="","",TEXT(A1658,"yyyy-mm"))</f>
        <v/>
      </c>
    </row>
    <row r="1659" customFormat="false" ht="15" hidden="false" customHeight="false" outlineLevel="0" collapsed="false">
      <c r="A1659" s="20"/>
      <c r="B1659" s="19"/>
      <c r="C1659" s="19"/>
      <c r="D1659" s="19"/>
      <c r="E1659" s="19"/>
      <c r="F1659" s="19"/>
      <c r="G1659" s="21"/>
      <c r="H1659" s="19"/>
      <c r="I1659" s="23" t="str">
        <f aca="false">IF(A1659="","",TEXT(A1659,"yyyy-mm"))</f>
        <v/>
      </c>
    </row>
    <row r="1660" customFormat="false" ht="15" hidden="false" customHeight="false" outlineLevel="0" collapsed="false">
      <c r="A1660" s="20"/>
      <c r="B1660" s="19"/>
      <c r="C1660" s="19"/>
      <c r="D1660" s="19"/>
      <c r="E1660" s="19"/>
      <c r="F1660" s="19"/>
      <c r="G1660" s="21"/>
      <c r="H1660" s="19"/>
      <c r="I1660" s="23" t="str">
        <f aca="false">IF(A1660="","",TEXT(A1660,"yyyy-mm"))</f>
        <v/>
      </c>
    </row>
    <row r="1661" customFormat="false" ht="15" hidden="false" customHeight="false" outlineLevel="0" collapsed="false">
      <c r="A1661" s="20"/>
      <c r="B1661" s="19"/>
      <c r="C1661" s="19"/>
      <c r="D1661" s="19"/>
      <c r="E1661" s="19"/>
      <c r="F1661" s="19"/>
      <c r="G1661" s="21"/>
      <c r="H1661" s="19"/>
      <c r="I1661" s="23" t="str">
        <f aca="false">IF(A1661="","",TEXT(A1661,"yyyy-mm"))</f>
        <v/>
      </c>
    </row>
    <row r="1662" customFormat="false" ht="15" hidden="false" customHeight="false" outlineLevel="0" collapsed="false">
      <c r="A1662" s="20"/>
      <c r="B1662" s="19"/>
      <c r="C1662" s="19"/>
      <c r="D1662" s="19"/>
      <c r="E1662" s="19"/>
      <c r="F1662" s="19"/>
      <c r="G1662" s="21"/>
      <c r="H1662" s="19"/>
      <c r="I1662" s="23" t="str">
        <f aca="false">IF(A1662="","",TEXT(A1662,"yyyy-mm"))</f>
        <v/>
      </c>
    </row>
    <row r="1663" customFormat="false" ht="15" hidden="false" customHeight="false" outlineLevel="0" collapsed="false">
      <c r="A1663" s="20"/>
      <c r="B1663" s="19"/>
      <c r="C1663" s="19"/>
      <c r="D1663" s="19"/>
      <c r="E1663" s="19"/>
      <c r="F1663" s="19"/>
      <c r="G1663" s="21"/>
      <c r="H1663" s="19"/>
      <c r="I1663" s="23" t="str">
        <f aca="false">IF(A1663="","",TEXT(A1663,"yyyy-mm"))</f>
        <v/>
      </c>
    </row>
    <row r="1664" customFormat="false" ht="15" hidden="false" customHeight="false" outlineLevel="0" collapsed="false">
      <c r="A1664" s="20"/>
      <c r="B1664" s="19"/>
      <c r="C1664" s="19"/>
      <c r="D1664" s="19"/>
      <c r="E1664" s="19"/>
      <c r="F1664" s="19"/>
      <c r="G1664" s="21"/>
      <c r="H1664" s="19"/>
      <c r="I1664" s="23" t="str">
        <f aca="false">IF(A1664="","",TEXT(A1664,"yyyy-mm"))</f>
        <v/>
      </c>
    </row>
    <row r="1665" customFormat="false" ht="15" hidden="false" customHeight="false" outlineLevel="0" collapsed="false">
      <c r="A1665" s="20"/>
      <c r="B1665" s="19"/>
      <c r="C1665" s="19"/>
      <c r="D1665" s="19"/>
      <c r="E1665" s="19"/>
      <c r="F1665" s="19"/>
      <c r="G1665" s="21"/>
      <c r="H1665" s="19"/>
      <c r="I1665" s="23" t="str">
        <f aca="false">IF(A1665="","",TEXT(A1665,"yyyy-mm"))</f>
        <v/>
      </c>
    </row>
    <row r="1666" customFormat="false" ht="15" hidden="false" customHeight="false" outlineLevel="0" collapsed="false">
      <c r="A1666" s="20"/>
      <c r="B1666" s="19"/>
      <c r="C1666" s="19"/>
      <c r="D1666" s="19"/>
      <c r="E1666" s="19"/>
      <c r="F1666" s="19"/>
      <c r="G1666" s="21"/>
      <c r="H1666" s="19"/>
      <c r="I1666" s="23" t="str">
        <f aca="false">IF(A1666="","",TEXT(A1666,"yyyy-mm"))</f>
        <v/>
      </c>
    </row>
    <row r="1667" customFormat="false" ht="15" hidden="false" customHeight="false" outlineLevel="0" collapsed="false">
      <c r="A1667" s="20"/>
      <c r="B1667" s="19"/>
      <c r="C1667" s="19"/>
      <c r="D1667" s="19"/>
      <c r="E1667" s="19"/>
      <c r="F1667" s="19"/>
      <c r="G1667" s="21"/>
      <c r="H1667" s="19"/>
      <c r="I1667" s="23" t="str">
        <f aca="false">IF(A1667="","",TEXT(A1667,"yyyy-mm"))</f>
        <v/>
      </c>
    </row>
    <row r="1668" customFormat="false" ht="15" hidden="false" customHeight="false" outlineLevel="0" collapsed="false">
      <c r="A1668" s="20"/>
      <c r="B1668" s="19"/>
      <c r="C1668" s="19"/>
      <c r="D1668" s="19"/>
      <c r="E1668" s="19"/>
      <c r="F1668" s="19"/>
      <c r="G1668" s="21"/>
      <c r="H1668" s="19"/>
      <c r="I1668" s="23" t="str">
        <f aca="false">IF(A1668="","",TEXT(A1668,"yyyy-mm"))</f>
        <v/>
      </c>
    </row>
    <row r="1669" customFormat="false" ht="15" hidden="false" customHeight="false" outlineLevel="0" collapsed="false">
      <c r="A1669" s="20"/>
      <c r="B1669" s="19"/>
      <c r="C1669" s="19"/>
      <c r="D1669" s="19"/>
      <c r="E1669" s="19"/>
      <c r="F1669" s="19"/>
      <c r="G1669" s="21"/>
      <c r="H1669" s="19"/>
      <c r="I1669" s="23" t="str">
        <f aca="false">IF(A1669="","",TEXT(A1669,"yyyy-mm"))</f>
        <v/>
      </c>
    </row>
    <row r="1670" customFormat="false" ht="15" hidden="false" customHeight="false" outlineLevel="0" collapsed="false">
      <c r="A1670" s="20"/>
      <c r="B1670" s="19"/>
      <c r="C1670" s="19"/>
      <c r="D1670" s="19"/>
      <c r="E1670" s="19"/>
      <c r="F1670" s="19"/>
      <c r="G1670" s="21"/>
      <c r="H1670" s="19"/>
      <c r="I1670" s="23" t="str">
        <f aca="false">IF(A1670="","",TEXT(A1670,"yyyy-mm"))</f>
        <v/>
      </c>
    </row>
    <row r="1671" customFormat="false" ht="15" hidden="false" customHeight="false" outlineLevel="0" collapsed="false">
      <c r="A1671" s="20"/>
      <c r="B1671" s="19"/>
      <c r="C1671" s="19"/>
      <c r="D1671" s="19"/>
      <c r="E1671" s="19"/>
      <c r="F1671" s="19"/>
      <c r="G1671" s="21"/>
      <c r="H1671" s="19"/>
      <c r="I1671" s="23" t="str">
        <f aca="false">IF(A1671="","",TEXT(A1671,"yyyy-mm"))</f>
        <v/>
      </c>
    </row>
    <row r="1672" customFormat="false" ht="15" hidden="false" customHeight="false" outlineLevel="0" collapsed="false">
      <c r="A1672" s="20"/>
      <c r="B1672" s="19"/>
      <c r="C1672" s="19"/>
      <c r="D1672" s="19"/>
      <c r="E1672" s="19"/>
      <c r="F1672" s="19"/>
      <c r="G1672" s="21"/>
      <c r="H1672" s="19"/>
      <c r="I1672" s="23" t="str">
        <f aca="false">IF(A1672="","",TEXT(A1672,"yyyy-mm"))</f>
        <v/>
      </c>
    </row>
    <row r="1673" customFormat="false" ht="15" hidden="false" customHeight="false" outlineLevel="0" collapsed="false">
      <c r="A1673" s="20"/>
      <c r="B1673" s="19"/>
      <c r="C1673" s="19"/>
      <c r="D1673" s="19"/>
      <c r="E1673" s="19"/>
      <c r="F1673" s="19"/>
      <c r="G1673" s="21"/>
      <c r="H1673" s="19"/>
      <c r="I1673" s="23" t="str">
        <f aca="false">IF(A1673="","",TEXT(A1673,"yyyy-mm"))</f>
        <v/>
      </c>
    </row>
    <row r="1674" customFormat="false" ht="15" hidden="false" customHeight="false" outlineLevel="0" collapsed="false">
      <c r="A1674" s="20"/>
      <c r="B1674" s="19"/>
      <c r="C1674" s="19"/>
      <c r="D1674" s="19"/>
      <c r="E1674" s="19"/>
      <c r="F1674" s="19"/>
      <c r="G1674" s="21"/>
      <c r="H1674" s="19"/>
      <c r="I1674" s="23" t="str">
        <f aca="false">IF(A1674="","",TEXT(A1674,"yyyy-mm"))</f>
        <v/>
      </c>
    </row>
    <row r="1675" customFormat="false" ht="15" hidden="false" customHeight="false" outlineLevel="0" collapsed="false">
      <c r="A1675" s="20"/>
      <c r="B1675" s="19"/>
      <c r="C1675" s="19"/>
      <c r="D1675" s="19"/>
      <c r="E1675" s="19"/>
      <c r="F1675" s="19"/>
      <c r="G1675" s="21"/>
      <c r="H1675" s="19"/>
      <c r="I1675" s="23" t="str">
        <f aca="false">IF(A1675="","",TEXT(A1675,"yyyy-mm"))</f>
        <v/>
      </c>
    </row>
    <row r="1676" customFormat="false" ht="15" hidden="false" customHeight="false" outlineLevel="0" collapsed="false">
      <c r="A1676" s="20"/>
      <c r="B1676" s="19"/>
      <c r="C1676" s="19"/>
      <c r="D1676" s="19"/>
      <c r="E1676" s="19"/>
      <c r="F1676" s="19"/>
      <c r="G1676" s="21"/>
      <c r="H1676" s="19"/>
      <c r="I1676" s="23" t="str">
        <f aca="false">IF(A1676="","",TEXT(A1676,"yyyy-mm"))</f>
        <v/>
      </c>
    </row>
    <row r="1677" customFormat="false" ht="15" hidden="false" customHeight="false" outlineLevel="0" collapsed="false">
      <c r="A1677" s="20"/>
      <c r="B1677" s="19"/>
      <c r="C1677" s="19"/>
      <c r="D1677" s="19"/>
      <c r="E1677" s="19"/>
      <c r="F1677" s="19"/>
      <c r="G1677" s="21"/>
      <c r="H1677" s="19"/>
      <c r="I1677" s="23" t="str">
        <f aca="false">IF(A1677="","",TEXT(A1677,"yyyy-mm"))</f>
        <v/>
      </c>
    </row>
    <row r="1678" customFormat="false" ht="15" hidden="false" customHeight="false" outlineLevel="0" collapsed="false">
      <c r="A1678" s="20"/>
      <c r="B1678" s="19"/>
      <c r="C1678" s="19"/>
      <c r="D1678" s="19"/>
      <c r="E1678" s="19"/>
      <c r="F1678" s="19"/>
      <c r="G1678" s="21"/>
      <c r="H1678" s="19"/>
      <c r="I1678" s="23" t="str">
        <f aca="false">IF(A1678="","",TEXT(A1678,"yyyy-mm"))</f>
        <v/>
      </c>
    </row>
    <row r="1679" customFormat="false" ht="15" hidden="false" customHeight="false" outlineLevel="0" collapsed="false">
      <c r="A1679" s="20"/>
      <c r="B1679" s="19"/>
      <c r="C1679" s="19"/>
      <c r="D1679" s="19"/>
      <c r="E1679" s="19"/>
      <c r="F1679" s="19"/>
      <c r="G1679" s="21"/>
      <c r="H1679" s="19"/>
      <c r="I1679" s="23" t="str">
        <f aca="false">IF(A1679="","",TEXT(A1679,"yyyy-mm"))</f>
        <v/>
      </c>
    </row>
    <row r="1680" customFormat="false" ht="15" hidden="false" customHeight="false" outlineLevel="0" collapsed="false">
      <c r="A1680" s="20"/>
      <c r="B1680" s="19"/>
      <c r="C1680" s="19"/>
      <c r="D1680" s="19"/>
      <c r="E1680" s="19"/>
      <c r="F1680" s="19"/>
      <c r="G1680" s="21"/>
      <c r="H1680" s="19"/>
      <c r="I1680" s="23" t="str">
        <f aca="false">IF(A1680="","",TEXT(A1680,"yyyy-mm"))</f>
        <v/>
      </c>
    </row>
    <row r="1681" customFormat="false" ht="15" hidden="false" customHeight="false" outlineLevel="0" collapsed="false">
      <c r="A1681" s="20"/>
      <c r="B1681" s="19"/>
      <c r="C1681" s="19"/>
      <c r="D1681" s="19"/>
      <c r="E1681" s="19"/>
      <c r="F1681" s="19"/>
      <c r="G1681" s="21"/>
      <c r="H1681" s="19"/>
      <c r="I1681" s="23" t="str">
        <f aca="false">IF(A1681="","",TEXT(A1681,"yyyy-mm"))</f>
        <v/>
      </c>
    </row>
    <row r="1682" customFormat="false" ht="15" hidden="false" customHeight="false" outlineLevel="0" collapsed="false">
      <c r="A1682" s="20"/>
      <c r="B1682" s="19"/>
      <c r="C1682" s="19"/>
      <c r="D1682" s="19"/>
      <c r="E1682" s="19"/>
      <c r="F1682" s="19"/>
      <c r="G1682" s="21"/>
      <c r="H1682" s="19"/>
      <c r="I1682" s="23" t="str">
        <f aca="false">IF(A1682="","",TEXT(A1682,"yyyy-mm"))</f>
        <v/>
      </c>
    </row>
    <row r="1683" customFormat="false" ht="15" hidden="false" customHeight="false" outlineLevel="0" collapsed="false">
      <c r="A1683" s="20"/>
      <c r="B1683" s="19"/>
      <c r="C1683" s="19"/>
      <c r="D1683" s="19"/>
      <c r="E1683" s="19"/>
      <c r="F1683" s="19"/>
      <c r="G1683" s="21"/>
      <c r="H1683" s="19"/>
      <c r="I1683" s="23" t="str">
        <f aca="false">IF(A1683="","",TEXT(A1683,"yyyy-mm"))</f>
        <v/>
      </c>
    </row>
    <row r="1684" customFormat="false" ht="15" hidden="false" customHeight="false" outlineLevel="0" collapsed="false">
      <c r="A1684" s="20"/>
      <c r="B1684" s="19"/>
      <c r="C1684" s="19"/>
      <c r="D1684" s="19"/>
      <c r="E1684" s="19"/>
      <c r="F1684" s="19"/>
      <c r="G1684" s="21"/>
      <c r="H1684" s="19"/>
      <c r="I1684" s="23" t="str">
        <f aca="false">IF(A1684="","",TEXT(A1684,"yyyy-mm"))</f>
        <v/>
      </c>
    </row>
    <row r="1685" customFormat="false" ht="15" hidden="false" customHeight="false" outlineLevel="0" collapsed="false">
      <c r="A1685" s="20"/>
      <c r="B1685" s="19"/>
      <c r="C1685" s="19"/>
      <c r="D1685" s="19"/>
      <c r="E1685" s="19"/>
      <c r="F1685" s="19"/>
      <c r="G1685" s="21"/>
      <c r="H1685" s="19"/>
      <c r="I1685" s="23" t="str">
        <f aca="false">IF(A1685="","",TEXT(A1685,"yyyy-mm"))</f>
        <v/>
      </c>
    </row>
    <row r="1686" customFormat="false" ht="15" hidden="false" customHeight="false" outlineLevel="0" collapsed="false">
      <c r="A1686" s="20"/>
      <c r="B1686" s="19"/>
      <c r="C1686" s="19"/>
      <c r="D1686" s="19"/>
      <c r="E1686" s="19"/>
      <c r="F1686" s="19"/>
      <c r="G1686" s="21"/>
      <c r="H1686" s="19"/>
      <c r="I1686" s="23" t="str">
        <f aca="false">IF(A1686="","",TEXT(A1686,"yyyy-mm"))</f>
        <v/>
      </c>
    </row>
    <row r="1687" customFormat="false" ht="15" hidden="false" customHeight="false" outlineLevel="0" collapsed="false">
      <c r="A1687" s="20"/>
      <c r="B1687" s="19"/>
      <c r="C1687" s="19"/>
      <c r="D1687" s="19"/>
      <c r="E1687" s="19"/>
      <c r="F1687" s="19"/>
      <c r="G1687" s="21"/>
      <c r="H1687" s="19"/>
      <c r="I1687" s="23" t="str">
        <f aca="false">IF(A1687="","",TEXT(A1687,"yyyy-mm"))</f>
        <v/>
      </c>
    </row>
    <row r="1688" customFormat="false" ht="15" hidden="false" customHeight="false" outlineLevel="0" collapsed="false">
      <c r="A1688" s="20"/>
      <c r="B1688" s="19"/>
      <c r="C1688" s="19"/>
      <c r="D1688" s="19"/>
      <c r="E1688" s="19"/>
      <c r="F1688" s="19"/>
      <c r="G1688" s="21"/>
      <c r="H1688" s="19"/>
      <c r="I1688" s="23" t="str">
        <f aca="false">IF(A1688="","",TEXT(A1688,"yyyy-mm"))</f>
        <v/>
      </c>
    </row>
    <row r="1689" customFormat="false" ht="15" hidden="false" customHeight="false" outlineLevel="0" collapsed="false">
      <c r="A1689" s="20"/>
      <c r="B1689" s="19"/>
      <c r="C1689" s="19"/>
      <c r="D1689" s="19"/>
      <c r="E1689" s="19"/>
      <c r="F1689" s="19"/>
      <c r="G1689" s="21"/>
      <c r="H1689" s="19"/>
      <c r="I1689" s="23" t="str">
        <f aca="false">IF(A1689="","",TEXT(A1689,"yyyy-mm"))</f>
        <v/>
      </c>
    </row>
    <row r="1690" customFormat="false" ht="15" hidden="false" customHeight="false" outlineLevel="0" collapsed="false">
      <c r="A1690" s="20"/>
      <c r="B1690" s="19"/>
      <c r="C1690" s="19"/>
      <c r="D1690" s="19"/>
      <c r="E1690" s="19"/>
      <c r="F1690" s="19"/>
      <c r="G1690" s="21"/>
      <c r="H1690" s="19"/>
      <c r="I1690" s="23" t="str">
        <f aca="false">IF(A1690="","",TEXT(A1690,"yyyy-mm"))</f>
        <v/>
      </c>
    </row>
    <row r="1691" customFormat="false" ht="15" hidden="false" customHeight="false" outlineLevel="0" collapsed="false">
      <c r="A1691" s="20"/>
      <c r="B1691" s="19"/>
      <c r="C1691" s="19"/>
      <c r="D1691" s="19"/>
      <c r="E1691" s="19"/>
      <c r="F1691" s="19"/>
      <c r="G1691" s="21"/>
      <c r="H1691" s="19"/>
      <c r="I1691" s="23" t="str">
        <f aca="false">IF(A1691="","",TEXT(A1691,"yyyy-mm"))</f>
        <v/>
      </c>
    </row>
    <row r="1692" customFormat="false" ht="15" hidden="false" customHeight="false" outlineLevel="0" collapsed="false">
      <c r="A1692" s="20"/>
      <c r="B1692" s="19"/>
      <c r="C1692" s="19"/>
      <c r="D1692" s="19"/>
      <c r="E1692" s="19"/>
      <c r="F1692" s="19"/>
      <c r="G1692" s="21"/>
      <c r="H1692" s="19"/>
      <c r="I1692" s="23" t="str">
        <f aca="false">IF(A1692="","",TEXT(A1692,"yyyy-mm"))</f>
        <v/>
      </c>
    </row>
    <row r="1693" customFormat="false" ht="15" hidden="false" customHeight="false" outlineLevel="0" collapsed="false">
      <c r="A1693" s="20"/>
      <c r="B1693" s="19"/>
      <c r="C1693" s="19"/>
      <c r="D1693" s="19"/>
      <c r="E1693" s="19"/>
      <c r="F1693" s="19"/>
      <c r="G1693" s="21"/>
      <c r="H1693" s="19"/>
      <c r="I1693" s="23" t="str">
        <f aca="false">IF(A1693="","",TEXT(A1693,"yyyy-mm"))</f>
        <v/>
      </c>
    </row>
    <row r="1694" customFormat="false" ht="15" hidden="false" customHeight="false" outlineLevel="0" collapsed="false">
      <c r="A1694" s="20"/>
      <c r="B1694" s="19"/>
      <c r="C1694" s="19"/>
      <c r="D1694" s="19"/>
      <c r="E1694" s="19"/>
      <c r="F1694" s="19"/>
      <c r="G1694" s="21"/>
      <c r="H1694" s="19"/>
      <c r="I1694" s="23" t="str">
        <f aca="false">IF(A1694="","",TEXT(A1694,"yyyy-mm"))</f>
        <v/>
      </c>
    </row>
    <row r="1695" customFormat="false" ht="15" hidden="false" customHeight="false" outlineLevel="0" collapsed="false">
      <c r="A1695" s="20"/>
      <c r="B1695" s="19"/>
      <c r="C1695" s="19"/>
      <c r="D1695" s="19"/>
      <c r="E1695" s="19"/>
      <c r="F1695" s="19"/>
      <c r="G1695" s="21"/>
      <c r="H1695" s="19"/>
      <c r="I1695" s="23" t="str">
        <f aca="false">IF(A1695="","",TEXT(A1695,"yyyy-mm"))</f>
        <v/>
      </c>
    </row>
    <row r="1696" customFormat="false" ht="15" hidden="false" customHeight="false" outlineLevel="0" collapsed="false">
      <c r="A1696" s="20"/>
      <c r="B1696" s="19"/>
      <c r="C1696" s="19"/>
      <c r="D1696" s="19"/>
      <c r="E1696" s="19"/>
      <c r="F1696" s="19"/>
      <c r="G1696" s="21"/>
      <c r="H1696" s="19"/>
      <c r="I1696" s="23" t="str">
        <f aca="false">IF(A1696="","",TEXT(A1696,"yyyy-mm"))</f>
        <v/>
      </c>
    </row>
    <row r="1697" customFormat="false" ht="15" hidden="false" customHeight="false" outlineLevel="0" collapsed="false">
      <c r="A1697" s="20"/>
      <c r="B1697" s="19"/>
      <c r="C1697" s="19"/>
      <c r="D1697" s="19"/>
      <c r="E1697" s="19"/>
      <c r="F1697" s="19"/>
      <c r="G1697" s="21"/>
      <c r="H1697" s="19"/>
      <c r="I1697" s="23" t="str">
        <f aca="false">IF(A1697="","",TEXT(A1697,"yyyy-mm"))</f>
        <v/>
      </c>
    </row>
    <row r="1698" customFormat="false" ht="15" hidden="false" customHeight="false" outlineLevel="0" collapsed="false">
      <c r="A1698" s="20"/>
      <c r="B1698" s="19"/>
      <c r="C1698" s="19"/>
      <c r="D1698" s="19"/>
      <c r="E1698" s="19"/>
      <c r="F1698" s="19"/>
      <c r="G1698" s="21"/>
      <c r="H1698" s="19"/>
      <c r="I1698" s="23" t="str">
        <f aca="false">IF(A1698="","",TEXT(A1698,"yyyy-mm"))</f>
        <v/>
      </c>
    </row>
    <row r="1699" customFormat="false" ht="15" hidden="false" customHeight="false" outlineLevel="0" collapsed="false">
      <c r="A1699" s="20"/>
      <c r="B1699" s="19"/>
      <c r="C1699" s="19"/>
      <c r="D1699" s="19"/>
      <c r="E1699" s="19"/>
      <c r="F1699" s="19"/>
      <c r="G1699" s="21"/>
      <c r="H1699" s="19"/>
      <c r="I1699" s="23" t="str">
        <f aca="false">IF(A1699="","",TEXT(A1699,"yyyy-mm"))</f>
        <v/>
      </c>
    </row>
    <row r="1700" customFormat="false" ht="15" hidden="false" customHeight="false" outlineLevel="0" collapsed="false">
      <c r="A1700" s="20"/>
      <c r="B1700" s="19"/>
      <c r="C1700" s="19"/>
      <c r="D1700" s="19"/>
      <c r="E1700" s="19"/>
      <c r="F1700" s="19"/>
      <c r="G1700" s="21"/>
      <c r="H1700" s="19"/>
      <c r="I1700" s="23" t="str">
        <f aca="false">IF(A1700="","",TEXT(A1700,"yyyy-mm"))</f>
        <v/>
      </c>
    </row>
    <row r="1701" customFormat="false" ht="15" hidden="false" customHeight="false" outlineLevel="0" collapsed="false">
      <c r="A1701" s="20"/>
      <c r="B1701" s="19"/>
      <c r="C1701" s="19"/>
      <c r="D1701" s="19"/>
      <c r="E1701" s="19"/>
      <c r="F1701" s="19"/>
      <c r="G1701" s="21"/>
      <c r="H1701" s="19"/>
      <c r="I1701" s="23" t="str">
        <f aca="false">IF(A1701="","",TEXT(A1701,"yyyy-mm"))</f>
        <v/>
      </c>
    </row>
    <row r="1702" customFormat="false" ht="15" hidden="false" customHeight="false" outlineLevel="0" collapsed="false">
      <c r="A1702" s="20"/>
      <c r="B1702" s="19"/>
      <c r="C1702" s="19"/>
      <c r="D1702" s="19"/>
      <c r="E1702" s="19"/>
      <c r="F1702" s="19"/>
      <c r="G1702" s="21"/>
      <c r="H1702" s="19"/>
      <c r="I1702" s="23" t="str">
        <f aca="false">IF(A1702="","",TEXT(A1702,"yyyy-mm"))</f>
        <v/>
      </c>
    </row>
    <row r="1703" customFormat="false" ht="15" hidden="false" customHeight="false" outlineLevel="0" collapsed="false">
      <c r="A1703" s="20"/>
      <c r="B1703" s="19"/>
      <c r="C1703" s="19"/>
      <c r="D1703" s="19"/>
      <c r="E1703" s="19"/>
      <c r="F1703" s="19"/>
      <c r="G1703" s="21"/>
      <c r="H1703" s="19"/>
      <c r="I1703" s="23" t="str">
        <f aca="false">IF(A1703="","",TEXT(A1703,"yyyy-mm"))</f>
        <v/>
      </c>
    </row>
    <row r="1704" customFormat="false" ht="15" hidden="false" customHeight="false" outlineLevel="0" collapsed="false">
      <c r="A1704" s="20"/>
      <c r="B1704" s="19"/>
      <c r="C1704" s="19"/>
      <c r="D1704" s="19"/>
      <c r="E1704" s="19"/>
      <c r="F1704" s="19"/>
      <c r="G1704" s="21"/>
      <c r="H1704" s="19"/>
      <c r="I1704" s="23" t="str">
        <f aca="false">IF(A1704="","",TEXT(A1704,"yyyy-mm"))</f>
        <v/>
      </c>
    </row>
    <row r="1705" customFormat="false" ht="15" hidden="false" customHeight="false" outlineLevel="0" collapsed="false">
      <c r="A1705" s="20"/>
      <c r="B1705" s="19"/>
      <c r="C1705" s="19"/>
      <c r="D1705" s="19"/>
      <c r="E1705" s="19"/>
      <c r="F1705" s="19"/>
      <c r="G1705" s="21"/>
      <c r="H1705" s="19"/>
      <c r="I1705" s="23" t="str">
        <f aca="false">IF(A1705="","",TEXT(A1705,"yyyy-mm"))</f>
        <v/>
      </c>
    </row>
    <row r="1706" customFormat="false" ht="15" hidden="false" customHeight="false" outlineLevel="0" collapsed="false">
      <c r="A1706" s="20"/>
      <c r="B1706" s="19"/>
      <c r="C1706" s="19"/>
      <c r="D1706" s="19"/>
      <c r="E1706" s="19"/>
      <c r="F1706" s="19"/>
      <c r="G1706" s="21"/>
      <c r="H1706" s="19"/>
      <c r="I1706" s="23" t="str">
        <f aca="false">IF(A1706="","",TEXT(A1706,"yyyy-mm"))</f>
        <v/>
      </c>
    </row>
    <row r="1707" customFormat="false" ht="15" hidden="false" customHeight="false" outlineLevel="0" collapsed="false">
      <c r="A1707" s="20"/>
      <c r="B1707" s="19"/>
      <c r="C1707" s="19"/>
      <c r="D1707" s="19"/>
      <c r="E1707" s="19"/>
      <c r="F1707" s="19"/>
      <c r="G1707" s="21"/>
      <c r="H1707" s="19"/>
      <c r="I1707" s="23" t="str">
        <f aca="false">IF(A1707="","",TEXT(A1707,"yyyy-mm"))</f>
        <v/>
      </c>
    </row>
    <row r="1708" customFormat="false" ht="15" hidden="false" customHeight="false" outlineLevel="0" collapsed="false">
      <c r="A1708" s="20"/>
      <c r="B1708" s="19"/>
      <c r="C1708" s="19"/>
      <c r="D1708" s="19"/>
      <c r="E1708" s="19"/>
      <c r="F1708" s="19"/>
      <c r="G1708" s="21"/>
      <c r="H1708" s="19"/>
      <c r="I1708" s="23" t="str">
        <f aca="false">IF(A1708="","",TEXT(A1708,"yyyy-mm"))</f>
        <v/>
      </c>
    </row>
    <row r="1709" customFormat="false" ht="15" hidden="false" customHeight="false" outlineLevel="0" collapsed="false">
      <c r="A1709" s="20"/>
      <c r="B1709" s="19"/>
      <c r="C1709" s="19"/>
      <c r="D1709" s="19"/>
      <c r="E1709" s="19"/>
      <c r="F1709" s="19"/>
      <c r="G1709" s="21"/>
      <c r="H1709" s="19"/>
      <c r="I1709" s="23" t="str">
        <f aca="false">IF(A1709="","",TEXT(A1709,"yyyy-mm"))</f>
        <v/>
      </c>
    </row>
    <row r="1710" customFormat="false" ht="15" hidden="false" customHeight="false" outlineLevel="0" collapsed="false">
      <c r="A1710" s="20"/>
      <c r="B1710" s="19"/>
      <c r="C1710" s="19"/>
      <c r="D1710" s="19"/>
      <c r="E1710" s="19"/>
      <c r="F1710" s="19"/>
      <c r="G1710" s="21"/>
      <c r="H1710" s="19"/>
      <c r="I1710" s="23" t="str">
        <f aca="false">IF(A1710="","",TEXT(A1710,"yyyy-mm"))</f>
        <v/>
      </c>
    </row>
    <row r="1711" customFormat="false" ht="15" hidden="false" customHeight="false" outlineLevel="0" collapsed="false">
      <c r="A1711" s="20"/>
      <c r="B1711" s="19"/>
      <c r="C1711" s="19"/>
      <c r="D1711" s="19"/>
      <c r="E1711" s="19"/>
      <c r="F1711" s="19"/>
      <c r="G1711" s="21"/>
      <c r="H1711" s="19"/>
      <c r="I1711" s="23" t="str">
        <f aca="false">IF(A1711="","",TEXT(A1711,"yyyy-mm"))</f>
        <v/>
      </c>
    </row>
    <row r="1712" customFormat="false" ht="15" hidden="false" customHeight="false" outlineLevel="0" collapsed="false">
      <c r="A1712" s="20"/>
      <c r="B1712" s="19"/>
      <c r="C1712" s="19"/>
      <c r="D1712" s="19"/>
      <c r="E1712" s="19"/>
      <c r="F1712" s="19"/>
      <c r="G1712" s="21"/>
      <c r="H1712" s="19"/>
      <c r="I1712" s="23" t="str">
        <f aca="false">IF(A1712="","",TEXT(A1712,"yyyy-mm"))</f>
        <v/>
      </c>
    </row>
    <row r="1713" customFormat="false" ht="15" hidden="false" customHeight="false" outlineLevel="0" collapsed="false">
      <c r="A1713" s="20"/>
      <c r="B1713" s="19"/>
      <c r="C1713" s="19"/>
      <c r="D1713" s="19"/>
      <c r="E1713" s="19"/>
      <c r="F1713" s="19"/>
      <c r="G1713" s="21"/>
      <c r="H1713" s="19"/>
      <c r="I1713" s="23" t="str">
        <f aca="false">IF(A1713="","",TEXT(A1713,"yyyy-mm"))</f>
        <v/>
      </c>
    </row>
    <row r="1714" customFormat="false" ht="15" hidden="false" customHeight="false" outlineLevel="0" collapsed="false">
      <c r="A1714" s="20"/>
      <c r="B1714" s="19"/>
      <c r="C1714" s="19"/>
      <c r="D1714" s="19"/>
      <c r="E1714" s="19"/>
      <c r="F1714" s="19"/>
      <c r="G1714" s="21"/>
      <c r="H1714" s="19"/>
      <c r="I1714" s="23" t="str">
        <f aca="false">IF(A1714="","",TEXT(A1714,"yyyy-mm"))</f>
        <v/>
      </c>
    </row>
    <row r="1715" customFormat="false" ht="15" hidden="false" customHeight="false" outlineLevel="0" collapsed="false">
      <c r="A1715" s="20"/>
      <c r="B1715" s="19"/>
      <c r="C1715" s="19"/>
      <c r="D1715" s="19"/>
      <c r="E1715" s="19"/>
      <c r="F1715" s="19"/>
      <c r="G1715" s="21"/>
      <c r="H1715" s="19"/>
      <c r="I1715" s="23" t="str">
        <f aca="false">IF(A1715="","",TEXT(A1715,"yyyy-mm"))</f>
        <v/>
      </c>
    </row>
    <row r="1716" customFormat="false" ht="15" hidden="false" customHeight="false" outlineLevel="0" collapsed="false">
      <c r="A1716" s="20"/>
      <c r="B1716" s="19"/>
      <c r="C1716" s="19"/>
      <c r="D1716" s="19"/>
      <c r="E1716" s="19"/>
      <c r="F1716" s="19"/>
      <c r="G1716" s="21"/>
      <c r="H1716" s="19"/>
      <c r="I1716" s="23" t="str">
        <f aca="false">IF(A1716="","",TEXT(A1716,"yyyy-mm"))</f>
        <v/>
      </c>
    </row>
    <row r="1717" customFormat="false" ht="15" hidden="false" customHeight="false" outlineLevel="0" collapsed="false">
      <c r="A1717" s="20"/>
      <c r="B1717" s="19"/>
      <c r="C1717" s="19"/>
      <c r="D1717" s="19"/>
      <c r="E1717" s="19"/>
      <c r="F1717" s="19"/>
      <c r="G1717" s="21"/>
      <c r="H1717" s="19"/>
      <c r="I1717" s="23" t="str">
        <f aca="false">IF(A1717="","",TEXT(A1717,"yyyy-mm"))</f>
        <v/>
      </c>
    </row>
    <row r="1718" customFormat="false" ht="15" hidden="false" customHeight="false" outlineLevel="0" collapsed="false">
      <c r="A1718" s="20"/>
      <c r="B1718" s="19"/>
      <c r="C1718" s="19"/>
      <c r="D1718" s="19"/>
      <c r="E1718" s="19"/>
      <c r="F1718" s="19"/>
      <c r="G1718" s="21"/>
      <c r="H1718" s="19"/>
      <c r="I1718" s="23" t="str">
        <f aca="false">IF(A1718="","",TEXT(A1718,"yyyy-mm"))</f>
        <v/>
      </c>
    </row>
    <row r="1719" customFormat="false" ht="15" hidden="false" customHeight="false" outlineLevel="0" collapsed="false">
      <c r="A1719" s="20"/>
      <c r="B1719" s="19"/>
      <c r="C1719" s="19"/>
      <c r="D1719" s="19"/>
      <c r="E1719" s="19"/>
      <c r="F1719" s="19"/>
      <c r="G1719" s="21"/>
      <c r="H1719" s="19"/>
      <c r="I1719" s="23" t="str">
        <f aca="false">IF(A1719="","",TEXT(A1719,"yyyy-mm"))</f>
        <v/>
      </c>
    </row>
    <row r="1720" customFormat="false" ht="15" hidden="false" customHeight="false" outlineLevel="0" collapsed="false">
      <c r="A1720" s="20"/>
      <c r="B1720" s="19"/>
      <c r="C1720" s="19"/>
      <c r="D1720" s="19"/>
      <c r="E1720" s="19"/>
      <c r="F1720" s="19"/>
      <c r="G1720" s="21"/>
      <c r="H1720" s="19"/>
      <c r="I1720" s="23" t="str">
        <f aca="false">IF(A1720="","",TEXT(A1720,"yyyy-mm"))</f>
        <v/>
      </c>
    </row>
    <row r="1721" customFormat="false" ht="15" hidden="false" customHeight="false" outlineLevel="0" collapsed="false">
      <c r="A1721" s="20"/>
      <c r="B1721" s="19"/>
      <c r="C1721" s="19"/>
      <c r="D1721" s="19"/>
      <c r="E1721" s="19"/>
      <c r="F1721" s="19"/>
      <c r="G1721" s="21"/>
      <c r="H1721" s="19"/>
      <c r="I1721" s="23" t="str">
        <f aca="false">IF(A1721="","",TEXT(A1721,"yyyy-mm"))</f>
        <v/>
      </c>
    </row>
    <row r="1722" customFormat="false" ht="15" hidden="false" customHeight="false" outlineLevel="0" collapsed="false">
      <c r="A1722" s="20"/>
      <c r="B1722" s="19"/>
      <c r="C1722" s="19"/>
      <c r="D1722" s="19"/>
      <c r="E1722" s="19"/>
      <c r="F1722" s="19"/>
      <c r="G1722" s="21"/>
      <c r="H1722" s="19"/>
      <c r="I1722" s="23" t="str">
        <f aca="false">IF(A1722="","",TEXT(A1722,"yyyy-mm"))</f>
        <v/>
      </c>
    </row>
    <row r="1723" customFormat="false" ht="15" hidden="false" customHeight="false" outlineLevel="0" collapsed="false">
      <c r="A1723" s="20"/>
      <c r="B1723" s="19"/>
      <c r="C1723" s="19"/>
      <c r="D1723" s="19"/>
      <c r="E1723" s="19"/>
      <c r="F1723" s="19"/>
      <c r="G1723" s="21"/>
      <c r="H1723" s="19"/>
      <c r="I1723" s="23" t="str">
        <f aca="false">IF(A1723="","",TEXT(A1723,"yyyy-mm"))</f>
        <v/>
      </c>
    </row>
    <row r="1724" customFormat="false" ht="15" hidden="false" customHeight="false" outlineLevel="0" collapsed="false">
      <c r="A1724" s="20"/>
      <c r="B1724" s="19"/>
      <c r="C1724" s="19"/>
      <c r="D1724" s="19"/>
      <c r="E1724" s="19"/>
      <c r="F1724" s="19"/>
      <c r="G1724" s="21"/>
      <c r="H1724" s="19"/>
      <c r="I1724" s="23" t="str">
        <f aca="false">IF(A1724="","",TEXT(A1724,"yyyy-mm"))</f>
        <v/>
      </c>
    </row>
    <row r="1725" customFormat="false" ht="15" hidden="false" customHeight="false" outlineLevel="0" collapsed="false">
      <c r="A1725" s="20"/>
      <c r="B1725" s="19"/>
      <c r="C1725" s="19"/>
      <c r="D1725" s="19"/>
      <c r="E1725" s="19"/>
      <c r="F1725" s="19"/>
      <c r="G1725" s="21"/>
      <c r="H1725" s="19"/>
      <c r="I1725" s="23" t="str">
        <f aca="false">IF(A1725="","",TEXT(A1725,"yyyy-mm"))</f>
        <v/>
      </c>
    </row>
    <row r="1726" customFormat="false" ht="15" hidden="false" customHeight="false" outlineLevel="0" collapsed="false">
      <c r="A1726" s="20"/>
      <c r="B1726" s="19"/>
      <c r="C1726" s="19"/>
      <c r="D1726" s="19"/>
      <c r="E1726" s="19"/>
      <c r="F1726" s="19"/>
      <c r="G1726" s="21"/>
      <c r="H1726" s="19"/>
      <c r="I1726" s="23" t="str">
        <f aca="false">IF(A1726="","",TEXT(A1726,"yyyy-mm"))</f>
        <v/>
      </c>
    </row>
    <row r="1727" customFormat="false" ht="15" hidden="false" customHeight="false" outlineLevel="0" collapsed="false">
      <c r="A1727" s="20"/>
      <c r="B1727" s="19"/>
      <c r="C1727" s="19"/>
      <c r="D1727" s="19"/>
      <c r="E1727" s="19"/>
      <c r="F1727" s="19"/>
      <c r="G1727" s="21"/>
      <c r="H1727" s="19"/>
      <c r="I1727" s="23" t="str">
        <f aca="false">IF(A1727="","",TEXT(A1727,"yyyy-mm"))</f>
        <v/>
      </c>
    </row>
    <row r="1728" customFormat="false" ht="15" hidden="false" customHeight="false" outlineLevel="0" collapsed="false">
      <c r="A1728" s="20"/>
      <c r="B1728" s="19"/>
      <c r="C1728" s="19"/>
      <c r="D1728" s="19"/>
      <c r="E1728" s="19"/>
      <c r="F1728" s="19"/>
      <c r="G1728" s="21"/>
      <c r="H1728" s="19"/>
      <c r="I1728" s="23" t="str">
        <f aca="false">IF(A1728="","",TEXT(A1728,"yyyy-mm"))</f>
        <v/>
      </c>
    </row>
    <row r="1729" customFormat="false" ht="15" hidden="false" customHeight="false" outlineLevel="0" collapsed="false">
      <c r="A1729" s="20"/>
      <c r="B1729" s="19"/>
      <c r="C1729" s="19"/>
      <c r="D1729" s="19"/>
      <c r="E1729" s="19"/>
      <c r="F1729" s="19"/>
      <c r="G1729" s="21"/>
      <c r="H1729" s="19"/>
      <c r="I1729" s="23" t="str">
        <f aca="false">IF(A1729="","",TEXT(A1729,"yyyy-mm"))</f>
        <v/>
      </c>
    </row>
    <row r="1730" customFormat="false" ht="15" hidden="false" customHeight="false" outlineLevel="0" collapsed="false">
      <c r="A1730" s="20"/>
      <c r="B1730" s="19"/>
      <c r="C1730" s="19"/>
      <c r="D1730" s="19"/>
      <c r="E1730" s="19"/>
      <c r="F1730" s="19"/>
      <c r="G1730" s="21"/>
      <c r="H1730" s="19"/>
      <c r="I1730" s="23" t="str">
        <f aca="false">IF(A1730="","",TEXT(A1730,"yyyy-mm"))</f>
        <v/>
      </c>
    </row>
    <row r="1731" customFormat="false" ht="15" hidden="false" customHeight="false" outlineLevel="0" collapsed="false">
      <c r="A1731" s="20"/>
      <c r="B1731" s="19"/>
      <c r="C1731" s="19"/>
      <c r="D1731" s="19"/>
      <c r="E1731" s="19"/>
      <c r="F1731" s="19"/>
      <c r="G1731" s="21"/>
      <c r="H1731" s="19"/>
      <c r="I1731" s="23" t="str">
        <f aca="false">IF(A1731="","",TEXT(A1731,"yyyy-mm"))</f>
        <v/>
      </c>
    </row>
    <row r="1732" customFormat="false" ht="15" hidden="false" customHeight="false" outlineLevel="0" collapsed="false">
      <c r="A1732" s="20"/>
      <c r="B1732" s="19"/>
      <c r="C1732" s="19"/>
      <c r="D1732" s="19"/>
      <c r="E1732" s="19"/>
      <c r="F1732" s="19"/>
      <c r="G1732" s="21"/>
      <c r="H1732" s="19"/>
      <c r="I1732" s="23" t="str">
        <f aca="false">IF(A1732="","",TEXT(A1732,"yyyy-mm"))</f>
        <v/>
      </c>
    </row>
    <row r="1733" customFormat="false" ht="15" hidden="false" customHeight="false" outlineLevel="0" collapsed="false">
      <c r="A1733" s="20"/>
      <c r="B1733" s="19"/>
      <c r="C1733" s="19"/>
      <c r="D1733" s="19"/>
      <c r="E1733" s="19"/>
      <c r="F1733" s="19"/>
      <c r="G1733" s="21"/>
      <c r="H1733" s="19"/>
      <c r="I1733" s="23" t="str">
        <f aca="false">IF(A1733="","",TEXT(A1733,"yyyy-mm"))</f>
        <v/>
      </c>
    </row>
    <row r="1734" customFormat="false" ht="15" hidden="false" customHeight="false" outlineLevel="0" collapsed="false">
      <c r="A1734" s="20"/>
      <c r="B1734" s="19"/>
      <c r="C1734" s="19"/>
      <c r="D1734" s="19"/>
      <c r="E1734" s="19"/>
      <c r="F1734" s="19"/>
      <c r="G1734" s="21"/>
      <c r="H1734" s="19"/>
      <c r="I1734" s="23" t="str">
        <f aca="false">IF(A1734="","",TEXT(A1734,"yyyy-mm"))</f>
        <v/>
      </c>
    </row>
    <row r="1735" customFormat="false" ht="15" hidden="false" customHeight="false" outlineLevel="0" collapsed="false">
      <c r="A1735" s="20"/>
      <c r="B1735" s="19"/>
      <c r="C1735" s="19"/>
      <c r="D1735" s="19"/>
      <c r="E1735" s="19"/>
      <c r="F1735" s="19"/>
      <c r="G1735" s="21"/>
      <c r="H1735" s="19"/>
      <c r="I1735" s="23" t="str">
        <f aca="false">IF(A1735="","",TEXT(A1735,"yyyy-mm"))</f>
        <v/>
      </c>
    </row>
    <row r="1736" customFormat="false" ht="15" hidden="false" customHeight="false" outlineLevel="0" collapsed="false">
      <c r="A1736" s="20"/>
      <c r="B1736" s="19"/>
      <c r="C1736" s="19"/>
      <c r="D1736" s="19"/>
      <c r="E1736" s="19"/>
      <c r="F1736" s="19"/>
      <c r="G1736" s="21"/>
      <c r="H1736" s="19"/>
      <c r="I1736" s="23" t="str">
        <f aca="false">IF(A1736="","",TEXT(A1736,"yyyy-mm"))</f>
        <v/>
      </c>
    </row>
    <row r="1737" customFormat="false" ht="15" hidden="false" customHeight="false" outlineLevel="0" collapsed="false">
      <c r="A1737" s="20"/>
      <c r="B1737" s="19"/>
      <c r="C1737" s="19"/>
      <c r="D1737" s="19"/>
      <c r="E1737" s="19"/>
      <c r="F1737" s="19"/>
      <c r="G1737" s="21"/>
      <c r="H1737" s="19"/>
      <c r="I1737" s="23" t="str">
        <f aca="false">IF(A1737="","",TEXT(A1737,"yyyy-mm"))</f>
        <v/>
      </c>
    </row>
    <row r="1738" customFormat="false" ht="15" hidden="false" customHeight="false" outlineLevel="0" collapsed="false">
      <c r="A1738" s="20"/>
      <c r="B1738" s="19"/>
      <c r="C1738" s="19"/>
      <c r="D1738" s="19"/>
      <c r="E1738" s="19"/>
      <c r="F1738" s="19"/>
      <c r="G1738" s="21"/>
      <c r="H1738" s="19"/>
      <c r="I1738" s="23" t="str">
        <f aca="false">IF(A1738="","",TEXT(A1738,"yyyy-mm"))</f>
        <v/>
      </c>
    </row>
    <row r="1739" customFormat="false" ht="15" hidden="false" customHeight="false" outlineLevel="0" collapsed="false">
      <c r="A1739" s="20"/>
      <c r="B1739" s="19"/>
      <c r="C1739" s="19"/>
      <c r="D1739" s="19"/>
      <c r="E1739" s="19"/>
      <c r="F1739" s="19"/>
      <c r="G1739" s="21"/>
      <c r="H1739" s="19"/>
      <c r="I1739" s="23" t="str">
        <f aca="false">IF(A1739="","",TEXT(A1739,"yyyy-mm"))</f>
        <v/>
      </c>
    </row>
    <row r="1740" customFormat="false" ht="15" hidden="false" customHeight="false" outlineLevel="0" collapsed="false">
      <c r="A1740" s="20"/>
      <c r="B1740" s="19"/>
      <c r="C1740" s="19"/>
      <c r="D1740" s="19"/>
      <c r="E1740" s="19"/>
      <c r="F1740" s="19"/>
      <c r="G1740" s="21"/>
      <c r="H1740" s="19"/>
      <c r="I1740" s="23" t="str">
        <f aca="false">IF(A1740="","",TEXT(A1740,"yyyy-mm"))</f>
        <v/>
      </c>
    </row>
    <row r="1741" customFormat="false" ht="15" hidden="false" customHeight="false" outlineLevel="0" collapsed="false">
      <c r="A1741" s="20"/>
      <c r="B1741" s="19"/>
      <c r="C1741" s="19"/>
      <c r="D1741" s="19"/>
      <c r="E1741" s="19"/>
      <c r="F1741" s="19"/>
      <c r="G1741" s="21"/>
      <c r="H1741" s="19"/>
      <c r="I1741" s="23" t="str">
        <f aca="false">IF(A1741="","",TEXT(A1741,"yyyy-mm"))</f>
        <v/>
      </c>
    </row>
    <row r="1742" customFormat="false" ht="15" hidden="false" customHeight="false" outlineLevel="0" collapsed="false">
      <c r="A1742" s="20"/>
      <c r="B1742" s="19"/>
      <c r="C1742" s="19"/>
      <c r="D1742" s="19"/>
      <c r="E1742" s="19"/>
      <c r="F1742" s="19"/>
      <c r="G1742" s="21"/>
      <c r="H1742" s="19"/>
      <c r="I1742" s="23" t="str">
        <f aca="false">IF(A1742="","",TEXT(A1742,"yyyy-mm"))</f>
        <v/>
      </c>
    </row>
    <row r="1743" customFormat="false" ht="15" hidden="false" customHeight="false" outlineLevel="0" collapsed="false">
      <c r="A1743" s="20"/>
      <c r="B1743" s="19"/>
      <c r="C1743" s="19"/>
      <c r="D1743" s="19"/>
      <c r="E1743" s="19"/>
      <c r="F1743" s="19"/>
      <c r="G1743" s="21"/>
      <c r="H1743" s="19"/>
      <c r="I1743" s="23" t="str">
        <f aca="false">IF(A1743="","",TEXT(A1743,"yyyy-mm"))</f>
        <v/>
      </c>
    </row>
    <row r="1744" customFormat="false" ht="15" hidden="false" customHeight="false" outlineLevel="0" collapsed="false">
      <c r="A1744" s="20"/>
      <c r="B1744" s="19"/>
      <c r="C1744" s="19"/>
      <c r="D1744" s="19"/>
      <c r="E1744" s="19"/>
      <c r="F1744" s="19"/>
      <c r="G1744" s="21"/>
      <c r="H1744" s="19"/>
      <c r="I1744" s="23" t="str">
        <f aca="false">IF(A1744="","",TEXT(A1744,"yyyy-mm"))</f>
        <v/>
      </c>
    </row>
    <row r="1745" customFormat="false" ht="15" hidden="false" customHeight="false" outlineLevel="0" collapsed="false">
      <c r="A1745" s="20"/>
      <c r="B1745" s="19"/>
      <c r="C1745" s="19"/>
      <c r="D1745" s="19"/>
      <c r="E1745" s="19"/>
      <c r="F1745" s="19"/>
      <c r="G1745" s="21"/>
      <c r="H1745" s="19"/>
      <c r="I1745" s="23" t="str">
        <f aca="false">IF(A1745="","",TEXT(A1745,"yyyy-mm"))</f>
        <v/>
      </c>
    </row>
    <row r="1746" customFormat="false" ht="15" hidden="false" customHeight="false" outlineLevel="0" collapsed="false">
      <c r="A1746" s="20"/>
      <c r="B1746" s="19"/>
      <c r="C1746" s="19"/>
      <c r="D1746" s="19"/>
      <c r="E1746" s="19"/>
      <c r="F1746" s="19"/>
      <c r="G1746" s="21"/>
      <c r="H1746" s="19"/>
      <c r="I1746" s="23" t="str">
        <f aca="false">IF(A1746="","",TEXT(A1746,"yyyy-mm"))</f>
        <v/>
      </c>
    </row>
    <row r="1747" customFormat="false" ht="15" hidden="false" customHeight="false" outlineLevel="0" collapsed="false">
      <c r="A1747" s="20"/>
      <c r="B1747" s="19"/>
      <c r="C1747" s="19"/>
      <c r="D1747" s="19"/>
      <c r="E1747" s="19"/>
      <c r="F1747" s="19"/>
      <c r="G1747" s="21"/>
      <c r="H1747" s="19"/>
      <c r="I1747" s="23" t="str">
        <f aca="false">IF(A1747="","",TEXT(A1747,"yyyy-mm"))</f>
        <v/>
      </c>
    </row>
    <row r="1748" customFormat="false" ht="15" hidden="false" customHeight="false" outlineLevel="0" collapsed="false">
      <c r="A1748" s="20"/>
      <c r="B1748" s="19"/>
      <c r="C1748" s="19"/>
      <c r="D1748" s="19"/>
      <c r="E1748" s="19"/>
      <c r="F1748" s="19"/>
      <c r="G1748" s="21"/>
      <c r="H1748" s="19"/>
      <c r="I1748" s="23" t="str">
        <f aca="false">IF(A1748="","",TEXT(A1748,"yyyy-mm"))</f>
        <v/>
      </c>
    </row>
    <row r="1749" customFormat="false" ht="15" hidden="false" customHeight="false" outlineLevel="0" collapsed="false">
      <c r="A1749" s="20"/>
      <c r="B1749" s="19"/>
      <c r="C1749" s="19"/>
      <c r="D1749" s="19"/>
      <c r="E1749" s="19"/>
      <c r="F1749" s="19"/>
      <c r="G1749" s="21"/>
      <c r="H1749" s="19"/>
      <c r="I1749" s="23" t="str">
        <f aca="false">IF(A1749="","",TEXT(A1749,"yyyy-mm"))</f>
        <v/>
      </c>
    </row>
    <row r="1750" customFormat="false" ht="15" hidden="false" customHeight="false" outlineLevel="0" collapsed="false">
      <c r="A1750" s="20"/>
      <c r="B1750" s="19"/>
      <c r="C1750" s="19"/>
      <c r="D1750" s="19"/>
      <c r="E1750" s="19"/>
      <c r="F1750" s="19"/>
      <c r="G1750" s="21"/>
      <c r="H1750" s="19"/>
      <c r="I1750" s="23" t="str">
        <f aca="false">IF(A1750="","",TEXT(A1750,"yyyy-mm"))</f>
        <v/>
      </c>
    </row>
    <row r="1751" customFormat="false" ht="15" hidden="false" customHeight="false" outlineLevel="0" collapsed="false">
      <c r="A1751" s="20"/>
      <c r="B1751" s="19"/>
      <c r="C1751" s="19"/>
      <c r="D1751" s="19"/>
      <c r="E1751" s="19"/>
      <c r="F1751" s="19"/>
      <c r="G1751" s="21"/>
      <c r="H1751" s="19"/>
      <c r="I1751" s="23" t="str">
        <f aca="false">IF(A1751="","",TEXT(A1751,"yyyy-mm"))</f>
        <v/>
      </c>
    </row>
    <row r="1752" customFormat="false" ht="15" hidden="false" customHeight="false" outlineLevel="0" collapsed="false">
      <c r="A1752" s="20"/>
      <c r="B1752" s="19"/>
      <c r="C1752" s="19"/>
      <c r="D1752" s="19"/>
      <c r="E1752" s="19"/>
      <c r="F1752" s="19"/>
      <c r="G1752" s="21"/>
      <c r="H1752" s="19"/>
      <c r="I1752" s="23" t="str">
        <f aca="false">IF(A1752="","",TEXT(A1752,"yyyy-mm"))</f>
        <v/>
      </c>
    </row>
    <row r="1753" customFormat="false" ht="15" hidden="false" customHeight="false" outlineLevel="0" collapsed="false">
      <c r="A1753" s="20"/>
      <c r="B1753" s="19"/>
      <c r="C1753" s="19"/>
      <c r="D1753" s="19"/>
      <c r="E1753" s="19"/>
      <c r="F1753" s="19"/>
      <c r="G1753" s="21"/>
      <c r="H1753" s="19"/>
      <c r="I1753" s="23" t="str">
        <f aca="false">IF(A1753="","",TEXT(A1753,"yyyy-mm"))</f>
        <v/>
      </c>
    </row>
    <row r="1754" customFormat="false" ht="15" hidden="false" customHeight="false" outlineLevel="0" collapsed="false">
      <c r="A1754" s="20"/>
      <c r="B1754" s="19"/>
      <c r="C1754" s="19"/>
      <c r="D1754" s="19"/>
      <c r="E1754" s="19"/>
      <c r="F1754" s="19"/>
      <c r="G1754" s="21"/>
      <c r="H1754" s="19"/>
      <c r="I1754" s="23" t="str">
        <f aca="false">IF(A1754="","",TEXT(A1754,"yyyy-mm"))</f>
        <v/>
      </c>
    </row>
    <row r="1755" customFormat="false" ht="15" hidden="false" customHeight="false" outlineLevel="0" collapsed="false">
      <c r="A1755" s="20"/>
      <c r="B1755" s="19"/>
      <c r="C1755" s="19"/>
      <c r="D1755" s="19"/>
      <c r="E1755" s="19"/>
      <c r="F1755" s="19"/>
      <c r="G1755" s="21"/>
      <c r="H1755" s="19"/>
      <c r="I1755" s="23" t="str">
        <f aca="false">IF(A1755="","",TEXT(A1755,"yyyy-mm"))</f>
        <v/>
      </c>
    </row>
    <row r="1756" customFormat="false" ht="15" hidden="false" customHeight="false" outlineLevel="0" collapsed="false">
      <c r="A1756" s="20"/>
      <c r="B1756" s="19"/>
      <c r="C1756" s="19"/>
      <c r="D1756" s="19"/>
      <c r="E1756" s="19"/>
      <c r="F1756" s="19"/>
      <c r="G1756" s="21"/>
      <c r="H1756" s="19"/>
      <c r="I1756" s="23" t="str">
        <f aca="false">IF(A1756="","",TEXT(A1756,"yyyy-mm"))</f>
        <v/>
      </c>
    </row>
    <row r="1757" customFormat="false" ht="15" hidden="false" customHeight="false" outlineLevel="0" collapsed="false">
      <c r="A1757" s="20"/>
      <c r="B1757" s="19"/>
      <c r="C1757" s="19"/>
      <c r="D1757" s="19"/>
      <c r="E1757" s="19"/>
      <c r="F1757" s="19"/>
      <c r="G1757" s="21"/>
      <c r="H1757" s="19"/>
      <c r="I1757" s="23" t="str">
        <f aca="false">IF(A1757="","",TEXT(A1757,"yyyy-mm"))</f>
        <v/>
      </c>
    </row>
    <row r="1758" customFormat="false" ht="15" hidden="false" customHeight="false" outlineLevel="0" collapsed="false">
      <c r="A1758" s="20"/>
      <c r="B1758" s="19"/>
      <c r="C1758" s="19"/>
      <c r="D1758" s="19"/>
      <c r="E1758" s="19"/>
      <c r="F1758" s="19"/>
      <c r="G1758" s="21"/>
      <c r="H1758" s="19"/>
      <c r="I1758" s="23" t="str">
        <f aca="false">IF(A1758="","",TEXT(A1758,"yyyy-mm"))</f>
        <v/>
      </c>
    </row>
    <row r="1759" customFormat="false" ht="15" hidden="false" customHeight="false" outlineLevel="0" collapsed="false">
      <c r="A1759" s="20"/>
      <c r="B1759" s="19"/>
      <c r="C1759" s="19"/>
      <c r="D1759" s="19"/>
      <c r="E1759" s="19"/>
      <c r="F1759" s="19"/>
      <c r="G1759" s="21"/>
      <c r="H1759" s="19"/>
      <c r="I1759" s="23" t="str">
        <f aca="false">IF(A1759="","",TEXT(A1759,"yyyy-mm"))</f>
        <v/>
      </c>
    </row>
    <row r="1760" customFormat="false" ht="15" hidden="false" customHeight="false" outlineLevel="0" collapsed="false">
      <c r="A1760" s="20"/>
      <c r="B1760" s="19"/>
      <c r="C1760" s="19"/>
      <c r="D1760" s="19"/>
      <c r="E1760" s="19"/>
      <c r="F1760" s="19"/>
      <c r="G1760" s="21"/>
      <c r="H1760" s="19"/>
      <c r="I1760" s="23" t="str">
        <f aca="false">IF(A1760="","",TEXT(A1760,"yyyy-mm"))</f>
        <v/>
      </c>
    </row>
    <row r="1761" customFormat="false" ht="15" hidden="false" customHeight="false" outlineLevel="0" collapsed="false">
      <c r="A1761" s="20"/>
      <c r="B1761" s="19"/>
      <c r="C1761" s="19"/>
      <c r="D1761" s="19"/>
      <c r="E1761" s="19"/>
      <c r="F1761" s="19"/>
      <c r="G1761" s="21"/>
      <c r="H1761" s="19"/>
      <c r="I1761" s="23" t="str">
        <f aca="false">IF(A1761="","",TEXT(A1761,"yyyy-mm"))</f>
        <v/>
      </c>
    </row>
    <row r="1762" customFormat="false" ht="15" hidden="false" customHeight="false" outlineLevel="0" collapsed="false">
      <c r="A1762" s="20"/>
      <c r="B1762" s="19"/>
      <c r="C1762" s="19"/>
      <c r="D1762" s="19"/>
      <c r="E1762" s="19"/>
      <c r="F1762" s="19"/>
      <c r="G1762" s="21"/>
      <c r="H1762" s="19"/>
      <c r="I1762" s="23" t="str">
        <f aca="false">IF(A1762="","",TEXT(A1762,"yyyy-mm"))</f>
        <v/>
      </c>
    </row>
    <row r="1763" customFormat="false" ht="15" hidden="false" customHeight="false" outlineLevel="0" collapsed="false">
      <c r="A1763" s="20"/>
      <c r="B1763" s="19"/>
      <c r="C1763" s="19"/>
      <c r="D1763" s="19"/>
      <c r="E1763" s="19"/>
      <c r="F1763" s="19"/>
      <c r="G1763" s="21"/>
      <c r="H1763" s="19"/>
      <c r="I1763" s="23" t="str">
        <f aca="false">IF(A1763="","",TEXT(A1763,"yyyy-mm"))</f>
        <v/>
      </c>
    </row>
    <row r="1764" customFormat="false" ht="15" hidden="false" customHeight="false" outlineLevel="0" collapsed="false">
      <c r="A1764" s="20"/>
      <c r="B1764" s="19"/>
      <c r="C1764" s="19"/>
      <c r="D1764" s="19"/>
      <c r="E1764" s="19"/>
      <c r="F1764" s="19"/>
      <c r="G1764" s="21"/>
      <c r="H1764" s="19"/>
      <c r="I1764" s="23" t="str">
        <f aca="false">IF(A1764="","",TEXT(A1764,"yyyy-mm"))</f>
        <v/>
      </c>
    </row>
    <row r="1765" customFormat="false" ht="15" hidden="false" customHeight="false" outlineLevel="0" collapsed="false">
      <c r="A1765" s="20"/>
      <c r="B1765" s="19"/>
      <c r="C1765" s="19"/>
      <c r="D1765" s="19"/>
      <c r="E1765" s="19"/>
      <c r="F1765" s="19"/>
      <c r="G1765" s="21"/>
      <c r="H1765" s="19"/>
      <c r="I1765" s="23" t="str">
        <f aca="false">IF(A1765="","",TEXT(A1765,"yyyy-mm"))</f>
        <v/>
      </c>
    </row>
    <row r="1766" customFormat="false" ht="15" hidden="false" customHeight="false" outlineLevel="0" collapsed="false">
      <c r="A1766" s="20"/>
      <c r="B1766" s="19"/>
      <c r="C1766" s="19"/>
      <c r="D1766" s="19"/>
      <c r="E1766" s="19"/>
      <c r="F1766" s="19"/>
      <c r="G1766" s="21"/>
      <c r="H1766" s="19"/>
      <c r="I1766" s="23" t="str">
        <f aca="false">IF(A1766="","",TEXT(A1766,"yyyy-mm"))</f>
        <v/>
      </c>
    </row>
    <row r="1767" customFormat="false" ht="15" hidden="false" customHeight="false" outlineLevel="0" collapsed="false">
      <c r="A1767" s="20"/>
      <c r="B1767" s="19"/>
      <c r="C1767" s="19"/>
      <c r="D1767" s="19"/>
      <c r="E1767" s="19"/>
      <c r="F1767" s="19"/>
      <c r="G1767" s="21"/>
      <c r="H1767" s="19"/>
      <c r="I1767" s="23" t="str">
        <f aca="false">IF(A1767="","",TEXT(A1767,"yyyy-mm"))</f>
        <v/>
      </c>
    </row>
    <row r="1768" customFormat="false" ht="15" hidden="false" customHeight="false" outlineLevel="0" collapsed="false">
      <c r="A1768" s="20"/>
      <c r="B1768" s="19"/>
      <c r="C1768" s="19"/>
      <c r="D1768" s="19"/>
      <c r="E1768" s="19"/>
      <c r="F1768" s="19"/>
      <c r="G1768" s="21"/>
      <c r="H1768" s="19"/>
      <c r="I1768" s="23" t="str">
        <f aca="false">IF(A1768="","",TEXT(A1768,"yyyy-mm"))</f>
        <v/>
      </c>
    </row>
    <row r="1769" customFormat="false" ht="15" hidden="false" customHeight="false" outlineLevel="0" collapsed="false">
      <c r="A1769" s="20"/>
      <c r="B1769" s="19"/>
      <c r="C1769" s="19"/>
      <c r="D1769" s="19"/>
      <c r="E1769" s="19"/>
      <c r="F1769" s="19"/>
      <c r="G1769" s="21"/>
      <c r="H1769" s="19"/>
      <c r="I1769" s="23" t="str">
        <f aca="false">IF(A1769="","",TEXT(A1769,"yyyy-mm"))</f>
        <v/>
      </c>
    </row>
    <row r="1770" customFormat="false" ht="15" hidden="false" customHeight="false" outlineLevel="0" collapsed="false">
      <c r="A1770" s="20"/>
      <c r="B1770" s="19"/>
      <c r="C1770" s="19"/>
      <c r="D1770" s="19"/>
      <c r="E1770" s="19"/>
      <c r="F1770" s="19"/>
      <c r="G1770" s="21"/>
      <c r="H1770" s="19"/>
      <c r="I1770" s="23" t="str">
        <f aca="false">IF(A1770="","",TEXT(A1770,"yyyy-mm"))</f>
        <v/>
      </c>
    </row>
    <row r="1771" customFormat="false" ht="15" hidden="false" customHeight="false" outlineLevel="0" collapsed="false">
      <c r="A1771" s="20"/>
      <c r="B1771" s="19"/>
      <c r="C1771" s="19"/>
      <c r="D1771" s="19"/>
      <c r="E1771" s="19"/>
      <c r="F1771" s="19"/>
      <c r="G1771" s="21"/>
      <c r="H1771" s="19"/>
      <c r="I1771" s="23" t="str">
        <f aca="false">IF(A1771="","",TEXT(A1771,"yyyy-mm"))</f>
        <v/>
      </c>
    </row>
    <row r="1772" customFormat="false" ht="15" hidden="false" customHeight="false" outlineLevel="0" collapsed="false">
      <c r="A1772" s="20"/>
      <c r="B1772" s="19"/>
      <c r="C1772" s="19"/>
      <c r="D1772" s="19"/>
      <c r="E1772" s="19"/>
      <c r="F1772" s="19"/>
      <c r="G1772" s="21"/>
      <c r="H1772" s="19"/>
      <c r="I1772" s="23" t="str">
        <f aca="false">IF(A1772="","",TEXT(A1772,"yyyy-mm"))</f>
        <v/>
      </c>
    </row>
    <row r="1773" customFormat="false" ht="15" hidden="false" customHeight="false" outlineLevel="0" collapsed="false">
      <c r="A1773" s="20"/>
      <c r="B1773" s="19"/>
      <c r="C1773" s="19"/>
      <c r="D1773" s="19"/>
      <c r="E1773" s="19"/>
      <c r="F1773" s="19"/>
      <c r="G1773" s="21"/>
      <c r="H1773" s="19"/>
      <c r="I1773" s="23" t="str">
        <f aca="false">IF(A1773="","",TEXT(A1773,"yyyy-mm"))</f>
        <v/>
      </c>
    </row>
    <row r="1774" customFormat="false" ht="15" hidden="false" customHeight="false" outlineLevel="0" collapsed="false">
      <c r="A1774" s="20"/>
      <c r="B1774" s="19"/>
      <c r="C1774" s="19"/>
      <c r="D1774" s="19"/>
      <c r="E1774" s="19"/>
      <c r="F1774" s="19"/>
      <c r="G1774" s="21"/>
      <c r="H1774" s="19"/>
      <c r="I1774" s="23" t="str">
        <f aca="false">IF(A1774="","",TEXT(A1774,"yyyy-mm"))</f>
        <v/>
      </c>
    </row>
    <row r="1775" customFormat="false" ht="15" hidden="false" customHeight="false" outlineLevel="0" collapsed="false">
      <c r="A1775" s="20"/>
      <c r="B1775" s="19"/>
      <c r="C1775" s="19"/>
      <c r="D1775" s="19"/>
      <c r="E1775" s="19"/>
      <c r="F1775" s="19"/>
      <c r="G1775" s="21"/>
      <c r="H1775" s="19"/>
      <c r="I1775" s="23" t="str">
        <f aca="false">IF(A1775="","",TEXT(A1775,"yyyy-mm"))</f>
        <v/>
      </c>
    </row>
    <row r="1776" customFormat="false" ht="15" hidden="false" customHeight="false" outlineLevel="0" collapsed="false">
      <c r="A1776" s="20"/>
      <c r="B1776" s="19"/>
      <c r="C1776" s="19"/>
      <c r="D1776" s="19"/>
      <c r="E1776" s="19"/>
      <c r="F1776" s="19"/>
      <c r="G1776" s="21"/>
      <c r="H1776" s="19"/>
      <c r="I1776" s="23" t="str">
        <f aca="false">IF(A1776="","",TEXT(A1776,"yyyy-mm"))</f>
        <v/>
      </c>
    </row>
    <row r="1777" customFormat="false" ht="15" hidden="false" customHeight="false" outlineLevel="0" collapsed="false">
      <c r="A1777" s="20"/>
      <c r="B1777" s="19"/>
      <c r="C1777" s="19"/>
      <c r="D1777" s="19"/>
      <c r="E1777" s="19"/>
      <c r="F1777" s="19"/>
      <c r="G1777" s="21"/>
      <c r="H1777" s="19"/>
      <c r="I1777" s="23" t="str">
        <f aca="false">IF(A1777="","",TEXT(A1777,"yyyy-mm"))</f>
        <v/>
      </c>
    </row>
    <row r="1778" customFormat="false" ht="15" hidden="false" customHeight="false" outlineLevel="0" collapsed="false">
      <c r="A1778" s="20"/>
      <c r="B1778" s="19"/>
      <c r="C1778" s="19"/>
      <c r="D1778" s="19"/>
      <c r="E1778" s="19"/>
      <c r="F1778" s="19"/>
      <c r="G1778" s="21"/>
      <c r="H1778" s="19"/>
      <c r="I1778" s="23" t="str">
        <f aca="false">IF(A1778="","",TEXT(A1778,"yyyy-mm"))</f>
        <v/>
      </c>
    </row>
    <row r="1779" customFormat="false" ht="15" hidden="false" customHeight="false" outlineLevel="0" collapsed="false">
      <c r="A1779" s="20"/>
      <c r="B1779" s="19"/>
      <c r="C1779" s="19"/>
      <c r="D1779" s="19"/>
      <c r="E1779" s="19"/>
      <c r="F1779" s="19"/>
      <c r="G1779" s="21"/>
      <c r="H1779" s="19"/>
      <c r="I1779" s="23" t="str">
        <f aca="false">IF(A1779="","",TEXT(A1779,"yyyy-mm"))</f>
        <v/>
      </c>
    </row>
    <row r="1780" customFormat="false" ht="15" hidden="false" customHeight="false" outlineLevel="0" collapsed="false">
      <c r="A1780" s="20"/>
      <c r="B1780" s="19"/>
      <c r="C1780" s="19"/>
      <c r="D1780" s="19"/>
      <c r="E1780" s="19"/>
      <c r="F1780" s="19"/>
      <c r="G1780" s="21"/>
      <c r="H1780" s="19"/>
      <c r="I1780" s="23" t="str">
        <f aca="false">IF(A1780="","",TEXT(A1780,"yyyy-mm"))</f>
        <v/>
      </c>
    </row>
    <row r="1781" customFormat="false" ht="15" hidden="false" customHeight="false" outlineLevel="0" collapsed="false">
      <c r="A1781" s="20"/>
      <c r="B1781" s="19"/>
      <c r="C1781" s="19"/>
      <c r="D1781" s="19"/>
      <c r="E1781" s="19"/>
      <c r="F1781" s="19"/>
      <c r="G1781" s="21"/>
      <c r="H1781" s="19"/>
      <c r="I1781" s="23" t="str">
        <f aca="false">IF(A1781="","",TEXT(A1781,"yyyy-mm"))</f>
        <v/>
      </c>
    </row>
    <row r="1782" customFormat="false" ht="15" hidden="false" customHeight="false" outlineLevel="0" collapsed="false">
      <c r="A1782" s="20"/>
      <c r="B1782" s="19"/>
      <c r="C1782" s="19"/>
      <c r="D1782" s="19"/>
      <c r="E1782" s="19"/>
      <c r="F1782" s="19"/>
      <c r="G1782" s="21"/>
      <c r="H1782" s="19"/>
      <c r="I1782" s="23" t="str">
        <f aca="false">IF(A1782="","",TEXT(A1782,"yyyy-mm"))</f>
        <v/>
      </c>
    </row>
    <row r="1783" customFormat="false" ht="15" hidden="false" customHeight="false" outlineLevel="0" collapsed="false">
      <c r="A1783" s="20"/>
      <c r="B1783" s="19"/>
      <c r="C1783" s="19"/>
      <c r="D1783" s="19"/>
      <c r="E1783" s="19"/>
      <c r="F1783" s="19"/>
      <c r="G1783" s="21"/>
      <c r="H1783" s="19"/>
      <c r="I1783" s="23" t="str">
        <f aca="false">IF(A1783="","",TEXT(A1783,"yyyy-mm"))</f>
        <v/>
      </c>
    </row>
    <row r="1784" customFormat="false" ht="15" hidden="false" customHeight="false" outlineLevel="0" collapsed="false">
      <c r="A1784" s="20"/>
      <c r="B1784" s="19"/>
      <c r="C1784" s="19"/>
      <c r="D1784" s="19"/>
      <c r="E1784" s="19"/>
      <c r="F1784" s="19"/>
      <c r="G1784" s="21"/>
      <c r="H1784" s="19"/>
      <c r="I1784" s="23" t="str">
        <f aca="false">IF(A1784="","",TEXT(A1784,"yyyy-mm"))</f>
        <v/>
      </c>
    </row>
    <row r="1785" customFormat="false" ht="15" hidden="false" customHeight="false" outlineLevel="0" collapsed="false">
      <c r="A1785" s="20"/>
      <c r="B1785" s="19"/>
      <c r="C1785" s="19"/>
      <c r="D1785" s="19"/>
      <c r="E1785" s="19"/>
      <c r="F1785" s="19"/>
      <c r="G1785" s="21"/>
      <c r="H1785" s="19"/>
      <c r="I1785" s="23" t="str">
        <f aca="false">IF(A1785="","",TEXT(A1785,"yyyy-mm"))</f>
        <v/>
      </c>
    </row>
    <row r="1786" customFormat="false" ht="15" hidden="false" customHeight="false" outlineLevel="0" collapsed="false">
      <c r="A1786" s="20"/>
      <c r="B1786" s="19"/>
      <c r="C1786" s="19"/>
      <c r="D1786" s="19"/>
      <c r="E1786" s="19"/>
      <c r="F1786" s="19"/>
      <c r="G1786" s="21"/>
      <c r="H1786" s="19"/>
      <c r="I1786" s="23" t="str">
        <f aca="false">IF(A1786="","",TEXT(A1786,"yyyy-mm"))</f>
        <v/>
      </c>
    </row>
    <row r="1787" customFormat="false" ht="15" hidden="false" customHeight="false" outlineLevel="0" collapsed="false">
      <c r="A1787" s="20"/>
      <c r="B1787" s="19"/>
      <c r="C1787" s="19"/>
      <c r="D1787" s="19"/>
      <c r="E1787" s="19"/>
      <c r="F1787" s="19"/>
      <c r="G1787" s="21"/>
      <c r="H1787" s="19"/>
      <c r="I1787" s="23" t="str">
        <f aca="false">IF(A1787="","",TEXT(A1787,"yyyy-mm"))</f>
        <v/>
      </c>
    </row>
    <row r="1788" customFormat="false" ht="15" hidden="false" customHeight="false" outlineLevel="0" collapsed="false">
      <c r="A1788" s="20"/>
      <c r="B1788" s="19"/>
      <c r="C1788" s="19"/>
      <c r="D1788" s="19"/>
      <c r="E1788" s="19"/>
      <c r="F1788" s="19"/>
      <c r="G1788" s="21"/>
      <c r="H1788" s="19"/>
      <c r="I1788" s="23" t="str">
        <f aca="false">IF(A1788="","",TEXT(A1788,"yyyy-mm"))</f>
        <v/>
      </c>
    </row>
    <row r="1789" customFormat="false" ht="15" hidden="false" customHeight="false" outlineLevel="0" collapsed="false">
      <c r="A1789" s="20"/>
      <c r="B1789" s="19"/>
      <c r="C1789" s="19"/>
      <c r="D1789" s="19"/>
      <c r="E1789" s="19"/>
      <c r="F1789" s="19"/>
      <c r="G1789" s="21"/>
      <c r="H1789" s="19"/>
      <c r="I1789" s="23" t="str">
        <f aca="false">IF(A1789="","",TEXT(A1789,"yyyy-mm"))</f>
        <v/>
      </c>
    </row>
    <row r="1790" customFormat="false" ht="15" hidden="false" customHeight="false" outlineLevel="0" collapsed="false">
      <c r="A1790" s="20"/>
      <c r="B1790" s="19"/>
      <c r="C1790" s="19"/>
      <c r="D1790" s="19"/>
      <c r="E1790" s="19"/>
      <c r="F1790" s="19"/>
      <c r="G1790" s="21"/>
      <c r="H1790" s="19"/>
      <c r="I1790" s="23" t="str">
        <f aca="false">IF(A1790="","",TEXT(A1790,"yyyy-mm"))</f>
        <v/>
      </c>
    </row>
    <row r="1791" customFormat="false" ht="15" hidden="false" customHeight="false" outlineLevel="0" collapsed="false">
      <c r="A1791" s="20"/>
      <c r="B1791" s="19"/>
      <c r="C1791" s="19"/>
      <c r="D1791" s="19"/>
      <c r="E1791" s="19"/>
      <c r="F1791" s="19"/>
      <c r="G1791" s="21"/>
      <c r="H1791" s="19"/>
      <c r="I1791" s="23" t="str">
        <f aca="false">IF(A1791="","",TEXT(A1791,"yyyy-mm"))</f>
        <v/>
      </c>
    </row>
    <row r="1792" customFormat="false" ht="15" hidden="false" customHeight="false" outlineLevel="0" collapsed="false">
      <c r="A1792" s="20"/>
      <c r="B1792" s="19"/>
      <c r="C1792" s="19"/>
      <c r="D1792" s="19"/>
      <c r="E1792" s="19"/>
      <c r="F1792" s="19"/>
      <c r="G1792" s="21"/>
      <c r="H1792" s="19"/>
      <c r="I1792" s="23" t="str">
        <f aca="false">IF(A1792="","",TEXT(A1792,"yyyy-mm"))</f>
        <v/>
      </c>
    </row>
    <row r="1793" customFormat="false" ht="15" hidden="false" customHeight="false" outlineLevel="0" collapsed="false">
      <c r="A1793" s="20"/>
      <c r="B1793" s="19"/>
      <c r="C1793" s="19"/>
      <c r="D1793" s="19"/>
      <c r="E1793" s="19"/>
      <c r="F1793" s="19"/>
      <c r="G1793" s="21"/>
      <c r="H1793" s="19"/>
      <c r="I1793" s="23" t="str">
        <f aca="false">IF(A1793="","",TEXT(A1793,"yyyy-mm"))</f>
        <v/>
      </c>
    </row>
    <row r="1794" customFormat="false" ht="15" hidden="false" customHeight="false" outlineLevel="0" collapsed="false">
      <c r="A1794" s="20"/>
      <c r="B1794" s="19"/>
      <c r="C1794" s="19"/>
      <c r="D1794" s="19"/>
      <c r="E1794" s="19"/>
      <c r="F1794" s="19"/>
      <c r="G1794" s="21"/>
      <c r="H1794" s="19"/>
      <c r="I1794" s="23" t="str">
        <f aca="false">IF(A1794="","",TEXT(A1794,"yyyy-mm"))</f>
        <v/>
      </c>
    </row>
    <row r="1795" customFormat="false" ht="15" hidden="false" customHeight="false" outlineLevel="0" collapsed="false">
      <c r="A1795" s="20"/>
      <c r="B1795" s="19"/>
      <c r="C1795" s="19"/>
      <c r="D1795" s="19"/>
      <c r="E1795" s="19"/>
      <c r="F1795" s="19"/>
      <c r="G1795" s="21"/>
      <c r="H1795" s="19"/>
      <c r="I1795" s="23" t="str">
        <f aca="false">IF(A1795="","",TEXT(A1795,"yyyy-mm"))</f>
        <v/>
      </c>
    </row>
    <row r="1796" customFormat="false" ht="15" hidden="false" customHeight="false" outlineLevel="0" collapsed="false">
      <c r="A1796" s="20"/>
      <c r="B1796" s="19"/>
      <c r="C1796" s="19"/>
      <c r="D1796" s="19"/>
      <c r="E1796" s="19"/>
      <c r="F1796" s="19"/>
      <c r="G1796" s="21"/>
      <c r="H1796" s="19"/>
      <c r="I1796" s="23" t="str">
        <f aca="false">IF(A1796="","",TEXT(A1796,"yyyy-mm"))</f>
        <v/>
      </c>
    </row>
    <row r="1797" customFormat="false" ht="15" hidden="false" customHeight="false" outlineLevel="0" collapsed="false">
      <c r="A1797" s="20"/>
      <c r="B1797" s="19"/>
      <c r="C1797" s="19"/>
      <c r="D1797" s="19"/>
      <c r="E1797" s="19"/>
      <c r="F1797" s="19"/>
      <c r="G1797" s="21"/>
      <c r="H1797" s="19"/>
      <c r="I1797" s="23" t="str">
        <f aca="false">IF(A1797="","",TEXT(A1797,"yyyy-mm"))</f>
        <v/>
      </c>
    </row>
    <row r="1798" customFormat="false" ht="15" hidden="false" customHeight="false" outlineLevel="0" collapsed="false">
      <c r="A1798" s="20"/>
      <c r="B1798" s="19"/>
      <c r="C1798" s="19"/>
      <c r="D1798" s="19"/>
      <c r="E1798" s="19"/>
      <c r="F1798" s="19"/>
      <c r="G1798" s="21"/>
      <c r="H1798" s="19"/>
      <c r="I1798" s="23" t="str">
        <f aca="false">IF(A1798="","",TEXT(A1798,"yyyy-mm"))</f>
        <v/>
      </c>
    </row>
    <row r="1799" customFormat="false" ht="15" hidden="false" customHeight="false" outlineLevel="0" collapsed="false">
      <c r="A1799" s="20"/>
      <c r="B1799" s="19"/>
      <c r="C1799" s="19"/>
      <c r="D1799" s="19"/>
      <c r="E1799" s="19"/>
      <c r="F1799" s="19"/>
      <c r="G1799" s="21"/>
      <c r="H1799" s="19"/>
      <c r="I1799" s="23" t="str">
        <f aca="false">IF(A1799="","",TEXT(A1799,"yyyy-mm"))</f>
        <v/>
      </c>
    </row>
    <row r="1800" customFormat="false" ht="15" hidden="false" customHeight="false" outlineLevel="0" collapsed="false">
      <c r="A1800" s="20"/>
      <c r="B1800" s="19"/>
      <c r="C1800" s="19"/>
      <c r="D1800" s="19"/>
      <c r="E1800" s="19"/>
      <c r="F1800" s="19"/>
      <c r="G1800" s="21"/>
      <c r="H1800" s="19"/>
      <c r="I1800" s="23" t="str">
        <f aca="false">IF(A1800="","",TEXT(A1800,"yyyy-mm"))</f>
        <v/>
      </c>
    </row>
    <row r="1801" customFormat="false" ht="15" hidden="false" customHeight="false" outlineLevel="0" collapsed="false">
      <c r="A1801" s="20"/>
      <c r="B1801" s="19"/>
      <c r="C1801" s="19"/>
      <c r="D1801" s="19"/>
      <c r="E1801" s="19"/>
      <c r="F1801" s="19"/>
      <c r="G1801" s="21"/>
      <c r="H1801" s="19"/>
      <c r="I1801" s="23" t="str">
        <f aca="false">IF(A1801="","",TEXT(A1801,"yyyy-mm"))</f>
        <v/>
      </c>
    </row>
    <row r="1802" customFormat="false" ht="15" hidden="false" customHeight="false" outlineLevel="0" collapsed="false">
      <c r="A1802" s="20"/>
      <c r="B1802" s="19"/>
      <c r="C1802" s="19"/>
      <c r="D1802" s="19"/>
      <c r="E1802" s="19"/>
      <c r="F1802" s="19"/>
      <c r="G1802" s="21"/>
      <c r="H1802" s="19"/>
      <c r="I1802" s="23" t="str">
        <f aca="false">IF(A1802="","",TEXT(A1802,"yyyy-mm"))</f>
        <v/>
      </c>
    </row>
    <row r="1803" customFormat="false" ht="15" hidden="false" customHeight="false" outlineLevel="0" collapsed="false">
      <c r="A1803" s="20"/>
      <c r="B1803" s="19"/>
      <c r="C1803" s="19"/>
      <c r="D1803" s="19"/>
      <c r="E1803" s="19"/>
      <c r="F1803" s="19"/>
      <c r="G1803" s="21"/>
      <c r="H1803" s="19"/>
      <c r="I1803" s="23" t="str">
        <f aca="false">IF(A1803="","",TEXT(A1803,"yyyy-mm"))</f>
        <v/>
      </c>
    </row>
    <row r="1804" customFormat="false" ht="15" hidden="false" customHeight="false" outlineLevel="0" collapsed="false">
      <c r="A1804" s="20"/>
      <c r="B1804" s="19"/>
      <c r="C1804" s="19"/>
      <c r="D1804" s="19"/>
      <c r="E1804" s="19"/>
      <c r="F1804" s="19"/>
      <c r="G1804" s="21"/>
      <c r="H1804" s="19"/>
      <c r="I1804" s="23" t="str">
        <f aca="false">IF(A1804="","",TEXT(A1804,"yyyy-mm"))</f>
        <v/>
      </c>
    </row>
    <row r="1805" customFormat="false" ht="15" hidden="false" customHeight="false" outlineLevel="0" collapsed="false">
      <c r="A1805" s="20"/>
      <c r="B1805" s="19"/>
      <c r="C1805" s="19"/>
      <c r="D1805" s="19"/>
      <c r="E1805" s="19"/>
      <c r="F1805" s="19"/>
      <c r="G1805" s="21"/>
      <c r="H1805" s="19"/>
      <c r="I1805" s="23" t="str">
        <f aca="false">IF(A1805="","",TEXT(A1805,"yyyy-mm"))</f>
        <v/>
      </c>
    </row>
    <row r="1806" customFormat="false" ht="15" hidden="false" customHeight="false" outlineLevel="0" collapsed="false">
      <c r="A1806" s="20"/>
      <c r="B1806" s="19"/>
      <c r="C1806" s="19"/>
      <c r="D1806" s="19"/>
      <c r="E1806" s="19"/>
      <c r="F1806" s="19"/>
      <c r="G1806" s="21"/>
      <c r="H1806" s="19"/>
      <c r="I1806" s="23" t="str">
        <f aca="false">IF(A1806="","",TEXT(A1806,"yyyy-mm"))</f>
        <v/>
      </c>
    </row>
    <row r="1807" customFormat="false" ht="15" hidden="false" customHeight="false" outlineLevel="0" collapsed="false">
      <c r="A1807" s="20"/>
      <c r="B1807" s="19"/>
      <c r="C1807" s="19"/>
      <c r="D1807" s="19"/>
      <c r="E1807" s="19"/>
      <c r="F1807" s="19"/>
      <c r="G1807" s="21"/>
      <c r="H1807" s="19"/>
      <c r="I1807" s="23" t="str">
        <f aca="false">IF(A1807="","",TEXT(A1807,"yyyy-mm"))</f>
        <v/>
      </c>
    </row>
    <row r="1808" customFormat="false" ht="15" hidden="false" customHeight="false" outlineLevel="0" collapsed="false">
      <c r="A1808" s="20"/>
      <c r="B1808" s="19"/>
      <c r="C1808" s="19"/>
      <c r="D1808" s="19"/>
      <c r="E1808" s="19"/>
      <c r="F1808" s="19"/>
      <c r="G1808" s="21"/>
      <c r="H1808" s="19"/>
      <c r="I1808" s="23" t="str">
        <f aca="false">IF(A1808="","",TEXT(A1808,"yyyy-mm"))</f>
        <v/>
      </c>
    </row>
    <row r="1809" customFormat="false" ht="15" hidden="false" customHeight="false" outlineLevel="0" collapsed="false">
      <c r="A1809" s="20"/>
      <c r="B1809" s="19"/>
      <c r="C1809" s="19"/>
      <c r="D1809" s="19"/>
      <c r="E1809" s="19"/>
      <c r="F1809" s="19"/>
      <c r="G1809" s="21"/>
      <c r="H1809" s="19"/>
      <c r="I1809" s="23" t="str">
        <f aca="false">IF(A1809="","",TEXT(A1809,"yyyy-mm"))</f>
        <v/>
      </c>
    </row>
    <row r="1810" customFormat="false" ht="15" hidden="false" customHeight="false" outlineLevel="0" collapsed="false">
      <c r="A1810" s="20"/>
      <c r="B1810" s="19"/>
      <c r="C1810" s="19"/>
      <c r="D1810" s="19"/>
      <c r="E1810" s="19"/>
      <c r="F1810" s="19"/>
      <c r="G1810" s="21"/>
      <c r="H1810" s="19"/>
      <c r="I1810" s="23" t="str">
        <f aca="false">IF(A1810="","",TEXT(A1810,"yyyy-mm"))</f>
        <v/>
      </c>
    </row>
    <row r="1811" customFormat="false" ht="15" hidden="false" customHeight="false" outlineLevel="0" collapsed="false">
      <c r="A1811" s="20"/>
      <c r="B1811" s="19"/>
      <c r="C1811" s="19"/>
      <c r="D1811" s="19"/>
      <c r="E1811" s="19"/>
      <c r="F1811" s="19"/>
      <c r="G1811" s="21"/>
      <c r="H1811" s="19"/>
      <c r="I1811" s="23" t="str">
        <f aca="false">IF(A1811="","",TEXT(A1811,"yyyy-mm"))</f>
        <v/>
      </c>
    </row>
    <row r="1812" customFormat="false" ht="15" hidden="false" customHeight="false" outlineLevel="0" collapsed="false">
      <c r="A1812" s="20"/>
      <c r="B1812" s="19"/>
      <c r="C1812" s="19"/>
      <c r="D1812" s="19"/>
      <c r="E1812" s="19"/>
      <c r="F1812" s="19"/>
      <c r="G1812" s="21"/>
      <c r="H1812" s="19"/>
      <c r="I1812" s="23" t="str">
        <f aca="false">IF(A1812="","",TEXT(A1812,"yyyy-mm"))</f>
        <v/>
      </c>
    </row>
    <row r="1813" customFormat="false" ht="15" hidden="false" customHeight="false" outlineLevel="0" collapsed="false">
      <c r="A1813" s="20"/>
      <c r="B1813" s="19"/>
      <c r="C1813" s="19"/>
      <c r="D1813" s="19"/>
      <c r="E1813" s="19"/>
      <c r="F1813" s="19"/>
      <c r="G1813" s="21"/>
      <c r="H1813" s="19"/>
      <c r="I1813" s="23" t="str">
        <f aca="false">IF(A1813="","",TEXT(A1813,"yyyy-mm"))</f>
        <v/>
      </c>
    </row>
    <row r="1814" customFormat="false" ht="15" hidden="false" customHeight="false" outlineLevel="0" collapsed="false">
      <c r="A1814" s="20"/>
      <c r="B1814" s="19"/>
      <c r="C1814" s="19"/>
      <c r="D1814" s="19"/>
      <c r="E1814" s="19"/>
      <c r="F1814" s="19"/>
      <c r="G1814" s="21"/>
      <c r="H1814" s="19"/>
      <c r="I1814" s="23" t="str">
        <f aca="false">IF(A1814="","",TEXT(A1814,"yyyy-mm"))</f>
        <v/>
      </c>
    </row>
    <row r="1815" customFormat="false" ht="15" hidden="false" customHeight="false" outlineLevel="0" collapsed="false">
      <c r="A1815" s="20"/>
      <c r="B1815" s="19"/>
      <c r="C1815" s="19"/>
      <c r="D1815" s="19"/>
      <c r="E1815" s="19"/>
      <c r="F1815" s="19"/>
      <c r="G1815" s="21"/>
      <c r="H1815" s="19"/>
      <c r="I1815" s="23" t="str">
        <f aca="false">IF(A1815="","",TEXT(A1815,"yyyy-mm"))</f>
        <v/>
      </c>
    </row>
    <row r="1816" customFormat="false" ht="15" hidden="false" customHeight="false" outlineLevel="0" collapsed="false">
      <c r="A1816" s="20"/>
      <c r="B1816" s="19"/>
      <c r="C1816" s="19"/>
      <c r="D1816" s="19"/>
      <c r="E1816" s="19"/>
      <c r="F1816" s="19"/>
      <c r="G1816" s="21"/>
      <c r="H1816" s="19"/>
      <c r="I1816" s="23" t="str">
        <f aca="false">IF(A1816="","",TEXT(A1816,"yyyy-mm"))</f>
        <v/>
      </c>
    </row>
    <row r="1817" customFormat="false" ht="15" hidden="false" customHeight="false" outlineLevel="0" collapsed="false">
      <c r="A1817" s="20"/>
      <c r="B1817" s="19"/>
      <c r="C1817" s="19"/>
      <c r="D1817" s="19"/>
      <c r="E1817" s="19"/>
      <c r="F1817" s="19"/>
      <c r="G1817" s="21"/>
      <c r="H1817" s="19"/>
      <c r="I1817" s="23" t="str">
        <f aca="false">IF(A1817="","",TEXT(A1817,"yyyy-mm"))</f>
        <v/>
      </c>
    </row>
    <row r="1818" customFormat="false" ht="15" hidden="false" customHeight="false" outlineLevel="0" collapsed="false">
      <c r="A1818" s="20"/>
      <c r="B1818" s="19"/>
      <c r="C1818" s="19"/>
      <c r="D1818" s="19"/>
      <c r="E1818" s="19"/>
      <c r="F1818" s="19"/>
      <c r="G1818" s="21"/>
      <c r="H1818" s="19"/>
      <c r="I1818" s="23" t="str">
        <f aca="false">IF(A1818="","",TEXT(A1818,"yyyy-mm"))</f>
        <v/>
      </c>
    </row>
    <row r="1819" customFormat="false" ht="15" hidden="false" customHeight="false" outlineLevel="0" collapsed="false">
      <c r="A1819" s="20"/>
      <c r="B1819" s="19"/>
      <c r="C1819" s="19"/>
      <c r="D1819" s="19"/>
      <c r="E1819" s="19"/>
      <c r="F1819" s="19"/>
      <c r="G1819" s="21"/>
      <c r="H1819" s="19"/>
      <c r="I1819" s="23" t="str">
        <f aca="false">IF(A1819="","",TEXT(A1819,"yyyy-mm"))</f>
        <v/>
      </c>
    </row>
    <row r="1820" customFormat="false" ht="15" hidden="false" customHeight="false" outlineLevel="0" collapsed="false">
      <c r="A1820" s="20"/>
      <c r="B1820" s="19"/>
      <c r="C1820" s="19"/>
      <c r="D1820" s="19"/>
      <c r="E1820" s="19"/>
      <c r="F1820" s="19"/>
      <c r="G1820" s="21"/>
      <c r="H1820" s="19"/>
      <c r="I1820" s="23" t="str">
        <f aca="false">IF(A1820="","",TEXT(A1820,"yyyy-mm"))</f>
        <v/>
      </c>
    </row>
    <row r="1821" customFormat="false" ht="15" hidden="false" customHeight="false" outlineLevel="0" collapsed="false">
      <c r="A1821" s="20"/>
      <c r="B1821" s="19"/>
      <c r="C1821" s="19"/>
      <c r="D1821" s="19"/>
      <c r="E1821" s="19"/>
      <c r="F1821" s="19"/>
      <c r="G1821" s="21"/>
      <c r="H1821" s="19"/>
      <c r="I1821" s="23" t="str">
        <f aca="false">IF(A1821="","",TEXT(A1821,"yyyy-mm"))</f>
        <v/>
      </c>
    </row>
    <row r="1822" customFormat="false" ht="15" hidden="false" customHeight="false" outlineLevel="0" collapsed="false">
      <c r="A1822" s="20"/>
      <c r="B1822" s="19"/>
      <c r="C1822" s="19"/>
      <c r="D1822" s="19"/>
      <c r="E1822" s="19"/>
      <c r="F1822" s="19"/>
      <c r="G1822" s="21"/>
      <c r="H1822" s="19"/>
      <c r="I1822" s="23" t="str">
        <f aca="false">IF(A1822="","",TEXT(A1822,"yyyy-mm"))</f>
        <v/>
      </c>
    </row>
    <row r="1823" customFormat="false" ht="15" hidden="false" customHeight="false" outlineLevel="0" collapsed="false">
      <c r="A1823" s="20"/>
      <c r="B1823" s="19"/>
      <c r="C1823" s="19"/>
      <c r="D1823" s="19"/>
      <c r="E1823" s="19"/>
      <c r="F1823" s="19"/>
      <c r="G1823" s="21"/>
      <c r="H1823" s="19"/>
      <c r="I1823" s="23" t="str">
        <f aca="false">IF(A1823="","",TEXT(A1823,"yyyy-mm"))</f>
        <v/>
      </c>
    </row>
    <row r="1824" customFormat="false" ht="15" hidden="false" customHeight="false" outlineLevel="0" collapsed="false">
      <c r="A1824" s="20"/>
      <c r="B1824" s="19"/>
      <c r="C1824" s="19"/>
      <c r="D1824" s="19"/>
      <c r="E1824" s="19"/>
      <c r="F1824" s="19"/>
      <c r="G1824" s="21"/>
      <c r="H1824" s="19"/>
      <c r="I1824" s="23" t="str">
        <f aca="false">IF(A1824="","",TEXT(A1824,"yyyy-mm"))</f>
        <v/>
      </c>
    </row>
    <row r="1825" customFormat="false" ht="15" hidden="false" customHeight="false" outlineLevel="0" collapsed="false">
      <c r="A1825" s="20"/>
      <c r="B1825" s="19"/>
      <c r="C1825" s="19"/>
      <c r="D1825" s="19"/>
      <c r="E1825" s="19"/>
      <c r="F1825" s="19"/>
      <c r="G1825" s="21"/>
      <c r="H1825" s="19"/>
      <c r="I1825" s="23" t="str">
        <f aca="false">IF(A1825="","",TEXT(A1825,"yyyy-mm"))</f>
        <v/>
      </c>
    </row>
    <row r="1826" customFormat="false" ht="15" hidden="false" customHeight="false" outlineLevel="0" collapsed="false">
      <c r="A1826" s="20"/>
      <c r="B1826" s="19"/>
      <c r="C1826" s="19"/>
      <c r="D1826" s="19"/>
      <c r="E1826" s="19"/>
      <c r="F1826" s="19"/>
      <c r="G1826" s="21"/>
      <c r="H1826" s="19"/>
      <c r="I1826" s="23" t="str">
        <f aca="false">IF(A1826="","",TEXT(A1826,"yyyy-mm"))</f>
        <v/>
      </c>
    </row>
    <row r="1827" customFormat="false" ht="15" hidden="false" customHeight="false" outlineLevel="0" collapsed="false">
      <c r="A1827" s="20"/>
      <c r="B1827" s="19"/>
      <c r="C1827" s="19"/>
      <c r="D1827" s="19"/>
      <c r="E1827" s="19"/>
      <c r="F1827" s="19"/>
      <c r="G1827" s="21"/>
      <c r="H1827" s="19"/>
      <c r="I1827" s="23" t="str">
        <f aca="false">IF(A1827="","",TEXT(A1827,"yyyy-mm"))</f>
        <v/>
      </c>
    </row>
    <row r="1828" customFormat="false" ht="15" hidden="false" customHeight="false" outlineLevel="0" collapsed="false">
      <c r="A1828" s="20"/>
      <c r="B1828" s="19"/>
      <c r="C1828" s="19"/>
      <c r="D1828" s="19"/>
      <c r="E1828" s="19"/>
      <c r="F1828" s="19"/>
      <c r="G1828" s="21"/>
      <c r="H1828" s="19"/>
      <c r="I1828" s="23" t="str">
        <f aca="false">IF(A1828="","",TEXT(A1828,"yyyy-mm"))</f>
        <v/>
      </c>
    </row>
    <row r="1829" customFormat="false" ht="15" hidden="false" customHeight="false" outlineLevel="0" collapsed="false">
      <c r="A1829" s="20"/>
      <c r="B1829" s="19"/>
      <c r="C1829" s="19"/>
      <c r="D1829" s="19"/>
      <c r="E1829" s="19"/>
      <c r="F1829" s="19"/>
      <c r="G1829" s="21"/>
      <c r="H1829" s="19"/>
      <c r="I1829" s="23" t="str">
        <f aca="false">IF(A1829="","",TEXT(A1829,"yyyy-mm"))</f>
        <v/>
      </c>
    </row>
    <row r="1830" customFormat="false" ht="15" hidden="false" customHeight="false" outlineLevel="0" collapsed="false">
      <c r="A1830" s="20"/>
      <c r="B1830" s="19"/>
      <c r="C1830" s="19"/>
      <c r="D1830" s="19"/>
      <c r="E1830" s="19"/>
      <c r="F1830" s="19"/>
      <c r="G1830" s="21"/>
      <c r="H1830" s="19"/>
      <c r="I1830" s="23" t="str">
        <f aca="false">IF(A1830="","",TEXT(A1830,"yyyy-mm"))</f>
        <v/>
      </c>
    </row>
    <row r="1831" customFormat="false" ht="15" hidden="false" customHeight="false" outlineLevel="0" collapsed="false">
      <c r="A1831" s="20"/>
      <c r="B1831" s="19"/>
      <c r="C1831" s="19"/>
      <c r="D1831" s="19"/>
      <c r="E1831" s="19"/>
      <c r="F1831" s="19"/>
      <c r="G1831" s="21"/>
      <c r="H1831" s="19"/>
      <c r="I1831" s="23" t="str">
        <f aca="false">IF(A1831="","",TEXT(A1831,"yyyy-mm"))</f>
        <v/>
      </c>
    </row>
    <row r="1832" customFormat="false" ht="15" hidden="false" customHeight="false" outlineLevel="0" collapsed="false">
      <c r="A1832" s="20"/>
      <c r="B1832" s="19"/>
      <c r="C1832" s="19"/>
      <c r="D1832" s="19"/>
      <c r="E1832" s="19"/>
      <c r="F1832" s="19"/>
      <c r="G1832" s="21"/>
      <c r="H1832" s="19"/>
      <c r="I1832" s="23" t="str">
        <f aca="false">IF(A1832="","",TEXT(A1832,"yyyy-mm"))</f>
        <v/>
      </c>
    </row>
    <row r="1833" customFormat="false" ht="15" hidden="false" customHeight="false" outlineLevel="0" collapsed="false">
      <c r="A1833" s="20"/>
      <c r="B1833" s="19"/>
      <c r="C1833" s="19"/>
      <c r="D1833" s="19"/>
      <c r="E1833" s="19"/>
      <c r="F1833" s="19"/>
      <c r="G1833" s="21"/>
      <c r="H1833" s="19"/>
      <c r="I1833" s="23" t="str">
        <f aca="false">IF(A1833="","",TEXT(A1833,"yyyy-mm"))</f>
        <v/>
      </c>
    </row>
    <row r="1834" customFormat="false" ht="15" hidden="false" customHeight="false" outlineLevel="0" collapsed="false">
      <c r="A1834" s="20"/>
      <c r="B1834" s="19"/>
      <c r="C1834" s="19"/>
      <c r="D1834" s="19"/>
      <c r="E1834" s="19"/>
      <c r="F1834" s="19"/>
      <c r="G1834" s="21"/>
      <c r="H1834" s="19"/>
      <c r="I1834" s="23" t="str">
        <f aca="false">IF(A1834="","",TEXT(A1834,"yyyy-mm"))</f>
        <v/>
      </c>
    </row>
    <row r="1835" customFormat="false" ht="15" hidden="false" customHeight="false" outlineLevel="0" collapsed="false">
      <c r="A1835" s="20"/>
      <c r="B1835" s="19"/>
      <c r="C1835" s="19"/>
      <c r="D1835" s="19"/>
      <c r="E1835" s="19"/>
      <c r="F1835" s="19"/>
      <c r="G1835" s="21"/>
      <c r="H1835" s="19"/>
      <c r="I1835" s="23" t="str">
        <f aca="false">IF(A1835="","",TEXT(A1835,"yyyy-mm"))</f>
        <v/>
      </c>
    </row>
    <row r="1836" customFormat="false" ht="15" hidden="false" customHeight="false" outlineLevel="0" collapsed="false">
      <c r="A1836" s="20"/>
      <c r="B1836" s="19"/>
      <c r="C1836" s="19"/>
      <c r="D1836" s="19"/>
      <c r="E1836" s="19"/>
      <c r="F1836" s="19"/>
      <c r="G1836" s="21"/>
      <c r="H1836" s="19"/>
      <c r="I1836" s="23" t="str">
        <f aca="false">IF(A1836="","",TEXT(A1836,"yyyy-mm"))</f>
        <v/>
      </c>
    </row>
    <row r="1837" customFormat="false" ht="15" hidden="false" customHeight="false" outlineLevel="0" collapsed="false">
      <c r="A1837" s="20"/>
      <c r="B1837" s="19"/>
      <c r="C1837" s="19"/>
      <c r="D1837" s="19"/>
      <c r="E1837" s="19"/>
      <c r="F1837" s="19"/>
      <c r="G1837" s="21"/>
      <c r="H1837" s="19"/>
      <c r="I1837" s="23" t="str">
        <f aca="false">IF(A1837="","",TEXT(A1837,"yyyy-mm"))</f>
        <v/>
      </c>
    </row>
    <row r="1838" customFormat="false" ht="15" hidden="false" customHeight="false" outlineLevel="0" collapsed="false">
      <c r="A1838" s="20"/>
      <c r="B1838" s="19"/>
      <c r="C1838" s="19"/>
      <c r="D1838" s="19"/>
      <c r="E1838" s="19"/>
      <c r="F1838" s="19"/>
      <c r="G1838" s="21"/>
      <c r="H1838" s="19"/>
      <c r="I1838" s="23" t="str">
        <f aca="false">IF(A1838="","",TEXT(A1838,"yyyy-mm"))</f>
        <v/>
      </c>
    </row>
    <row r="1839" customFormat="false" ht="15" hidden="false" customHeight="false" outlineLevel="0" collapsed="false">
      <c r="A1839" s="20"/>
      <c r="B1839" s="19"/>
      <c r="C1839" s="19"/>
      <c r="D1839" s="19"/>
      <c r="E1839" s="19"/>
      <c r="F1839" s="19"/>
      <c r="G1839" s="21"/>
      <c r="H1839" s="19"/>
      <c r="I1839" s="23" t="str">
        <f aca="false">IF(A1839="","",TEXT(A1839,"yyyy-mm"))</f>
        <v/>
      </c>
    </row>
    <row r="1840" customFormat="false" ht="15" hidden="false" customHeight="false" outlineLevel="0" collapsed="false">
      <c r="A1840" s="20"/>
      <c r="B1840" s="19"/>
      <c r="C1840" s="19"/>
      <c r="D1840" s="19"/>
      <c r="E1840" s="19"/>
      <c r="F1840" s="19"/>
      <c r="G1840" s="21"/>
      <c r="H1840" s="19"/>
      <c r="I1840" s="23" t="str">
        <f aca="false">IF(A1840="","",TEXT(A1840,"yyyy-mm"))</f>
        <v/>
      </c>
    </row>
    <row r="1841" customFormat="false" ht="15" hidden="false" customHeight="false" outlineLevel="0" collapsed="false">
      <c r="A1841" s="20"/>
      <c r="B1841" s="19"/>
      <c r="C1841" s="19"/>
      <c r="D1841" s="19"/>
      <c r="E1841" s="19"/>
      <c r="F1841" s="19"/>
      <c r="G1841" s="21"/>
      <c r="H1841" s="19"/>
      <c r="I1841" s="23" t="str">
        <f aca="false">IF(A1841="","",TEXT(A1841,"yyyy-mm"))</f>
        <v/>
      </c>
    </row>
    <row r="1842" customFormat="false" ht="15" hidden="false" customHeight="false" outlineLevel="0" collapsed="false">
      <c r="A1842" s="20"/>
      <c r="B1842" s="19"/>
      <c r="C1842" s="19"/>
      <c r="D1842" s="19"/>
      <c r="E1842" s="19"/>
      <c r="F1842" s="19"/>
      <c r="G1842" s="21"/>
      <c r="H1842" s="19"/>
      <c r="I1842" s="23" t="str">
        <f aca="false">IF(A1842="","",TEXT(A1842,"yyyy-mm"))</f>
        <v/>
      </c>
    </row>
    <row r="1843" customFormat="false" ht="15" hidden="false" customHeight="false" outlineLevel="0" collapsed="false">
      <c r="A1843" s="20"/>
      <c r="B1843" s="19"/>
      <c r="C1843" s="19"/>
      <c r="D1843" s="19"/>
      <c r="E1843" s="19"/>
      <c r="F1843" s="19"/>
      <c r="G1843" s="21"/>
      <c r="H1843" s="19"/>
      <c r="I1843" s="23" t="str">
        <f aca="false">IF(A1843="","",TEXT(A1843,"yyyy-mm"))</f>
        <v/>
      </c>
    </row>
    <row r="1844" customFormat="false" ht="15" hidden="false" customHeight="false" outlineLevel="0" collapsed="false">
      <c r="A1844" s="20"/>
      <c r="B1844" s="19"/>
      <c r="C1844" s="19"/>
      <c r="D1844" s="19"/>
      <c r="E1844" s="19"/>
      <c r="F1844" s="19"/>
      <c r="G1844" s="21"/>
      <c r="H1844" s="19"/>
      <c r="I1844" s="23" t="str">
        <f aca="false">IF(A1844="","",TEXT(A1844,"yyyy-mm"))</f>
        <v/>
      </c>
    </row>
    <row r="1845" customFormat="false" ht="15" hidden="false" customHeight="false" outlineLevel="0" collapsed="false">
      <c r="A1845" s="20"/>
      <c r="B1845" s="19"/>
      <c r="C1845" s="19"/>
      <c r="D1845" s="19"/>
      <c r="E1845" s="19"/>
      <c r="F1845" s="19"/>
      <c r="G1845" s="21"/>
      <c r="H1845" s="19"/>
      <c r="I1845" s="23" t="str">
        <f aca="false">IF(A1845="","",TEXT(A1845,"yyyy-mm"))</f>
        <v/>
      </c>
    </row>
    <row r="1846" customFormat="false" ht="15" hidden="false" customHeight="false" outlineLevel="0" collapsed="false">
      <c r="A1846" s="20"/>
      <c r="B1846" s="19"/>
      <c r="C1846" s="19"/>
      <c r="D1846" s="19"/>
      <c r="E1846" s="19"/>
      <c r="F1846" s="19"/>
      <c r="G1846" s="21"/>
      <c r="H1846" s="19"/>
      <c r="I1846" s="23" t="str">
        <f aca="false">IF(A1846="","",TEXT(A1846,"yyyy-mm"))</f>
        <v/>
      </c>
    </row>
    <row r="1847" customFormat="false" ht="15" hidden="false" customHeight="false" outlineLevel="0" collapsed="false">
      <c r="A1847" s="20"/>
      <c r="B1847" s="19"/>
      <c r="C1847" s="19"/>
      <c r="D1847" s="19"/>
      <c r="E1847" s="19"/>
      <c r="F1847" s="19"/>
      <c r="G1847" s="21"/>
      <c r="H1847" s="19"/>
      <c r="I1847" s="23" t="str">
        <f aca="false">IF(A1847="","",TEXT(A1847,"yyyy-mm"))</f>
        <v/>
      </c>
    </row>
    <row r="1848" customFormat="false" ht="15" hidden="false" customHeight="false" outlineLevel="0" collapsed="false">
      <c r="A1848" s="20"/>
      <c r="B1848" s="19"/>
      <c r="C1848" s="19"/>
      <c r="D1848" s="19"/>
      <c r="E1848" s="19"/>
      <c r="F1848" s="19"/>
      <c r="G1848" s="21"/>
      <c r="H1848" s="19"/>
      <c r="I1848" s="23" t="str">
        <f aca="false">IF(A1848="","",TEXT(A1848,"yyyy-mm"))</f>
        <v/>
      </c>
    </row>
    <row r="1849" customFormat="false" ht="15" hidden="false" customHeight="false" outlineLevel="0" collapsed="false">
      <c r="A1849" s="20"/>
      <c r="B1849" s="19"/>
      <c r="C1849" s="19"/>
      <c r="D1849" s="19"/>
      <c r="E1849" s="19"/>
      <c r="F1849" s="19"/>
      <c r="G1849" s="21"/>
      <c r="H1849" s="19"/>
      <c r="I1849" s="23" t="str">
        <f aca="false">IF(A1849="","",TEXT(A1849,"yyyy-mm"))</f>
        <v/>
      </c>
    </row>
    <row r="1850" customFormat="false" ht="15" hidden="false" customHeight="false" outlineLevel="0" collapsed="false">
      <c r="A1850" s="20"/>
      <c r="B1850" s="19"/>
      <c r="C1850" s="19"/>
      <c r="D1850" s="19"/>
      <c r="E1850" s="19"/>
      <c r="F1850" s="19"/>
      <c r="G1850" s="21"/>
      <c r="H1850" s="19"/>
      <c r="I1850" s="23" t="str">
        <f aca="false">IF(A1850="","",TEXT(A1850,"yyyy-mm"))</f>
        <v/>
      </c>
    </row>
    <row r="1851" customFormat="false" ht="15" hidden="false" customHeight="false" outlineLevel="0" collapsed="false">
      <c r="A1851" s="20"/>
      <c r="B1851" s="19"/>
      <c r="C1851" s="19"/>
      <c r="D1851" s="19"/>
      <c r="E1851" s="19"/>
      <c r="F1851" s="19"/>
      <c r="G1851" s="21"/>
      <c r="H1851" s="19"/>
      <c r="I1851" s="23" t="str">
        <f aca="false">IF(A1851="","",TEXT(A1851,"yyyy-mm"))</f>
        <v/>
      </c>
    </row>
    <row r="1852" customFormat="false" ht="15" hidden="false" customHeight="false" outlineLevel="0" collapsed="false">
      <c r="A1852" s="20"/>
      <c r="B1852" s="19"/>
      <c r="C1852" s="19"/>
      <c r="D1852" s="19"/>
      <c r="E1852" s="19"/>
      <c r="F1852" s="19"/>
      <c r="G1852" s="21"/>
      <c r="H1852" s="19"/>
      <c r="I1852" s="23" t="str">
        <f aca="false">IF(A1852="","",TEXT(A1852,"yyyy-mm"))</f>
        <v/>
      </c>
    </row>
    <row r="1853" customFormat="false" ht="15" hidden="false" customHeight="false" outlineLevel="0" collapsed="false">
      <c r="A1853" s="20"/>
      <c r="B1853" s="19"/>
      <c r="C1853" s="19"/>
      <c r="D1853" s="19"/>
      <c r="E1853" s="19"/>
      <c r="F1853" s="19"/>
      <c r="G1853" s="21"/>
      <c r="H1853" s="19"/>
      <c r="I1853" s="23" t="str">
        <f aca="false">IF(A1853="","",TEXT(A1853,"yyyy-mm"))</f>
        <v/>
      </c>
    </row>
    <row r="1854" customFormat="false" ht="15" hidden="false" customHeight="false" outlineLevel="0" collapsed="false">
      <c r="A1854" s="20"/>
      <c r="B1854" s="19"/>
      <c r="C1854" s="19"/>
      <c r="D1854" s="19"/>
      <c r="E1854" s="19"/>
      <c r="F1854" s="19"/>
      <c r="G1854" s="21"/>
      <c r="H1854" s="19"/>
      <c r="I1854" s="23" t="str">
        <f aca="false">IF(A1854="","",TEXT(A1854,"yyyy-mm"))</f>
        <v/>
      </c>
    </row>
    <row r="1855" customFormat="false" ht="15" hidden="false" customHeight="false" outlineLevel="0" collapsed="false">
      <c r="A1855" s="20"/>
      <c r="B1855" s="19"/>
      <c r="C1855" s="19"/>
      <c r="D1855" s="19"/>
      <c r="E1855" s="19"/>
      <c r="F1855" s="19"/>
      <c r="G1855" s="21"/>
      <c r="H1855" s="19"/>
      <c r="I1855" s="23" t="str">
        <f aca="false">IF(A1855="","",TEXT(A1855,"yyyy-mm"))</f>
        <v/>
      </c>
    </row>
    <row r="1856" customFormat="false" ht="15" hidden="false" customHeight="false" outlineLevel="0" collapsed="false">
      <c r="A1856" s="20"/>
      <c r="B1856" s="19"/>
      <c r="C1856" s="19"/>
      <c r="D1856" s="19"/>
      <c r="E1856" s="19"/>
      <c r="F1856" s="19"/>
      <c r="G1856" s="21"/>
      <c r="H1856" s="19"/>
      <c r="I1856" s="23" t="str">
        <f aca="false">IF(A1856="","",TEXT(A1856,"yyyy-mm"))</f>
        <v/>
      </c>
    </row>
    <row r="1857" customFormat="false" ht="15" hidden="false" customHeight="false" outlineLevel="0" collapsed="false">
      <c r="A1857" s="20"/>
      <c r="B1857" s="19"/>
      <c r="C1857" s="19"/>
      <c r="D1857" s="19"/>
      <c r="E1857" s="19"/>
      <c r="F1857" s="19"/>
      <c r="G1857" s="21"/>
      <c r="H1857" s="19"/>
      <c r="I1857" s="23" t="str">
        <f aca="false">IF(A1857="","",TEXT(A1857,"yyyy-mm"))</f>
        <v/>
      </c>
    </row>
    <row r="1858" customFormat="false" ht="15" hidden="false" customHeight="false" outlineLevel="0" collapsed="false">
      <c r="A1858" s="20"/>
      <c r="B1858" s="19"/>
      <c r="C1858" s="19"/>
      <c r="D1858" s="19"/>
      <c r="E1858" s="19"/>
      <c r="F1858" s="19"/>
      <c r="G1858" s="21"/>
      <c r="H1858" s="19"/>
      <c r="I1858" s="23" t="str">
        <f aca="false">IF(A1858="","",TEXT(A1858,"yyyy-mm"))</f>
        <v/>
      </c>
    </row>
    <row r="1859" customFormat="false" ht="15" hidden="false" customHeight="false" outlineLevel="0" collapsed="false">
      <c r="A1859" s="20"/>
      <c r="B1859" s="19"/>
      <c r="C1859" s="19"/>
      <c r="D1859" s="19"/>
      <c r="E1859" s="19"/>
      <c r="F1859" s="19"/>
      <c r="G1859" s="21"/>
      <c r="H1859" s="19"/>
      <c r="I1859" s="23" t="str">
        <f aca="false">IF(A1859="","",TEXT(A1859,"yyyy-mm"))</f>
        <v/>
      </c>
    </row>
    <row r="1860" customFormat="false" ht="15" hidden="false" customHeight="false" outlineLevel="0" collapsed="false">
      <c r="A1860" s="20"/>
      <c r="B1860" s="19"/>
      <c r="C1860" s="19"/>
      <c r="D1860" s="19"/>
      <c r="E1860" s="19"/>
      <c r="F1860" s="19"/>
      <c r="G1860" s="21"/>
      <c r="H1860" s="19"/>
      <c r="I1860" s="23" t="str">
        <f aca="false">IF(A1860="","",TEXT(A1860,"yyyy-mm"))</f>
        <v/>
      </c>
    </row>
    <row r="1861" customFormat="false" ht="15" hidden="false" customHeight="false" outlineLevel="0" collapsed="false">
      <c r="A1861" s="20"/>
      <c r="B1861" s="19"/>
      <c r="C1861" s="19"/>
      <c r="D1861" s="19"/>
      <c r="E1861" s="19"/>
      <c r="F1861" s="19"/>
      <c r="G1861" s="21"/>
      <c r="H1861" s="19"/>
      <c r="I1861" s="23" t="str">
        <f aca="false">IF(A1861="","",TEXT(A1861,"yyyy-mm"))</f>
        <v/>
      </c>
    </row>
    <row r="1862" customFormat="false" ht="15" hidden="false" customHeight="false" outlineLevel="0" collapsed="false">
      <c r="A1862" s="20"/>
      <c r="B1862" s="19"/>
      <c r="C1862" s="19"/>
      <c r="D1862" s="19"/>
      <c r="E1862" s="19"/>
      <c r="F1862" s="19"/>
      <c r="G1862" s="21"/>
      <c r="H1862" s="19"/>
      <c r="I1862" s="23" t="str">
        <f aca="false">IF(A1862="","",TEXT(A1862,"yyyy-mm"))</f>
        <v/>
      </c>
    </row>
    <row r="1863" customFormat="false" ht="15" hidden="false" customHeight="false" outlineLevel="0" collapsed="false">
      <c r="A1863" s="20"/>
      <c r="B1863" s="19"/>
      <c r="C1863" s="19"/>
      <c r="D1863" s="19"/>
      <c r="E1863" s="19"/>
      <c r="F1863" s="19"/>
      <c r="G1863" s="21"/>
      <c r="H1863" s="19"/>
      <c r="I1863" s="23" t="str">
        <f aca="false">IF(A1863="","",TEXT(A1863,"yyyy-mm"))</f>
        <v/>
      </c>
    </row>
    <row r="1864" customFormat="false" ht="15" hidden="false" customHeight="false" outlineLevel="0" collapsed="false">
      <c r="A1864" s="20"/>
      <c r="B1864" s="19"/>
      <c r="C1864" s="19"/>
      <c r="D1864" s="19"/>
      <c r="E1864" s="19"/>
      <c r="F1864" s="19"/>
      <c r="G1864" s="21"/>
      <c r="H1864" s="19"/>
      <c r="I1864" s="23" t="str">
        <f aca="false">IF(A1864="","",TEXT(A1864,"yyyy-mm"))</f>
        <v/>
      </c>
    </row>
    <row r="1865" customFormat="false" ht="15" hidden="false" customHeight="false" outlineLevel="0" collapsed="false">
      <c r="A1865" s="20"/>
      <c r="B1865" s="19"/>
      <c r="C1865" s="19"/>
      <c r="D1865" s="19"/>
      <c r="E1865" s="19"/>
      <c r="F1865" s="19"/>
      <c r="G1865" s="21"/>
      <c r="H1865" s="19"/>
      <c r="I1865" s="23" t="str">
        <f aca="false">IF(A1865="","",TEXT(A1865,"yyyy-mm"))</f>
        <v/>
      </c>
    </row>
    <row r="1866" customFormat="false" ht="15" hidden="false" customHeight="false" outlineLevel="0" collapsed="false">
      <c r="A1866" s="20"/>
      <c r="B1866" s="19"/>
      <c r="C1866" s="19"/>
      <c r="D1866" s="19"/>
      <c r="E1866" s="19"/>
      <c r="F1866" s="19"/>
      <c r="G1866" s="21"/>
      <c r="H1866" s="19"/>
      <c r="I1866" s="23" t="str">
        <f aca="false">IF(A1866="","",TEXT(A1866,"yyyy-mm"))</f>
        <v/>
      </c>
    </row>
    <row r="1867" customFormat="false" ht="15" hidden="false" customHeight="false" outlineLevel="0" collapsed="false">
      <c r="A1867" s="20"/>
      <c r="B1867" s="19"/>
      <c r="C1867" s="19"/>
      <c r="D1867" s="19"/>
      <c r="E1867" s="19"/>
      <c r="F1867" s="19"/>
      <c r="G1867" s="21"/>
      <c r="H1867" s="19"/>
      <c r="I1867" s="23" t="str">
        <f aca="false">IF(A1867="","",TEXT(A1867,"yyyy-mm"))</f>
        <v/>
      </c>
    </row>
    <row r="1868" customFormat="false" ht="15" hidden="false" customHeight="false" outlineLevel="0" collapsed="false">
      <c r="A1868" s="20"/>
      <c r="B1868" s="19"/>
      <c r="C1868" s="19"/>
      <c r="D1868" s="19"/>
      <c r="E1868" s="19"/>
      <c r="F1868" s="19"/>
      <c r="G1868" s="21"/>
      <c r="H1868" s="19"/>
      <c r="I1868" s="23" t="str">
        <f aca="false">IF(A1868="","",TEXT(A1868,"yyyy-mm"))</f>
        <v/>
      </c>
    </row>
    <row r="1869" customFormat="false" ht="15" hidden="false" customHeight="false" outlineLevel="0" collapsed="false">
      <c r="A1869" s="20"/>
      <c r="B1869" s="19"/>
      <c r="C1869" s="19"/>
      <c r="D1869" s="19"/>
      <c r="E1869" s="19"/>
      <c r="F1869" s="19"/>
      <c r="G1869" s="21"/>
      <c r="H1869" s="19"/>
      <c r="I1869" s="23" t="str">
        <f aca="false">IF(A1869="","",TEXT(A1869,"yyyy-mm"))</f>
        <v/>
      </c>
    </row>
    <row r="1870" customFormat="false" ht="15" hidden="false" customHeight="false" outlineLevel="0" collapsed="false">
      <c r="A1870" s="20"/>
      <c r="B1870" s="19"/>
      <c r="C1870" s="19"/>
      <c r="D1870" s="19"/>
      <c r="E1870" s="19"/>
      <c r="F1870" s="19"/>
      <c r="G1870" s="21"/>
      <c r="H1870" s="19"/>
      <c r="I1870" s="23" t="str">
        <f aca="false">IF(A1870="","",TEXT(A1870,"yyyy-mm"))</f>
        <v/>
      </c>
    </row>
    <row r="1871" customFormat="false" ht="15" hidden="false" customHeight="false" outlineLevel="0" collapsed="false">
      <c r="A1871" s="20"/>
      <c r="B1871" s="19"/>
      <c r="C1871" s="19"/>
      <c r="D1871" s="19"/>
      <c r="E1871" s="19"/>
      <c r="F1871" s="19"/>
      <c r="G1871" s="21"/>
      <c r="H1871" s="19"/>
      <c r="I1871" s="23" t="str">
        <f aca="false">IF(A1871="","",TEXT(A1871,"yyyy-mm"))</f>
        <v/>
      </c>
    </row>
    <row r="1872" customFormat="false" ht="15" hidden="false" customHeight="false" outlineLevel="0" collapsed="false">
      <c r="A1872" s="20"/>
      <c r="B1872" s="19"/>
      <c r="C1872" s="19"/>
      <c r="D1872" s="19"/>
      <c r="E1872" s="19"/>
      <c r="F1872" s="19"/>
      <c r="G1872" s="21"/>
      <c r="H1872" s="19"/>
      <c r="I1872" s="23" t="str">
        <f aca="false">IF(A1872="","",TEXT(A1872,"yyyy-mm"))</f>
        <v/>
      </c>
    </row>
    <row r="1873" customFormat="false" ht="15" hidden="false" customHeight="false" outlineLevel="0" collapsed="false">
      <c r="A1873" s="20"/>
      <c r="B1873" s="19"/>
      <c r="C1873" s="19"/>
      <c r="D1873" s="19"/>
      <c r="E1873" s="19"/>
      <c r="F1873" s="19"/>
      <c r="G1873" s="21"/>
      <c r="H1873" s="19"/>
      <c r="I1873" s="23" t="str">
        <f aca="false">IF(A1873="","",TEXT(A1873,"yyyy-mm"))</f>
        <v/>
      </c>
    </row>
    <row r="1874" customFormat="false" ht="15" hidden="false" customHeight="false" outlineLevel="0" collapsed="false">
      <c r="A1874" s="20"/>
      <c r="B1874" s="19"/>
      <c r="C1874" s="19"/>
      <c r="D1874" s="19"/>
      <c r="E1874" s="19"/>
      <c r="F1874" s="19"/>
      <c r="G1874" s="21"/>
      <c r="H1874" s="19"/>
      <c r="I1874" s="23" t="str">
        <f aca="false">IF(A1874="","",TEXT(A1874,"yyyy-mm"))</f>
        <v/>
      </c>
    </row>
    <row r="1875" customFormat="false" ht="15" hidden="false" customHeight="false" outlineLevel="0" collapsed="false">
      <c r="A1875" s="20"/>
      <c r="B1875" s="19"/>
      <c r="C1875" s="19"/>
      <c r="D1875" s="19"/>
      <c r="E1875" s="19"/>
      <c r="F1875" s="19"/>
      <c r="G1875" s="21"/>
      <c r="H1875" s="19"/>
      <c r="I1875" s="23" t="str">
        <f aca="false">IF(A1875="","",TEXT(A1875,"yyyy-mm"))</f>
        <v/>
      </c>
    </row>
    <row r="1876" customFormat="false" ht="15" hidden="false" customHeight="false" outlineLevel="0" collapsed="false">
      <c r="A1876" s="20"/>
      <c r="B1876" s="19"/>
      <c r="C1876" s="19"/>
      <c r="D1876" s="19"/>
      <c r="E1876" s="19"/>
      <c r="F1876" s="19"/>
      <c r="G1876" s="21"/>
      <c r="H1876" s="19"/>
      <c r="I1876" s="23" t="str">
        <f aca="false">IF(A1876="","",TEXT(A1876,"yyyy-mm"))</f>
        <v/>
      </c>
    </row>
    <row r="1877" customFormat="false" ht="15" hidden="false" customHeight="false" outlineLevel="0" collapsed="false">
      <c r="A1877" s="20"/>
      <c r="B1877" s="19"/>
      <c r="C1877" s="19"/>
      <c r="D1877" s="19"/>
      <c r="E1877" s="19"/>
      <c r="F1877" s="19"/>
      <c r="G1877" s="21"/>
      <c r="H1877" s="19"/>
      <c r="I1877" s="23" t="str">
        <f aca="false">IF(A1877="","",TEXT(A1877,"yyyy-mm"))</f>
        <v/>
      </c>
    </row>
    <row r="1878" customFormat="false" ht="15" hidden="false" customHeight="false" outlineLevel="0" collapsed="false">
      <c r="A1878" s="20"/>
      <c r="B1878" s="19"/>
      <c r="C1878" s="19"/>
      <c r="D1878" s="19"/>
      <c r="E1878" s="19"/>
      <c r="F1878" s="19"/>
      <c r="G1878" s="21"/>
      <c r="H1878" s="19"/>
      <c r="I1878" s="23" t="str">
        <f aca="false">IF(A1878="","",TEXT(A1878,"yyyy-mm"))</f>
        <v/>
      </c>
    </row>
    <row r="1879" customFormat="false" ht="15" hidden="false" customHeight="false" outlineLevel="0" collapsed="false">
      <c r="A1879" s="20"/>
      <c r="B1879" s="19"/>
      <c r="C1879" s="19"/>
      <c r="D1879" s="19"/>
      <c r="E1879" s="19"/>
      <c r="F1879" s="19"/>
      <c r="G1879" s="21"/>
      <c r="H1879" s="19"/>
      <c r="I1879" s="23" t="str">
        <f aca="false">IF(A1879="","",TEXT(A1879,"yyyy-mm"))</f>
        <v/>
      </c>
    </row>
    <row r="1880" customFormat="false" ht="15" hidden="false" customHeight="false" outlineLevel="0" collapsed="false">
      <c r="A1880" s="20"/>
      <c r="B1880" s="19"/>
      <c r="C1880" s="19"/>
      <c r="D1880" s="19"/>
      <c r="E1880" s="19"/>
      <c r="F1880" s="19"/>
      <c r="G1880" s="21"/>
      <c r="H1880" s="19"/>
      <c r="I1880" s="23" t="str">
        <f aca="false">IF(A1880="","",TEXT(A1880,"yyyy-mm"))</f>
        <v/>
      </c>
    </row>
    <row r="1881" customFormat="false" ht="15" hidden="false" customHeight="false" outlineLevel="0" collapsed="false">
      <c r="A1881" s="20"/>
      <c r="B1881" s="19"/>
      <c r="C1881" s="19"/>
      <c r="D1881" s="19"/>
      <c r="E1881" s="19"/>
      <c r="F1881" s="19"/>
      <c r="G1881" s="21"/>
      <c r="H1881" s="19"/>
      <c r="I1881" s="23" t="str">
        <f aca="false">IF(A1881="","",TEXT(A1881,"yyyy-mm"))</f>
        <v/>
      </c>
    </row>
    <row r="1882" customFormat="false" ht="15" hidden="false" customHeight="false" outlineLevel="0" collapsed="false">
      <c r="A1882" s="20"/>
      <c r="B1882" s="19"/>
      <c r="C1882" s="19"/>
      <c r="D1882" s="19"/>
      <c r="E1882" s="19"/>
      <c r="F1882" s="19"/>
      <c r="G1882" s="21"/>
      <c r="H1882" s="19"/>
      <c r="I1882" s="23" t="str">
        <f aca="false">IF(A1882="","",TEXT(A1882,"yyyy-mm"))</f>
        <v/>
      </c>
    </row>
    <row r="1883" customFormat="false" ht="15" hidden="false" customHeight="false" outlineLevel="0" collapsed="false">
      <c r="A1883" s="20"/>
      <c r="B1883" s="19"/>
      <c r="C1883" s="19"/>
      <c r="D1883" s="19"/>
      <c r="E1883" s="19"/>
      <c r="F1883" s="19"/>
      <c r="G1883" s="21"/>
      <c r="H1883" s="19"/>
      <c r="I1883" s="23" t="str">
        <f aca="false">IF(A1883="","",TEXT(A1883,"yyyy-mm"))</f>
        <v/>
      </c>
    </row>
    <row r="1884" customFormat="false" ht="15" hidden="false" customHeight="false" outlineLevel="0" collapsed="false">
      <c r="A1884" s="20"/>
      <c r="B1884" s="19"/>
      <c r="C1884" s="19"/>
      <c r="D1884" s="19"/>
      <c r="E1884" s="19"/>
      <c r="F1884" s="19"/>
      <c r="G1884" s="21"/>
      <c r="H1884" s="19"/>
      <c r="I1884" s="23" t="str">
        <f aca="false">IF(A1884="","",TEXT(A1884,"yyyy-mm"))</f>
        <v/>
      </c>
    </row>
    <row r="1885" customFormat="false" ht="15" hidden="false" customHeight="false" outlineLevel="0" collapsed="false">
      <c r="A1885" s="20"/>
      <c r="B1885" s="19"/>
      <c r="C1885" s="19"/>
      <c r="D1885" s="19"/>
      <c r="E1885" s="19"/>
      <c r="F1885" s="19"/>
      <c r="G1885" s="21"/>
      <c r="H1885" s="19"/>
      <c r="I1885" s="23" t="str">
        <f aca="false">IF(A1885="","",TEXT(A1885,"yyyy-mm"))</f>
        <v/>
      </c>
    </row>
    <row r="1886" customFormat="false" ht="15" hidden="false" customHeight="false" outlineLevel="0" collapsed="false">
      <c r="A1886" s="20"/>
      <c r="B1886" s="19"/>
      <c r="C1886" s="19"/>
      <c r="D1886" s="19"/>
      <c r="E1886" s="19"/>
      <c r="F1886" s="19"/>
      <c r="G1886" s="21"/>
      <c r="H1886" s="19"/>
      <c r="I1886" s="23" t="str">
        <f aca="false">IF(A1886="","",TEXT(A1886,"yyyy-mm"))</f>
        <v/>
      </c>
    </row>
    <row r="1887" customFormat="false" ht="15" hidden="false" customHeight="false" outlineLevel="0" collapsed="false">
      <c r="A1887" s="20"/>
      <c r="B1887" s="19"/>
      <c r="C1887" s="19"/>
      <c r="D1887" s="19"/>
      <c r="E1887" s="19"/>
      <c r="F1887" s="19"/>
      <c r="G1887" s="21"/>
      <c r="H1887" s="19"/>
      <c r="I1887" s="23" t="str">
        <f aca="false">IF(A1887="","",TEXT(A1887,"yyyy-mm"))</f>
        <v/>
      </c>
    </row>
    <row r="1888" customFormat="false" ht="15" hidden="false" customHeight="false" outlineLevel="0" collapsed="false">
      <c r="A1888" s="20"/>
      <c r="B1888" s="19"/>
      <c r="C1888" s="19"/>
      <c r="D1888" s="19"/>
      <c r="E1888" s="19"/>
      <c r="F1888" s="19"/>
      <c r="G1888" s="21"/>
      <c r="H1888" s="19"/>
      <c r="I1888" s="23" t="str">
        <f aca="false">IF(A1888="","",TEXT(A1888,"yyyy-mm"))</f>
        <v/>
      </c>
    </row>
    <row r="1889" customFormat="false" ht="15" hidden="false" customHeight="false" outlineLevel="0" collapsed="false">
      <c r="A1889" s="20"/>
      <c r="B1889" s="19"/>
      <c r="C1889" s="19"/>
      <c r="D1889" s="19"/>
      <c r="E1889" s="19"/>
      <c r="F1889" s="19"/>
      <c r="G1889" s="21"/>
      <c r="H1889" s="19"/>
      <c r="I1889" s="23" t="str">
        <f aca="false">IF(A1889="","",TEXT(A1889,"yyyy-mm"))</f>
        <v/>
      </c>
    </row>
    <row r="1890" customFormat="false" ht="15" hidden="false" customHeight="false" outlineLevel="0" collapsed="false">
      <c r="A1890" s="20"/>
      <c r="B1890" s="19"/>
      <c r="C1890" s="19"/>
      <c r="D1890" s="19"/>
      <c r="E1890" s="19"/>
      <c r="F1890" s="19"/>
      <c r="G1890" s="21"/>
      <c r="H1890" s="19"/>
      <c r="I1890" s="23" t="str">
        <f aca="false">IF(A1890="","",TEXT(A1890,"yyyy-mm"))</f>
        <v/>
      </c>
    </row>
    <row r="1891" customFormat="false" ht="15" hidden="false" customHeight="false" outlineLevel="0" collapsed="false">
      <c r="A1891" s="20"/>
      <c r="B1891" s="19"/>
      <c r="C1891" s="19"/>
      <c r="D1891" s="19"/>
      <c r="E1891" s="19"/>
      <c r="F1891" s="19"/>
      <c r="G1891" s="21"/>
      <c r="H1891" s="19"/>
      <c r="I1891" s="23" t="str">
        <f aca="false">IF(A1891="","",TEXT(A1891,"yyyy-mm"))</f>
        <v/>
      </c>
    </row>
    <row r="1892" customFormat="false" ht="15" hidden="false" customHeight="false" outlineLevel="0" collapsed="false">
      <c r="A1892" s="20"/>
      <c r="B1892" s="19"/>
      <c r="C1892" s="19"/>
      <c r="D1892" s="19"/>
      <c r="E1892" s="19"/>
      <c r="F1892" s="19"/>
      <c r="G1892" s="21"/>
      <c r="H1892" s="19"/>
      <c r="I1892" s="23" t="str">
        <f aca="false">IF(A1892="","",TEXT(A1892,"yyyy-mm"))</f>
        <v/>
      </c>
    </row>
    <row r="1893" customFormat="false" ht="15" hidden="false" customHeight="false" outlineLevel="0" collapsed="false">
      <c r="A1893" s="20"/>
      <c r="B1893" s="19"/>
      <c r="C1893" s="19"/>
      <c r="D1893" s="19"/>
      <c r="E1893" s="19"/>
      <c r="F1893" s="19"/>
      <c r="G1893" s="21"/>
      <c r="H1893" s="19"/>
      <c r="I1893" s="23" t="str">
        <f aca="false">IF(A1893="","",TEXT(A1893,"yyyy-mm"))</f>
        <v/>
      </c>
    </row>
    <row r="1894" customFormat="false" ht="15" hidden="false" customHeight="false" outlineLevel="0" collapsed="false">
      <c r="A1894" s="20"/>
      <c r="B1894" s="19"/>
      <c r="C1894" s="19"/>
      <c r="D1894" s="19"/>
      <c r="E1894" s="19"/>
      <c r="F1894" s="19"/>
      <c r="G1894" s="21"/>
      <c r="H1894" s="19"/>
      <c r="I1894" s="23" t="str">
        <f aca="false">IF(A1894="","",TEXT(A1894,"yyyy-mm"))</f>
        <v/>
      </c>
    </row>
    <row r="1895" customFormat="false" ht="15" hidden="false" customHeight="false" outlineLevel="0" collapsed="false">
      <c r="A1895" s="20"/>
      <c r="B1895" s="19"/>
      <c r="C1895" s="19"/>
      <c r="D1895" s="19"/>
      <c r="E1895" s="19"/>
      <c r="F1895" s="19"/>
      <c r="G1895" s="21"/>
      <c r="H1895" s="19"/>
      <c r="I1895" s="23" t="str">
        <f aca="false">IF(A1895="","",TEXT(A1895,"yyyy-mm"))</f>
        <v/>
      </c>
    </row>
    <row r="1896" customFormat="false" ht="15" hidden="false" customHeight="false" outlineLevel="0" collapsed="false">
      <c r="A1896" s="20"/>
      <c r="B1896" s="19"/>
      <c r="C1896" s="19"/>
      <c r="D1896" s="19"/>
      <c r="E1896" s="19"/>
      <c r="F1896" s="19"/>
      <c r="G1896" s="21"/>
      <c r="H1896" s="19"/>
      <c r="I1896" s="23" t="str">
        <f aca="false">IF(A1896="","",TEXT(A1896,"yyyy-mm"))</f>
        <v/>
      </c>
    </row>
    <row r="1897" customFormat="false" ht="15" hidden="false" customHeight="false" outlineLevel="0" collapsed="false">
      <c r="A1897" s="20"/>
      <c r="B1897" s="19"/>
      <c r="C1897" s="19"/>
      <c r="D1897" s="19"/>
      <c r="E1897" s="19"/>
      <c r="F1897" s="19"/>
      <c r="G1897" s="21"/>
      <c r="H1897" s="19"/>
      <c r="I1897" s="23" t="str">
        <f aca="false">IF(A1897="","",TEXT(A1897,"yyyy-mm"))</f>
        <v/>
      </c>
    </row>
    <row r="1898" customFormat="false" ht="15" hidden="false" customHeight="false" outlineLevel="0" collapsed="false">
      <c r="A1898" s="20"/>
      <c r="B1898" s="19"/>
      <c r="C1898" s="19"/>
      <c r="D1898" s="19"/>
      <c r="E1898" s="19"/>
      <c r="F1898" s="19"/>
      <c r="G1898" s="21"/>
      <c r="H1898" s="19"/>
      <c r="I1898" s="23" t="str">
        <f aca="false">IF(A1898="","",TEXT(A1898,"yyyy-mm"))</f>
        <v/>
      </c>
    </row>
    <row r="1899" customFormat="false" ht="15" hidden="false" customHeight="false" outlineLevel="0" collapsed="false">
      <c r="A1899" s="20"/>
      <c r="B1899" s="19"/>
      <c r="C1899" s="19"/>
      <c r="D1899" s="19"/>
      <c r="E1899" s="19"/>
      <c r="F1899" s="19"/>
      <c r="G1899" s="21"/>
      <c r="H1899" s="19"/>
      <c r="I1899" s="23" t="str">
        <f aca="false">IF(A1899="","",TEXT(A1899,"yyyy-mm"))</f>
        <v/>
      </c>
    </row>
    <row r="1900" customFormat="false" ht="15" hidden="false" customHeight="false" outlineLevel="0" collapsed="false">
      <c r="A1900" s="20"/>
      <c r="B1900" s="19"/>
      <c r="C1900" s="19"/>
      <c r="D1900" s="19"/>
      <c r="E1900" s="19"/>
      <c r="F1900" s="19"/>
      <c r="G1900" s="21"/>
      <c r="H1900" s="19"/>
      <c r="I1900" s="23" t="str">
        <f aca="false">IF(A1900="","",TEXT(A1900,"yyyy-mm"))</f>
        <v/>
      </c>
    </row>
    <row r="1901" customFormat="false" ht="15" hidden="false" customHeight="false" outlineLevel="0" collapsed="false">
      <c r="A1901" s="20"/>
      <c r="B1901" s="19"/>
      <c r="C1901" s="19"/>
      <c r="D1901" s="19"/>
      <c r="E1901" s="19"/>
      <c r="F1901" s="19"/>
      <c r="G1901" s="21"/>
      <c r="H1901" s="19"/>
      <c r="I1901" s="23" t="str">
        <f aca="false">IF(A1901="","",TEXT(A1901,"yyyy-mm"))</f>
        <v/>
      </c>
    </row>
    <row r="1902" customFormat="false" ht="15" hidden="false" customHeight="false" outlineLevel="0" collapsed="false">
      <c r="A1902" s="20"/>
      <c r="B1902" s="19"/>
      <c r="C1902" s="19"/>
      <c r="D1902" s="19"/>
      <c r="E1902" s="19"/>
      <c r="F1902" s="19"/>
      <c r="G1902" s="21"/>
      <c r="H1902" s="19"/>
      <c r="I1902" s="23" t="str">
        <f aca="false">IF(A1902="","",TEXT(A1902,"yyyy-mm"))</f>
        <v/>
      </c>
    </row>
    <row r="1903" customFormat="false" ht="15" hidden="false" customHeight="false" outlineLevel="0" collapsed="false">
      <c r="A1903" s="20"/>
      <c r="B1903" s="19"/>
      <c r="C1903" s="19"/>
      <c r="D1903" s="19"/>
      <c r="E1903" s="19"/>
      <c r="F1903" s="19"/>
      <c r="G1903" s="21"/>
      <c r="H1903" s="19"/>
      <c r="I1903" s="23" t="str">
        <f aca="false">IF(A1903="","",TEXT(A1903,"yyyy-mm"))</f>
        <v/>
      </c>
    </row>
    <row r="1904" customFormat="false" ht="15" hidden="false" customHeight="false" outlineLevel="0" collapsed="false">
      <c r="A1904" s="20"/>
      <c r="B1904" s="19"/>
      <c r="C1904" s="19"/>
      <c r="D1904" s="19"/>
      <c r="E1904" s="19"/>
      <c r="F1904" s="19"/>
      <c r="G1904" s="21"/>
      <c r="H1904" s="19"/>
      <c r="I1904" s="23" t="str">
        <f aca="false">IF(A1904="","",TEXT(A1904,"yyyy-mm"))</f>
        <v/>
      </c>
    </row>
    <row r="1905" customFormat="false" ht="15" hidden="false" customHeight="false" outlineLevel="0" collapsed="false">
      <c r="A1905" s="20"/>
      <c r="B1905" s="19"/>
      <c r="C1905" s="19"/>
      <c r="D1905" s="19"/>
      <c r="E1905" s="19"/>
      <c r="F1905" s="19"/>
      <c r="G1905" s="21"/>
      <c r="H1905" s="19"/>
      <c r="I1905" s="23" t="str">
        <f aca="false">IF(A1905="","",TEXT(A1905,"yyyy-mm"))</f>
        <v/>
      </c>
    </row>
    <row r="1906" customFormat="false" ht="15" hidden="false" customHeight="false" outlineLevel="0" collapsed="false">
      <c r="A1906" s="20"/>
      <c r="B1906" s="19"/>
      <c r="C1906" s="19"/>
      <c r="D1906" s="19"/>
      <c r="E1906" s="19"/>
      <c r="F1906" s="19"/>
      <c r="G1906" s="21"/>
      <c r="H1906" s="19"/>
      <c r="I1906" s="23" t="str">
        <f aca="false">IF(A1906="","",TEXT(A1906,"yyyy-mm"))</f>
        <v/>
      </c>
    </row>
    <row r="1907" customFormat="false" ht="15" hidden="false" customHeight="false" outlineLevel="0" collapsed="false">
      <c r="A1907" s="20"/>
      <c r="B1907" s="19"/>
      <c r="C1907" s="19"/>
      <c r="D1907" s="19"/>
      <c r="E1907" s="19"/>
      <c r="F1907" s="19"/>
      <c r="G1907" s="21"/>
      <c r="H1907" s="19"/>
      <c r="I1907" s="23" t="str">
        <f aca="false">IF(A1907="","",TEXT(A1907,"yyyy-mm"))</f>
        <v/>
      </c>
    </row>
    <row r="1908" customFormat="false" ht="15" hidden="false" customHeight="false" outlineLevel="0" collapsed="false">
      <c r="A1908" s="20"/>
      <c r="B1908" s="19"/>
      <c r="C1908" s="19"/>
      <c r="D1908" s="19"/>
      <c r="E1908" s="19"/>
      <c r="F1908" s="19"/>
      <c r="G1908" s="21"/>
      <c r="H1908" s="19"/>
      <c r="I1908" s="23" t="str">
        <f aca="false">IF(A1908="","",TEXT(A1908,"yyyy-mm"))</f>
        <v/>
      </c>
    </row>
    <row r="1909" customFormat="false" ht="15" hidden="false" customHeight="false" outlineLevel="0" collapsed="false">
      <c r="A1909" s="20"/>
      <c r="B1909" s="19"/>
      <c r="C1909" s="19"/>
      <c r="D1909" s="19"/>
      <c r="E1909" s="19"/>
      <c r="F1909" s="19"/>
      <c r="G1909" s="21"/>
      <c r="H1909" s="19"/>
      <c r="I1909" s="23" t="str">
        <f aca="false">IF(A1909="","",TEXT(A1909,"yyyy-mm"))</f>
        <v/>
      </c>
    </row>
    <row r="1910" customFormat="false" ht="15" hidden="false" customHeight="false" outlineLevel="0" collapsed="false">
      <c r="A1910" s="20"/>
      <c r="B1910" s="19"/>
      <c r="C1910" s="19"/>
      <c r="D1910" s="19"/>
      <c r="E1910" s="19"/>
      <c r="F1910" s="19"/>
      <c r="G1910" s="21"/>
      <c r="H1910" s="19"/>
      <c r="I1910" s="23" t="str">
        <f aca="false">IF(A1910="","",TEXT(A1910,"yyyy-mm"))</f>
        <v/>
      </c>
    </row>
    <row r="1911" customFormat="false" ht="15" hidden="false" customHeight="false" outlineLevel="0" collapsed="false">
      <c r="A1911" s="20"/>
      <c r="B1911" s="19"/>
      <c r="C1911" s="19"/>
      <c r="D1911" s="19"/>
      <c r="E1911" s="19"/>
      <c r="F1911" s="19"/>
      <c r="G1911" s="21"/>
      <c r="H1911" s="19"/>
      <c r="I1911" s="23" t="str">
        <f aca="false">IF(A1911="","",TEXT(A1911,"yyyy-mm"))</f>
        <v/>
      </c>
    </row>
    <row r="1912" customFormat="false" ht="15" hidden="false" customHeight="false" outlineLevel="0" collapsed="false">
      <c r="A1912" s="20"/>
      <c r="B1912" s="19"/>
      <c r="C1912" s="19"/>
      <c r="D1912" s="19"/>
      <c r="E1912" s="19"/>
      <c r="F1912" s="19"/>
      <c r="G1912" s="21"/>
      <c r="H1912" s="19"/>
      <c r="I1912" s="23" t="str">
        <f aca="false">IF(A1912="","",TEXT(A1912,"yyyy-mm"))</f>
        <v/>
      </c>
    </row>
    <row r="1913" customFormat="false" ht="15" hidden="false" customHeight="false" outlineLevel="0" collapsed="false">
      <c r="A1913" s="20"/>
      <c r="B1913" s="19"/>
      <c r="C1913" s="19"/>
      <c r="D1913" s="19"/>
      <c r="E1913" s="19"/>
      <c r="F1913" s="19"/>
      <c r="G1913" s="21"/>
      <c r="H1913" s="19"/>
      <c r="I1913" s="23" t="str">
        <f aca="false">IF(A1913="","",TEXT(A1913,"yyyy-mm"))</f>
        <v/>
      </c>
    </row>
    <row r="1914" customFormat="false" ht="15" hidden="false" customHeight="false" outlineLevel="0" collapsed="false">
      <c r="A1914" s="20"/>
      <c r="B1914" s="19"/>
      <c r="C1914" s="19"/>
      <c r="D1914" s="19"/>
      <c r="E1914" s="19"/>
      <c r="F1914" s="19"/>
      <c r="G1914" s="21"/>
      <c r="H1914" s="19"/>
      <c r="I1914" s="23" t="str">
        <f aca="false">IF(A1914="","",TEXT(A1914,"yyyy-mm"))</f>
        <v/>
      </c>
    </row>
    <row r="1915" customFormat="false" ht="15" hidden="false" customHeight="false" outlineLevel="0" collapsed="false">
      <c r="A1915" s="20"/>
      <c r="B1915" s="19"/>
      <c r="C1915" s="19"/>
      <c r="D1915" s="19"/>
      <c r="E1915" s="19"/>
      <c r="F1915" s="19"/>
      <c r="G1915" s="21"/>
      <c r="H1915" s="19"/>
      <c r="I1915" s="23" t="str">
        <f aca="false">IF(A1915="","",TEXT(A1915,"yyyy-mm"))</f>
        <v/>
      </c>
    </row>
    <row r="1916" customFormat="false" ht="15" hidden="false" customHeight="false" outlineLevel="0" collapsed="false">
      <c r="A1916" s="20"/>
      <c r="B1916" s="19"/>
      <c r="C1916" s="19"/>
      <c r="D1916" s="19"/>
      <c r="E1916" s="19"/>
      <c r="F1916" s="19"/>
      <c r="G1916" s="21"/>
      <c r="H1916" s="19"/>
      <c r="I1916" s="23" t="str">
        <f aca="false">IF(A1916="","",TEXT(A1916,"yyyy-mm"))</f>
        <v/>
      </c>
    </row>
    <row r="1917" customFormat="false" ht="15" hidden="false" customHeight="false" outlineLevel="0" collapsed="false">
      <c r="A1917" s="20"/>
      <c r="B1917" s="19"/>
      <c r="C1917" s="19"/>
      <c r="D1917" s="19"/>
      <c r="E1917" s="19"/>
      <c r="F1917" s="19"/>
      <c r="G1917" s="21"/>
      <c r="H1917" s="19"/>
      <c r="I1917" s="23" t="str">
        <f aca="false">IF(A1917="","",TEXT(A1917,"yyyy-mm"))</f>
        <v/>
      </c>
    </row>
    <row r="1918" customFormat="false" ht="15" hidden="false" customHeight="false" outlineLevel="0" collapsed="false">
      <c r="A1918" s="20"/>
      <c r="B1918" s="19"/>
      <c r="C1918" s="19"/>
      <c r="D1918" s="19"/>
      <c r="E1918" s="19"/>
      <c r="F1918" s="19"/>
      <c r="G1918" s="21"/>
      <c r="H1918" s="19"/>
      <c r="I1918" s="23" t="str">
        <f aca="false">IF(A1918="","",TEXT(A1918,"yyyy-mm"))</f>
        <v/>
      </c>
    </row>
    <row r="1919" customFormat="false" ht="15" hidden="false" customHeight="false" outlineLevel="0" collapsed="false">
      <c r="A1919" s="20"/>
      <c r="B1919" s="19"/>
      <c r="C1919" s="19"/>
      <c r="D1919" s="19"/>
      <c r="E1919" s="19"/>
      <c r="F1919" s="19"/>
      <c r="G1919" s="21"/>
      <c r="H1919" s="19"/>
      <c r="I1919" s="23" t="str">
        <f aca="false">IF(A1919="","",TEXT(A1919,"yyyy-mm"))</f>
        <v/>
      </c>
    </row>
    <row r="1920" customFormat="false" ht="15" hidden="false" customHeight="false" outlineLevel="0" collapsed="false">
      <c r="A1920" s="20"/>
      <c r="B1920" s="19"/>
      <c r="C1920" s="19"/>
      <c r="D1920" s="19"/>
      <c r="E1920" s="19"/>
      <c r="F1920" s="19"/>
      <c r="G1920" s="21"/>
      <c r="H1920" s="19"/>
      <c r="I1920" s="23" t="str">
        <f aca="false">IF(A1920="","",TEXT(A1920,"yyyy-mm"))</f>
        <v/>
      </c>
    </row>
    <row r="1921" customFormat="false" ht="15" hidden="false" customHeight="false" outlineLevel="0" collapsed="false">
      <c r="A1921" s="20"/>
      <c r="B1921" s="19"/>
      <c r="C1921" s="19"/>
      <c r="D1921" s="19"/>
      <c r="E1921" s="19"/>
      <c r="F1921" s="19"/>
      <c r="G1921" s="21"/>
      <c r="H1921" s="19"/>
      <c r="I1921" s="23" t="str">
        <f aca="false">IF(A1921="","",TEXT(A1921,"yyyy-mm"))</f>
        <v/>
      </c>
    </row>
    <row r="1922" customFormat="false" ht="15" hidden="false" customHeight="false" outlineLevel="0" collapsed="false">
      <c r="A1922" s="20"/>
      <c r="B1922" s="19"/>
      <c r="C1922" s="19"/>
      <c r="D1922" s="19"/>
      <c r="E1922" s="19"/>
      <c r="F1922" s="19"/>
      <c r="G1922" s="21"/>
      <c r="H1922" s="19"/>
      <c r="I1922" s="23" t="str">
        <f aca="false">IF(A1922="","",TEXT(A1922,"yyyy-mm"))</f>
        <v/>
      </c>
    </row>
    <row r="1923" customFormat="false" ht="15" hidden="false" customHeight="false" outlineLevel="0" collapsed="false">
      <c r="A1923" s="20"/>
      <c r="B1923" s="19"/>
      <c r="C1923" s="19"/>
      <c r="D1923" s="19"/>
      <c r="E1923" s="19"/>
      <c r="F1923" s="19"/>
      <c r="G1923" s="21"/>
      <c r="H1923" s="19"/>
      <c r="I1923" s="23" t="str">
        <f aca="false">IF(A1923="","",TEXT(A1923,"yyyy-mm"))</f>
        <v/>
      </c>
    </row>
    <row r="1924" customFormat="false" ht="15" hidden="false" customHeight="false" outlineLevel="0" collapsed="false">
      <c r="A1924" s="20"/>
      <c r="B1924" s="19"/>
      <c r="C1924" s="19"/>
      <c r="D1924" s="19"/>
      <c r="E1924" s="19"/>
      <c r="F1924" s="19"/>
      <c r="G1924" s="21"/>
      <c r="H1924" s="19"/>
      <c r="I1924" s="23" t="str">
        <f aca="false">IF(A1924="","",TEXT(A1924,"yyyy-mm"))</f>
        <v/>
      </c>
    </row>
    <row r="1925" customFormat="false" ht="15" hidden="false" customHeight="false" outlineLevel="0" collapsed="false">
      <c r="A1925" s="20"/>
      <c r="B1925" s="19"/>
      <c r="C1925" s="19"/>
      <c r="D1925" s="19"/>
      <c r="E1925" s="19"/>
      <c r="F1925" s="19"/>
      <c r="G1925" s="21"/>
      <c r="H1925" s="19"/>
      <c r="I1925" s="23" t="str">
        <f aca="false">IF(A1925="","",TEXT(A1925,"yyyy-mm"))</f>
        <v/>
      </c>
    </row>
    <row r="1926" customFormat="false" ht="15" hidden="false" customHeight="false" outlineLevel="0" collapsed="false">
      <c r="A1926" s="20"/>
      <c r="B1926" s="19"/>
      <c r="C1926" s="19"/>
      <c r="D1926" s="19"/>
      <c r="E1926" s="19"/>
      <c r="F1926" s="19"/>
      <c r="G1926" s="21"/>
      <c r="H1926" s="19"/>
      <c r="I1926" s="23" t="str">
        <f aca="false">IF(A1926="","",TEXT(A1926,"yyyy-mm"))</f>
        <v/>
      </c>
    </row>
    <row r="1927" customFormat="false" ht="15" hidden="false" customHeight="false" outlineLevel="0" collapsed="false">
      <c r="A1927" s="20"/>
      <c r="B1927" s="19"/>
      <c r="C1927" s="19"/>
      <c r="D1927" s="19"/>
      <c r="E1927" s="19"/>
      <c r="F1927" s="19"/>
      <c r="G1927" s="21"/>
      <c r="H1927" s="19"/>
      <c r="I1927" s="23" t="str">
        <f aca="false">IF(A1927="","",TEXT(A1927,"yyyy-mm"))</f>
        <v/>
      </c>
    </row>
    <row r="1928" customFormat="false" ht="15" hidden="false" customHeight="false" outlineLevel="0" collapsed="false">
      <c r="A1928" s="20"/>
      <c r="B1928" s="19"/>
      <c r="C1928" s="19"/>
      <c r="D1928" s="19"/>
      <c r="E1928" s="19"/>
      <c r="F1928" s="19"/>
      <c r="G1928" s="21"/>
      <c r="H1928" s="19"/>
      <c r="I1928" s="23" t="str">
        <f aca="false">IF(A1928="","",TEXT(A1928,"yyyy-mm"))</f>
        <v/>
      </c>
    </row>
    <row r="1929" customFormat="false" ht="15" hidden="false" customHeight="false" outlineLevel="0" collapsed="false">
      <c r="A1929" s="20"/>
      <c r="B1929" s="19"/>
      <c r="C1929" s="19"/>
      <c r="D1929" s="19"/>
      <c r="E1929" s="19"/>
      <c r="F1929" s="19"/>
      <c r="G1929" s="21"/>
      <c r="H1929" s="19"/>
      <c r="I1929" s="23" t="str">
        <f aca="false">IF(A1929="","",TEXT(A1929,"yyyy-mm"))</f>
        <v/>
      </c>
    </row>
    <row r="1930" customFormat="false" ht="15" hidden="false" customHeight="false" outlineLevel="0" collapsed="false">
      <c r="A1930" s="20"/>
      <c r="B1930" s="19"/>
      <c r="C1930" s="19"/>
      <c r="D1930" s="19"/>
      <c r="E1930" s="19"/>
      <c r="F1930" s="19"/>
      <c r="G1930" s="21"/>
      <c r="H1930" s="19"/>
      <c r="I1930" s="23" t="str">
        <f aca="false">IF(A1930="","",TEXT(A1930,"yyyy-mm"))</f>
        <v/>
      </c>
    </row>
    <row r="1931" customFormat="false" ht="15" hidden="false" customHeight="false" outlineLevel="0" collapsed="false">
      <c r="A1931" s="20"/>
      <c r="B1931" s="19"/>
      <c r="C1931" s="19"/>
      <c r="D1931" s="19"/>
      <c r="E1931" s="19"/>
      <c r="F1931" s="19"/>
      <c r="G1931" s="21"/>
      <c r="H1931" s="19"/>
      <c r="I1931" s="23" t="str">
        <f aca="false">IF(A1931="","",TEXT(A1931,"yyyy-mm"))</f>
        <v/>
      </c>
    </row>
    <row r="1932" customFormat="false" ht="15" hidden="false" customHeight="false" outlineLevel="0" collapsed="false">
      <c r="A1932" s="20"/>
      <c r="B1932" s="19"/>
      <c r="C1932" s="19"/>
      <c r="D1932" s="19"/>
      <c r="E1932" s="19"/>
      <c r="F1932" s="19"/>
      <c r="G1932" s="21"/>
      <c r="H1932" s="19"/>
      <c r="I1932" s="23" t="str">
        <f aca="false">IF(A1932="","",TEXT(A1932,"yyyy-mm"))</f>
        <v/>
      </c>
    </row>
    <row r="1933" customFormat="false" ht="15" hidden="false" customHeight="false" outlineLevel="0" collapsed="false">
      <c r="A1933" s="20"/>
      <c r="B1933" s="19"/>
      <c r="C1933" s="19"/>
      <c r="D1933" s="19"/>
      <c r="E1933" s="19"/>
      <c r="F1933" s="19"/>
      <c r="G1933" s="21"/>
      <c r="H1933" s="19"/>
      <c r="I1933" s="23" t="str">
        <f aca="false">IF(A1933="","",TEXT(A1933,"yyyy-mm"))</f>
        <v/>
      </c>
    </row>
    <row r="1934" customFormat="false" ht="15" hidden="false" customHeight="false" outlineLevel="0" collapsed="false">
      <c r="A1934" s="20"/>
      <c r="B1934" s="19"/>
      <c r="C1934" s="19"/>
      <c r="D1934" s="19"/>
      <c r="E1934" s="19"/>
      <c r="F1934" s="19"/>
      <c r="G1934" s="21"/>
      <c r="H1934" s="19"/>
      <c r="I1934" s="23" t="str">
        <f aca="false">IF(A1934="","",TEXT(A1934,"yyyy-mm"))</f>
        <v/>
      </c>
    </row>
    <row r="1935" customFormat="false" ht="15" hidden="false" customHeight="false" outlineLevel="0" collapsed="false">
      <c r="A1935" s="20"/>
      <c r="B1935" s="19"/>
      <c r="C1935" s="19"/>
      <c r="D1935" s="19"/>
      <c r="E1935" s="19"/>
      <c r="F1935" s="19"/>
      <c r="G1935" s="21"/>
      <c r="H1935" s="19"/>
      <c r="I1935" s="23" t="str">
        <f aca="false">IF(A1935="","",TEXT(A1935,"yyyy-mm"))</f>
        <v/>
      </c>
    </row>
    <row r="1936" customFormat="false" ht="15" hidden="false" customHeight="false" outlineLevel="0" collapsed="false">
      <c r="A1936" s="20"/>
      <c r="B1936" s="19"/>
      <c r="C1936" s="19"/>
      <c r="D1936" s="19"/>
      <c r="E1936" s="19"/>
      <c r="F1936" s="19"/>
      <c r="G1936" s="21"/>
      <c r="H1936" s="19"/>
      <c r="I1936" s="23" t="str">
        <f aca="false">IF(A1936="","",TEXT(A1936,"yyyy-mm"))</f>
        <v/>
      </c>
    </row>
    <row r="1937" customFormat="false" ht="15" hidden="false" customHeight="false" outlineLevel="0" collapsed="false">
      <c r="A1937" s="20"/>
      <c r="B1937" s="19"/>
      <c r="C1937" s="19"/>
      <c r="D1937" s="19"/>
      <c r="E1937" s="19"/>
      <c r="F1937" s="19"/>
      <c r="G1937" s="21"/>
      <c r="H1937" s="19"/>
      <c r="I1937" s="23" t="str">
        <f aca="false">IF(A1937="","",TEXT(A1937,"yyyy-mm"))</f>
        <v/>
      </c>
    </row>
    <row r="1938" customFormat="false" ht="15" hidden="false" customHeight="false" outlineLevel="0" collapsed="false">
      <c r="A1938" s="20"/>
      <c r="B1938" s="19"/>
      <c r="C1938" s="19"/>
      <c r="D1938" s="19"/>
      <c r="E1938" s="19"/>
      <c r="F1938" s="19"/>
      <c r="G1938" s="21"/>
      <c r="H1938" s="19"/>
      <c r="I1938" s="23" t="str">
        <f aca="false">IF(A1938="","",TEXT(A1938,"yyyy-mm"))</f>
        <v/>
      </c>
    </row>
    <row r="1939" customFormat="false" ht="15" hidden="false" customHeight="false" outlineLevel="0" collapsed="false">
      <c r="A1939" s="20"/>
      <c r="B1939" s="19"/>
      <c r="C1939" s="19"/>
      <c r="D1939" s="19"/>
      <c r="E1939" s="19"/>
      <c r="F1939" s="19"/>
      <c r="G1939" s="21"/>
      <c r="H1939" s="19"/>
      <c r="I1939" s="23" t="str">
        <f aca="false">IF(A1939="","",TEXT(A1939,"yyyy-mm"))</f>
        <v/>
      </c>
    </row>
    <row r="1940" customFormat="false" ht="15" hidden="false" customHeight="false" outlineLevel="0" collapsed="false">
      <c r="A1940" s="20"/>
      <c r="B1940" s="19"/>
      <c r="C1940" s="19"/>
      <c r="D1940" s="19"/>
      <c r="E1940" s="19"/>
      <c r="F1940" s="19"/>
      <c r="G1940" s="21"/>
      <c r="H1940" s="19"/>
      <c r="I1940" s="23" t="str">
        <f aca="false">IF(A1940="","",TEXT(A1940,"yyyy-mm"))</f>
        <v/>
      </c>
    </row>
    <row r="1941" customFormat="false" ht="15" hidden="false" customHeight="false" outlineLevel="0" collapsed="false">
      <c r="A1941" s="20"/>
      <c r="B1941" s="19"/>
      <c r="C1941" s="19"/>
      <c r="D1941" s="19"/>
      <c r="E1941" s="19"/>
      <c r="F1941" s="19"/>
      <c r="G1941" s="21"/>
      <c r="H1941" s="19"/>
      <c r="I1941" s="23" t="str">
        <f aca="false">IF(A1941="","",TEXT(A1941,"yyyy-mm"))</f>
        <v/>
      </c>
    </row>
    <row r="1942" customFormat="false" ht="15" hidden="false" customHeight="false" outlineLevel="0" collapsed="false">
      <c r="A1942" s="20"/>
      <c r="B1942" s="19"/>
      <c r="C1942" s="19"/>
      <c r="D1942" s="19"/>
      <c r="E1942" s="19"/>
      <c r="F1942" s="19"/>
      <c r="G1942" s="21"/>
      <c r="H1942" s="19"/>
      <c r="I1942" s="23" t="str">
        <f aca="false">IF(A1942="","",TEXT(A1942,"yyyy-mm"))</f>
        <v/>
      </c>
    </row>
    <row r="1943" customFormat="false" ht="15" hidden="false" customHeight="false" outlineLevel="0" collapsed="false">
      <c r="A1943" s="20"/>
      <c r="B1943" s="19"/>
      <c r="C1943" s="19"/>
      <c r="D1943" s="19"/>
      <c r="E1943" s="19"/>
      <c r="F1943" s="19"/>
      <c r="G1943" s="21"/>
      <c r="H1943" s="19"/>
      <c r="I1943" s="23" t="str">
        <f aca="false">IF(A1943="","",TEXT(A1943,"yyyy-mm"))</f>
        <v/>
      </c>
    </row>
    <row r="1944" customFormat="false" ht="15" hidden="false" customHeight="false" outlineLevel="0" collapsed="false">
      <c r="A1944" s="20"/>
      <c r="B1944" s="19"/>
      <c r="C1944" s="19"/>
      <c r="D1944" s="19"/>
      <c r="E1944" s="19"/>
      <c r="F1944" s="19"/>
      <c r="G1944" s="21"/>
      <c r="H1944" s="19"/>
      <c r="I1944" s="23" t="str">
        <f aca="false">IF(A1944="","",TEXT(A1944,"yyyy-mm"))</f>
        <v/>
      </c>
    </row>
    <row r="1945" customFormat="false" ht="15" hidden="false" customHeight="false" outlineLevel="0" collapsed="false">
      <c r="A1945" s="20"/>
      <c r="B1945" s="19"/>
      <c r="C1945" s="19"/>
      <c r="D1945" s="19"/>
      <c r="E1945" s="19"/>
      <c r="F1945" s="19"/>
      <c r="G1945" s="21"/>
      <c r="H1945" s="19"/>
      <c r="I1945" s="23" t="str">
        <f aca="false">IF(A1945="","",TEXT(A1945,"yyyy-mm"))</f>
        <v/>
      </c>
    </row>
    <row r="1946" customFormat="false" ht="15" hidden="false" customHeight="false" outlineLevel="0" collapsed="false">
      <c r="A1946" s="20"/>
      <c r="B1946" s="19"/>
      <c r="C1946" s="19"/>
      <c r="D1946" s="19"/>
      <c r="E1946" s="19"/>
      <c r="F1946" s="19"/>
      <c r="G1946" s="21"/>
      <c r="H1946" s="19"/>
      <c r="I1946" s="23" t="str">
        <f aca="false">IF(A1946="","",TEXT(A1946,"yyyy-mm"))</f>
        <v/>
      </c>
    </row>
    <row r="1947" customFormat="false" ht="15" hidden="false" customHeight="false" outlineLevel="0" collapsed="false">
      <c r="A1947" s="20"/>
      <c r="B1947" s="19"/>
      <c r="C1947" s="19"/>
      <c r="D1947" s="19"/>
      <c r="E1947" s="19"/>
      <c r="F1947" s="19"/>
      <c r="G1947" s="21"/>
      <c r="H1947" s="19"/>
      <c r="I1947" s="23" t="str">
        <f aca="false">IF(A1947="","",TEXT(A1947,"yyyy-mm"))</f>
        <v/>
      </c>
    </row>
    <row r="1948" customFormat="false" ht="15" hidden="false" customHeight="false" outlineLevel="0" collapsed="false">
      <c r="A1948" s="20"/>
      <c r="B1948" s="19"/>
      <c r="C1948" s="19"/>
      <c r="D1948" s="19"/>
      <c r="E1948" s="19"/>
      <c r="F1948" s="19"/>
      <c r="G1948" s="21"/>
      <c r="H1948" s="19"/>
      <c r="I1948" s="23" t="str">
        <f aca="false">IF(A1948="","",TEXT(A1948,"yyyy-mm"))</f>
        <v/>
      </c>
    </row>
    <row r="1949" customFormat="false" ht="15" hidden="false" customHeight="false" outlineLevel="0" collapsed="false">
      <c r="A1949" s="20"/>
      <c r="B1949" s="19"/>
      <c r="C1949" s="19"/>
      <c r="D1949" s="19"/>
      <c r="E1949" s="19"/>
      <c r="F1949" s="19"/>
      <c r="G1949" s="21"/>
      <c r="H1949" s="19"/>
      <c r="I1949" s="23" t="str">
        <f aca="false">IF(A1949="","",TEXT(A1949,"yyyy-mm"))</f>
        <v/>
      </c>
    </row>
    <row r="1950" customFormat="false" ht="15" hidden="false" customHeight="false" outlineLevel="0" collapsed="false">
      <c r="A1950" s="20"/>
      <c r="B1950" s="19"/>
      <c r="C1950" s="19"/>
      <c r="D1950" s="19"/>
      <c r="E1950" s="19"/>
      <c r="F1950" s="19"/>
      <c r="G1950" s="21"/>
      <c r="H1950" s="19"/>
      <c r="I1950" s="23" t="str">
        <f aca="false">IF(A1950="","",TEXT(A1950,"yyyy-mm"))</f>
        <v/>
      </c>
    </row>
    <row r="1951" customFormat="false" ht="15" hidden="false" customHeight="false" outlineLevel="0" collapsed="false">
      <c r="A1951" s="20"/>
      <c r="B1951" s="19"/>
      <c r="C1951" s="19"/>
      <c r="D1951" s="19"/>
      <c r="E1951" s="19"/>
      <c r="F1951" s="19"/>
      <c r="G1951" s="21"/>
      <c r="H1951" s="19"/>
      <c r="I1951" s="23" t="str">
        <f aca="false">IF(A1951="","",TEXT(A1951,"yyyy-mm"))</f>
        <v/>
      </c>
    </row>
    <row r="1952" customFormat="false" ht="15" hidden="false" customHeight="false" outlineLevel="0" collapsed="false">
      <c r="A1952" s="20"/>
      <c r="B1952" s="19"/>
      <c r="C1952" s="19"/>
      <c r="D1952" s="19"/>
      <c r="E1952" s="19"/>
      <c r="F1952" s="19"/>
      <c r="G1952" s="21"/>
      <c r="H1952" s="19"/>
      <c r="I1952" s="23" t="str">
        <f aca="false">IF(A1952="","",TEXT(A1952,"yyyy-mm"))</f>
        <v/>
      </c>
    </row>
    <row r="1953" customFormat="false" ht="15" hidden="false" customHeight="false" outlineLevel="0" collapsed="false">
      <c r="A1953" s="20"/>
      <c r="B1953" s="19"/>
      <c r="C1953" s="19"/>
      <c r="D1953" s="19"/>
      <c r="E1953" s="19"/>
      <c r="F1953" s="19"/>
      <c r="G1953" s="21"/>
      <c r="H1953" s="19"/>
      <c r="I1953" s="23" t="str">
        <f aca="false">IF(A1953="","",TEXT(A1953,"yyyy-mm"))</f>
        <v/>
      </c>
    </row>
    <row r="1954" customFormat="false" ht="15" hidden="false" customHeight="false" outlineLevel="0" collapsed="false">
      <c r="A1954" s="20"/>
      <c r="B1954" s="19"/>
      <c r="C1954" s="19"/>
      <c r="D1954" s="19"/>
      <c r="E1954" s="19"/>
      <c r="F1954" s="19"/>
      <c r="G1954" s="21"/>
      <c r="H1954" s="19"/>
      <c r="I1954" s="23" t="str">
        <f aca="false">IF(A1954="","",TEXT(A1954,"yyyy-mm"))</f>
        <v/>
      </c>
    </row>
    <row r="1955" customFormat="false" ht="15" hidden="false" customHeight="false" outlineLevel="0" collapsed="false">
      <c r="A1955" s="20"/>
      <c r="B1955" s="19"/>
      <c r="C1955" s="19"/>
      <c r="D1955" s="19"/>
      <c r="E1955" s="19"/>
      <c r="F1955" s="19"/>
      <c r="G1955" s="21"/>
      <c r="H1955" s="19"/>
      <c r="I1955" s="23" t="str">
        <f aca="false">IF(A1955="","",TEXT(A1955,"yyyy-mm"))</f>
        <v/>
      </c>
    </row>
    <row r="1956" customFormat="false" ht="15" hidden="false" customHeight="false" outlineLevel="0" collapsed="false">
      <c r="A1956" s="20"/>
      <c r="B1956" s="19"/>
      <c r="C1956" s="19"/>
      <c r="D1956" s="19"/>
      <c r="E1956" s="19"/>
      <c r="F1956" s="19"/>
      <c r="G1956" s="21"/>
      <c r="H1956" s="19"/>
      <c r="I1956" s="23" t="str">
        <f aca="false">IF(A1956="","",TEXT(A1956,"yyyy-mm"))</f>
        <v/>
      </c>
    </row>
    <row r="1957" customFormat="false" ht="15" hidden="false" customHeight="false" outlineLevel="0" collapsed="false">
      <c r="A1957" s="20"/>
      <c r="B1957" s="19"/>
      <c r="C1957" s="19"/>
      <c r="D1957" s="19"/>
      <c r="E1957" s="19"/>
      <c r="F1957" s="19"/>
      <c r="G1957" s="21"/>
      <c r="H1957" s="19"/>
      <c r="I1957" s="23" t="str">
        <f aca="false">IF(A1957="","",TEXT(A1957,"yyyy-mm"))</f>
        <v/>
      </c>
    </row>
    <row r="1958" customFormat="false" ht="15" hidden="false" customHeight="false" outlineLevel="0" collapsed="false">
      <c r="A1958" s="20"/>
      <c r="B1958" s="19"/>
      <c r="C1958" s="19"/>
      <c r="D1958" s="19"/>
      <c r="E1958" s="19"/>
      <c r="F1958" s="19"/>
      <c r="G1958" s="21"/>
      <c r="H1958" s="19"/>
      <c r="I1958" s="23" t="str">
        <f aca="false">IF(A1958="","",TEXT(A1958,"yyyy-mm"))</f>
        <v/>
      </c>
    </row>
    <row r="1959" customFormat="false" ht="15" hidden="false" customHeight="false" outlineLevel="0" collapsed="false">
      <c r="A1959" s="20"/>
      <c r="B1959" s="19"/>
      <c r="C1959" s="19"/>
      <c r="D1959" s="19"/>
      <c r="E1959" s="19"/>
      <c r="F1959" s="19"/>
      <c r="G1959" s="21"/>
      <c r="H1959" s="19"/>
      <c r="I1959" s="23" t="str">
        <f aca="false">IF(A1959="","",TEXT(A1959,"yyyy-mm"))</f>
        <v/>
      </c>
    </row>
    <row r="1960" customFormat="false" ht="15" hidden="false" customHeight="false" outlineLevel="0" collapsed="false">
      <c r="A1960" s="20"/>
      <c r="B1960" s="19"/>
      <c r="C1960" s="19"/>
      <c r="D1960" s="19"/>
      <c r="E1960" s="19"/>
      <c r="F1960" s="19"/>
      <c r="G1960" s="21"/>
      <c r="H1960" s="19"/>
      <c r="I1960" s="23" t="str">
        <f aca="false">IF(A1960="","",TEXT(A1960,"yyyy-mm"))</f>
        <v/>
      </c>
    </row>
    <row r="1961" customFormat="false" ht="15" hidden="false" customHeight="false" outlineLevel="0" collapsed="false">
      <c r="A1961" s="20"/>
      <c r="B1961" s="19"/>
      <c r="C1961" s="19"/>
      <c r="D1961" s="19"/>
      <c r="E1961" s="19"/>
      <c r="F1961" s="19"/>
      <c r="G1961" s="21"/>
      <c r="H1961" s="19"/>
      <c r="I1961" s="23" t="str">
        <f aca="false">IF(A1961="","",TEXT(A1961,"yyyy-mm"))</f>
        <v/>
      </c>
    </row>
    <row r="1962" customFormat="false" ht="15" hidden="false" customHeight="false" outlineLevel="0" collapsed="false">
      <c r="A1962" s="20"/>
      <c r="B1962" s="19"/>
      <c r="C1962" s="19"/>
      <c r="D1962" s="19"/>
      <c r="E1962" s="19"/>
      <c r="F1962" s="19"/>
      <c r="G1962" s="21"/>
      <c r="H1962" s="19"/>
      <c r="I1962" s="23" t="str">
        <f aca="false">IF(A1962="","",TEXT(A1962,"yyyy-mm"))</f>
        <v/>
      </c>
    </row>
    <row r="1963" customFormat="false" ht="15" hidden="false" customHeight="false" outlineLevel="0" collapsed="false">
      <c r="A1963" s="20"/>
      <c r="B1963" s="19"/>
      <c r="C1963" s="19"/>
      <c r="D1963" s="19"/>
      <c r="E1963" s="19"/>
      <c r="F1963" s="19"/>
      <c r="G1963" s="21"/>
      <c r="H1963" s="19"/>
      <c r="I1963" s="23" t="str">
        <f aca="false">IF(A1963="","",TEXT(A1963,"yyyy-mm"))</f>
        <v/>
      </c>
    </row>
    <row r="1964" customFormat="false" ht="15" hidden="false" customHeight="false" outlineLevel="0" collapsed="false">
      <c r="A1964" s="20"/>
      <c r="B1964" s="19"/>
      <c r="C1964" s="19"/>
      <c r="D1964" s="19"/>
      <c r="E1964" s="19"/>
      <c r="F1964" s="19"/>
      <c r="G1964" s="21"/>
      <c r="H1964" s="19"/>
      <c r="I1964" s="23" t="str">
        <f aca="false">IF(A1964="","",TEXT(A1964,"yyyy-mm"))</f>
        <v/>
      </c>
    </row>
    <row r="1965" customFormat="false" ht="15" hidden="false" customHeight="false" outlineLevel="0" collapsed="false">
      <c r="A1965" s="20"/>
      <c r="B1965" s="19"/>
      <c r="C1965" s="19"/>
      <c r="D1965" s="19"/>
      <c r="E1965" s="19"/>
      <c r="F1965" s="19"/>
      <c r="G1965" s="21"/>
      <c r="H1965" s="19"/>
      <c r="I1965" s="23" t="str">
        <f aca="false">IF(A1965="","",TEXT(A1965,"yyyy-mm"))</f>
        <v/>
      </c>
    </row>
    <row r="1966" customFormat="false" ht="15" hidden="false" customHeight="false" outlineLevel="0" collapsed="false">
      <c r="A1966" s="20"/>
      <c r="B1966" s="19"/>
      <c r="C1966" s="19"/>
      <c r="D1966" s="19"/>
      <c r="E1966" s="19"/>
      <c r="F1966" s="19"/>
      <c r="G1966" s="21"/>
      <c r="H1966" s="19"/>
      <c r="I1966" s="23" t="str">
        <f aca="false">IF(A1966="","",TEXT(A1966,"yyyy-mm"))</f>
        <v/>
      </c>
    </row>
    <row r="1967" customFormat="false" ht="15" hidden="false" customHeight="false" outlineLevel="0" collapsed="false">
      <c r="A1967" s="20"/>
      <c r="B1967" s="19"/>
      <c r="C1967" s="19"/>
      <c r="D1967" s="19"/>
      <c r="E1967" s="19"/>
      <c r="F1967" s="19"/>
      <c r="G1967" s="21"/>
      <c r="H1967" s="19"/>
      <c r="I1967" s="23" t="str">
        <f aca="false">IF(A1967="","",TEXT(A1967,"yyyy-mm"))</f>
        <v/>
      </c>
    </row>
    <row r="1968" customFormat="false" ht="15" hidden="false" customHeight="false" outlineLevel="0" collapsed="false">
      <c r="A1968" s="20"/>
      <c r="B1968" s="19"/>
      <c r="C1968" s="19"/>
      <c r="D1968" s="19"/>
      <c r="E1968" s="19"/>
      <c r="F1968" s="19"/>
      <c r="G1968" s="21"/>
      <c r="H1968" s="19"/>
      <c r="I1968" s="23" t="str">
        <f aca="false">IF(A1968="","",TEXT(A1968,"yyyy-mm"))</f>
        <v/>
      </c>
    </row>
    <row r="1969" customFormat="false" ht="15" hidden="false" customHeight="false" outlineLevel="0" collapsed="false">
      <c r="A1969" s="20"/>
      <c r="B1969" s="19"/>
      <c r="C1969" s="19"/>
      <c r="D1969" s="19"/>
      <c r="E1969" s="19"/>
      <c r="F1969" s="19"/>
      <c r="G1969" s="21"/>
      <c r="H1969" s="19"/>
      <c r="I1969" s="23" t="str">
        <f aca="false">IF(A1969="","",TEXT(A1969,"yyyy-mm"))</f>
        <v/>
      </c>
    </row>
    <row r="1970" customFormat="false" ht="15" hidden="false" customHeight="false" outlineLevel="0" collapsed="false">
      <c r="A1970" s="20"/>
      <c r="B1970" s="19"/>
      <c r="C1970" s="19"/>
      <c r="D1970" s="19"/>
      <c r="E1970" s="19"/>
      <c r="F1970" s="19"/>
      <c r="G1970" s="21"/>
      <c r="H1970" s="19"/>
      <c r="I1970" s="23" t="str">
        <f aca="false">IF(A1970="","",TEXT(A1970,"yyyy-mm"))</f>
        <v/>
      </c>
    </row>
    <row r="1971" customFormat="false" ht="15" hidden="false" customHeight="false" outlineLevel="0" collapsed="false">
      <c r="A1971" s="20"/>
      <c r="B1971" s="19"/>
      <c r="C1971" s="19"/>
      <c r="D1971" s="19"/>
      <c r="E1971" s="19"/>
      <c r="F1971" s="19"/>
      <c r="G1971" s="21"/>
      <c r="H1971" s="19"/>
      <c r="I1971" s="23" t="str">
        <f aca="false">IF(A1971="","",TEXT(A1971,"yyyy-mm"))</f>
        <v/>
      </c>
    </row>
    <row r="1972" customFormat="false" ht="15" hidden="false" customHeight="false" outlineLevel="0" collapsed="false">
      <c r="A1972" s="20"/>
      <c r="B1972" s="19"/>
      <c r="C1972" s="19"/>
      <c r="D1972" s="19"/>
      <c r="E1972" s="19"/>
      <c r="F1972" s="19"/>
      <c r="G1972" s="21"/>
      <c r="H1972" s="19"/>
      <c r="I1972" s="23" t="str">
        <f aca="false">IF(A1972="","",TEXT(A1972,"yyyy-mm"))</f>
        <v/>
      </c>
    </row>
    <row r="1973" customFormat="false" ht="15" hidden="false" customHeight="false" outlineLevel="0" collapsed="false">
      <c r="A1973" s="20"/>
      <c r="B1973" s="19"/>
      <c r="C1973" s="19"/>
      <c r="D1973" s="19"/>
      <c r="E1973" s="19"/>
      <c r="F1973" s="19"/>
      <c r="G1973" s="21"/>
      <c r="H1973" s="19"/>
      <c r="I1973" s="23" t="str">
        <f aca="false">IF(A1973="","",TEXT(A1973,"yyyy-mm"))</f>
        <v/>
      </c>
    </row>
    <row r="1974" customFormat="false" ht="15" hidden="false" customHeight="false" outlineLevel="0" collapsed="false">
      <c r="A1974" s="20"/>
      <c r="B1974" s="19"/>
      <c r="C1974" s="19"/>
      <c r="D1974" s="19"/>
      <c r="E1974" s="19"/>
      <c r="F1974" s="19"/>
      <c r="G1974" s="21"/>
      <c r="H1974" s="19"/>
      <c r="I1974" s="23" t="str">
        <f aca="false">IF(A1974="","",TEXT(A1974,"yyyy-mm"))</f>
        <v/>
      </c>
    </row>
    <row r="1975" customFormat="false" ht="15" hidden="false" customHeight="false" outlineLevel="0" collapsed="false">
      <c r="A1975" s="20"/>
      <c r="B1975" s="19"/>
      <c r="C1975" s="19"/>
      <c r="D1975" s="19"/>
      <c r="E1975" s="19"/>
      <c r="F1975" s="19"/>
      <c r="G1975" s="21"/>
      <c r="H1975" s="19"/>
      <c r="I1975" s="23" t="str">
        <f aca="false">IF(A1975="","",TEXT(A1975,"yyyy-mm"))</f>
        <v/>
      </c>
    </row>
    <row r="1976" customFormat="false" ht="15" hidden="false" customHeight="false" outlineLevel="0" collapsed="false">
      <c r="A1976" s="20"/>
      <c r="B1976" s="19"/>
      <c r="C1976" s="19"/>
      <c r="D1976" s="19"/>
      <c r="E1976" s="19"/>
      <c r="F1976" s="19"/>
      <c r="G1976" s="21"/>
      <c r="H1976" s="19"/>
      <c r="I1976" s="23" t="str">
        <f aca="false">IF(A1976="","",TEXT(A1976,"yyyy-mm"))</f>
        <v/>
      </c>
    </row>
    <row r="1977" customFormat="false" ht="15" hidden="false" customHeight="false" outlineLevel="0" collapsed="false">
      <c r="A1977" s="20"/>
      <c r="B1977" s="19"/>
      <c r="C1977" s="19"/>
      <c r="D1977" s="19"/>
      <c r="E1977" s="19"/>
      <c r="F1977" s="19"/>
      <c r="G1977" s="21"/>
      <c r="H1977" s="19"/>
      <c r="I1977" s="23" t="str">
        <f aca="false">IF(A1977="","",TEXT(A1977,"yyyy-mm"))</f>
        <v/>
      </c>
    </row>
    <row r="1978" customFormat="false" ht="15" hidden="false" customHeight="false" outlineLevel="0" collapsed="false">
      <c r="A1978" s="20"/>
      <c r="B1978" s="19"/>
      <c r="C1978" s="19"/>
      <c r="D1978" s="19"/>
      <c r="E1978" s="19"/>
      <c r="F1978" s="19"/>
      <c r="G1978" s="21"/>
      <c r="H1978" s="19"/>
      <c r="I1978" s="23" t="str">
        <f aca="false">IF(A1978="","",TEXT(A1978,"yyyy-mm"))</f>
        <v/>
      </c>
    </row>
    <row r="1979" customFormat="false" ht="15" hidden="false" customHeight="false" outlineLevel="0" collapsed="false">
      <c r="A1979" s="20"/>
      <c r="B1979" s="19"/>
      <c r="C1979" s="19"/>
      <c r="D1979" s="19"/>
      <c r="E1979" s="19"/>
      <c r="F1979" s="19"/>
      <c r="G1979" s="21"/>
      <c r="H1979" s="19"/>
      <c r="I1979" s="23" t="str">
        <f aca="false">IF(A1979="","",TEXT(A1979,"yyyy-mm"))</f>
        <v/>
      </c>
    </row>
    <row r="1980" customFormat="false" ht="15" hidden="false" customHeight="false" outlineLevel="0" collapsed="false">
      <c r="A1980" s="20"/>
      <c r="B1980" s="19"/>
      <c r="C1980" s="19"/>
      <c r="D1980" s="19"/>
      <c r="E1980" s="19"/>
      <c r="F1980" s="19"/>
      <c r="G1980" s="21"/>
      <c r="H1980" s="19"/>
      <c r="I1980" s="23" t="str">
        <f aca="false">IF(A1980="","",TEXT(A1980,"yyyy-mm"))</f>
        <v/>
      </c>
    </row>
    <row r="1981" customFormat="false" ht="15" hidden="false" customHeight="false" outlineLevel="0" collapsed="false">
      <c r="A1981" s="20"/>
      <c r="B1981" s="19"/>
      <c r="C1981" s="19"/>
      <c r="D1981" s="19"/>
      <c r="E1981" s="19"/>
      <c r="F1981" s="19"/>
      <c r="G1981" s="21"/>
      <c r="H1981" s="19"/>
      <c r="I1981" s="23" t="str">
        <f aca="false">IF(A1981="","",TEXT(A1981,"yyyy-mm"))</f>
        <v/>
      </c>
    </row>
    <row r="1982" customFormat="false" ht="15" hidden="false" customHeight="false" outlineLevel="0" collapsed="false">
      <c r="A1982" s="20"/>
      <c r="B1982" s="19"/>
      <c r="C1982" s="19"/>
      <c r="D1982" s="19"/>
      <c r="E1982" s="19"/>
      <c r="F1982" s="19"/>
      <c r="G1982" s="21"/>
      <c r="H1982" s="19"/>
      <c r="I1982" s="23" t="str">
        <f aca="false">IF(A1982="","",TEXT(A1982,"yyyy-mm"))</f>
        <v/>
      </c>
    </row>
    <row r="1983" customFormat="false" ht="15" hidden="false" customHeight="false" outlineLevel="0" collapsed="false">
      <c r="A1983" s="20"/>
      <c r="B1983" s="19"/>
      <c r="C1983" s="19"/>
      <c r="D1983" s="19"/>
      <c r="E1983" s="19"/>
      <c r="F1983" s="19"/>
      <c r="G1983" s="21"/>
      <c r="H1983" s="19"/>
      <c r="I1983" s="23" t="str">
        <f aca="false">IF(A1983="","",TEXT(A1983,"yyyy-mm"))</f>
        <v/>
      </c>
    </row>
    <row r="1984" customFormat="false" ht="15" hidden="false" customHeight="false" outlineLevel="0" collapsed="false">
      <c r="A1984" s="20"/>
      <c r="B1984" s="19"/>
      <c r="C1984" s="19"/>
      <c r="D1984" s="19"/>
      <c r="E1984" s="19"/>
      <c r="F1984" s="19"/>
      <c r="G1984" s="21"/>
      <c r="H1984" s="19"/>
      <c r="I1984" s="23" t="str">
        <f aca="false">IF(A1984="","",TEXT(A1984,"yyyy-mm"))</f>
        <v/>
      </c>
    </row>
    <row r="1985" customFormat="false" ht="15" hidden="false" customHeight="false" outlineLevel="0" collapsed="false">
      <c r="A1985" s="20"/>
      <c r="B1985" s="19"/>
      <c r="C1985" s="19"/>
      <c r="D1985" s="19"/>
      <c r="E1985" s="19"/>
      <c r="F1985" s="19"/>
      <c r="G1985" s="21"/>
      <c r="H1985" s="19"/>
      <c r="I1985" s="23" t="str">
        <f aca="false">IF(A1985="","",TEXT(A1985,"yyyy-mm"))</f>
        <v/>
      </c>
    </row>
    <row r="1986" customFormat="false" ht="15" hidden="false" customHeight="false" outlineLevel="0" collapsed="false">
      <c r="A1986" s="20"/>
      <c r="B1986" s="19"/>
      <c r="C1986" s="19"/>
      <c r="D1986" s="19"/>
      <c r="E1986" s="19"/>
      <c r="F1986" s="19"/>
      <c r="G1986" s="21"/>
      <c r="H1986" s="19"/>
      <c r="I1986" s="23" t="str">
        <f aca="false">IF(A1986="","",TEXT(A1986,"yyyy-mm"))</f>
        <v/>
      </c>
    </row>
    <row r="1987" customFormat="false" ht="15" hidden="false" customHeight="false" outlineLevel="0" collapsed="false">
      <c r="A1987" s="20"/>
      <c r="B1987" s="19"/>
      <c r="C1987" s="19"/>
      <c r="D1987" s="19"/>
      <c r="E1987" s="19"/>
      <c r="F1987" s="19"/>
      <c r="G1987" s="21"/>
      <c r="H1987" s="19"/>
      <c r="I1987" s="23" t="str">
        <f aca="false">IF(A1987="","",TEXT(A1987,"yyyy-mm"))</f>
        <v/>
      </c>
    </row>
    <row r="1988" customFormat="false" ht="15" hidden="false" customHeight="false" outlineLevel="0" collapsed="false">
      <c r="A1988" s="20"/>
      <c r="B1988" s="19"/>
      <c r="C1988" s="19"/>
      <c r="D1988" s="19"/>
      <c r="E1988" s="19"/>
      <c r="F1988" s="19"/>
      <c r="G1988" s="21"/>
      <c r="H1988" s="19"/>
      <c r="I1988" s="23" t="str">
        <f aca="false">IF(A1988="","",TEXT(A1988,"yyyy-mm"))</f>
        <v/>
      </c>
    </row>
    <row r="1989" customFormat="false" ht="15" hidden="false" customHeight="false" outlineLevel="0" collapsed="false">
      <c r="A1989" s="20"/>
      <c r="B1989" s="19"/>
      <c r="C1989" s="19"/>
      <c r="D1989" s="19"/>
      <c r="E1989" s="19"/>
      <c r="F1989" s="19"/>
      <c r="G1989" s="21"/>
      <c r="H1989" s="19"/>
      <c r="I1989" s="23" t="str">
        <f aca="false">IF(A1989="","",TEXT(A1989,"yyyy-mm"))</f>
        <v/>
      </c>
    </row>
    <row r="1990" customFormat="false" ht="15" hidden="false" customHeight="false" outlineLevel="0" collapsed="false">
      <c r="A1990" s="20"/>
      <c r="B1990" s="19"/>
      <c r="C1990" s="19"/>
      <c r="D1990" s="19"/>
      <c r="E1990" s="19"/>
      <c r="F1990" s="19"/>
      <c r="G1990" s="21"/>
      <c r="H1990" s="19"/>
      <c r="I1990" s="23" t="str">
        <f aca="false">IF(A1990="","",TEXT(A1990,"yyyy-mm"))</f>
        <v/>
      </c>
    </row>
    <row r="1991" customFormat="false" ht="15" hidden="false" customHeight="false" outlineLevel="0" collapsed="false">
      <c r="A1991" s="20"/>
      <c r="B1991" s="19"/>
      <c r="C1991" s="19"/>
      <c r="D1991" s="19"/>
      <c r="E1991" s="19"/>
      <c r="F1991" s="19"/>
      <c r="G1991" s="21"/>
      <c r="H1991" s="19"/>
      <c r="I1991" s="23" t="str">
        <f aca="false">IF(A1991="","",TEXT(A1991,"yyyy-mm"))</f>
        <v/>
      </c>
    </row>
    <row r="1992" customFormat="false" ht="15" hidden="false" customHeight="false" outlineLevel="0" collapsed="false">
      <c r="A1992" s="20"/>
      <c r="B1992" s="19"/>
      <c r="C1992" s="19"/>
      <c r="D1992" s="19"/>
      <c r="E1992" s="19"/>
      <c r="F1992" s="19"/>
      <c r="G1992" s="21"/>
      <c r="H1992" s="19"/>
      <c r="I1992" s="23" t="str">
        <f aca="false">IF(A1992="","",TEXT(A1992,"yyyy-mm"))</f>
        <v/>
      </c>
    </row>
    <row r="1993" customFormat="false" ht="15" hidden="false" customHeight="false" outlineLevel="0" collapsed="false">
      <c r="A1993" s="20"/>
      <c r="B1993" s="19"/>
      <c r="C1993" s="19"/>
      <c r="D1993" s="19"/>
      <c r="E1993" s="19"/>
      <c r="F1993" s="19"/>
      <c r="G1993" s="21"/>
      <c r="H1993" s="19"/>
      <c r="I1993" s="23" t="str">
        <f aca="false">IF(A1993="","",TEXT(A1993,"yyyy-mm"))</f>
        <v/>
      </c>
    </row>
    <row r="1994" customFormat="false" ht="15" hidden="false" customHeight="false" outlineLevel="0" collapsed="false">
      <c r="A1994" s="20"/>
      <c r="B1994" s="19"/>
      <c r="C1994" s="19"/>
      <c r="D1994" s="19"/>
      <c r="E1994" s="19"/>
      <c r="F1994" s="19"/>
      <c r="G1994" s="21"/>
      <c r="H1994" s="19"/>
      <c r="I1994" s="23" t="str">
        <f aca="false">IF(A1994="","",TEXT(A1994,"yyyy-mm"))</f>
        <v/>
      </c>
    </row>
    <row r="1995" customFormat="false" ht="15" hidden="false" customHeight="false" outlineLevel="0" collapsed="false">
      <c r="A1995" s="20"/>
      <c r="B1995" s="19"/>
      <c r="C1995" s="19"/>
      <c r="D1995" s="19"/>
      <c r="E1995" s="19"/>
      <c r="F1995" s="19"/>
      <c r="G1995" s="21"/>
      <c r="H1995" s="19"/>
      <c r="I1995" s="23" t="str">
        <f aca="false">IF(A1995="","",TEXT(A1995,"yyyy-mm"))</f>
        <v/>
      </c>
    </row>
    <row r="1996" customFormat="false" ht="15" hidden="false" customHeight="false" outlineLevel="0" collapsed="false">
      <c r="A1996" s="20"/>
      <c r="B1996" s="19"/>
      <c r="C1996" s="19"/>
      <c r="D1996" s="19"/>
      <c r="E1996" s="19"/>
      <c r="F1996" s="19"/>
      <c r="G1996" s="21"/>
      <c r="H1996" s="19"/>
      <c r="I1996" s="23" t="str">
        <f aca="false">IF(A1996="","",TEXT(A1996,"yyyy-mm"))</f>
        <v/>
      </c>
    </row>
    <row r="1997" customFormat="false" ht="15" hidden="false" customHeight="false" outlineLevel="0" collapsed="false">
      <c r="A1997" s="20"/>
      <c r="B1997" s="19"/>
      <c r="C1997" s="19"/>
      <c r="D1997" s="19"/>
      <c r="E1997" s="19"/>
      <c r="F1997" s="19"/>
      <c r="G1997" s="21"/>
      <c r="H1997" s="19"/>
      <c r="I1997" s="23" t="str">
        <f aca="false">IF(A1997="","",TEXT(A1997,"yyyy-mm"))</f>
        <v/>
      </c>
    </row>
    <row r="1998" customFormat="false" ht="15" hidden="false" customHeight="false" outlineLevel="0" collapsed="false">
      <c r="A1998" s="20"/>
      <c r="B1998" s="19"/>
      <c r="C1998" s="19"/>
      <c r="D1998" s="19"/>
      <c r="E1998" s="19"/>
      <c r="F1998" s="19"/>
      <c r="G1998" s="21"/>
      <c r="H1998" s="19"/>
      <c r="I1998" s="23" t="str">
        <f aca="false">IF(A1998="","",TEXT(A1998,"yyyy-mm"))</f>
        <v/>
      </c>
    </row>
    <row r="1999" customFormat="false" ht="15" hidden="false" customHeight="false" outlineLevel="0" collapsed="false">
      <c r="A1999" s="20"/>
      <c r="B1999" s="19"/>
      <c r="C1999" s="19"/>
      <c r="D1999" s="19"/>
      <c r="E1999" s="19"/>
      <c r="F1999" s="19"/>
      <c r="G1999" s="21"/>
      <c r="H1999" s="19"/>
      <c r="I1999" s="23" t="str">
        <f aca="false">IF(A1999="","",TEXT(A1999,"yyyy-mm"))</f>
        <v/>
      </c>
    </row>
    <row r="2000" customFormat="false" ht="15" hidden="false" customHeight="false" outlineLevel="0" collapsed="false">
      <c r="A2000" s="20"/>
      <c r="B2000" s="19"/>
      <c r="C2000" s="19"/>
      <c r="D2000" s="19"/>
      <c r="E2000" s="19"/>
      <c r="F2000" s="19"/>
      <c r="G2000" s="21"/>
      <c r="H2000" s="19"/>
      <c r="I2000" s="23" t="str">
        <f aca="false">IF(A2000="","",TEXT(A2000,"yyyy-mm"))</f>
        <v/>
      </c>
    </row>
  </sheetData>
  <dataValidations count="2">
    <dataValidation allowBlank="true" errorStyle="stop" operator="between" showDropDown="false" showErrorMessage="false" showInputMessage="false" sqref="B2:B2000" type="list">
      <formula1>"Masuk,Pakai,Koreksi"</formula1>
      <formula2>0</formula2>
    </dataValidation>
    <dataValidation allowBlank="true" errorStyle="stop" operator="between" showDropDown="false" showErrorMessage="false" showInputMessage="false" sqref="C2:C2000" type="list">
      <formula1>"Filamen,Bahan"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B45"/>
    <pageSetUpPr fitToPage="false"/>
  </sheetPr>
  <dimension ref="A1:H2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9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57</v>
      </c>
      <c r="B1" s="7" t="s">
        <v>215</v>
      </c>
      <c r="C1" s="7" t="s">
        <v>216</v>
      </c>
      <c r="D1" s="7" t="s">
        <v>226</v>
      </c>
      <c r="E1" s="7" t="s">
        <v>227</v>
      </c>
      <c r="F1" s="7" t="s">
        <v>72</v>
      </c>
      <c r="G1" s="7" t="s">
        <v>2</v>
      </c>
      <c r="H1" s="7" t="s">
        <v>228</v>
      </c>
    </row>
    <row r="2" customFormat="false" ht="15" hidden="false" customHeight="false" outlineLevel="0" collapsed="false">
      <c r="A2" s="20" t="n">
        <v>45928</v>
      </c>
      <c r="B2" s="19" t="s">
        <v>229</v>
      </c>
      <c r="C2" s="19" t="s">
        <v>12</v>
      </c>
      <c r="D2" s="21" t="n">
        <v>1295000</v>
      </c>
      <c r="E2" s="19"/>
      <c r="F2" s="19" t="s">
        <v>230</v>
      </c>
      <c r="G2" s="23" t="str">
        <f aca="false">IF(A2="","",TEXT(A2,"yyyy-mm"))</f>
        <v>2025-09</v>
      </c>
      <c r="H2" s="22" t="n">
        <f aca="false">IF(A2="","",0+IF(B2="Masuk",N(D2),-N(D2)))</f>
        <v>-1295000</v>
      </c>
    </row>
    <row r="3" customFormat="false" ht="15" hidden="false" customHeight="false" outlineLevel="0" collapsed="false">
      <c r="A3" s="20" t="n">
        <v>45929</v>
      </c>
      <c r="B3" s="19" t="s">
        <v>229</v>
      </c>
      <c r="C3" s="19" t="s">
        <v>231</v>
      </c>
      <c r="D3" s="21" t="n">
        <v>1470000</v>
      </c>
      <c r="E3" s="19"/>
      <c r="F3" s="19" t="s">
        <v>232</v>
      </c>
      <c r="G3" s="23" t="str">
        <f aca="false">IF(A3="","",TEXT(A3,"yyyy-mm"))</f>
        <v>2025-09</v>
      </c>
      <c r="H3" s="22" t="n">
        <f aca="false">IF(A3="","",N(H2)+IF(B3="Masuk",N(D3),-N(D3)))</f>
        <v>-2765000</v>
      </c>
    </row>
    <row r="4" customFormat="false" ht="15" hidden="false" customHeight="false" outlineLevel="0" collapsed="false">
      <c r="A4" s="20" t="n">
        <v>45929</v>
      </c>
      <c r="B4" s="19" t="s">
        <v>229</v>
      </c>
      <c r="C4" s="19" t="s">
        <v>233</v>
      </c>
      <c r="D4" s="21" t="n">
        <v>500000</v>
      </c>
      <c r="E4" s="19"/>
      <c r="F4" s="19" t="s">
        <v>234</v>
      </c>
      <c r="G4" s="23" t="str">
        <f aca="false">IF(A4="","",TEXT(A4,"yyyy-mm"))</f>
        <v>2025-09</v>
      </c>
      <c r="H4" s="22" t="n">
        <f aca="false">IF(A4="","",N(H3)+IF(B4="Masuk",N(D4),-N(D4)))</f>
        <v>-3265000</v>
      </c>
    </row>
    <row r="5" customFormat="false" ht="15" hidden="false" customHeight="false" outlineLevel="0" collapsed="false">
      <c r="A5" s="20" t="n">
        <v>45932</v>
      </c>
      <c r="B5" s="19" t="s">
        <v>156</v>
      </c>
      <c r="C5" s="19" t="s">
        <v>235</v>
      </c>
      <c r="D5" s="21" t="n">
        <v>459000</v>
      </c>
      <c r="E5" s="19" t="s">
        <v>95</v>
      </c>
      <c r="F5" s="19" t="s">
        <v>236</v>
      </c>
      <c r="G5" s="23" t="str">
        <f aca="false">IF(A5="","",TEXT(A5,"yyyy-mm"))</f>
        <v>2025-10</v>
      </c>
      <c r="H5" s="22" t="n">
        <f aca="false">IF(A5="","",N(H4)+IF(B5="Masuk",N(D5),-N(D5)))</f>
        <v>-2806000</v>
      </c>
    </row>
    <row r="6" customFormat="false" ht="15" hidden="false" customHeight="false" outlineLevel="0" collapsed="false">
      <c r="A6" s="20" t="n">
        <v>45934</v>
      </c>
      <c r="B6" s="19" t="s">
        <v>156</v>
      </c>
      <c r="C6" s="19" t="s">
        <v>235</v>
      </c>
      <c r="D6" s="21" t="n">
        <v>430000</v>
      </c>
      <c r="E6" s="19" t="s">
        <v>105</v>
      </c>
      <c r="F6" s="19" t="s">
        <v>237</v>
      </c>
      <c r="G6" s="23" t="str">
        <f aca="false">IF(A6="","",TEXT(A6,"yyyy-mm"))</f>
        <v>2025-10</v>
      </c>
      <c r="H6" s="22" t="n">
        <f aca="false">IF(A6="","",N(H5)+IF(B6="Masuk",N(D6),-N(D6)))</f>
        <v>-2376000</v>
      </c>
    </row>
    <row r="7" customFormat="false" ht="15" hidden="false" customHeight="false" outlineLevel="0" collapsed="false">
      <c r="A7" s="20" t="n">
        <v>45938</v>
      </c>
      <c r="B7" s="19" t="s">
        <v>229</v>
      </c>
      <c r="C7" s="19" t="s">
        <v>68</v>
      </c>
      <c r="D7" s="21" t="n">
        <v>20000</v>
      </c>
      <c r="E7" s="19" t="s">
        <v>95</v>
      </c>
      <c r="F7" s="19" t="s">
        <v>238</v>
      </c>
      <c r="G7" s="23" t="str">
        <f aca="false">IF(A7="","",TEXT(A7,"yyyy-mm"))</f>
        <v>2025-10</v>
      </c>
      <c r="H7" s="22" t="n">
        <f aca="false">IF(A7="","",N(H6)+IF(B7="Masuk",N(D7),-N(D7)))</f>
        <v>-2396000</v>
      </c>
    </row>
    <row r="8" customFormat="false" ht="15" hidden="false" customHeight="false" outlineLevel="0" collapsed="false">
      <c r="A8" s="20" t="n">
        <v>45961</v>
      </c>
      <c r="B8" s="19" t="s">
        <v>229</v>
      </c>
      <c r="C8" s="19" t="s">
        <v>239</v>
      </c>
      <c r="D8" s="21" t="n">
        <v>150000</v>
      </c>
      <c r="E8" s="19"/>
      <c r="F8" s="19" t="s">
        <v>240</v>
      </c>
      <c r="G8" s="23" t="str">
        <f aca="false">IF(A8="","",TEXT(A8,"yyyy-mm"))</f>
        <v>2025-10</v>
      </c>
      <c r="H8" s="22" t="n">
        <f aca="false">IF(A8="","",N(H7)+IF(B8="Masuk",N(D8),-N(D8)))</f>
        <v>-2546000</v>
      </c>
    </row>
    <row r="9" customFormat="false" ht="15" hidden="false" customHeight="false" outlineLevel="0" collapsed="false">
      <c r="A9" s="20"/>
      <c r="B9" s="19"/>
      <c r="C9" s="19"/>
      <c r="D9" s="21"/>
      <c r="E9" s="19"/>
      <c r="F9" s="19"/>
      <c r="G9" s="23" t="str">
        <f aca="false">IF(A9="","",TEXT(A9,"yyyy-mm"))</f>
        <v/>
      </c>
      <c r="H9" s="22" t="str">
        <f aca="false">IF(A9="","",N(H8)+IF(B9="Masuk",N(D9),-N(D9)))</f>
        <v/>
      </c>
    </row>
    <row r="10" customFormat="false" ht="15" hidden="false" customHeight="false" outlineLevel="0" collapsed="false">
      <c r="A10" s="20"/>
      <c r="B10" s="19"/>
      <c r="C10" s="19"/>
      <c r="D10" s="21"/>
      <c r="E10" s="19"/>
      <c r="F10" s="19"/>
      <c r="G10" s="23" t="str">
        <f aca="false">IF(A10="","",TEXT(A10,"yyyy-mm"))</f>
        <v/>
      </c>
      <c r="H10" s="22" t="str">
        <f aca="false">IF(A10="","",N(H9)+IF(B10="Masuk",N(D10),-N(D10)))</f>
        <v/>
      </c>
    </row>
    <row r="11" customFormat="false" ht="15" hidden="false" customHeight="false" outlineLevel="0" collapsed="false">
      <c r="A11" s="20"/>
      <c r="B11" s="19"/>
      <c r="C11" s="19"/>
      <c r="D11" s="21"/>
      <c r="E11" s="19"/>
      <c r="F11" s="19"/>
      <c r="G11" s="23" t="str">
        <f aca="false">IF(A11="","",TEXT(A11,"yyyy-mm"))</f>
        <v/>
      </c>
      <c r="H11" s="22" t="str">
        <f aca="false">IF(A11="","",N(H10)+IF(B11="Masuk",N(D11),-N(D11)))</f>
        <v/>
      </c>
    </row>
    <row r="12" customFormat="false" ht="15" hidden="false" customHeight="false" outlineLevel="0" collapsed="false">
      <c r="A12" s="20"/>
      <c r="B12" s="19"/>
      <c r="C12" s="19"/>
      <c r="D12" s="21"/>
      <c r="E12" s="19"/>
      <c r="F12" s="19"/>
      <c r="G12" s="23" t="str">
        <f aca="false">IF(A12="","",TEXT(A12,"yyyy-mm"))</f>
        <v/>
      </c>
      <c r="H12" s="22" t="str">
        <f aca="false">IF(A12="","",N(H11)+IF(B12="Masuk",N(D12),-N(D12)))</f>
        <v/>
      </c>
    </row>
    <row r="13" customFormat="false" ht="15" hidden="false" customHeight="false" outlineLevel="0" collapsed="false">
      <c r="A13" s="20"/>
      <c r="B13" s="19"/>
      <c r="C13" s="19"/>
      <c r="D13" s="21"/>
      <c r="E13" s="19"/>
      <c r="F13" s="19"/>
      <c r="G13" s="23" t="str">
        <f aca="false">IF(A13="","",TEXT(A13,"yyyy-mm"))</f>
        <v/>
      </c>
      <c r="H13" s="22" t="str">
        <f aca="false">IF(A13="","",N(H12)+IF(B13="Masuk",N(D13),-N(D13)))</f>
        <v/>
      </c>
    </row>
    <row r="14" customFormat="false" ht="15" hidden="false" customHeight="false" outlineLevel="0" collapsed="false">
      <c r="A14" s="20"/>
      <c r="B14" s="19"/>
      <c r="C14" s="19"/>
      <c r="D14" s="21"/>
      <c r="E14" s="19"/>
      <c r="F14" s="19"/>
      <c r="G14" s="23" t="str">
        <f aca="false">IF(A14="","",TEXT(A14,"yyyy-mm"))</f>
        <v/>
      </c>
      <c r="H14" s="22" t="str">
        <f aca="false">IF(A14="","",N(H13)+IF(B14="Masuk",N(D14),-N(D14)))</f>
        <v/>
      </c>
    </row>
    <row r="15" customFormat="false" ht="15" hidden="false" customHeight="false" outlineLevel="0" collapsed="false">
      <c r="A15" s="20"/>
      <c r="B15" s="19"/>
      <c r="C15" s="19"/>
      <c r="D15" s="21"/>
      <c r="E15" s="19"/>
      <c r="F15" s="19"/>
      <c r="G15" s="23" t="str">
        <f aca="false">IF(A15="","",TEXT(A15,"yyyy-mm"))</f>
        <v/>
      </c>
      <c r="H15" s="22" t="str">
        <f aca="false">IF(A15="","",N(H14)+IF(B15="Masuk",N(D15),-N(D15)))</f>
        <v/>
      </c>
    </row>
    <row r="16" customFormat="false" ht="15" hidden="false" customHeight="false" outlineLevel="0" collapsed="false">
      <c r="A16" s="20"/>
      <c r="B16" s="19"/>
      <c r="C16" s="19"/>
      <c r="D16" s="21"/>
      <c r="E16" s="19"/>
      <c r="F16" s="19"/>
      <c r="G16" s="23" t="str">
        <f aca="false">IF(A16="","",TEXT(A16,"yyyy-mm"))</f>
        <v/>
      </c>
      <c r="H16" s="22" t="str">
        <f aca="false">IF(A16="","",N(H15)+IF(B16="Masuk",N(D16),-N(D16)))</f>
        <v/>
      </c>
    </row>
    <row r="17" customFormat="false" ht="15" hidden="false" customHeight="false" outlineLevel="0" collapsed="false">
      <c r="A17" s="20"/>
      <c r="B17" s="19"/>
      <c r="C17" s="19"/>
      <c r="D17" s="21"/>
      <c r="E17" s="19"/>
      <c r="F17" s="19"/>
      <c r="G17" s="23" t="str">
        <f aca="false">IF(A17="","",TEXT(A17,"yyyy-mm"))</f>
        <v/>
      </c>
      <c r="H17" s="22" t="str">
        <f aca="false">IF(A17="","",N(H16)+IF(B17="Masuk",N(D17),-N(D17)))</f>
        <v/>
      </c>
    </row>
    <row r="18" customFormat="false" ht="15" hidden="false" customHeight="false" outlineLevel="0" collapsed="false">
      <c r="A18" s="20"/>
      <c r="B18" s="19"/>
      <c r="C18" s="19"/>
      <c r="D18" s="21"/>
      <c r="E18" s="19"/>
      <c r="F18" s="19"/>
      <c r="G18" s="23" t="str">
        <f aca="false">IF(A18="","",TEXT(A18,"yyyy-mm"))</f>
        <v/>
      </c>
      <c r="H18" s="22" t="str">
        <f aca="false">IF(A18="","",N(H17)+IF(B18="Masuk",N(D18),-N(D18)))</f>
        <v/>
      </c>
    </row>
    <row r="19" customFormat="false" ht="15" hidden="false" customHeight="false" outlineLevel="0" collapsed="false">
      <c r="A19" s="20"/>
      <c r="B19" s="19"/>
      <c r="C19" s="19"/>
      <c r="D19" s="21"/>
      <c r="E19" s="19"/>
      <c r="F19" s="19"/>
      <c r="G19" s="23" t="str">
        <f aca="false">IF(A19="","",TEXT(A19,"yyyy-mm"))</f>
        <v/>
      </c>
      <c r="H19" s="22" t="str">
        <f aca="false">IF(A19="","",N(H18)+IF(B19="Masuk",N(D19),-N(D19)))</f>
        <v/>
      </c>
    </row>
    <row r="20" customFormat="false" ht="15" hidden="false" customHeight="false" outlineLevel="0" collapsed="false">
      <c r="A20" s="20"/>
      <c r="B20" s="19"/>
      <c r="C20" s="19"/>
      <c r="D20" s="21"/>
      <c r="E20" s="19"/>
      <c r="F20" s="19"/>
      <c r="G20" s="23" t="str">
        <f aca="false">IF(A20="","",TEXT(A20,"yyyy-mm"))</f>
        <v/>
      </c>
      <c r="H20" s="22" t="str">
        <f aca="false">IF(A20="","",N(H19)+IF(B20="Masuk",N(D20),-N(D20)))</f>
        <v/>
      </c>
    </row>
    <row r="21" customFormat="false" ht="15" hidden="false" customHeight="false" outlineLevel="0" collapsed="false">
      <c r="A21" s="20"/>
      <c r="B21" s="19"/>
      <c r="C21" s="19"/>
      <c r="D21" s="21"/>
      <c r="E21" s="19"/>
      <c r="F21" s="19"/>
      <c r="G21" s="23" t="str">
        <f aca="false">IF(A21="","",TEXT(A21,"yyyy-mm"))</f>
        <v/>
      </c>
      <c r="H21" s="22" t="str">
        <f aca="false">IF(A21="","",N(H20)+IF(B21="Masuk",N(D21),-N(D21)))</f>
        <v/>
      </c>
    </row>
    <row r="22" customFormat="false" ht="15" hidden="false" customHeight="false" outlineLevel="0" collapsed="false">
      <c r="A22" s="20"/>
      <c r="B22" s="19"/>
      <c r="C22" s="19"/>
      <c r="D22" s="21"/>
      <c r="E22" s="19"/>
      <c r="F22" s="19"/>
      <c r="G22" s="23" t="str">
        <f aca="false">IF(A22="","",TEXT(A22,"yyyy-mm"))</f>
        <v/>
      </c>
      <c r="H22" s="22" t="str">
        <f aca="false">IF(A22="","",N(H21)+IF(B22="Masuk",N(D22),-N(D22)))</f>
        <v/>
      </c>
    </row>
    <row r="23" customFormat="false" ht="15" hidden="false" customHeight="false" outlineLevel="0" collapsed="false">
      <c r="A23" s="20"/>
      <c r="B23" s="19"/>
      <c r="C23" s="19"/>
      <c r="D23" s="21"/>
      <c r="E23" s="19"/>
      <c r="F23" s="19"/>
      <c r="G23" s="23" t="str">
        <f aca="false">IF(A23="","",TEXT(A23,"yyyy-mm"))</f>
        <v/>
      </c>
      <c r="H23" s="22" t="str">
        <f aca="false">IF(A23="","",N(H22)+IF(B23="Masuk",N(D23),-N(D23)))</f>
        <v/>
      </c>
    </row>
    <row r="24" customFormat="false" ht="15" hidden="false" customHeight="false" outlineLevel="0" collapsed="false">
      <c r="A24" s="20"/>
      <c r="B24" s="19"/>
      <c r="C24" s="19"/>
      <c r="D24" s="21"/>
      <c r="E24" s="19"/>
      <c r="F24" s="19"/>
      <c r="G24" s="23" t="str">
        <f aca="false">IF(A24="","",TEXT(A24,"yyyy-mm"))</f>
        <v/>
      </c>
      <c r="H24" s="22" t="str">
        <f aca="false">IF(A24="","",N(H23)+IF(B24="Masuk",N(D24),-N(D24)))</f>
        <v/>
      </c>
    </row>
    <row r="25" customFormat="false" ht="15" hidden="false" customHeight="false" outlineLevel="0" collapsed="false">
      <c r="A25" s="20"/>
      <c r="B25" s="19"/>
      <c r="C25" s="19"/>
      <c r="D25" s="21"/>
      <c r="E25" s="19"/>
      <c r="F25" s="19"/>
      <c r="G25" s="23" t="str">
        <f aca="false">IF(A25="","",TEXT(A25,"yyyy-mm"))</f>
        <v/>
      </c>
      <c r="H25" s="22" t="str">
        <f aca="false">IF(A25="","",N(H24)+IF(B25="Masuk",N(D25),-N(D25)))</f>
        <v/>
      </c>
    </row>
    <row r="26" customFormat="false" ht="15" hidden="false" customHeight="false" outlineLevel="0" collapsed="false">
      <c r="A26" s="20"/>
      <c r="B26" s="19"/>
      <c r="C26" s="19"/>
      <c r="D26" s="21"/>
      <c r="E26" s="19"/>
      <c r="F26" s="19"/>
      <c r="G26" s="23" t="str">
        <f aca="false">IF(A26="","",TEXT(A26,"yyyy-mm"))</f>
        <v/>
      </c>
      <c r="H26" s="22" t="str">
        <f aca="false">IF(A26="","",N(H25)+IF(B26="Masuk",N(D26),-N(D26)))</f>
        <v/>
      </c>
    </row>
    <row r="27" customFormat="false" ht="15" hidden="false" customHeight="false" outlineLevel="0" collapsed="false">
      <c r="A27" s="20"/>
      <c r="B27" s="19"/>
      <c r="C27" s="19"/>
      <c r="D27" s="21"/>
      <c r="E27" s="19"/>
      <c r="F27" s="19"/>
      <c r="G27" s="23" t="str">
        <f aca="false">IF(A27="","",TEXT(A27,"yyyy-mm"))</f>
        <v/>
      </c>
      <c r="H27" s="22" t="str">
        <f aca="false">IF(A27="","",N(H26)+IF(B27="Masuk",N(D27),-N(D27)))</f>
        <v/>
      </c>
    </row>
    <row r="28" customFormat="false" ht="15" hidden="false" customHeight="false" outlineLevel="0" collapsed="false">
      <c r="A28" s="20"/>
      <c r="B28" s="19"/>
      <c r="C28" s="19"/>
      <c r="D28" s="21"/>
      <c r="E28" s="19"/>
      <c r="F28" s="19"/>
      <c r="G28" s="23" t="str">
        <f aca="false">IF(A28="","",TEXT(A28,"yyyy-mm"))</f>
        <v/>
      </c>
      <c r="H28" s="22" t="str">
        <f aca="false">IF(A28="","",N(H27)+IF(B28="Masuk",N(D28),-N(D28)))</f>
        <v/>
      </c>
    </row>
    <row r="29" customFormat="false" ht="15" hidden="false" customHeight="false" outlineLevel="0" collapsed="false">
      <c r="A29" s="20"/>
      <c r="B29" s="19"/>
      <c r="C29" s="19"/>
      <c r="D29" s="21"/>
      <c r="E29" s="19"/>
      <c r="F29" s="19"/>
      <c r="G29" s="23" t="str">
        <f aca="false">IF(A29="","",TEXT(A29,"yyyy-mm"))</f>
        <v/>
      </c>
      <c r="H29" s="22" t="str">
        <f aca="false">IF(A29="","",N(H28)+IF(B29="Masuk",N(D29),-N(D29)))</f>
        <v/>
      </c>
    </row>
    <row r="30" customFormat="false" ht="15" hidden="false" customHeight="false" outlineLevel="0" collapsed="false">
      <c r="A30" s="20"/>
      <c r="B30" s="19"/>
      <c r="C30" s="19"/>
      <c r="D30" s="21"/>
      <c r="E30" s="19"/>
      <c r="F30" s="19"/>
      <c r="G30" s="23" t="str">
        <f aca="false">IF(A30="","",TEXT(A30,"yyyy-mm"))</f>
        <v/>
      </c>
      <c r="H30" s="22" t="str">
        <f aca="false">IF(A30="","",N(H29)+IF(B30="Masuk",N(D30),-N(D30)))</f>
        <v/>
      </c>
    </row>
    <row r="31" customFormat="false" ht="15" hidden="false" customHeight="false" outlineLevel="0" collapsed="false">
      <c r="A31" s="20"/>
      <c r="B31" s="19"/>
      <c r="C31" s="19"/>
      <c r="D31" s="21"/>
      <c r="E31" s="19"/>
      <c r="F31" s="19"/>
      <c r="G31" s="23" t="str">
        <f aca="false">IF(A31="","",TEXT(A31,"yyyy-mm"))</f>
        <v/>
      </c>
      <c r="H31" s="22" t="str">
        <f aca="false">IF(A31="","",N(H30)+IF(B31="Masuk",N(D31),-N(D31)))</f>
        <v/>
      </c>
    </row>
    <row r="32" customFormat="false" ht="15" hidden="false" customHeight="false" outlineLevel="0" collapsed="false">
      <c r="A32" s="20"/>
      <c r="B32" s="19"/>
      <c r="C32" s="19"/>
      <c r="D32" s="21"/>
      <c r="E32" s="19"/>
      <c r="F32" s="19"/>
      <c r="G32" s="23" t="str">
        <f aca="false">IF(A32="","",TEXT(A32,"yyyy-mm"))</f>
        <v/>
      </c>
      <c r="H32" s="22" t="str">
        <f aca="false">IF(A32="","",N(H31)+IF(B32="Masuk",N(D32),-N(D32)))</f>
        <v/>
      </c>
    </row>
    <row r="33" customFormat="false" ht="15" hidden="false" customHeight="false" outlineLevel="0" collapsed="false">
      <c r="A33" s="20"/>
      <c r="B33" s="19"/>
      <c r="C33" s="19"/>
      <c r="D33" s="21"/>
      <c r="E33" s="19"/>
      <c r="F33" s="19"/>
      <c r="G33" s="23" t="str">
        <f aca="false">IF(A33="","",TEXT(A33,"yyyy-mm"))</f>
        <v/>
      </c>
      <c r="H33" s="22" t="str">
        <f aca="false">IF(A33="","",N(H32)+IF(B33="Masuk",N(D33),-N(D33)))</f>
        <v/>
      </c>
    </row>
    <row r="34" customFormat="false" ht="15" hidden="false" customHeight="false" outlineLevel="0" collapsed="false">
      <c r="A34" s="20"/>
      <c r="B34" s="19"/>
      <c r="C34" s="19"/>
      <c r="D34" s="21"/>
      <c r="E34" s="19"/>
      <c r="F34" s="19"/>
      <c r="G34" s="23" t="str">
        <f aca="false">IF(A34="","",TEXT(A34,"yyyy-mm"))</f>
        <v/>
      </c>
      <c r="H34" s="22" t="str">
        <f aca="false">IF(A34="","",N(H33)+IF(B34="Masuk",N(D34),-N(D34)))</f>
        <v/>
      </c>
    </row>
    <row r="35" customFormat="false" ht="15" hidden="false" customHeight="false" outlineLevel="0" collapsed="false">
      <c r="A35" s="20"/>
      <c r="B35" s="19"/>
      <c r="C35" s="19"/>
      <c r="D35" s="21"/>
      <c r="E35" s="19"/>
      <c r="F35" s="19"/>
      <c r="G35" s="23" t="str">
        <f aca="false">IF(A35="","",TEXT(A35,"yyyy-mm"))</f>
        <v/>
      </c>
      <c r="H35" s="22" t="str">
        <f aca="false">IF(A35="","",N(H34)+IF(B35="Masuk",N(D35),-N(D35)))</f>
        <v/>
      </c>
    </row>
    <row r="36" customFormat="false" ht="15" hidden="false" customHeight="false" outlineLevel="0" collapsed="false">
      <c r="A36" s="20"/>
      <c r="B36" s="19"/>
      <c r="C36" s="19"/>
      <c r="D36" s="21"/>
      <c r="E36" s="19"/>
      <c r="F36" s="19"/>
      <c r="G36" s="23" t="str">
        <f aca="false">IF(A36="","",TEXT(A36,"yyyy-mm"))</f>
        <v/>
      </c>
      <c r="H36" s="22" t="str">
        <f aca="false">IF(A36="","",N(H35)+IF(B36="Masuk",N(D36),-N(D36)))</f>
        <v/>
      </c>
    </row>
    <row r="37" customFormat="false" ht="15" hidden="false" customHeight="false" outlineLevel="0" collapsed="false">
      <c r="A37" s="20"/>
      <c r="B37" s="19"/>
      <c r="C37" s="19"/>
      <c r="D37" s="21"/>
      <c r="E37" s="19"/>
      <c r="F37" s="19"/>
      <c r="G37" s="23" t="str">
        <f aca="false">IF(A37="","",TEXT(A37,"yyyy-mm"))</f>
        <v/>
      </c>
      <c r="H37" s="22" t="str">
        <f aca="false">IF(A37="","",N(H36)+IF(B37="Masuk",N(D37),-N(D37)))</f>
        <v/>
      </c>
    </row>
    <row r="38" customFormat="false" ht="15" hidden="false" customHeight="false" outlineLevel="0" collapsed="false">
      <c r="A38" s="20"/>
      <c r="B38" s="19"/>
      <c r="C38" s="19"/>
      <c r="D38" s="21"/>
      <c r="E38" s="19"/>
      <c r="F38" s="19"/>
      <c r="G38" s="23" t="str">
        <f aca="false">IF(A38="","",TEXT(A38,"yyyy-mm"))</f>
        <v/>
      </c>
      <c r="H38" s="22" t="str">
        <f aca="false">IF(A38="","",N(H37)+IF(B38="Masuk",N(D38),-N(D38)))</f>
        <v/>
      </c>
    </row>
    <row r="39" customFormat="false" ht="15" hidden="false" customHeight="false" outlineLevel="0" collapsed="false">
      <c r="A39" s="20"/>
      <c r="B39" s="19"/>
      <c r="C39" s="19"/>
      <c r="D39" s="21"/>
      <c r="E39" s="19"/>
      <c r="F39" s="19"/>
      <c r="G39" s="23" t="str">
        <f aca="false">IF(A39="","",TEXT(A39,"yyyy-mm"))</f>
        <v/>
      </c>
      <c r="H39" s="22" t="str">
        <f aca="false">IF(A39="","",N(H38)+IF(B39="Masuk",N(D39),-N(D39)))</f>
        <v/>
      </c>
    </row>
    <row r="40" customFormat="false" ht="15" hidden="false" customHeight="false" outlineLevel="0" collapsed="false">
      <c r="A40" s="20"/>
      <c r="B40" s="19"/>
      <c r="C40" s="19"/>
      <c r="D40" s="21"/>
      <c r="E40" s="19"/>
      <c r="F40" s="19"/>
      <c r="G40" s="23" t="str">
        <f aca="false">IF(A40="","",TEXT(A40,"yyyy-mm"))</f>
        <v/>
      </c>
      <c r="H40" s="22" t="str">
        <f aca="false">IF(A40="","",N(H39)+IF(B40="Masuk",N(D40),-N(D40)))</f>
        <v/>
      </c>
    </row>
    <row r="41" customFormat="false" ht="15" hidden="false" customHeight="false" outlineLevel="0" collapsed="false">
      <c r="A41" s="20"/>
      <c r="B41" s="19"/>
      <c r="C41" s="19"/>
      <c r="D41" s="21"/>
      <c r="E41" s="19"/>
      <c r="F41" s="19"/>
      <c r="G41" s="23" t="str">
        <f aca="false">IF(A41="","",TEXT(A41,"yyyy-mm"))</f>
        <v/>
      </c>
      <c r="H41" s="22" t="str">
        <f aca="false">IF(A41="","",N(H40)+IF(B41="Masuk",N(D41),-N(D41)))</f>
        <v/>
      </c>
    </row>
    <row r="42" customFormat="false" ht="15" hidden="false" customHeight="false" outlineLevel="0" collapsed="false">
      <c r="A42" s="20"/>
      <c r="B42" s="19"/>
      <c r="C42" s="19"/>
      <c r="D42" s="21"/>
      <c r="E42" s="19"/>
      <c r="F42" s="19"/>
      <c r="G42" s="23" t="str">
        <f aca="false">IF(A42="","",TEXT(A42,"yyyy-mm"))</f>
        <v/>
      </c>
      <c r="H42" s="22" t="str">
        <f aca="false">IF(A42="","",N(H41)+IF(B42="Masuk",N(D42),-N(D42)))</f>
        <v/>
      </c>
    </row>
    <row r="43" customFormat="false" ht="15" hidden="false" customHeight="false" outlineLevel="0" collapsed="false">
      <c r="A43" s="20"/>
      <c r="B43" s="19"/>
      <c r="C43" s="19"/>
      <c r="D43" s="21"/>
      <c r="E43" s="19"/>
      <c r="F43" s="19"/>
      <c r="G43" s="23" t="str">
        <f aca="false">IF(A43="","",TEXT(A43,"yyyy-mm"))</f>
        <v/>
      </c>
      <c r="H43" s="22" t="str">
        <f aca="false">IF(A43="","",N(H42)+IF(B43="Masuk",N(D43),-N(D43)))</f>
        <v/>
      </c>
    </row>
    <row r="44" customFormat="false" ht="15" hidden="false" customHeight="false" outlineLevel="0" collapsed="false">
      <c r="A44" s="20"/>
      <c r="B44" s="19"/>
      <c r="C44" s="19"/>
      <c r="D44" s="21"/>
      <c r="E44" s="19"/>
      <c r="F44" s="19"/>
      <c r="G44" s="23" t="str">
        <f aca="false">IF(A44="","",TEXT(A44,"yyyy-mm"))</f>
        <v/>
      </c>
      <c r="H44" s="22" t="str">
        <f aca="false">IF(A44="","",N(H43)+IF(B44="Masuk",N(D44),-N(D44)))</f>
        <v/>
      </c>
    </row>
    <row r="45" customFormat="false" ht="15" hidden="false" customHeight="false" outlineLevel="0" collapsed="false">
      <c r="A45" s="20"/>
      <c r="B45" s="19"/>
      <c r="C45" s="19"/>
      <c r="D45" s="21"/>
      <c r="E45" s="19"/>
      <c r="F45" s="19"/>
      <c r="G45" s="23" t="str">
        <f aca="false">IF(A45="","",TEXT(A45,"yyyy-mm"))</f>
        <v/>
      </c>
      <c r="H45" s="22" t="str">
        <f aca="false">IF(A45="","",N(H44)+IF(B45="Masuk",N(D45),-N(D45)))</f>
        <v/>
      </c>
    </row>
    <row r="46" customFormat="false" ht="15" hidden="false" customHeight="false" outlineLevel="0" collapsed="false">
      <c r="A46" s="20"/>
      <c r="B46" s="19"/>
      <c r="C46" s="19"/>
      <c r="D46" s="21"/>
      <c r="E46" s="19"/>
      <c r="F46" s="19"/>
      <c r="G46" s="23" t="str">
        <f aca="false">IF(A46="","",TEXT(A46,"yyyy-mm"))</f>
        <v/>
      </c>
      <c r="H46" s="22" t="str">
        <f aca="false">IF(A46="","",N(H45)+IF(B46="Masuk",N(D46),-N(D46)))</f>
        <v/>
      </c>
    </row>
    <row r="47" customFormat="false" ht="15" hidden="false" customHeight="false" outlineLevel="0" collapsed="false">
      <c r="A47" s="20"/>
      <c r="B47" s="19"/>
      <c r="C47" s="19"/>
      <c r="D47" s="21"/>
      <c r="E47" s="19"/>
      <c r="F47" s="19"/>
      <c r="G47" s="23" t="str">
        <f aca="false">IF(A47="","",TEXT(A47,"yyyy-mm"))</f>
        <v/>
      </c>
      <c r="H47" s="22" t="str">
        <f aca="false">IF(A47="","",N(H46)+IF(B47="Masuk",N(D47),-N(D47)))</f>
        <v/>
      </c>
    </row>
    <row r="48" customFormat="false" ht="15" hidden="false" customHeight="false" outlineLevel="0" collapsed="false">
      <c r="A48" s="20"/>
      <c r="B48" s="19"/>
      <c r="C48" s="19"/>
      <c r="D48" s="21"/>
      <c r="E48" s="19"/>
      <c r="F48" s="19"/>
      <c r="G48" s="23" t="str">
        <f aca="false">IF(A48="","",TEXT(A48,"yyyy-mm"))</f>
        <v/>
      </c>
      <c r="H48" s="22" t="str">
        <f aca="false">IF(A48="","",N(H47)+IF(B48="Masuk",N(D48),-N(D48)))</f>
        <v/>
      </c>
    </row>
    <row r="49" customFormat="false" ht="15" hidden="false" customHeight="false" outlineLevel="0" collapsed="false">
      <c r="A49" s="20"/>
      <c r="B49" s="19"/>
      <c r="C49" s="19"/>
      <c r="D49" s="21"/>
      <c r="E49" s="19"/>
      <c r="F49" s="19"/>
      <c r="G49" s="23" t="str">
        <f aca="false">IF(A49="","",TEXT(A49,"yyyy-mm"))</f>
        <v/>
      </c>
      <c r="H49" s="22" t="str">
        <f aca="false">IF(A49="","",N(H48)+IF(B49="Masuk",N(D49),-N(D49)))</f>
        <v/>
      </c>
    </row>
    <row r="50" customFormat="false" ht="15" hidden="false" customHeight="false" outlineLevel="0" collapsed="false">
      <c r="A50" s="20"/>
      <c r="B50" s="19"/>
      <c r="C50" s="19"/>
      <c r="D50" s="21"/>
      <c r="E50" s="19"/>
      <c r="F50" s="19"/>
      <c r="G50" s="23" t="str">
        <f aca="false">IF(A50="","",TEXT(A50,"yyyy-mm"))</f>
        <v/>
      </c>
      <c r="H50" s="22" t="str">
        <f aca="false">IF(A50="","",N(H49)+IF(B50="Masuk",N(D50),-N(D50)))</f>
        <v/>
      </c>
    </row>
    <row r="51" customFormat="false" ht="15" hidden="false" customHeight="false" outlineLevel="0" collapsed="false">
      <c r="A51" s="20"/>
      <c r="B51" s="19"/>
      <c r="C51" s="19"/>
      <c r="D51" s="21"/>
      <c r="E51" s="19"/>
      <c r="F51" s="19"/>
      <c r="G51" s="23" t="str">
        <f aca="false">IF(A51="","",TEXT(A51,"yyyy-mm"))</f>
        <v/>
      </c>
      <c r="H51" s="22" t="str">
        <f aca="false">IF(A51="","",N(H50)+IF(B51="Masuk",N(D51),-N(D51)))</f>
        <v/>
      </c>
    </row>
    <row r="52" customFormat="false" ht="15" hidden="false" customHeight="false" outlineLevel="0" collapsed="false">
      <c r="A52" s="20"/>
      <c r="B52" s="19"/>
      <c r="C52" s="19"/>
      <c r="D52" s="21"/>
      <c r="E52" s="19"/>
      <c r="F52" s="19"/>
      <c r="G52" s="23" t="str">
        <f aca="false">IF(A52="","",TEXT(A52,"yyyy-mm"))</f>
        <v/>
      </c>
      <c r="H52" s="22" t="str">
        <f aca="false">IF(A52="","",N(H51)+IF(B52="Masuk",N(D52),-N(D52)))</f>
        <v/>
      </c>
    </row>
    <row r="53" customFormat="false" ht="15" hidden="false" customHeight="false" outlineLevel="0" collapsed="false">
      <c r="A53" s="20"/>
      <c r="B53" s="19"/>
      <c r="C53" s="19"/>
      <c r="D53" s="21"/>
      <c r="E53" s="19"/>
      <c r="F53" s="19"/>
      <c r="G53" s="23" t="str">
        <f aca="false">IF(A53="","",TEXT(A53,"yyyy-mm"))</f>
        <v/>
      </c>
      <c r="H53" s="22" t="str">
        <f aca="false">IF(A53="","",N(H52)+IF(B53="Masuk",N(D53),-N(D53)))</f>
        <v/>
      </c>
    </row>
    <row r="54" customFormat="false" ht="15" hidden="false" customHeight="false" outlineLevel="0" collapsed="false">
      <c r="A54" s="20"/>
      <c r="B54" s="19"/>
      <c r="C54" s="19"/>
      <c r="D54" s="21"/>
      <c r="E54" s="19"/>
      <c r="F54" s="19"/>
      <c r="G54" s="23" t="str">
        <f aca="false">IF(A54="","",TEXT(A54,"yyyy-mm"))</f>
        <v/>
      </c>
      <c r="H54" s="22" t="str">
        <f aca="false">IF(A54="","",N(H53)+IF(B54="Masuk",N(D54),-N(D54)))</f>
        <v/>
      </c>
    </row>
    <row r="55" customFormat="false" ht="15" hidden="false" customHeight="false" outlineLevel="0" collapsed="false">
      <c r="A55" s="20"/>
      <c r="B55" s="19"/>
      <c r="C55" s="19"/>
      <c r="D55" s="21"/>
      <c r="E55" s="19"/>
      <c r="F55" s="19"/>
      <c r="G55" s="23" t="str">
        <f aca="false">IF(A55="","",TEXT(A55,"yyyy-mm"))</f>
        <v/>
      </c>
      <c r="H55" s="22" t="str">
        <f aca="false">IF(A55="","",N(H54)+IF(B55="Masuk",N(D55),-N(D55)))</f>
        <v/>
      </c>
    </row>
    <row r="56" customFormat="false" ht="15" hidden="false" customHeight="false" outlineLevel="0" collapsed="false">
      <c r="A56" s="20"/>
      <c r="B56" s="19"/>
      <c r="C56" s="19"/>
      <c r="D56" s="21"/>
      <c r="E56" s="19"/>
      <c r="F56" s="19"/>
      <c r="G56" s="23" t="str">
        <f aca="false">IF(A56="","",TEXT(A56,"yyyy-mm"))</f>
        <v/>
      </c>
      <c r="H56" s="22" t="str">
        <f aca="false">IF(A56="","",N(H55)+IF(B56="Masuk",N(D56),-N(D56)))</f>
        <v/>
      </c>
    </row>
    <row r="57" customFormat="false" ht="15" hidden="false" customHeight="false" outlineLevel="0" collapsed="false">
      <c r="A57" s="20"/>
      <c r="B57" s="19"/>
      <c r="C57" s="19"/>
      <c r="D57" s="21"/>
      <c r="E57" s="19"/>
      <c r="F57" s="19"/>
      <c r="G57" s="23" t="str">
        <f aca="false">IF(A57="","",TEXT(A57,"yyyy-mm"))</f>
        <v/>
      </c>
      <c r="H57" s="22" t="str">
        <f aca="false">IF(A57="","",N(H56)+IF(B57="Masuk",N(D57),-N(D57)))</f>
        <v/>
      </c>
    </row>
    <row r="58" customFormat="false" ht="15" hidden="false" customHeight="false" outlineLevel="0" collapsed="false">
      <c r="A58" s="20"/>
      <c r="B58" s="19"/>
      <c r="C58" s="19"/>
      <c r="D58" s="21"/>
      <c r="E58" s="19"/>
      <c r="F58" s="19"/>
      <c r="G58" s="23" t="str">
        <f aca="false">IF(A58="","",TEXT(A58,"yyyy-mm"))</f>
        <v/>
      </c>
      <c r="H58" s="22" t="str">
        <f aca="false">IF(A58="","",N(H57)+IF(B58="Masuk",N(D58),-N(D58)))</f>
        <v/>
      </c>
    </row>
    <row r="59" customFormat="false" ht="15" hidden="false" customHeight="false" outlineLevel="0" collapsed="false">
      <c r="A59" s="20"/>
      <c r="B59" s="19"/>
      <c r="C59" s="19"/>
      <c r="D59" s="21"/>
      <c r="E59" s="19"/>
      <c r="F59" s="19"/>
      <c r="G59" s="23" t="str">
        <f aca="false">IF(A59="","",TEXT(A59,"yyyy-mm"))</f>
        <v/>
      </c>
      <c r="H59" s="22" t="str">
        <f aca="false">IF(A59="","",N(H58)+IF(B59="Masuk",N(D59),-N(D59)))</f>
        <v/>
      </c>
    </row>
    <row r="60" customFormat="false" ht="15" hidden="false" customHeight="false" outlineLevel="0" collapsed="false">
      <c r="A60" s="20"/>
      <c r="B60" s="19"/>
      <c r="C60" s="19"/>
      <c r="D60" s="21"/>
      <c r="E60" s="19"/>
      <c r="F60" s="19"/>
      <c r="G60" s="23" t="str">
        <f aca="false">IF(A60="","",TEXT(A60,"yyyy-mm"))</f>
        <v/>
      </c>
      <c r="H60" s="22" t="str">
        <f aca="false">IF(A60="","",N(H59)+IF(B60="Masuk",N(D60),-N(D60)))</f>
        <v/>
      </c>
    </row>
    <row r="61" customFormat="false" ht="15" hidden="false" customHeight="false" outlineLevel="0" collapsed="false">
      <c r="A61" s="20"/>
      <c r="B61" s="19"/>
      <c r="C61" s="19"/>
      <c r="D61" s="21"/>
      <c r="E61" s="19"/>
      <c r="F61" s="19"/>
      <c r="G61" s="23" t="str">
        <f aca="false">IF(A61="","",TEXT(A61,"yyyy-mm"))</f>
        <v/>
      </c>
      <c r="H61" s="22" t="str">
        <f aca="false">IF(A61="","",N(H60)+IF(B61="Masuk",N(D61),-N(D61)))</f>
        <v/>
      </c>
    </row>
    <row r="62" customFormat="false" ht="15" hidden="false" customHeight="false" outlineLevel="0" collapsed="false">
      <c r="A62" s="20"/>
      <c r="B62" s="19"/>
      <c r="C62" s="19"/>
      <c r="D62" s="21"/>
      <c r="E62" s="19"/>
      <c r="F62" s="19"/>
      <c r="G62" s="23" t="str">
        <f aca="false">IF(A62="","",TEXT(A62,"yyyy-mm"))</f>
        <v/>
      </c>
      <c r="H62" s="22" t="str">
        <f aca="false">IF(A62="","",N(H61)+IF(B62="Masuk",N(D62),-N(D62)))</f>
        <v/>
      </c>
    </row>
    <row r="63" customFormat="false" ht="15" hidden="false" customHeight="false" outlineLevel="0" collapsed="false">
      <c r="A63" s="20"/>
      <c r="B63" s="19"/>
      <c r="C63" s="19"/>
      <c r="D63" s="21"/>
      <c r="E63" s="19"/>
      <c r="F63" s="19"/>
      <c r="G63" s="23" t="str">
        <f aca="false">IF(A63="","",TEXT(A63,"yyyy-mm"))</f>
        <v/>
      </c>
      <c r="H63" s="22" t="str">
        <f aca="false">IF(A63="","",N(H62)+IF(B63="Masuk",N(D63),-N(D63)))</f>
        <v/>
      </c>
    </row>
    <row r="64" customFormat="false" ht="15" hidden="false" customHeight="false" outlineLevel="0" collapsed="false">
      <c r="A64" s="20"/>
      <c r="B64" s="19"/>
      <c r="C64" s="19"/>
      <c r="D64" s="21"/>
      <c r="E64" s="19"/>
      <c r="F64" s="19"/>
      <c r="G64" s="23" t="str">
        <f aca="false">IF(A64="","",TEXT(A64,"yyyy-mm"))</f>
        <v/>
      </c>
      <c r="H64" s="22" t="str">
        <f aca="false">IF(A64="","",N(H63)+IF(B64="Masuk",N(D64),-N(D64)))</f>
        <v/>
      </c>
    </row>
    <row r="65" customFormat="false" ht="15" hidden="false" customHeight="false" outlineLevel="0" collapsed="false">
      <c r="A65" s="20"/>
      <c r="B65" s="19"/>
      <c r="C65" s="19"/>
      <c r="D65" s="21"/>
      <c r="E65" s="19"/>
      <c r="F65" s="19"/>
      <c r="G65" s="23" t="str">
        <f aca="false">IF(A65="","",TEXT(A65,"yyyy-mm"))</f>
        <v/>
      </c>
      <c r="H65" s="22" t="str">
        <f aca="false">IF(A65="","",N(H64)+IF(B65="Masuk",N(D65),-N(D65)))</f>
        <v/>
      </c>
    </row>
    <row r="66" customFormat="false" ht="15" hidden="false" customHeight="false" outlineLevel="0" collapsed="false">
      <c r="A66" s="20"/>
      <c r="B66" s="19"/>
      <c r="C66" s="19"/>
      <c r="D66" s="21"/>
      <c r="E66" s="19"/>
      <c r="F66" s="19"/>
      <c r="G66" s="23" t="str">
        <f aca="false">IF(A66="","",TEXT(A66,"yyyy-mm"))</f>
        <v/>
      </c>
      <c r="H66" s="22" t="str">
        <f aca="false">IF(A66="","",N(H65)+IF(B66="Masuk",N(D66),-N(D66)))</f>
        <v/>
      </c>
    </row>
    <row r="67" customFormat="false" ht="15" hidden="false" customHeight="false" outlineLevel="0" collapsed="false">
      <c r="A67" s="20"/>
      <c r="B67" s="19"/>
      <c r="C67" s="19"/>
      <c r="D67" s="21"/>
      <c r="E67" s="19"/>
      <c r="F67" s="19"/>
      <c r="G67" s="23" t="str">
        <f aca="false">IF(A67="","",TEXT(A67,"yyyy-mm"))</f>
        <v/>
      </c>
      <c r="H67" s="22" t="str">
        <f aca="false">IF(A67="","",N(H66)+IF(B67="Masuk",N(D67),-N(D67)))</f>
        <v/>
      </c>
    </row>
    <row r="68" customFormat="false" ht="15" hidden="false" customHeight="false" outlineLevel="0" collapsed="false">
      <c r="A68" s="20"/>
      <c r="B68" s="19"/>
      <c r="C68" s="19"/>
      <c r="D68" s="21"/>
      <c r="E68" s="19"/>
      <c r="F68" s="19"/>
      <c r="G68" s="23" t="str">
        <f aca="false">IF(A68="","",TEXT(A68,"yyyy-mm"))</f>
        <v/>
      </c>
      <c r="H68" s="22" t="str">
        <f aca="false">IF(A68="","",N(H67)+IF(B68="Masuk",N(D68),-N(D68)))</f>
        <v/>
      </c>
    </row>
    <row r="69" customFormat="false" ht="15" hidden="false" customHeight="false" outlineLevel="0" collapsed="false">
      <c r="A69" s="20"/>
      <c r="B69" s="19"/>
      <c r="C69" s="19"/>
      <c r="D69" s="21"/>
      <c r="E69" s="19"/>
      <c r="F69" s="19"/>
      <c r="G69" s="23" t="str">
        <f aca="false">IF(A69="","",TEXT(A69,"yyyy-mm"))</f>
        <v/>
      </c>
      <c r="H69" s="22" t="str">
        <f aca="false">IF(A69="","",N(H68)+IF(B69="Masuk",N(D69),-N(D69)))</f>
        <v/>
      </c>
    </row>
    <row r="70" customFormat="false" ht="15" hidden="false" customHeight="false" outlineLevel="0" collapsed="false">
      <c r="A70" s="20"/>
      <c r="B70" s="19"/>
      <c r="C70" s="19"/>
      <c r="D70" s="21"/>
      <c r="E70" s="19"/>
      <c r="F70" s="19"/>
      <c r="G70" s="23" t="str">
        <f aca="false">IF(A70="","",TEXT(A70,"yyyy-mm"))</f>
        <v/>
      </c>
      <c r="H70" s="22" t="str">
        <f aca="false">IF(A70="","",N(H69)+IF(B70="Masuk",N(D70),-N(D70)))</f>
        <v/>
      </c>
    </row>
    <row r="71" customFormat="false" ht="15" hidden="false" customHeight="false" outlineLevel="0" collapsed="false">
      <c r="A71" s="20"/>
      <c r="B71" s="19"/>
      <c r="C71" s="19"/>
      <c r="D71" s="21"/>
      <c r="E71" s="19"/>
      <c r="F71" s="19"/>
      <c r="G71" s="23" t="str">
        <f aca="false">IF(A71="","",TEXT(A71,"yyyy-mm"))</f>
        <v/>
      </c>
      <c r="H71" s="22" t="str">
        <f aca="false">IF(A71="","",N(H70)+IF(B71="Masuk",N(D71),-N(D71)))</f>
        <v/>
      </c>
    </row>
    <row r="72" customFormat="false" ht="15" hidden="false" customHeight="false" outlineLevel="0" collapsed="false">
      <c r="A72" s="20"/>
      <c r="B72" s="19"/>
      <c r="C72" s="19"/>
      <c r="D72" s="21"/>
      <c r="E72" s="19"/>
      <c r="F72" s="19"/>
      <c r="G72" s="23" t="str">
        <f aca="false">IF(A72="","",TEXT(A72,"yyyy-mm"))</f>
        <v/>
      </c>
      <c r="H72" s="22" t="str">
        <f aca="false">IF(A72="","",N(H71)+IF(B72="Masuk",N(D72),-N(D72)))</f>
        <v/>
      </c>
    </row>
    <row r="73" customFormat="false" ht="15" hidden="false" customHeight="false" outlineLevel="0" collapsed="false">
      <c r="A73" s="20"/>
      <c r="B73" s="19"/>
      <c r="C73" s="19"/>
      <c r="D73" s="21"/>
      <c r="E73" s="19"/>
      <c r="F73" s="19"/>
      <c r="G73" s="23" t="str">
        <f aca="false">IF(A73="","",TEXT(A73,"yyyy-mm"))</f>
        <v/>
      </c>
      <c r="H73" s="22" t="str">
        <f aca="false">IF(A73="","",N(H72)+IF(B73="Masuk",N(D73),-N(D73)))</f>
        <v/>
      </c>
    </row>
    <row r="74" customFormat="false" ht="15" hidden="false" customHeight="false" outlineLevel="0" collapsed="false">
      <c r="A74" s="20"/>
      <c r="B74" s="19"/>
      <c r="C74" s="19"/>
      <c r="D74" s="21"/>
      <c r="E74" s="19"/>
      <c r="F74" s="19"/>
      <c r="G74" s="23" t="str">
        <f aca="false">IF(A74="","",TEXT(A74,"yyyy-mm"))</f>
        <v/>
      </c>
      <c r="H74" s="22" t="str">
        <f aca="false">IF(A74="","",N(H73)+IF(B74="Masuk",N(D74),-N(D74)))</f>
        <v/>
      </c>
    </row>
    <row r="75" customFormat="false" ht="15" hidden="false" customHeight="false" outlineLevel="0" collapsed="false">
      <c r="A75" s="20"/>
      <c r="B75" s="19"/>
      <c r="C75" s="19"/>
      <c r="D75" s="21"/>
      <c r="E75" s="19"/>
      <c r="F75" s="19"/>
      <c r="G75" s="23" t="str">
        <f aca="false">IF(A75="","",TEXT(A75,"yyyy-mm"))</f>
        <v/>
      </c>
      <c r="H75" s="22" t="str">
        <f aca="false">IF(A75="","",N(H74)+IF(B75="Masuk",N(D75),-N(D75)))</f>
        <v/>
      </c>
    </row>
    <row r="76" customFormat="false" ht="15" hidden="false" customHeight="false" outlineLevel="0" collapsed="false">
      <c r="A76" s="20"/>
      <c r="B76" s="19"/>
      <c r="C76" s="19"/>
      <c r="D76" s="21"/>
      <c r="E76" s="19"/>
      <c r="F76" s="19"/>
      <c r="G76" s="23" t="str">
        <f aca="false">IF(A76="","",TEXT(A76,"yyyy-mm"))</f>
        <v/>
      </c>
      <c r="H76" s="22" t="str">
        <f aca="false">IF(A76="","",N(H75)+IF(B76="Masuk",N(D76),-N(D76)))</f>
        <v/>
      </c>
    </row>
    <row r="77" customFormat="false" ht="15" hidden="false" customHeight="false" outlineLevel="0" collapsed="false">
      <c r="A77" s="20"/>
      <c r="B77" s="19"/>
      <c r="C77" s="19"/>
      <c r="D77" s="21"/>
      <c r="E77" s="19"/>
      <c r="F77" s="19"/>
      <c r="G77" s="23" t="str">
        <f aca="false">IF(A77="","",TEXT(A77,"yyyy-mm"))</f>
        <v/>
      </c>
      <c r="H77" s="22" t="str">
        <f aca="false">IF(A77="","",N(H76)+IF(B77="Masuk",N(D77),-N(D77)))</f>
        <v/>
      </c>
    </row>
    <row r="78" customFormat="false" ht="15" hidden="false" customHeight="false" outlineLevel="0" collapsed="false">
      <c r="A78" s="20"/>
      <c r="B78" s="19"/>
      <c r="C78" s="19"/>
      <c r="D78" s="21"/>
      <c r="E78" s="19"/>
      <c r="F78" s="19"/>
      <c r="G78" s="23" t="str">
        <f aca="false">IF(A78="","",TEXT(A78,"yyyy-mm"))</f>
        <v/>
      </c>
      <c r="H78" s="22" t="str">
        <f aca="false">IF(A78="","",N(H77)+IF(B78="Masuk",N(D78),-N(D78)))</f>
        <v/>
      </c>
    </row>
    <row r="79" customFormat="false" ht="15" hidden="false" customHeight="false" outlineLevel="0" collapsed="false">
      <c r="A79" s="20"/>
      <c r="B79" s="19"/>
      <c r="C79" s="19"/>
      <c r="D79" s="21"/>
      <c r="E79" s="19"/>
      <c r="F79" s="19"/>
      <c r="G79" s="23" t="str">
        <f aca="false">IF(A79="","",TEXT(A79,"yyyy-mm"))</f>
        <v/>
      </c>
      <c r="H79" s="22" t="str">
        <f aca="false">IF(A79="","",N(H78)+IF(B79="Masuk",N(D79),-N(D79)))</f>
        <v/>
      </c>
    </row>
    <row r="80" customFormat="false" ht="15" hidden="false" customHeight="false" outlineLevel="0" collapsed="false">
      <c r="A80" s="20"/>
      <c r="B80" s="19"/>
      <c r="C80" s="19"/>
      <c r="D80" s="21"/>
      <c r="E80" s="19"/>
      <c r="F80" s="19"/>
      <c r="G80" s="23" t="str">
        <f aca="false">IF(A80="","",TEXT(A80,"yyyy-mm"))</f>
        <v/>
      </c>
      <c r="H80" s="22" t="str">
        <f aca="false">IF(A80="","",N(H79)+IF(B80="Masuk",N(D80),-N(D80)))</f>
        <v/>
      </c>
    </row>
    <row r="81" customFormat="false" ht="15" hidden="false" customHeight="false" outlineLevel="0" collapsed="false">
      <c r="A81" s="20"/>
      <c r="B81" s="19"/>
      <c r="C81" s="19"/>
      <c r="D81" s="21"/>
      <c r="E81" s="19"/>
      <c r="F81" s="19"/>
      <c r="G81" s="23" t="str">
        <f aca="false">IF(A81="","",TEXT(A81,"yyyy-mm"))</f>
        <v/>
      </c>
      <c r="H81" s="22" t="str">
        <f aca="false">IF(A81="","",N(H80)+IF(B81="Masuk",N(D81),-N(D81)))</f>
        <v/>
      </c>
    </row>
    <row r="82" customFormat="false" ht="15" hidden="false" customHeight="false" outlineLevel="0" collapsed="false">
      <c r="A82" s="20"/>
      <c r="B82" s="19"/>
      <c r="C82" s="19"/>
      <c r="D82" s="21"/>
      <c r="E82" s="19"/>
      <c r="F82" s="19"/>
      <c r="G82" s="23" t="str">
        <f aca="false">IF(A82="","",TEXT(A82,"yyyy-mm"))</f>
        <v/>
      </c>
      <c r="H82" s="22" t="str">
        <f aca="false">IF(A82="","",N(H81)+IF(B82="Masuk",N(D82),-N(D82)))</f>
        <v/>
      </c>
    </row>
    <row r="83" customFormat="false" ht="15" hidden="false" customHeight="false" outlineLevel="0" collapsed="false">
      <c r="A83" s="20"/>
      <c r="B83" s="19"/>
      <c r="C83" s="19"/>
      <c r="D83" s="21"/>
      <c r="E83" s="19"/>
      <c r="F83" s="19"/>
      <c r="G83" s="23" t="str">
        <f aca="false">IF(A83="","",TEXT(A83,"yyyy-mm"))</f>
        <v/>
      </c>
      <c r="H83" s="22" t="str">
        <f aca="false">IF(A83="","",N(H82)+IF(B83="Masuk",N(D83),-N(D83)))</f>
        <v/>
      </c>
    </row>
    <row r="84" customFormat="false" ht="15" hidden="false" customHeight="false" outlineLevel="0" collapsed="false">
      <c r="A84" s="20"/>
      <c r="B84" s="19"/>
      <c r="C84" s="19"/>
      <c r="D84" s="21"/>
      <c r="E84" s="19"/>
      <c r="F84" s="19"/>
      <c r="G84" s="23" t="str">
        <f aca="false">IF(A84="","",TEXT(A84,"yyyy-mm"))</f>
        <v/>
      </c>
      <c r="H84" s="22" t="str">
        <f aca="false">IF(A84="","",N(H83)+IF(B84="Masuk",N(D84),-N(D84)))</f>
        <v/>
      </c>
    </row>
    <row r="85" customFormat="false" ht="15" hidden="false" customHeight="false" outlineLevel="0" collapsed="false">
      <c r="A85" s="20"/>
      <c r="B85" s="19"/>
      <c r="C85" s="19"/>
      <c r="D85" s="21"/>
      <c r="E85" s="19"/>
      <c r="F85" s="19"/>
      <c r="G85" s="23" t="str">
        <f aca="false">IF(A85="","",TEXT(A85,"yyyy-mm"))</f>
        <v/>
      </c>
      <c r="H85" s="22" t="str">
        <f aca="false">IF(A85="","",N(H84)+IF(B85="Masuk",N(D85),-N(D85)))</f>
        <v/>
      </c>
    </row>
    <row r="86" customFormat="false" ht="15" hidden="false" customHeight="false" outlineLevel="0" collapsed="false">
      <c r="A86" s="20"/>
      <c r="B86" s="19"/>
      <c r="C86" s="19"/>
      <c r="D86" s="21"/>
      <c r="E86" s="19"/>
      <c r="F86" s="19"/>
      <c r="G86" s="23" t="str">
        <f aca="false">IF(A86="","",TEXT(A86,"yyyy-mm"))</f>
        <v/>
      </c>
      <c r="H86" s="22" t="str">
        <f aca="false">IF(A86="","",N(H85)+IF(B86="Masuk",N(D86),-N(D86)))</f>
        <v/>
      </c>
    </row>
    <row r="87" customFormat="false" ht="15" hidden="false" customHeight="false" outlineLevel="0" collapsed="false">
      <c r="A87" s="20"/>
      <c r="B87" s="19"/>
      <c r="C87" s="19"/>
      <c r="D87" s="21"/>
      <c r="E87" s="19"/>
      <c r="F87" s="19"/>
      <c r="G87" s="23" t="str">
        <f aca="false">IF(A87="","",TEXT(A87,"yyyy-mm"))</f>
        <v/>
      </c>
      <c r="H87" s="22" t="str">
        <f aca="false">IF(A87="","",N(H86)+IF(B87="Masuk",N(D87),-N(D87)))</f>
        <v/>
      </c>
    </row>
    <row r="88" customFormat="false" ht="15" hidden="false" customHeight="false" outlineLevel="0" collapsed="false">
      <c r="A88" s="20"/>
      <c r="B88" s="19"/>
      <c r="C88" s="19"/>
      <c r="D88" s="21"/>
      <c r="E88" s="19"/>
      <c r="F88" s="19"/>
      <c r="G88" s="23" t="str">
        <f aca="false">IF(A88="","",TEXT(A88,"yyyy-mm"))</f>
        <v/>
      </c>
      <c r="H88" s="22" t="str">
        <f aca="false">IF(A88="","",N(H87)+IF(B88="Masuk",N(D88),-N(D88)))</f>
        <v/>
      </c>
    </row>
    <row r="89" customFormat="false" ht="15" hidden="false" customHeight="false" outlineLevel="0" collapsed="false">
      <c r="A89" s="20"/>
      <c r="B89" s="19"/>
      <c r="C89" s="19"/>
      <c r="D89" s="21"/>
      <c r="E89" s="19"/>
      <c r="F89" s="19"/>
      <c r="G89" s="23" t="str">
        <f aca="false">IF(A89="","",TEXT(A89,"yyyy-mm"))</f>
        <v/>
      </c>
      <c r="H89" s="22" t="str">
        <f aca="false">IF(A89="","",N(H88)+IF(B89="Masuk",N(D89),-N(D89)))</f>
        <v/>
      </c>
    </row>
    <row r="90" customFormat="false" ht="15" hidden="false" customHeight="false" outlineLevel="0" collapsed="false">
      <c r="A90" s="20"/>
      <c r="B90" s="19"/>
      <c r="C90" s="19"/>
      <c r="D90" s="21"/>
      <c r="E90" s="19"/>
      <c r="F90" s="19"/>
      <c r="G90" s="23" t="str">
        <f aca="false">IF(A90="","",TEXT(A90,"yyyy-mm"))</f>
        <v/>
      </c>
      <c r="H90" s="22" t="str">
        <f aca="false">IF(A90="","",N(H89)+IF(B90="Masuk",N(D90),-N(D90)))</f>
        <v/>
      </c>
    </row>
    <row r="91" customFormat="false" ht="15" hidden="false" customHeight="false" outlineLevel="0" collapsed="false">
      <c r="A91" s="20"/>
      <c r="B91" s="19"/>
      <c r="C91" s="19"/>
      <c r="D91" s="21"/>
      <c r="E91" s="19"/>
      <c r="F91" s="19"/>
      <c r="G91" s="23" t="str">
        <f aca="false">IF(A91="","",TEXT(A91,"yyyy-mm"))</f>
        <v/>
      </c>
      <c r="H91" s="22" t="str">
        <f aca="false">IF(A91="","",N(H90)+IF(B91="Masuk",N(D91),-N(D91)))</f>
        <v/>
      </c>
    </row>
    <row r="92" customFormat="false" ht="15" hidden="false" customHeight="false" outlineLevel="0" collapsed="false">
      <c r="A92" s="20"/>
      <c r="B92" s="19"/>
      <c r="C92" s="19"/>
      <c r="D92" s="21"/>
      <c r="E92" s="19"/>
      <c r="F92" s="19"/>
      <c r="G92" s="23" t="str">
        <f aca="false">IF(A92="","",TEXT(A92,"yyyy-mm"))</f>
        <v/>
      </c>
      <c r="H92" s="22" t="str">
        <f aca="false">IF(A92="","",N(H91)+IF(B92="Masuk",N(D92),-N(D92)))</f>
        <v/>
      </c>
    </row>
    <row r="93" customFormat="false" ht="15" hidden="false" customHeight="false" outlineLevel="0" collapsed="false">
      <c r="A93" s="20"/>
      <c r="B93" s="19"/>
      <c r="C93" s="19"/>
      <c r="D93" s="21"/>
      <c r="E93" s="19"/>
      <c r="F93" s="19"/>
      <c r="G93" s="23" t="str">
        <f aca="false">IF(A93="","",TEXT(A93,"yyyy-mm"))</f>
        <v/>
      </c>
      <c r="H93" s="22" t="str">
        <f aca="false">IF(A93="","",N(H92)+IF(B93="Masuk",N(D93),-N(D93)))</f>
        <v/>
      </c>
    </row>
    <row r="94" customFormat="false" ht="15" hidden="false" customHeight="false" outlineLevel="0" collapsed="false">
      <c r="A94" s="20"/>
      <c r="B94" s="19"/>
      <c r="C94" s="19"/>
      <c r="D94" s="21"/>
      <c r="E94" s="19"/>
      <c r="F94" s="19"/>
      <c r="G94" s="23" t="str">
        <f aca="false">IF(A94="","",TEXT(A94,"yyyy-mm"))</f>
        <v/>
      </c>
      <c r="H94" s="22" t="str">
        <f aca="false">IF(A94="","",N(H93)+IF(B94="Masuk",N(D94),-N(D94)))</f>
        <v/>
      </c>
    </row>
    <row r="95" customFormat="false" ht="15" hidden="false" customHeight="false" outlineLevel="0" collapsed="false">
      <c r="A95" s="20"/>
      <c r="B95" s="19"/>
      <c r="C95" s="19"/>
      <c r="D95" s="21"/>
      <c r="E95" s="19"/>
      <c r="F95" s="19"/>
      <c r="G95" s="23" t="str">
        <f aca="false">IF(A95="","",TEXT(A95,"yyyy-mm"))</f>
        <v/>
      </c>
      <c r="H95" s="22" t="str">
        <f aca="false">IF(A95="","",N(H94)+IF(B95="Masuk",N(D95),-N(D95)))</f>
        <v/>
      </c>
    </row>
    <row r="96" customFormat="false" ht="15" hidden="false" customHeight="false" outlineLevel="0" collapsed="false">
      <c r="A96" s="20"/>
      <c r="B96" s="19"/>
      <c r="C96" s="19"/>
      <c r="D96" s="21"/>
      <c r="E96" s="19"/>
      <c r="F96" s="19"/>
      <c r="G96" s="23" t="str">
        <f aca="false">IF(A96="","",TEXT(A96,"yyyy-mm"))</f>
        <v/>
      </c>
      <c r="H96" s="22" t="str">
        <f aca="false">IF(A96="","",N(H95)+IF(B96="Masuk",N(D96),-N(D96)))</f>
        <v/>
      </c>
    </row>
    <row r="97" customFormat="false" ht="15" hidden="false" customHeight="false" outlineLevel="0" collapsed="false">
      <c r="A97" s="20"/>
      <c r="B97" s="19"/>
      <c r="C97" s="19"/>
      <c r="D97" s="21"/>
      <c r="E97" s="19"/>
      <c r="F97" s="19"/>
      <c r="G97" s="23" t="str">
        <f aca="false">IF(A97="","",TEXT(A97,"yyyy-mm"))</f>
        <v/>
      </c>
      <c r="H97" s="22" t="str">
        <f aca="false">IF(A97="","",N(H96)+IF(B97="Masuk",N(D97),-N(D97)))</f>
        <v/>
      </c>
    </row>
    <row r="98" customFormat="false" ht="15" hidden="false" customHeight="false" outlineLevel="0" collapsed="false">
      <c r="A98" s="20"/>
      <c r="B98" s="19"/>
      <c r="C98" s="19"/>
      <c r="D98" s="21"/>
      <c r="E98" s="19"/>
      <c r="F98" s="19"/>
      <c r="G98" s="23" t="str">
        <f aca="false">IF(A98="","",TEXT(A98,"yyyy-mm"))</f>
        <v/>
      </c>
      <c r="H98" s="22" t="str">
        <f aca="false">IF(A98="","",N(H97)+IF(B98="Masuk",N(D98),-N(D98)))</f>
        <v/>
      </c>
    </row>
    <row r="99" customFormat="false" ht="15" hidden="false" customHeight="false" outlineLevel="0" collapsed="false">
      <c r="A99" s="20"/>
      <c r="B99" s="19"/>
      <c r="C99" s="19"/>
      <c r="D99" s="21"/>
      <c r="E99" s="19"/>
      <c r="F99" s="19"/>
      <c r="G99" s="23" t="str">
        <f aca="false">IF(A99="","",TEXT(A99,"yyyy-mm"))</f>
        <v/>
      </c>
      <c r="H99" s="22" t="str">
        <f aca="false">IF(A99="","",N(H98)+IF(B99="Masuk",N(D99),-N(D99)))</f>
        <v/>
      </c>
    </row>
    <row r="100" customFormat="false" ht="15" hidden="false" customHeight="false" outlineLevel="0" collapsed="false">
      <c r="A100" s="20"/>
      <c r="B100" s="19"/>
      <c r="C100" s="19"/>
      <c r="D100" s="21"/>
      <c r="E100" s="19"/>
      <c r="F100" s="19"/>
      <c r="G100" s="23" t="str">
        <f aca="false">IF(A100="","",TEXT(A100,"yyyy-mm"))</f>
        <v/>
      </c>
      <c r="H100" s="22" t="str">
        <f aca="false">IF(A100="","",N(H99)+IF(B100="Masuk",N(D100),-N(D100)))</f>
        <v/>
      </c>
    </row>
    <row r="101" customFormat="false" ht="15" hidden="false" customHeight="false" outlineLevel="0" collapsed="false">
      <c r="A101" s="20"/>
      <c r="B101" s="19"/>
      <c r="C101" s="19"/>
      <c r="D101" s="21"/>
      <c r="E101" s="19"/>
      <c r="F101" s="19"/>
      <c r="G101" s="23" t="str">
        <f aca="false">IF(A101="","",TEXT(A101,"yyyy-mm"))</f>
        <v/>
      </c>
      <c r="H101" s="22" t="str">
        <f aca="false">IF(A101="","",N(H100)+IF(B101="Masuk",N(D101),-N(D101)))</f>
        <v/>
      </c>
    </row>
    <row r="102" customFormat="false" ht="15" hidden="false" customHeight="false" outlineLevel="0" collapsed="false">
      <c r="A102" s="20"/>
      <c r="B102" s="19"/>
      <c r="C102" s="19"/>
      <c r="D102" s="21"/>
      <c r="E102" s="19"/>
      <c r="F102" s="19"/>
      <c r="G102" s="23" t="str">
        <f aca="false">IF(A102="","",TEXT(A102,"yyyy-mm"))</f>
        <v/>
      </c>
      <c r="H102" s="22" t="str">
        <f aca="false">IF(A102="","",N(H101)+IF(B102="Masuk",N(D102),-N(D102)))</f>
        <v/>
      </c>
    </row>
    <row r="103" customFormat="false" ht="15" hidden="false" customHeight="false" outlineLevel="0" collapsed="false">
      <c r="A103" s="20"/>
      <c r="B103" s="19"/>
      <c r="C103" s="19"/>
      <c r="D103" s="21"/>
      <c r="E103" s="19"/>
      <c r="F103" s="19"/>
      <c r="G103" s="23" t="str">
        <f aca="false">IF(A103="","",TEXT(A103,"yyyy-mm"))</f>
        <v/>
      </c>
      <c r="H103" s="22" t="str">
        <f aca="false">IF(A103="","",N(H102)+IF(B103="Masuk",N(D103),-N(D103)))</f>
        <v/>
      </c>
    </row>
    <row r="104" customFormat="false" ht="15" hidden="false" customHeight="false" outlineLevel="0" collapsed="false">
      <c r="A104" s="20"/>
      <c r="B104" s="19"/>
      <c r="C104" s="19"/>
      <c r="D104" s="21"/>
      <c r="E104" s="19"/>
      <c r="F104" s="19"/>
      <c r="G104" s="23" t="str">
        <f aca="false">IF(A104="","",TEXT(A104,"yyyy-mm"))</f>
        <v/>
      </c>
      <c r="H104" s="22" t="str">
        <f aca="false">IF(A104="","",N(H103)+IF(B104="Masuk",N(D104),-N(D104)))</f>
        <v/>
      </c>
    </row>
    <row r="105" customFormat="false" ht="15" hidden="false" customHeight="false" outlineLevel="0" collapsed="false">
      <c r="A105" s="20"/>
      <c r="B105" s="19"/>
      <c r="C105" s="19"/>
      <c r="D105" s="21"/>
      <c r="E105" s="19"/>
      <c r="F105" s="19"/>
      <c r="G105" s="23" t="str">
        <f aca="false">IF(A105="","",TEXT(A105,"yyyy-mm"))</f>
        <v/>
      </c>
      <c r="H105" s="22" t="str">
        <f aca="false">IF(A105="","",N(H104)+IF(B105="Masuk",N(D105),-N(D105)))</f>
        <v/>
      </c>
    </row>
    <row r="106" customFormat="false" ht="15" hidden="false" customHeight="false" outlineLevel="0" collapsed="false">
      <c r="A106" s="20"/>
      <c r="B106" s="19"/>
      <c r="C106" s="19"/>
      <c r="D106" s="21"/>
      <c r="E106" s="19"/>
      <c r="F106" s="19"/>
      <c r="G106" s="23" t="str">
        <f aca="false">IF(A106="","",TEXT(A106,"yyyy-mm"))</f>
        <v/>
      </c>
      <c r="H106" s="22" t="str">
        <f aca="false">IF(A106="","",N(H105)+IF(B106="Masuk",N(D106),-N(D106)))</f>
        <v/>
      </c>
    </row>
    <row r="107" customFormat="false" ht="15" hidden="false" customHeight="false" outlineLevel="0" collapsed="false">
      <c r="A107" s="20"/>
      <c r="B107" s="19"/>
      <c r="C107" s="19"/>
      <c r="D107" s="21"/>
      <c r="E107" s="19"/>
      <c r="F107" s="19"/>
      <c r="G107" s="23" t="str">
        <f aca="false">IF(A107="","",TEXT(A107,"yyyy-mm"))</f>
        <v/>
      </c>
      <c r="H107" s="22" t="str">
        <f aca="false">IF(A107="","",N(H106)+IF(B107="Masuk",N(D107),-N(D107)))</f>
        <v/>
      </c>
    </row>
    <row r="108" customFormat="false" ht="15" hidden="false" customHeight="false" outlineLevel="0" collapsed="false">
      <c r="A108" s="20"/>
      <c r="B108" s="19"/>
      <c r="C108" s="19"/>
      <c r="D108" s="21"/>
      <c r="E108" s="19"/>
      <c r="F108" s="19"/>
      <c r="G108" s="23" t="str">
        <f aca="false">IF(A108="","",TEXT(A108,"yyyy-mm"))</f>
        <v/>
      </c>
      <c r="H108" s="22" t="str">
        <f aca="false">IF(A108="","",N(H107)+IF(B108="Masuk",N(D108),-N(D108)))</f>
        <v/>
      </c>
    </row>
    <row r="109" customFormat="false" ht="15" hidden="false" customHeight="false" outlineLevel="0" collapsed="false">
      <c r="A109" s="20"/>
      <c r="B109" s="19"/>
      <c r="C109" s="19"/>
      <c r="D109" s="21"/>
      <c r="E109" s="19"/>
      <c r="F109" s="19"/>
      <c r="G109" s="23" t="str">
        <f aca="false">IF(A109="","",TEXT(A109,"yyyy-mm"))</f>
        <v/>
      </c>
      <c r="H109" s="22" t="str">
        <f aca="false">IF(A109="","",N(H108)+IF(B109="Masuk",N(D109),-N(D109)))</f>
        <v/>
      </c>
    </row>
    <row r="110" customFormat="false" ht="15" hidden="false" customHeight="false" outlineLevel="0" collapsed="false">
      <c r="A110" s="20"/>
      <c r="B110" s="19"/>
      <c r="C110" s="19"/>
      <c r="D110" s="21"/>
      <c r="E110" s="19"/>
      <c r="F110" s="19"/>
      <c r="G110" s="23" t="str">
        <f aca="false">IF(A110="","",TEXT(A110,"yyyy-mm"))</f>
        <v/>
      </c>
      <c r="H110" s="22" t="str">
        <f aca="false">IF(A110="","",N(H109)+IF(B110="Masuk",N(D110),-N(D110)))</f>
        <v/>
      </c>
    </row>
    <row r="111" customFormat="false" ht="15" hidden="false" customHeight="false" outlineLevel="0" collapsed="false">
      <c r="A111" s="20"/>
      <c r="B111" s="19"/>
      <c r="C111" s="19"/>
      <c r="D111" s="21"/>
      <c r="E111" s="19"/>
      <c r="F111" s="19"/>
      <c r="G111" s="23" t="str">
        <f aca="false">IF(A111="","",TEXT(A111,"yyyy-mm"))</f>
        <v/>
      </c>
      <c r="H111" s="22" t="str">
        <f aca="false">IF(A111="","",N(H110)+IF(B111="Masuk",N(D111),-N(D111)))</f>
        <v/>
      </c>
    </row>
    <row r="112" customFormat="false" ht="15" hidden="false" customHeight="false" outlineLevel="0" collapsed="false">
      <c r="A112" s="20"/>
      <c r="B112" s="19"/>
      <c r="C112" s="19"/>
      <c r="D112" s="21"/>
      <c r="E112" s="19"/>
      <c r="F112" s="19"/>
      <c r="G112" s="23" t="str">
        <f aca="false">IF(A112="","",TEXT(A112,"yyyy-mm"))</f>
        <v/>
      </c>
      <c r="H112" s="22" t="str">
        <f aca="false">IF(A112="","",N(H111)+IF(B112="Masuk",N(D112),-N(D112)))</f>
        <v/>
      </c>
    </row>
    <row r="113" customFormat="false" ht="15" hidden="false" customHeight="false" outlineLevel="0" collapsed="false">
      <c r="A113" s="20"/>
      <c r="B113" s="19"/>
      <c r="C113" s="19"/>
      <c r="D113" s="21"/>
      <c r="E113" s="19"/>
      <c r="F113" s="19"/>
      <c r="G113" s="23" t="str">
        <f aca="false">IF(A113="","",TEXT(A113,"yyyy-mm"))</f>
        <v/>
      </c>
      <c r="H113" s="22" t="str">
        <f aca="false">IF(A113="","",N(H112)+IF(B113="Masuk",N(D113),-N(D113)))</f>
        <v/>
      </c>
    </row>
    <row r="114" customFormat="false" ht="15" hidden="false" customHeight="false" outlineLevel="0" collapsed="false">
      <c r="A114" s="20"/>
      <c r="B114" s="19"/>
      <c r="C114" s="19"/>
      <c r="D114" s="21"/>
      <c r="E114" s="19"/>
      <c r="F114" s="19"/>
      <c r="G114" s="23" t="str">
        <f aca="false">IF(A114="","",TEXT(A114,"yyyy-mm"))</f>
        <v/>
      </c>
      <c r="H114" s="22" t="str">
        <f aca="false">IF(A114="","",N(H113)+IF(B114="Masuk",N(D114),-N(D114)))</f>
        <v/>
      </c>
    </row>
    <row r="115" customFormat="false" ht="15" hidden="false" customHeight="false" outlineLevel="0" collapsed="false">
      <c r="A115" s="20"/>
      <c r="B115" s="19"/>
      <c r="C115" s="19"/>
      <c r="D115" s="21"/>
      <c r="E115" s="19"/>
      <c r="F115" s="19"/>
      <c r="G115" s="23" t="str">
        <f aca="false">IF(A115="","",TEXT(A115,"yyyy-mm"))</f>
        <v/>
      </c>
      <c r="H115" s="22" t="str">
        <f aca="false">IF(A115="","",N(H114)+IF(B115="Masuk",N(D115),-N(D115)))</f>
        <v/>
      </c>
    </row>
    <row r="116" customFormat="false" ht="15" hidden="false" customHeight="false" outlineLevel="0" collapsed="false">
      <c r="A116" s="20"/>
      <c r="B116" s="19"/>
      <c r="C116" s="19"/>
      <c r="D116" s="21"/>
      <c r="E116" s="19"/>
      <c r="F116" s="19"/>
      <c r="G116" s="23" t="str">
        <f aca="false">IF(A116="","",TEXT(A116,"yyyy-mm"))</f>
        <v/>
      </c>
      <c r="H116" s="22" t="str">
        <f aca="false">IF(A116="","",N(H115)+IF(B116="Masuk",N(D116),-N(D116)))</f>
        <v/>
      </c>
    </row>
    <row r="117" customFormat="false" ht="15" hidden="false" customHeight="false" outlineLevel="0" collapsed="false">
      <c r="A117" s="20"/>
      <c r="B117" s="19"/>
      <c r="C117" s="19"/>
      <c r="D117" s="21"/>
      <c r="E117" s="19"/>
      <c r="F117" s="19"/>
      <c r="G117" s="23" t="str">
        <f aca="false">IF(A117="","",TEXT(A117,"yyyy-mm"))</f>
        <v/>
      </c>
      <c r="H117" s="22" t="str">
        <f aca="false">IF(A117="","",N(H116)+IF(B117="Masuk",N(D117),-N(D117)))</f>
        <v/>
      </c>
    </row>
    <row r="118" customFormat="false" ht="15" hidden="false" customHeight="false" outlineLevel="0" collapsed="false">
      <c r="A118" s="20"/>
      <c r="B118" s="19"/>
      <c r="C118" s="19"/>
      <c r="D118" s="21"/>
      <c r="E118" s="19"/>
      <c r="F118" s="19"/>
      <c r="G118" s="23" t="str">
        <f aca="false">IF(A118="","",TEXT(A118,"yyyy-mm"))</f>
        <v/>
      </c>
      <c r="H118" s="22" t="str">
        <f aca="false">IF(A118="","",N(H117)+IF(B118="Masuk",N(D118),-N(D118)))</f>
        <v/>
      </c>
    </row>
    <row r="119" customFormat="false" ht="15" hidden="false" customHeight="false" outlineLevel="0" collapsed="false">
      <c r="A119" s="20"/>
      <c r="B119" s="19"/>
      <c r="C119" s="19"/>
      <c r="D119" s="21"/>
      <c r="E119" s="19"/>
      <c r="F119" s="19"/>
      <c r="G119" s="23" t="str">
        <f aca="false">IF(A119="","",TEXT(A119,"yyyy-mm"))</f>
        <v/>
      </c>
      <c r="H119" s="22" t="str">
        <f aca="false">IF(A119="","",N(H118)+IF(B119="Masuk",N(D119),-N(D119)))</f>
        <v/>
      </c>
    </row>
    <row r="120" customFormat="false" ht="15" hidden="false" customHeight="false" outlineLevel="0" collapsed="false">
      <c r="A120" s="20"/>
      <c r="B120" s="19"/>
      <c r="C120" s="19"/>
      <c r="D120" s="21"/>
      <c r="E120" s="19"/>
      <c r="F120" s="19"/>
      <c r="G120" s="23" t="str">
        <f aca="false">IF(A120="","",TEXT(A120,"yyyy-mm"))</f>
        <v/>
      </c>
      <c r="H120" s="22" t="str">
        <f aca="false">IF(A120="","",N(H119)+IF(B120="Masuk",N(D120),-N(D120)))</f>
        <v/>
      </c>
    </row>
    <row r="121" customFormat="false" ht="15" hidden="false" customHeight="false" outlineLevel="0" collapsed="false">
      <c r="A121" s="20"/>
      <c r="B121" s="19"/>
      <c r="C121" s="19"/>
      <c r="D121" s="21"/>
      <c r="E121" s="19"/>
      <c r="F121" s="19"/>
      <c r="G121" s="23" t="str">
        <f aca="false">IF(A121="","",TEXT(A121,"yyyy-mm"))</f>
        <v/>
      </c>
      <c r="H121" s="22" t="str">
        <f aca="false">IF(A121="","",N(H120)+IF(B121="Masuk",N(D121),-N(D121)))</f>
        <v/>
      </c>
    </row>
    <row r="122" customFormat="false" ht="15" hidden="false" customHeight="false" outlineLevel="0" collapsed="false">
      <c r="A122" s="20"/>
      <c r="B122" s="19"/>
      <c r="C122" s="19"/>
      <c r="D122" s="21"/>
      <c r="E122" s="19"/>
      <c r="F122" s="19"/>
      <c r="G122" s="23" t="str">
        <f aca="false">IF(A122="","",TEXT(A122,"yyyy-mm"))</f>
        <v/>
      </c>
      <c r="H122" s="22" t="str">
        <f aca="false">IF(A122="","",N(H121)+IF(B122="Masuk",N(D122),-N(D122)))</f>
        <v/>
      </c>
    </row>
    <row r="123" customFormat="false" ht="15" hidden="false" customHeight="false" outlineLevel="0" collapsed="false">
      <c r="A123" s="20"/>
      <c r="B123" s="19"/>
      <c r="C123" s="19"/>
      <c r="D123" s="21"/>
      <c r="E123" s="19"/>
      <c r="F123" s="19"/>
      <c r="G123" s="23" t="str">
        <f aca="false">IF(A123="","",TEXT(A123,"yyyy-mm"))</f>
        <v/>
      </c>
      <c r="H123" s="22" t="str">
        <f aca="false">IF(A123="","",N(H122)+IF(B123="Masuk",N(D123),-N(D123)))</f>
        <v/>
      </c>
    </row>
    <row r="124" customFormat="false" ht="15" hidden="false" customHeight="false" outlineLevel="0" collapsed="false">
      <c r="A124" s="20"/>
      <c r="B124" s="19"/>
      <c r="C124" s="19"/>
      <c r="D124" s="21"/>
      <c r="E124" s="19"/>
      <c r="F124" s="19"/>
      <c r="G124" s="23" t="str">
        <f aca="false">IF(A124="","",TEXT(A124,"yyyy-mm"))</f>
        <v/>
      </c>
      <c r="H124" s="22" t="str">
        <f aca="false">IF(A124="","",N(H123)+IF(B124="Masuk",N(D124),-N(D124)))</f>
        <v/>
      </c>
    </row>
    <row r="125" customFormat="false" ht="15" hidden="false" customHeight="false" outlineLevel="0" collapsed="false">
      <c r="A125" s="20"/>
      <c r="B125" s="19"/>
      <c r="C125" s="19"/>
      <c r="D125" s="21"/>
      <c r="E125" s="19"/>
      <c r="F125" s="19"/>
      <c r="G125" s="23" t="str">
        <f aca="false">IF(A125="","",TEXT(A125,"yyyy-mm"))</f>
        <v/>
      </c>
      <c r="H125" s="22" t="str">
        <f aca="false">IF(A125="","",N(H124)+IF(B125="Masuk",N(D125),-N(D125)))</f>
        <v/>
      </c>
    </row>
    <row r="126" customFormat="false" ht="15" hidden="false" customHeight="false" outlineLevel="0" collapsed="false">
      <c r="A126" s="20"/>
      <c r="B126" s="19"/>
      <c r="C126" s="19"/>
      <c r="D126" s="21"/>
      <c r="E126" s="19"/>
      <c r="F126" s="19"/>
      <c r="G126" s="23" t="str">
        <f aca="false">IF(A126="","",TEXT(A126,"yyyy-mm"))</f>
        <v/>
      </c>
      <c r="H126" s="22" t="str">
        <f aca="false">IF(A126="","",N(H125)+IF(B126="Masuk",N(D126),-N(D126)))</f>
        <v/>
      </c>
    </row>
    <row r="127" customFormat="false" ht="15" hidden="false" customHeight="false" outlineLevel="0" collapsed="false">
      <c r="A127" s="20"/>
      <c r="B127" s="19"/>
      <c r="C127" s="19"/>
      <c r="D127" s="21"/>
      <c r="E127" s="19"/>
      <c r="F127" s="19"/>
      <c r="G127" s="23" t="str">
        <f aca="false">IF(A127="","",TEXT(A127,"yyyy-mm"))</f>
        <v/>
      </c>
      <c r="H127" s="22" t="str">
        <f aca="false">IF(A127="","",N(H126)+IF(B127="Masuk",N(D127),-N(D127)))</f>
        <v/>
      </c>
    </row>
    <row r="128" customFormat="false" ht="15" hidden="false" customHeight="false" outlineLevel="0" collapsed="false">
      <c r="A128" s="20"/>
      <c r="B128" s="19"/>
      <c r="C128" s="19"/>
      <c r="D128" s="21"/>
      <c r="E128" s="19"/>
      <c r="F128" s="19"/>
      <c r="G128" s="23" t="str">
        <f aca="false">IF(A128="","",TEXT(A128,"yyyy-mm"))</f>
        <v/>
      </c>
      <c r="H128" s="22" t="str">
        <f aca="false">IF(A128="","",N(H127)+IF(B128="Masuk",N(D128),-N(D128)))</f>
        <v/>
      </c>
    </row>
    <row r="129" customFormat="false" ht="15" hidden="false" customHeight="false" outlineLevel="0" collapsed="false">
      <c r="A129" s="20"/>
      <c r="B129" s="19"/>
      <c r="C129" s="19"/>
      <c r="D129" s="21"/>
      <c r="E129" s="19"/>
      <c r="F129" s="19"/>
      <c r="G129" s="23" t="str">
        <f aca="false">IF(A129="","",TEXT(A129,"yyyy-mm"))</f>
        <v/>
      </c>
      <c r="H129" s="22" t="str">
        <f aca="false">IF(A129="","",N(H128)+IF(B129="Masuk",N(D129),-N(D129)))</f>
        <v/>
      </c>
    </row>
    <row r="130" customFormat="false" ht="15" hidden="false" customHeight="false" outlineLevel="0" collapsed="false">
      <c r="A130" s="20"/>
      <c r="B130" s="19"/>
      <c r="C130" s="19"/>
      <c r="D130" s="21"/>
      <c r="E130" s="19"/>
      <c r="F130" s="19"/>
      <c r="G130" s="23" t="str">
        <f aca="false">IF(A130="","",TEXT(A130,"yyyy-mm"))</f>
        <v/>
      </c>
      <c r="H130" s="22" t="str">
        <f aca="false">IF(A130="","",N(H129)+IF(B130="Masuk",N(D130),-N(D130)))</f>
        <v/>
      </c>
    </row>
    <row r="131" customFormat="false" ht="15" hidden="false" customHeight="false" outlineLevel="0" collapsed="false">
      <c r="A131" s="20"/>
      <c r="B131" s="19"/>
      <c r="C131" s="19"/>
      <c r="D131" s="21"/>
      <c r="E131" s="19"/>
      <c r="F131" s="19"/>
      <c r="G131" s="23" t="str">
        <f aca="false">IF(A131="","",TEXT(A131,"yyyy-mm"))</f>
        <v/>
      </c>
      <c r="H131" s="22" t="str">
        <f aca="false">IF(A131="","",N(H130)+IF(B131="Masuk",N(D131),-N(D131)))</f>
        <v/>
      </c>
    </row>
    <row r="132" customFormat="false" ht="15" hidden="false" customHeight="false" outlineLevel="0" collapsed="false">
      <c r="A132" s="20"/>
      <c r="B132" s="19"/>
      <c r="C132" s="19"/>
      <c r="D132" s="21"/>
      <c r="E132" s="19"/>
      <c r="F132" s="19"/>
      <c r="G132" s="23" t="str">
        <f aca="false">IF(A132="","",TEXT(A132,"yyyy-mm"))</f>
        <v/>
      </c>
      <c r="H132" s="22" t="str">
        <f aca="false">IF(A132="","",N(H131)+IF(B132="Masuk",N(D132),-N(D132)))</f>
        <v/>
      </c>
    </row>
    <row r="133" customFormat="false" ht="15" hidden="false" customHeight="false" outlineLevel="0" collapsed="false">
      <c r="A133" s="20"/>
      <c r="B133" s="19"/>
      <c r="C133" s="19"/>
      <c r="D133" s="21"/>
      <c r="E133" s="19"/>
      <c r="F133" s="19"/>
      <c r="G133" s="23" t="str">
        <f aca="false">IF(A133="","",TEXT(A133,"yyyy-mm"))</f>
        <v/>
      </c>
      <c r="H133" s="22" t="str">
        <f aca="false">IF(A133="","",N(H132)+IF(B133="Masuk",N(D133),-N(D133)))</f>
        <v/>
      </c>
    </row>
    <row r="134" customFormat="false" ht="15" hidden="false" customHeight="false" outlineLevel="0" collapsed="false">
      <c r="A134" s="20"/>
      <c r="B134" s="19"/>
      <c r="C134" s="19"/>
      <c r="D134" s="21"/>
      <c r="E134" s="19"/>
      <c r="F134" s="19"/>
      <c r="G134" s="23" t="str">
        <f aca="false">IF(A134="","",TEXT(A134,"yyyy-mm"))</f>
        <v/>
      </c>
      <c r="H134" s="22" t="str">
        <f aca="false">IF(A134="","",N(H133)+IF(B134="Masuk",N(D134),-N(D134)))</f>
        <v/>
      </c>
    </row>
    <row r="135" customFormat="false" ht="15" hidden="false" customHeight="false" outlineLevel="0" collapsed="false">
      <c r="A135" s="20"/>
      <c r="B135" s="19"/>
      <c r="C135" s="19"/>
      <c r="D135" s="21"/>
      <c r="E135" s="19"/>
      <c r="F135" s="19"/>
      <c r="G135" s="23" t="str">
        <f aca="false">IF(A135="","",TEXT(A135,"yyyy-mm"))</f>
        <v/>
      </c>
      <c r="H135" s="22" t="str">
        <f aca="false">IF(A135="","",N(H134)+IF(B135="Masuk",N(D135),-N(D135)))</f>
        <v/>
      </c>
    </row>
    <row r="136" customFormat="false" ht="15" hidden="false" customHeight="false" outlineLevel="0" collapsed="false">
      <c r="A136" s="20"/>
      <c r="B136" s="19"/>
      <c r="C136" s="19"/>
      <c r="D136" s="21"/>
      <c r="E136" s="19"/>
      <c r="F136" s="19"/>
      <c r="G136" s="23" t="str">
        <f aca="false">IF(A136="","",TEXT(A136,"yyyy-mm"))</f>
        <v/>
      </c>
      <c r="H136" s="22" t="str">
        <f aca="false">IF(A136="","",N(H135)+IF(B136="Masuk",N(D136),-N(D136)))</f>
        <v/>
      </c>
    </row>
    <row r="137" customFormat="false" ht="15" hidden="false" customHeight="false" outlineLevel="0" collapsed="false">
      <c r="A137" s="20"/>
      <c r="B137" s="19"/>
      <c r="C137" s="19"/>
      <c r="D137" s="21"/>
      <c r="E137" s="19"/>
      <c r="F137" s="19"/>
      <c r="G137" s="23" t="str">
        <f aca="false">IF(A137="","",TEXT(A137,"yyyy-mm"))</f>
        <v/>
      </c>
      <c r="H137" s="22" t="str">
        <f aca="false">IF(A137="","",N(H136)+IF(B137="Masuk",N(D137),-N(D137)))</f>
        <v/>
      </c>
    </row>
    <row r="138" customFormat="false" ht="15" hidden="false" customHeight="false" outlineLevel="0" collapsed="false">
      <c r="A138" s="20"/>
      <c r="B138" s="19"/>
      <c r="C138" s="19"/>
      <c r="D138" s="21"/>
      <c r="E138" s="19"/>
      <c r="F138" s="19"/>
      <c r="G138" s="23" t="str">
        <f aca="false">IF(A138="","",TEXT(A138,"yyyy-mm"))</f>
        <v/>
      </c>
      <c r="H138" s="22" t="str">
        <f aca="false">IF(A138="","",N(H137)+IF(B138="Masuk",N(D138),-N(D138)))</f>
        <v/>
      </c>
    </row>
    <row r="139" customFormat="false" ht="15" hidden="false" customHeight="false" outlineLevel="0" collapsed="false">
      <c r="A139" s="20"/>
      <c r="B139" s="19"/>
      <c r="C139" s="19"/>
      <c r="D139" s="21"/>
      <c r="E139" s="19"/>
      <c r="F139" s="19"/>
      <c r="G139" s="23" t="str">
        <f aca="false">IF(A139="","",TEXT(A139,"yyyy-mm"))</f>
        <v/>
      </c>
      <c r="H139" s="22" t="str">
        <f aca="false">IF(A139="","",N(H138)+IF(B139="Masuk",N(D139),-N(D139)))</f>
        <v/>
      </c>
    </row>
    <row r="140" customFormat="false" ht="15" hidden="false" customHeight="false" outlineLevel="0" collapsed="false">
      <c r="A140" s="20"/>
      <c r="B140" s="19"/>
      <c r="C140" s="19"/>
      <c r="D140" s="21"/>
      <c r="E140" s="19"/>
      <c r="F140" s="19"/>
      <c r="G140" s="23" t="str">
        <f aca="false">IF(A140="","",TEXT(A140,"yyyy-mm"))</f>
        <v/>
      </c>
      <c r="H140" s="22" t="str">
        <f aca="false">IF(A140="","",N(H139)+IF(B140="Masuk",N(D140),-N(D140)))</f>
        <v/>
      </c>
    </row>
    <row r="141" customFormat="false" ht="15" hidden="false" customHeight="false" outlineLevel="0" collapsed="false">
      <c r="A141" s="20"/>
      <c r="B141" s="19"/>
      <c r="C141" s="19"/>
      <c r="D141" s="21"/>
      <c r="E141" s="19"/>
      <c r="F141" s="19"/>
      <c r="G141" s="23" t="str">
        <f aca="false">IF(A141="","",TEXT(A141,"yyyy-mm"))</f>
        <v/>
      </c>
      <c r="H141" s="22" t="str">
        <f aca="false">IF(A141="","",N(H140)+IF(B141="Masuk",N(D141),-N(D141)))</f>
        <v/>
      </c>
    </row>
    <row r="142" customFormat="false" ht="15" hidden="false" customHeight="false" outlineLevel="0" collapsed="false">
      <c r="A142" s="20"/>
      <c r="B142" s="19"/>
      <c r="C142" s="19"/>
      <c r="D142" s="21"/>
      <c r="E142" s="19"/>
      <c r="F142" s="19"/>
      <c r="G142" s="23" t="str">
        <f aca="false">IF(A142="","",TEXT(A142,"yyyy-mm"))</f>
        <v/>
      </c>
      <c r="H142" s="22" t="str">
        <f aca="false">IF(A142="","",N(H141)+IF(B142="Masuk",N(D142),-N(D142)))</f>
        <v/>
      </c>
    </row>
    <row r="143" customFormat="false" ht="15" hidden="false" customHeight="false" outlineLevel="0" collapsed="false">
      <c r="A143" s="20"/>
      <c r="B143" s="19"/>
      <c r="C143" s="19"/>
      <c r="D143" s="21"/>
      <c r="E143" s="19"/>
      <c r="F143" s="19"/>
      <c r="G143" s="23" t="str">
        <f aca="false">IF(A143="","",TEXT(A143,"yyyy-mm"))</f>
        <v/>
      </c>
      <c r="H143" s="22" t="str">
        <f aca="false">IF(A143="","",N(H142)+IF(B143="Masuk",N(D143),-N(D143)))</f>
        <v/>
      </c>
    </row>
    <row r="144" customFormat="false" ht="15" hidden="false" customHeight="false" outlineLevel="0" collapsed="false">
      <c r="A144" s="20"/>
      <c r="B144" s="19"/>
      <c r="C144" s="19"/>
      <c r="D144" s="21"/>
      <c r="E144" s="19"/>
      <c r="F144" s="19"/>
      <c r="G144" s="23" t="str">
        <f aca="false">IF(A144="","",TEXT(A144,"yyyy-mm"))</f>
        <v/>
      </c>
      <c r="H144" s="22" t="str">
        <f aca="false">IF(A144="","",N(H143)+IF(B144="Masuk",N(D144),-N(D144)))</f>
        <v/>
      </c>
    </row>
    <row r="145" customFormat="false" ht="15" hidden="false" customHeight="false" outlineLevel="0" collapsed="false">
      <c r="A145" s="20"/>
      <c r="B145" s="19"/>
      <c r="C145" s="19"/>
      <c r="D145" s="21"/>
      <c r="E145" s="19"/>
      <c r="F145" s="19"/>
      <c r="G145" s="23" t="str">
        <f aca="false">IF(A145="","",TEXT(A145,"yyyy-mm"))</f>
        <v/>
      </c>
      <c r="H145" s="22" t="str">
        <f aca="false">IF(A145="","",N(H144)+IF(B145="Masuk",N(D145),-N(D145)))</f>
        <v/>
      </c>
    </row>
    <row r="146" customFormat="false" ht="15" hidden="false" customHeight="false" outlineLevel="0" collapsed="false">
      <c r="A146" s="20"/>
      <c r="B146" s="19"/>
      <c r="C146" s="19"/>
      <c r="D146" s="21"/>
      <c r="E146" s="19"/>
      <c r="F146" s="19"/>
      <c r="G146" s="23" t="str">
        <f aca="false">IF(A146="","",TEXT(A146,"yyyy-mm"))</f>
        <v/>
      </c>
      <c r="H146" s="22" t="str">
        <f aca="false">IF(A146="","",N(H145)+IF(B146="Masuk",N(D146),-N(D146)))</f>
        <v/>
      </c>
    </row>
    <row r="147" customFormat="false" ht="15" hidden="false" customHeight="false" outlineLevel="0" collapsed="false">
      <c r="A147" s="20"/>
      <c r="B147" s="19"/>
      <c r="C147" s="19"/>
      <c r="D147" s="21"/>
      <c r="E147" s="19"/>
      <c r="F147" s="19"/>
      <c r="G147" s="23" t="str">
        <f aca="false">IF(A147="","",TEXT(A147,"yyyy-mm"))</f>
        <v/>
      </c>
      <c r="H147" s="22" t="str">
        <f aca="false">IF(A147="","",N(H146)+IF(B147="Masuk",N(D147),-N(D147)))</f>
        <v/>
      </c>
    </row>
    <row r="148" customFormat="false" ht="15" hidden="false" customHeight="false" outlineLevel="0" collapsed="false">
      <c r="A148" s="20"/>
      <c r="B148" s="19"/>
      <c r="C148" s="19"/>
      <c r="D148" s="21"/>
      <c r="E148" s="19"/>
      <c r="F148" s="19"/>
      <c r="G148" s="23" t="str">
        <f aca="false">IF(A148="","",TEXT(A148,"yyyy-mm"))</f>
        <v/>
      </c>
      <c r="H148" s="22" t="str">
        <f aca="false">IF(A148="","",N(H147)+IF(B148="Masuk",N(D148),-N(D148)))</f>
        <v/>
      </c>
    </row>
    <row r="149" customFormat="false" ht="15" hidden="false" customHeight="false" outlineLevel="0" collapsed="false">
      <c r="A149" s="20"/>
      <c r="B149" s="19"/>
      <c r="C149" s="19"/>
      <c r="D149" s="21"/>
      <c r="E149" s="19"/>
      <c r="F149" s="19"/>
      <c r="G149" s="23" t="str">
        <f aca="false">IF(A149="","",TEXT(A149,"yyyy-mm"))</f>
        <v/>
      </c>
      <c r="H149" s="22" t="str">
        <f aca="false">IF(A149="","",N(H148)+IF(B149="Masuk",N(D149),-N(D149)))</f>
        <v/>
      </c>
    </row>
    <row r="150" customFormat="false" ht="15" hidden="false" customHeight="false" outlineLevel="0" collapsed="false">
      <c r="A150" s="20"/>
      <c r="B150" s="19"/>
      <c r="C150" s="19"/>
      <c r="D150" s="21"/>
      <c r="E150" s="19"/>
      <c r="F150" s="19"/>
      <c r="G150" s="23" t="str">
        <f aca="false">IF(A150="","",TEXT(A150,"yyyy-mm"))</f>
        <v/>
      </c>
      <c r="H150" s="22" t="str">
        <f aca="false">IF(A150="","",N(H149)+IF(B150="Masuk",N(D150),-N(D150)))</f>
        <v/>
      </c>
    </row>
    <row r="151" customFormat="false" ht="15" hidden="false" customHeight="false" outlineLevel="0" collapsed="false">
      <c r="A151" s="20"/>
      <c r="B151" s="19"/>
      <c r="C151" s="19"/>
      <c r="D151" s="21"/>
      <c r="E151" s="19"/>
      <c r="F151" s="19"/>
      <c r="G151" s="23" t="str">
        <f aca="false">IF(A151="","",TEXT(A151,"yyyy-mm"))</f>
        <v/>
      </c>
      <c r="H151" s="22" t="str">
        <f aca="false">IF(A151="","",N(H150)+IF(B151="Masuk",N(D151),-N(D151)))</f>
        <v/>
      </c>
    </row>
    <row r="152" customFormat="false" ht="15" hidden="false" customHeight="false" outlineLevel="0" collapsed="false">
      <c r="A152" s="20"/>
      <c r="B152" s="19"/>
      <c r="C152" s="19"/>
      <c r="D152" s="21"/>
      <c r="E152" s="19"/>
      <c r="F152" s="19"/>
      <c r="G152" s="23" t="str">
        <f aca="false">IF(A152="","",TEXT(A152,"yyyy-mm"))</f>
        <v/>
      </c>
      <c r="H152" s="22" t="str">
        <f aca="false">IF(A152="","",N(H151)+IF(B152="Masuk",N(D152),-N(D152)))</f>
        <v/>
      </c>
    </row>
    <row r="153" customFormat="false" ht="15" hidden="false" customHeight="false" outlineLevel="0" collapsed="false">
      <c r="A153" s="20"/>
      <c r="B153" s="19"/>
      <c r="C153" s="19"/>
      <c r="D153" s="21"/>
      <c r="E153" s="19"/>
      <c r="F153" s="19"/>
      <c r="G153" s="23" t="str">
        <f aca="false">IF(A153="","",TEXT(A153,"yyyy-mm"))</f>
        <v/>
      </c>
      <c r="H153" s="22" t="str">
        <f aca="false">IF(A153="","",N(H152)+IF(B153="Masuk",N(D153),-N(D153)))</f>
        <v/>
      </c>
    </row>
    <row r="154" customFormat="false" ht="15" hidden="false" customHeight="false" outlineLevel="0" collapsed="false">
      <c r="A154" s="20"/>
      <c r="B154" s="19"/>
      <c r="C154" s="19"/>
      <c r="D154" s="21"/>
      <c r="E154" s="19"/>
      <c r="F154" s="19"/>
      <c r="G154" s="23" t="str">
        <f aca="false">IF(A154="","",TEXT(A154,"yyyy-mm"))</f>
        <v/>
      </c>
      <c r="H154" s="22" t="str">
        <f aca="false">IF(A154="","",N(H153)+IF(B154="Masuk",N(D154),-N(D154)))</f>
        <v/>
      </c>
    </row>
    <row r="155" customFormat="false" ht="15" hidden="false" customHeight="false" outlineLevel="0" collapsed="false">
      <c r="A155" s="20"/>
      <c r="B155" s="19"/>
      <c r="C155" s="19"/>
      <c r="D155" s="21"/>
      <c r="E155" s="19"/>
      <c r="F155" s="19"/>
      <c r="G155" s="23" t="str">
        <f aca="false">IF(A155="","",TEXT(A155,"yyyy-mm"))</f>
        <v/>
      </c>
      <c r="H155" s="22" t="str">
        <f aca="false">IF(A155="","",N(H154)+IF(B155="Masuk",N(D155),-N(D155)))</f>
        <v/>
      </c>
    </row>
    <row r="156" customFormat="false" ht="15" hidden="false" customHeight="false" outlineLevel="0" collapsed="false">
      <c r="A156" s="20"/>
      <c r="B156" s="19"/>
      <c r="C156" s="19"/>
      <c r="D156" s="21"/>
      <c r="E156" s="19"/>
      <c r="F156" s="19"/>
      <c r="G156" s="23" t="str">
        <f aca="false">IF(A156="","",TEXT(A156,"yyyy-mm"))</f>
        <v/>
      </c>
      <c r="H156" s="22" t="str">
        <f aca="false">IF(A156="","",N(H155)+IF(B156="Masuk",N(D156),-N(D156)))</f>
        <v/>
      </c>
    </row>
    <row r="157" customFormat="false" ht="15" hidden="false" customHeight="false" outlineLevel="0" collapsed="false">
      <c r="A157" s="20"/>
      <c r="B157" s="19"/>
      <c r="C157" s="19"/>
      <c r="D157" s="21"/>
      <c r="E157" s="19"/>
      <c r="F157" s="19"/>
      <c r="G157" s="23" t="str">
        <f aca="false">IF(A157="","",TEXT(A157,"yyyy-mm"))</f>
        <v/>
      </c>
      <c r="H157" s="22" t="str">
        <f aca="false">IF(A157="","",N(H156)+IF(B157="Masuk",N(D157),-N(D157)))</f>
        <v/>
      </c>
    </row>
    <row r="158" customFormat="false" ht="15" hidden="false" customHeight="false" outlineLevel="0" collapsed="false">
      <c r="A158" s="20"/>
      <c r="B158" s="19"/>
      <c r="C158" s="19"/>
      <c r="D158" s="21"/>
      <c r="E158" s="19"/>
      <c r="F158" s="19"/>
      <c r="G158" s="23" t="str">
        <f aca="false">IF(A158="","",TEXT(A158,"yyyy-mm"))</f>
        <v/>
      </c>
      <c r="H158" s="22" t="str">
        <f aca="false">IF(A158="","",N(H157)+IF(B158="Masuk",N(D158),-N(D158)))</f>
        <v/>
      </c>
    </row>
    <row r="159" customFormat="false" ht="15" hidden="false" customHeight="false" outlineLevel="0" collapsed="false">
      <c r="A159" s="20"/>
      <c r="B159" s="19"/>
      <c r="C159" s="19"/>
      <c r="D159" s="21"/>
      <c r="E159" s="19"/>
      <c r="F159" s="19"/>
      <c r="G159" s="23" t="str">
        <f aca="false">IF(A159="","",TEXT(A159,"yyyy-mm"))</f>
        <v/>
      </c>
      <c r="H159" s="22" t="str">
        <f aca="false">IF(A159="","",N(H158)+IF(B159="Masuk",N(D159),-N(D159)))</f>
        <v/>
      </c>
    </row>
    <row r="160" customFormat="false" ht="15" hidden="false" customHeight="false" outlineLevel="0" collapsed="false">
      <c r="A160" s="20"/>
      <c r="B160" s="19"/>
      <c r="C160" s="19"/>
      <c r="D160" s="21"/>
      <c r="E160" s="19"/>
      <c r="F160" s="19"/>
      <c r="G160" s="23" t="str">
        <f aca="false">IF(A160="","",TEXT(A160,"yyyy-mm"))</f>
        <v/>
      </c>
      <c r="H160" s="22" t="str">
        <f aca="false">IF(A160="","",N(H159)+IF(B160="Masuk",N(D160),-N(D160)))</f>
        <v/>
      </c>
    </row>
    <row r="161" customFormat="false" ht="15" hidden="false" customHeight="false" outlineLevel="0" collapsed="false">
      <c r="A161" s="20"/>
      <c r="B161" s="19"/>
      <c r="C161" s="19"/>
      <c r="D161" s="21"/>
      <c r="E161" s="19"/>
      <c r="F161" s="19"/>
      <c r="G161" s="23" t="str">
        <f aca="false">IF(A161="","",TEXT(A161,"yyyy-mm"))</f>
        <v/>
      </c>
      <c r="H161" s="22" t="str">
        <f aca="false">IF(A161="","",N(H160)+IF(B161="Masuk",N(D161),-N(D161)))</f>
        <v/>
      </c>
    </row>
    <row r="162" customFormat="false" ht="15" hidden="false" customHeight="false" outlineLevel="0" collapsed="false">
      <c r="A162" s="20"/>
      <c r="B162" s="19"/>
      <c r="C162" s="19"/>
      <c r="D162" s="21"/>
      <c r="E162" s="19"/>
      <c r="F162" s="19"/>
      <c r="G162" s="23" t="str">
        <f aca="false">IF(A162="","",TEXT(A162,"yyyy-mm"))</f>
        <v/>
      </c>
      <c r="H162" s="22" t="str">
        <f aca="false">IF(A162="","",N(H161)+IF(B162="Masuk",N(D162),-N(D162)))</f>
        <v/>
      </c>
    </row>
    <row r="163" customFormat="false" ht="15" hidden="false" customHeight="false" outlineLevel="0" collapsed="false">
      <c r="A163" s="20"/>
      <c r="B163" s="19"/>
      <c r="C163" s="19"/>
      <c r="D163" s="21"/>
      <c r="E163" s="19"/>
      <c r="F163" s="19"/>
      <c r="G163" s="23" t="str">
        <f aca="false">IF(A163="","",TEXT(A163,"yyyy-mm"))</f>
        <v/>
      </c>
      <c r="H163" s="22" t="str">
        <f aca="false">IF(A163="","",N(H162)+IF(B163="Masuk",N(D163),-N(D163)))</f>
        <v/>
      </c>
    </row>
    <row r="164" customFormat="false" ht="15" hidden="false" customHeight="false" outlineLevel="0" collapsed="false">
      <c r="A164" s="20"/>
      <c r="B164" s="19"/>
      <c r="C164" s="19"/>
      <c r="D164" s="21"/>
      <c r="E164" s="19"/>
      <c r="F164" s="19"/>
      <c r="G164" s="23" t="str">
        <f aca="false">IF(A164="","",TEXT(A164,"yyyy-mm"))</f>
        <v/>
      </c>
      <c r="H164" s="22" t="str">
        <f aca="false">IF(A164="","",N(H163)+IF(B164="Masuk",N(D164),-N(D164)))</f>
        <v/>
      </c>
    </row>
    <row r="165" customFormat="false" ht="15" hidden="false" customHeight="false" outlineLevel="0" collapsed="false">
      <c r="A165" s="20"/>
      <c r="B165" s="19"/>
      <c r="C165" s="19"/>
      <c r="D165" s="21"/>
      <c r="E165" s="19"/>
      <c r="F165" s="19"/>
      <c r="G165" s="23" t="str">
        <f aca="false">IF(A165="","",TEXT(A165,"yyyy-mm"))</f>
        <v/>
      </c>
      <c r="H165" s="22" t="str">
        <f aca="false">IF(A165="","",N(H164)+IF(B165="Masuk",N(D165),-N(D165)))</f>
        <v/>
      </c>
    </row>
    <row r="166" customFormat="false" ht="15" hidden="false" customHeight="false" outlineLevel="0" collapsed="false">
      <c r="A166" s="20"/>
      <c r="B166" s="19"/>
      <c r="C166" s="19"/>
      <c r="D166" s="21"/>
      <c r="E166" s="19"/>
      <c r="F166" s="19"/>
      <c r="G166" s="23" t="str">
        <f aca="false">IF(A166="","",TEXT(A166,"yyyy-mm"))</f>
        <v/>
      </c>
      <c r="H166" s="22" t="str">
        <f aca="false">IF(A166="","",N(H165)+IF(B166="Masuk",N(D166),-N(D166)))</f>
        <v/>
      </c>
    </row>
    <row r="167" customFormat="false" ht="15" hidden="false" customHeight="false" outlineLevel="0" collapsed="false">
      <c r="A167" s="20"/>
      <c r="B167" s="19"/>
      <c r="C167" s="19"/>
      <c r="D167" s="21"/>
      <c r="E167" s="19"/>
      <c r="F167" s="19"/>
      <c r="G167" s="23" t="str">
        <f aca="false">IF(A167="","",TEXT(A167,"yyyy-mm"))</f>
        <v/>
      </c>
      <c r="H167" s="22" t="str">
        <f aca="false">IF(A167="","",N(H166)+IF(B167="Masuk",N(D167),-N(D167)))</f>
        <v/>
      </c>
    </row>
    <row r="168" customFormat="false" ht="15" hidden="false" customHeight="false" outlineLevel="0" collapsed="false">
      <c r="A168" s="20"/>
      <c r="B168" s="19"/>
      <c r="C168" s="19"/>
      <c r="D168" s="21"/>
      <c r="E168" s="19"/>
      <c r="F168" s="19"/>
      <c r="G168" s="23" t="str">
        <f aca="false">IF(A168="","",TEXT(A168,"yyyy-mm"))</f>
        <v/>
      </c>
      <c r="H168" s="22" t="str">
        <f aca="false">IF(A168="","",N(H167)+IF(B168="Masuk",N(D168),-N(D168)))</f>
        <v/>
      </c>
    </row>
    <row r="169" customFormat="false" ht="15" hidden="false" customHeight="false" outlineLevel="0" collapsed="false">
      <c r="A169" s="20"/>
      <c r="B169" s="19"/>
      <c r="C169" s="19"/>
      <c r="D169" s="21"/>
      <c r="E169" s="19"/>
      <c r="F169" s="19"/>
      <c r="G169" s="23" t="str">
        <f aca="false">IF(A169="","",TEXT(A169,"yyyy-mm"))</f>
        <v/>
      </c>
      <c r="H169" s="22" t="str">
        <f aca="false">IF(A169="","",N(H168)+IF(B169="Masuk",N(D169),-N(D169)))</f>
        <v/>
      </c>
    </row>
    <row r="170" customFormat="false" ht="15" hidden="false" customHeight="false" outlineLevel="0" collapsed="false">
      <c r="A170" s="20"/>
      <c r="B170" s="19"/>
      <c r="C170" s="19"/>
      <c r="D170" s="21"/>
      <c r="E170" s="19"/>
      <c r="F170" s="19"/>
      <c r="G170" s="23" t="str">
        <f aca="false">IF(A170="","",TEXT(A170,"yyyy-mm"))</f>
        <v/>
      </c>
      <c r="H170" s="22" t="str">
        <f aca="false">IF(A170="","",N(H169)+IF(B170="Masuk",N(D170),-N(D170)))</f>
        <v/>
      </c>
    </row>
    <row r="171" customFormat="false" ht="15" hidden="false" customHeight="false" outlineLevel="0" collapsed="false">
      <c r="A171" s="20"/>
      <c r="B171" s="19"/>
      <c r="C171" s="19"/>
      <c r="D171" s="21"/>
      <c r="E171" s="19"/>
      <c r="F171" s="19"/>
      <c r="G171" s="23" t="str">
        <f aca="false">IF(A171="","",TEXT(A171,"yyyy-mm"))</f>
        <v/>
      </c>
      <c r="H171" s="22" t="str">
        <f aca="false">IF(A171="","",N(H170)+IF(B171="Masuk",N(D171),-N(D171)))</f>
        <v/>
      </c>
    </row>
    <row r="172" customFormat="false" ht="15" hidden="false" customHeight="false" outlineLevel="0" collapsed="false">
      <c r="A172" s="20"/>
      <c r="B172" s="19"/>
      <c r="C172" s="19"/>
      <c r="D172" s="21"/>
      <c r="E172" s="19"/>
      <c r="F172" s="19"/>
      <c r="G172" s="23" t="str">
        <f aca="false">IF(A172="","",TEXT(A172,"yyyy-mm"))</f>
        <v/>
      </c>
      <c r="H172" s="22" t="str">
        <f aca="false">IF(A172="","",N(H171)+IF(B172="Masuk",N(D172),-N(D172)))</f>
        <v/>
      </c>
    </row>
    <row r="173" customFormat="false" ht="15" hidden="false" customHeight="false" outlineLevel="0" collapsed="false">
      <c r="A173" s="20"/>
      <c r="B173" s="19"/>
      <c r="C173" s="19"/>
      <c r="D173" s="21"/>
      <c r="E173" s="19"/>
      <c r="F173" s="19"/>
      <c r="G173" s="23" t="str">
        <f aca="false">IF(A173="","",TEXT(A173,"yyyy-mm"))</f>
        <v/>
      </c>
      <c r="H173" s="22" t="str">
        <f aca="false">IF(A173="","",N(H172)+IF(B173="Masuk",N(D173),-N(D173)))</f>
        <v/>
      </c>
    </row>
    <row r="174" customFormat="false" ht="15" hidden="false" customHeight="false" outlineLevel="0" collapsed="false">
      <c r="A174" s="20"/>
      <c r="B174" s="19"/>
      <c r="C174" s="19"/>
      <c r="D174" s="21"/>
      <c r="E174" s="19"/>
      <c r="F174" s="19"/>
      <c r="G174" s="23" t="str">
        <f aca="false">IF(A174="","",TEXT(A174,"yyyy-mm"))</f>
        <v/>
      </c>
      <c r="H174" s="22" t="str">
        <f aca="false">IF(A174="","",N(H173)+IF(B174="Masuk",N(D174),-N(D174)))</f>
        <v/>
      </c>
    </row>
    <row r="175" customFormat="false" ht="15" hidden="false" customHeight="false" outlineLevel="0" collapsed="false">
      <c r="A175" s="20"/>
      <c r="B175" s="19"/>
      <c r="C175" s="19"/>
      <c r="D175" s="21"/>
      <c r="E175" s="19"/>
      <c r="F175" s="19"/>
      <c r="G175" s="23" t="str">
        <f aca="false">IF(A175="","",TEXT(A175,"yyyy-mm"))</f>
        <v/>
      </c>
      <c r="H175" s="22" t="str">
        <f aca="false">IF(A175="","",N(H174)+IF(B175="Masuk",N(D175),-N(D175)))</f>
        <v/>
      </c>
    </row>
    <row r="176" customFormat="false" ht="15" hidden="false" customHeight="false" outlineLevel="0" collapsed="false">
      <c r="A176" s="20"/>
      <c r="B176" s="19"/>
      <c r="C176" s="19"/>
      <c r="D176" s="21"/>
      <c r="E176" s="19"/>
      <c r="F176" s="19"/>
      <c r="G176" s="23" t="str">
        <f aca="false">IF(A176="","",TEXT(A176,"yyyy-mm"))</f>
        <v/>
      </c>
      <c r="H176" s="22" t="str">
        <f aca="false">IF(A176="","",N(H175)+IF(B176="Masuk",N(D176),-N(D176)))</f>
        <v/>
      </c>
    </row>
    <row r="177" customFormat="false" ht="15" hidden="false" customHeight="false" outlineLevel="0" collapsed="false">
      <c r="A177" s="20"/>
      <c r="B177" s="19"/>
      <c r="C177" s="19"/>
      <c r="D177" s="21"/>
      <c r="E177" s="19"/>
      <c r="F177" s="19"/>
      <c r="G177" s="23" t="str">
        <f aca="false">IF(A177="","",TEXT(A177,"yyyy-mm"))</f>
        <v/>
      </c>
      <c r="H177" s="22" t="str">
        <f aca="false">IF(A177="","",N(H176)+IF(B177="Masuk",N(D177),-N(D177)))</f>
        <v/>
      </c>
    </row>
    <row r="178" customFormat="false" ht="15" hidden="false" customHeight="false" outlineLevel="0" collapsed="false">
      <c r="A178" s="20"/>
      <c r="B178" s="19"/>
      <c r="C178" s="19"/>
      <c r="D178" s="21"/>
      <c r="E178" s="19"/>
      <c r="F178" s="19"/>
      <c r="G178" s="23" t="str">
        <f aca="false">IF(A178="","",TEXT(A178,"yyyy-mm"))</f>
        <v/>
      </c>
      <c r="H178" s="22" t="str">
        <f aca="false">IF(A178="","",N(H177)+IF(B178="Masuk",N(D178),-N(D178)))</f>
        <v/>
      </c>
    </row>
    <row r="179" customFormat="false" ht="15" hidden="false" customHeight="false" outlineLevel="0" collapsed="false">
      <c r="A179" s="20"/>
      <c r="B179" s="19"/>
      <c r="C179" s="19"/>
      <c r="D179" s="21"/>
      <c r="E179" s="19"/>
      <c r="F179" s="19"/>
      <c r="G179" s="23" t="str">
        <f aca="false">IF(A179="","",TEXT(A179,"yyyy-mm"))</f>
        <v/>
      </c>
      <c r="H179" s="22" t="str">
        <f aca="false">IF(A179="","",N(H178)+IF(B179="Masuk",N(D179),-N(D179)))</f>
        <v/>
      </c>
    </row>
    <row r="180" customFormat="false" ht="15" hidden="false" customHeight="false" outlineLevel="0" collapsed="false">
      <c r="A180" s="20"/>
      <c r="B180" s="19"/>
      <c r="C180" s="19"/>
      <c r="D180" s="21"/>
      <c r="E180" s="19"/>
      <c r="F180" s="19"/>
      <c r="G180" s="23" t="str">
        <f aca="false">IF(A180="","",TEXT(A180,"yyyy-mm"))</f>
        <v/>
      </c>
      <c r="H180" s="22" t="str">
        <f aca="false">IF(A180="","",N(H179)+IF(B180="Masuk",N(D180),-N(D180)))</f>
        <v/>
      </c>
    </row>
    <row r="181" customFormat="false" ht="15" hidden="false" customHeight="false" outlineLevel="0" collapsed="false">
      <c r="A181" s="20"/>
      <c r="B181" s="19"/>
      <c r="C181" s="19"/>
      <c r="D181" s="21"/>
      <c r="E181" s="19"/>
      <c r="F181" s="19"/>
      <c r="G181" s="23" t="str">
        <f aca="false">IF(A181="","",TEXT(A181,"yyyy-mm"))</f>
        <v/>
      </c>
      <c r="H181" s="22" t="str">
        <f aca="false">IF(A181="","",N(H180)+IF(B181="Masuk",N(D181),-N(D181)))</f>
        <v/>
      </c>
    </row>
    <row r="182" customFormat="false" ht="15" hidden="false" customHeight="false" outlineLevel="0" collapsed="false">
      <c r="A182" s="20"/>
      <c r="B182" s="19"/>
      <c r="C182" s="19"/>
      <c r="D182" s="21"/>
      <c r="E182" s="19"/>
      <c r="F182" s="19"/>
      <c r="G182" s="23" t="str">
        <f aca="false">IF(A182="","",TEXT(A182,"yyyy-mm"))</f>
        <v/>
      </c>
      <c r="H182" s="22" t="str">
        <f aca="false">IF(A182="","",N(H181)+IF(B182="Masuk",N(D182),-N(D182)))</f>
        <v/>
      </c>
    </row>
    <row r="183" customFormat="false" ht="15" hidden="false" customHeight="false" outlineLevel="0" collapsed="false">
      <c r="A183" s="20"/>
      <c r="B183" s="19"/>
      <c r="C183" s="19"/>
      <c r="D183" s="21"/>
      <c r="E183" s="19"/>
      <c r="F183" s="19"/>
      <c r="G183" s="23" t="str">
        <f aca="false">IF(A183="","",TEXT(A183,"yyyy-mm"))</f>
        <v/>
      </c>
      <c r="H183" s="22" t="str">
        <f aca="false">IF(A183="","",N(H182)+IF(B183="Masuk",N(D183),-N(D183)))</f>
        <v/>
      </c>
    </row>
    <row r="184" customFormat="false" ht="15" hidden="false" customHeight="false" outlineLevel="0" collapsed="false">
      <c r="A184" s="20"/>
      <c r="B184" s="19"/>
      <c r="C184" s="19"/>
      <c r="D184" s="21"/>
      <c r="E184" s="19"/>
      <c r="F184" s="19"/>
      <c r="G184" s="23" t="str">
        <f aca="false">IF(A184="","",TEXT(A184,"yyyy-mm"))</f>
        <v/>
      </c>
      <c r="H184" s="22" t="str">
        <f aca="false">IF(A184="","",N(H183)+IF(B184="Masuk",N(D184),-N(D184)))</f>
        <v/>
      </c>
    </row>
    <row r="185" customFormat="false" ht="15" hidden="false" customHeight="false" outlineLevel="0" collapsed="false">
      <c r="A185" s="20"/>
      <c r="B185" s="19"/>
      <c r="C185" s="19"/>
      <c r="D185" s="21"/>
      <c r="E185" s="19"/>
      <c r="F185" s="19"/>
      <c r="G185" s="23" t="str">
        <f aca="false">IF(A185="","",TEXT(A185,"yyyy-mm"))</f>
        <v/>
      </c>
      <c r="H185" s="22" t="str">
        <f aca="false">IF(A185="","",N(H184)+IF(B185="Masuk",N(D185),-N(D185)))</f>
        <v/>
      </c>
    </row>
    <row r="186" customFormat="false" ht="15" hidden="false" customHeight="false" outlineLevel="0" collapsed="false">
      <c r="A186" s="20"/>
      <c r="B186" s="19"/>
      <c r="C186" s="19"/>
      <c r="D186" s="21"/>
      <c r="E186" s="19"/>
      <c r="F186" s="19"/>
      <c r="G186" s="23" t="str">
        <f aca="false">IF(A186="","",TEXT(A186,"yyyy-mm"))</f>
        <v/>
      </c>
      <c r="H186" s="22" t="str">
        <f aca="false">IF(A186="","",N(H185)+IF(B186="Masuk",N(D186),-N(D186)))</f>
        <v/>
      </c>
    </row>
    <row r="187" customFormat="false" ht="15" hidden="false" customHeight="false" outlineLevel="0" collapsed="false">
      <c r="A187" s="20"/>
      <c r="B187" s="19"/>
      <c r="C187" s="19"/>
      <c r="D187" s="21"/>
      <c r="E187" s="19"/>
      <c r="F187" s="19"/>
      <c r="G187" s="23" t="str">
        <f aca="false">IF(A187="","",TEXT(A187,"yyyy-mm"))</f>
        <v/>
      </c>
      <c r="H187" s="22" t="str">
        <f aca="false">IF(A187="","",N(H186)+IF(B187="Masuk",N(D187),-N(D187)))</f>
        <v/>
      </c>
    </row>
    <row r="188" customFormat="false" ht="15" hidden="false" customHeight="false" outlineLevel="0" collapsed="false">
      <c r="A188" s="20"/>
      <c r="B188" s="19"/>
      <c r="C188" s="19"/>
      <c r="D188" s="21"/>
      <c r="E188" s="19"/>
      <c r="F188" s="19"/>
      <c r="G188" s="23" t="str">
        <f aca="false">IF(A188="","",TEXT(A188,"yyyy-mm"))</f>
        <v/>
      </c>
      <c r="H188" s="22" t="str">
        <f aca="false">IF(A188="","",N(H187)+IF(B188="Masuk",N(D188),-N(D188)))</f>
        <v/>
      </c>
    </row>
    <row r="189" customFormat="false" ht="15" hidden="false" customHeight="false" outlineLevel="0" collapsed="false">
      <c r="A189" s="20"/>
      <c r="B189" s="19"/>
      <c r="C189" s="19"/>
      <c r="D189" s="21"/>
      <c r="E189" s="19"/>
      <c r="F189" s="19"/>
      <c r="G189" s="23" t="str">
        <f aca="false">IF(A189="","",TEXT(A189,"yyyy-mm"))</f>
        <v/>
      </c>
      <c r="H189" s="22" t="str">
        <f aca="false">IF(A189="","",N(H188)+IF(B189="Masuk",N(D189),-N(D189)))</f>
        <v/>
      </c>
    </row>
    <row r="190" customFormat="false" ht="15" hidden="false" customHeight="false" outlineLevel="0" collapsed="false">
      <c r="A190" s="20"/>
      <c r="B190" s="19"/>
      <c r="C190" s="19"/>
      <c r="D190" s="21"/>
      <c r="E190" s="19"/>
      <c r="F190" s="19"/>
      <c r="G190" s="23" t="str">
        <f aca="false">IF(A190="","",TEXT(A190,"yyyy-mm"))</f>
        <v/>
      </c>
      <c r="H190" s="22" t="str">
        <f aca="false">IF(A190="","",N(H189)+IF(B190="Masuk",N(D190),-N(D190)))</f>
        <v/>
      </c>
    </row>
    <row r="191" customFormat="false" ht="15" hidden="false" customHeight="false" outlineLevel="0" collapsed="false">
      <c r="A191" s="20"/>
      <c r="B191" s="19"/>
      <c r="C191" s="19"/>
      <c r="D191" s="21"/>
      <c r="E191" s="19"/>
      <c r="F191" s="19"/>
      <c r="G191" s="23" t="str">
        <f aca="false">IF(A191="","",TEXT(A191,"yyyy-mm"))</f>
        <v/>
      </c>
      <c r="H191" s="22" t="str">
        <f aca="false">IF(A191="","",N(H190)+IF(B191="Masuk",N(D191),-N(D191)))</f>
        <v/>
      </c>
    </row>
    <row r="192" customFormat="false" ht="15" hidden="false" customHeight="false" outlineLevel="0" collapsed="false">
      <c r="A192" s="20"/>
      <c r="B192" s="19"/>
      <c r="C192" s="19"/>
      <c r="D192" s="21"/>
      <c r="E192" s="19"/>
      <c r="F192" s="19"/>
      <c r="G192" s="23" t="str">
        <f aca="false">IF(A192="","",TEXT(A192,"yyyy-mm"))</f>
        <v/>
      </c>
      <c r="H192" s="22" t="str">
        <f aca="false">IF(A192="","",N(H191)+IF(B192="Masuk",N(D192),-N(D192)))</f>
        <v/>
      </c>
    </row>
    <row r="193" customFormat="false" ht="15" hidden="false" customHeight="false" outlineLevel="0" collapsed="false">
      <c r="A193" s="20"/>
      <c r="B193" s="19"/>
      <c r="C193" s="19"/>
      <c r="D193" s="21"/>
      <c r="E193" s="19"/>
      <c r="F193" s="19"/>
      <c r="G193" s="23" t="str">
        <f aca="false">IF(A193="","",TEXT(A193,"yyyy-mm"))</f>
        <v/>
      </c>
      <c r="H193" s="22" t="str">
        <f aca="false">IF(A193="","",N(H192)+IF(B193="Masuk",N(D193),-N(D193)))</f>
        <v/>
      </c>
    </row>
    <row r="194" customFormat="false" ht="15" hidden="false" customHeight="false" outlineLevel="0" collapsed="false">
      <c r="A194" s="20"/>
      <c r="B194" s="19"/>
      <c r="C194" s="19"/>
      <c r="D194" s="21"/>
      <c r="E194" s="19"/>
      <c r="F194" s="19"/>
      <c r="G194" s="23" t="str">
        <f aca="false">IF(A194="","",TEXT(A194,"yyyy-mm"))</f>
        <v/>
      </c>
      <c r="H194" s="22" t="str">
        <f aca="false">IF(A194="","",N(H193)+IF(B194="Masuk",N(D194),-N(D194)))</f>
        <v/>
      </c>
    </row>
    <row r="195" customFormat="false" ht="15" hidden="false" customHeight="false" outlineLevel="0" collapsed="false">
      <c r="A195" s="20"/>
      <c r="B195" s="19"/>
      <c r="C195" s="19"/>
      <c r="D195" s="21"/>
      <c r="E195" s="19"/>
      <c r="F195" s="19"/>
      <c r="G195" s="23" t="str">
        <f aca="false">IF(A195="","",TEXT(A195,"yyyy-mm"))</f>
        <v/>
      </c>
      <c r="H195" s="22" t="str">
        <f aca="false">IF(A195="","",N(H194)+IF(B195="Masuk",N(D195),-N(D195)))</f>
        <v/>
      </c>
    </row>
    <row r="196" customFormat="false" ht="15" hidden="false" customHeight="false" outlineLevel="0" collapsed="false">
      <c r="A196" s="20"/>
      <c r="B196" s="19"/>
      <c r="C196" s="19"/>
      <c r="D196" s="21"/>
      <c r="E196" s="19"/>
      <c r="F196" s="19"/>
      <c r="G196" s="23" t="str">
        <f aca="false">IF(A196="","",TEXT(A196,"yyyy-mm"))</f>
        <v/>
      </c>
      <c r="H196" s="22" t="str">
        <f aca="false">IF(A196="","",N(H195)+IF(B196="Masuk",N(D196),-N(D196)))</f>
        <v/>
      </c>
    </row>
    <row r="197" customFormat="false" ht="15" hidden="false" customHeight="false" outlineLevel="0" collapsed="false">
      <c r="A197" s="20"/>
      <c r="B197" s="19"/>
      <c r="C197" s="19"/>
      <c r="D197" s="21"/>
      <c r="E197" s="19"/>
      <c r="F197" s="19"/>
      <c r="G197" s="23" t="str">
        <f aca="false">IF(A197="","",TEXT(A197,"yyyy-mm"))</f>
        <v/>
      </c>
      <c r="H197" s="22" t="str">
        <f aca="false">IF(A197="","",N(H196)+IF(B197="Masuk",N(D197),-N(D197)))</f>
        <v/>
      </c>
    </row>
    <row r="198" customFormat="false" ht="15" hidden="false" customHeight="false" outlineLevel="0" collapsed="false">
      <c r="A198" s="20"/>
      <c r="B198" s="19"/>
      <c r="C198" s="19"/>
      <c r="D198" s="21"/>
      <c r="E198" s="19"/>
      <c r="F198" s="19"/>
      <c r="G198" s="23" t="str">
        <f aca="false">IF(A198="","",TEXT(A198,"yyyy-mm"))</f>
        <v/>
      </c>
      <c r="H198" s="22" t="str">
        <f aca="false">IF(A198="","",N(H197)+IF(B198="Masuk",N(D198),-N(D198)))</f>
        <v/>
      </c>
    </row>
    <row r="199" customFormat="false" ht="15" hidden="false" customHeight="false" outlineLevel="0" collapsed="false">
      <c r="A199" s="20"/>
      <c r="B199" s="19"/>
      <c r="C199" s="19"/>
      <c r="D199" s="21"/>
      <c r="E199" s="19"/>
      <c r="F199" s="19"/>
      <c r="G199" s="23" t="str">
        <f aca="false">IF(A199="","",TEXT(A199,"yyyy-mm"))</f>
        <v/>
      </c>
      <c r="H199" s="22" t="str">
        <f aca="false">IF(A199="","",N(H198)+IF(B199="Masuk",N(D199),-N(D199)))</f>
        <v/>
      </c>
    </row>
    <row r="200" customFormat="false" ht="15" hidden="false" customHeight="false" outlineLevel="0" collapsed="false">
      <c r="A200" s="20"/>
      <c r="B200" s="19"/>
      <c r="C200" s="19"/>
      <c r="D200" s="21"/>
      <c r="E200" s="19"/>
      <c r="F200" s="19"/>
      <c r="G200" s="23" t="str">
        <f aca="false">IF(A200="","",TEXT(A200,"yyyy-mm"))</f>
        <v/>
      </c>
      <c r="H200" s="22" t="str">
        <f aca="false">IF(A200="","",N(H199)+IF(B200="Masuk",N(D200),-N(D200)))</f>
        <v/>
      </c>
    </row>
    <row r="201" customFormat="false" ht="15" hidden="false" customHeight="false" outlineLevel="0" collapsed="false">
      <c r="A201" s="20"/>
      <c r="B201" s="19"/>
      <c r="C201" s="19"/>
      <c r="D201" s="21"/>
      <c r="E201" s="19"/>
      <c r="F201" s="19"/>
      <c r="G201" s="23" t="str">
        <f aca="false">IF(A201="","",TEXT(A201,"yyyy-mm"))</f>
        <v/>
      </c>
      <c r="H201" s="22" t="str">
        <f aca="false">IF(A201="","",N(H200)+IF(B201="Masuk",N(D201),-N(D201)))</f>
        <v/>
      </c>
    </row>
    <row r="202" customFormat="false" ht="15" hidden="false" customHeight="false" outlineLevel="0" collapsed="false">
      <c r="A202" s="20"/>
      <c r="B202" s="19"/>
      <c r="C202" s="19"/>
      <c r="D202" s="21"/>
      <c r="E202" s="19"/>
      <c r="F202" s="19"/>
      <c r="G202" s="23" t="str">
        <f aca="false">IF(A202="","",TEXT(A202,"yyyy-mm"))</f>
        <v/>
      </c>
      <c r="H202" s="22" t="str">
        <f aca="false">IF(A202="","",N(H201)+IF(B202="Masuk",N(D202),-N(D202)))</f>
        <v/>
      </c>
    </row>
    <row r="203" customFormat="false" ht="15" hidden="false" customHeight="false" outlineLevel="0" collapsed="false">
      <c r="A203" s="20"/>
      <c r="B203" s="19"/>
      <c r="C203" s="19"/>
      <c r="D203" s="21"/>
      <c r="E203" s="19"/>
      <c r="F203" s="19"/>
      <c r="G203" s="23" t="str">
        <f aca="false">IF(A203="","",TEXT(A203,"yyyy-mm"))</f>
        <v/>
      </c>
      <c r="H203" s="22" t="str">
        <f aca="false">IF(A203="","",N(H202)+IF(B203="Masuk",N(D203),-N(D203)))</f>
        <v/>
      </c>
    </row>
    <row r="204" customFormat="false" ht="15" hidden="false" customHeight="false" outlineLevel="0" collapsed="false">
      <c r="A204" s="20"/>
      <c r="B204" s="19"/>
      <c r="C204" s="19"/>
      <c r="D204" s="21"/>
      <c r="E204" s="19"/>
      <c r="F204" s="19"/>
      <c r="G204" s="23" t="str">
        <f aca="false">IF(A204="","",TEXT(A204,"yyyy-mm"))</f>
        <v/>
      </c>
      <c r="H204" s="22" t="str">
        <f aca="false">IF(A204="","",N(H203)+IF(B204="Masuk",N(D204),-N(D204)))</f>
        <v/>
      </c>
    </row>
    <row r="205" customFormat="false" ht="15" hidden="false" customHeight="false" outlineLevel="0" collapsed="false">
      <c r="A205" s="20"/>
      <c r="B205" s="19"/>
      <c r="C205" s="19"/>
      <c r="D205" s="21"/>
      <c r="E205" s="19"/>
      <c r="F205" s="19"/>
      <c r="G205" s="23" t="str">
        <f aca="false">IF(A205="","",TEXT(A205,"yyyy-mm"))</f>
        <v/>
      </c>
      <c r="H205" s="22" t="str">
        <f aca="false">IF(A205="","",N(H204)+IF(B205="Masuk",N(D205),-N(D205)))</f>
        <v/>
      </c>
    </row>
    <row r="206" customFormat="false" ht="15" hidden="false" customHeight="false" outlineLevel="0" collapsed="false">
      <c r="A206" s="20"/>
      <c r="B206" s="19"/>
      <c r="C206" s="19"/>
      <c r="D206" s="21"/>
      <c r="E206" s="19"/>
      <c r="F206" s="19"/>
      <c r="G206" s="23" t="str">
        <f aca="false">IF(A206="","",TEXT(A206,"yyyy-mm"))</f>
        <v/>
      </c>
      <c r="H206" s="22" t="str">
        <f aca="false">IF(A206="","",N(H205)+IF(B206="Masuk",N(D206),-N(D206)))</f>
        <v/>
      </c>
    </row>
    <row r="207" customFormat="false" ht="15" hidden="false" customHeight="false" outlineLevel="0" collapsed="false">
      <c r="A207" s="20"/>
      <c r="B207" s="19"/>
      <c r="C207" s="19"/>
      <c r="D207" s="21"/>
      <c r="E207" s="19"/>
      <c r="F207" s="19"/>
      <c r="G207" s="23" t="str">
        <f aca="false">IF(A207="","",TEXT(A207,"yyyy-mm"))</f>
        <v/>
      </c>
      <c r="H207" s="22" t="str">
        <f aca="false">IF(A207="","",N(H206)+IF(B207="Masuk",N(D207),-N(D207)))</f>
        <v/>
      </c>
    </row>
    <row r="208" customFormat="false" ht="15" hidden="false" customHeight="false" outlineLevel="0" collapsed="false">
      <c r="A208" s="20"/>
      <c r="B208" s="19"/>
      <c r="C208" s="19"/>
      <c r="D208" s="21"/>
      <c r="E208" s="19"/>
      <c r="F208" s="19"/>
      <c r="G208" s="23" t="str">
        <f aca="false">IF(A208="","",TEXT(A208,"yyyy-mm"))</f>
        <v/>
      </c>
      <c r="H208" s="22" t="str">
        <f aca="false">IF(A208="","",N(H207)+IF(B208="Masuk",N(D208),-N(D208)))</f>
        <v/>
      </c>
    </row>
    <row r="209" customFormat="false" ht="15" hidden="false" customHeight="false" outlineLevel="0" collapsed="false">
      <c r="A209" s="20"/>
      <c r="B209" s="19"/>
      <c r="C209" s="19"/>
      <c r="D209" s="21"/>
      <c r="E209" s="19"/>
      <c r="F209" s="19"/>
      <c r="G209" s="23" t="str">
        <f aca="false">IF(A209="","",TEXT(A209,"yyyy-mm"))</f>
        <v/>
      </c>
      <c r="H209" s="22" t="str">
        <f aca="false">IF(A209="","",N(H208)+IF(B209="Masuk",N(D209),-N(D209)))</f>
        <v/>
      </c>
    </row>
    <row r="210" customFormat="false" ht="15" hidden="false" customHeight="false" outlineLevel="0" collapsed="false">
      <c r="A210" s="20"/>
      <c r="B210" s="19"/>
      <c r="C210" s="19"/>
      <c r="D210" s="21"/>
      <c r="E210" s="19"/>
      <c r="F210" s="19"/>
      <c r="G210" s="23" t="str">
        <f aca="false">IF(A210="","",TEXT(A210,"yyyy-mm"))</f>
        <v/>
      </c>
      <c r="H210" s="22" t="str">
        <f aca="false">IF(A210="","",N(H209)+IF(B210="Masuk",N(D210),-N(D210)))</f>
        <v/>
      </c>
    </row>
    <row r="211" customFormat="false" ht="15" hidden="false" customHeight="false" outlineLevel="0" collapsed="false">
      <c r="A211" s="20"/>
      <c r="B211" s="19"/>
      <c r="C211" s="19"/>
      <c r="D211" s="21"/>
      <c r="E211" s="19"/>
      <c r="F211" s="19"/>
      <c r="G211" s="23" t="str">
        <f aca="false">IF(A211="","",TEXT(A211,"yyyy-mm"))</f>
        <v/>
      </c>
      <c r="H211" s="22" t="str">
        <f aca="false">IF(A211="","",N(H210)+IF(B211="Masuk",N(D211),-N(D211)))</f>
        <v/>
      </c>
    </row>
    <row r="212" customFormat="false" ht="15" hidden="false" customHeight="false" outlineLevel="0" collapsed="false">
      <c r="A212" s="20"/>
      <c r="B212" s="19"/>
      <c r="C212" s="19"/>
      <c r="D212" s="21"/>
      <c r="E212" s="19"/>
      <c r="F212" s="19"/>
      <c r="G212" s="23" t="str">
        <f aca="false">IF(A212="","",TEXT(A212,"yyyy-mm"))</f>
        <v/>
      </c>
      <c r="H212" s="22" t="str">
        <f aca="false">IF(A212="","",N(H211)+IF(B212="Masuk",N(D212),-N(D212)))</f>
        <v/>
      </c>
    </row>
    <row r="213" customFormat="false" ht="15" hidden="false" customHeight="false" outlineLevel="0" collapsed="false">
      <c r="A213" s="20"/>
      <c r="B213" s="19"/>
      <c r="C213" s="19"/>
      <c r="D213" s="21"/>
      <c r="E213" s="19"/>
      <c r="F213" s="19"/>
      <c r="G213" s="23" t="str">
        <f aca="false">IF(A213="","",TEXT(A213,"yyyy-mm"))</f>
        <v/>
      </c>
      <c r="H213" s="22" t="str">
        <f aca="false">IF(A213="","",N(H212)+IF(B213="Masuk",N(D213),-N(D213)))</f>
        <v/>
      </c>
    </row>
    <row r="214" customFormat="false" ht="15" hidden="false" customHeight="false" outlineLevel="0" collapsed="false">
      <c r="A214" s="20"/>
      <c r="B214" s="19"/>
      <c r="C214" s="19"/>
      <c r="D214" s="21"/>
      <c r="E214" s="19"/>
      <c r="F214" s="19"/>
      <c r="G214" s="23" t="str">
        <f aca="false">IF(A214="","",TEXT(A214,"yyyy-mm"))</f>
        <v/>
      </c>
      <c r="H214" s="22" t="str">
        <f aca="false">IF(A214="","",N(H213)+IF(B214="Masuk",N(D214),-N(D214)))</f>
        <v/>
      </c>
    </row>
    <row r="215" customFormat="false" ht="15" hidden="false" customHeight="false" outlineLevel="0" collapsed="false">
      <c r="A215" s="20"/>
      <c r="B215" s="19"/>
      <c r="C215" s="19"/>
      <c r="D215" s="21"/>
      <c r="E215" s="19"/>
      <c r="F215" s="19"/>
      <c r="G215" s="23" t="str">
        <f aca="false">IF(A215="","",TEXT(A215,"yyyy-mm"))</f>
        <v/>
      </c>
      <c r="H215" s="22" t="str">
        <f aca="false">IF(A215="","",N(H214)+IF(B215="Masuk",N(D215),-N(D215)))</f>
        <v/>
      </c>
    </row>
    <row r="216" customFormat="false" ht="15" hidden="false" customHeight="false" outlineLevel="0" collapsed="false">
      <c r="A216" s="20"/>
      <c r="B216" s="19"/>
      <c r="C216" s="19"/>
      <c r="D216" s="21"/>
      <c r="E216" s="19"/>
      <c r="F216" s="19"/>
      <c r="G216" s="23" t="str">
        <f aca="false">IF(A216="","",TEXT(A216,"yyyy-mm"))</f>
        <v/>
      </c>
      <c r="H216" s="22" t="str">
        <f aca="false">IF(A216="","",N(H215)+IF(B216="Masuk",N(D216),-N(D216)))</f>
        <v/>
      </c>
    </row>
    <row r="217" customFormat="false" ht="15" hidden="false" customHeight="false" outlineLevel="0" collapsed="false">
      <c r="A217" s="20"/>
      <c r="B217" s="19"/>
      <c r="C217" s="19"/>
      <c r="D217" s="21"/>
      <c r="E217" s="19"/>
      <c r="F217" s="19"/>
      <c r="G217" s="23" t="str">
        <f aca="false">IF(A217="","",TEXT(A217,"yyyy-mm"))</f>
        <v/>
      </c>
      <c r="H217" s="22" t="str">
        <f aca="false">IF(A217="","",N(H216)+IF(B217="Masuk",N(D217),-N(D217)))</f>
        <v/>
      </c>
    </row>
    <row r="218" customFormat="false" ht="15" hidden="false" customHeight="false" outlineLevel="0" collapsed="false">
      <c r="A218" s="20"/>
      <c r="B218" s="19"/>
      <c r="C218" s="19"/>
      <c r="D218" s="21"/>
      <c r="E218" s="19"/>
      <c r="F218" s="19"/>
      <c r="G218" s="23" t="str">
        <f aca="false">IF(A218="","",TEXT(A218,"yyyy-mm"))</f>
        <v/>
      </c>
      <c r="H218" s="22" t="str">
        <f aca="false">IF(A218="","",N(H217)+IF(B218="Masuk",N(D218),-N(D218)))</f>
        <v/>
      </c>
    </row>
    <row r="219" customFormat="false" ht="15" hidden="false" customHeight="false" outlineLevel="0" collapsed="false">
      <c r="A219" s="20"/>
      <c r="B219" s="19"/>
      <c r="C219" s="19"/>
      <c r="D219" s="21"/>
      <c r="E219" s="19"/>
      <c r="F219" s="19"/>
      <c r="G219" s="23" t="str">
        <f aca="false">IF(A219="","",TEXT(A219,"yyyy-mm"))</f>
        <v/>
      </c>
      <c r="H219" s="22" t="str">
        <f aca="false">IF(A219="","",N(H218)+IF(B219="Masuk",N(D219),-N(D219)))</f>
        <v/>
      </c>
    </row>
    <row r="220" customFormat="false" ht="15" hidden="false" customHeight="false" outlineLevel="0" collapsed="false">
      <c r="A220" s="20"/>
      <c r="B220" s="19"/>
      <c r="C220" s="19"/>
      <c r="D220" s="21"/>
      <c r="E220" s="19"/>
      <c r="F220" s="19"/>
      <c r="G220" s="23" t="str">
        <f aca="false">IF(A220="","",TEXT(A220,"yyyy-mm"))</f>
        <v/>
      </c>
      <c r="H220" s="22" t="str">
        <f aca="false">IF(A220="","",N(H219)+IF(B220="Masuk",N(D220),-N(D220)))</f>
        <v/>
      </c>
    </row>
    <row r="221" customFormat="false" ht="15" hidden="false" customHeight="false" outlineLevel="0" collapsed="false">
      <c r="A221" s="20"/>
      <c r="B221" s="19"/>
      <c r="C221" s="19"/>
      <c r="D221" s="21"/>
      <c r="E221" s="19"/>
      <c r="F221" s="19"/>
      <c r="G221" s="23" t="str">
        <f aca="false">IF(A221="","",TEXT(A221,"yyyy-mm"))</f>
        <v/>
      </c>
      <c r="H221" s="22" t="str">
        <f aca="false">IF(A221="","",N(H220)+IF(B221="Masuk",N(D221),-N(D221)))</f>
        <v/>
      </c>
    </row>
    <row r="222" customFormat="false" ht="15" hidden="false" customHeight="false" outlineLevel="0" collapsed="false">
      <c r="A222" s="20"/>
      <c r="B222" s="19"/>
      <c r="C222" s="19"/>
      <c r="D222" s="21"/>
      <c r="E222" s="19"/>
      <c r="F222" s="19"/>
      <c r="G222" s="23" t="str">
        <f aca="false">IF(A222="","",TEXT(A222,"yyyy-mm"))</f>
        <v/>
      </c>
      <c r="H222" s="22" t="str">
        <f aca="false">IF(A222="","",N(H221)+IF(B222="Masuk",N(D222),-N(D222)))</f>
        <v/>
      </c>
    </row>
    <row r="223" customFormat="false" ht="15" hidden="false" customHeight="false" outlineLevel="0" collapsed="false">
      <c r="A223" s="20"/>
      <c r="B223" s="19"/>
      <c r="C223" s="19"/>
      <c r="D223" s="21"/>
      <c r="E223" s="19"/>
      <c r="F223" s="19"/>
      <c r="G223" s="23" t="str">
        <f aca="false">IF(A223="","",TEXT(A223,"yyyy-mm"))</f>
        <v/>
      </c>
      <c r="H223" s="22" t="str">
        <f aca="false">IF(A223="","",N(H222)+IF(B223="Masuk",N(D223),-N(D223)))</f>
        <v/>
      </c>
    </row>
    <row r="224" customFormat="false" ht="15" hidden="false" customHeight="false" outlineLevel="0" collapsed="false">
      <c r="A224" s="20"/>
      <c r="B224" s="19"/>
      <c r="C224" s="19"/>
      <c r="D224" s="21"/>
      <c r="E224" s="19"/>
      <c r="F224" s="19"/>
      <c r="G224" s="23" t="str">
        <f aca="false">IF(A224="","",TEXT(A224,"yyyy-mm"))</f>
        <v/>
      </c>
      <c r="H224" s="22" t="str">
        <f aca="false">IF(A224="","",N(H223)+IF(B224="Masuk",N(D224),-N(D224)))</f>
        <v/>
      </c>
    </row>
    <row r="225" customFormat="false" ht="15" hidden="false" customHeight="false" outlineLevel="0" collapsed="false">
      <c r="A225" s="20"/>
      <c r="B225" s="19"/>
      <c r="C225" s="19"/>
      <c r="D225" s="21"/>
      <c r="E225" s="19"/>
      <c r="F225" s="19"/>
      <c r="G225" s="23" t="str">
        <f aca="false">IF(A225="","",TEXT(A225,"yyyy-mm"))</f>
        <v/>
      </c>
      <c r="H225" s="22" t="str">
        <f aca="false">IF(A225="","",N(H224)+IF(B225="Masuk",N(D225),-N(D225)))</f>
        <v/>
      </c>
    </row>
    <row r="226" customFormat="false" ht="15" hidden="false" customHeight="false" outlineLevel="0" collapsed="false">
      <c r="A226" s="20"/>
      <c r="B226" s="19"/>
      <c r="C226" s="19"/>
      <c r="D226" s="21"/>
      <c r="E226" s="19"/>
      <c r="F226" s="19"/>
      <c r="G226" s="23" t="str">
        <f aca="false">IF(A226="","",TEXT(A226,"yyyy-mm"))</f>
        <v/>
      </c>
      <c r="H226" s="22" t="str">
        <f aca="false">IF(A226="","",N(H225)+IF(B226="Masuk",N(D226),-N(D226)))</f>
        <v/>
      </c>
    </row>
    <row r="227" customFormat="false" ht="15" hidden="false" customHeight="false" outlineLevel="0" collapsed="false">
      <c r="A227" s="20"/>
      <c r="B227" s="19"/>
      <c r="C227" s="19"/>
      <c r="D227" s="21"/>
      <c r="E227" s="19"/>
      <c r="F227" s="19"/>
      <c r="G227" s="23" t="str">
        <f aca="false">IF(A227="","",TEXT(A227,"yyyy-mm"))</f>
        <v/>
      </c>
      <c r="H227" s="22" t="str">
        <f aca="false">IF(A227="","",N(H226)+IF(B227="Masuk",N(D227),-N(D227)))</f>
        <v/>
      </c>
    </row>
    <row r="228" customFormat="false" ht="15" hidden="false" customHeight="false" outlineLevel="0" collapsed="false">
      <c r="A228" s="20"/>
      <c r="B228" s="19"/>
      <c r="C228" s="19"/>
      <c r="D228" s="21"/>
      <c r="E228" s="19"/>
      <c r="F228" s="19"/>
      <c r="G228" s="23" t="str">
        <f aca="false">IF(A228="","",TEXT(A228,"yyyy-mm"))</f>
        <v/>
      </c>
      <c r="H228" s="22" t="str">
        <f aca="false">IF(A228="","",N(H227)+IF(B228="Masuk",N(D228),-N(D228)))</f>
        <v/>
      </c>
    </row>
    <row r="229" customFormat="false" ht="15" hidden="false" customHeight="false" outlineLevel="0" collapsed="false">
      <c r="A229" s="20"/>
      <c r="B229" s="19"/>
      <c r="C229" s="19"/>
      <c r="D229" s="21"/>
      <c r="E229" s="19"/>
      <c r="F229" s="19"/>
      <c r="G229" s="23" t="str">
        <f aca="false">IF(A229="","",TEXT(A229,"yyyy-mm"))</f>
        <v/>
      </c>
      <c r="H229" s="22" t="str">
        <f aca="false">IF(A229="","",N(H228)+IF(B229="Masuk",N(D229),-N(D229)))</f>
        <v/>
      </c>
    </row>
    <row r="230" customFormat="false" ht="15" hidden="false" customHeight="false" outlineLevel="0" collapsed="false">
      <c r="A230" s="20"/>
      <c r="B230" s="19"/>
      <c r="C230" s="19"/>
      <c r="D230" s="21"/>
      <c r="E230" s="19"/>
      <c r="F230" s="19"/>
      <c r="G230" s="23" t="str">
        <f aca="false">IF(A230="","",TEXT(A230,"yyyy-mm"))</f>
        <v/>
      </c>
      <c r="H230" s="22" t="str">
        <f aca="false">IF(A230="","",N(H229)+IF(B230="Masuk",N(D230),-N(D230)))</f>
        <v/>
      </c>
    </row>
    <row r="231" customFormat="false" ht="15" hidden="false" customHeight="false" outlineLevel="0" collapsed="false">
      <c r="A231" s="20"/>
      <c r="B231" s="19"/>
      <c r="C231" s="19"/>
      <c r="D231" s="21"/>
      <c r="E231" s="19"/>
      <c r="F231" s="19"/>
      <c r="G231" s="23" t="str">
        <f aca="false">IF(A231="","",TEXT(A231,"yyyy-mm"))</f>
        <v/>
      </c>
      <c r="H231" s="22" t="str">
        <f aca="false">IF(A231="","",N(H230)+IF(B231="Masuk",N(D231),-N(D231)))</f>
        <v/>
      </c>
    </row>
    <row r="232" customFormat="false" ht="15" hidden="false" customHeight="false" outlineLevel="0" collapsed="false">
      <c r="A232" s="20"/>
      <c r="B232" s="19"/>
      <c r="C232" s="19"/>
      <c r="D232" s="21"/>
      <c r="E232" s="19"/>
      <c r="F232" s="19"/>
      <c r="G232" s="23" t="str">
        <f aca="false">IF(A232="","",TEXT(A232,"yyyy-mm"))</f>
        <v/>
      </c>
      <c r="H232" s="22" t="str">
        <f aca="false">IF(A232="","",N(H231)+IF(B232="Masuk",N(D232),-N(D232)))</f>
        <v/>
      </c>
    </row>
    <row r="233" customFormat="false" ht="15" hidden="false" customHeight="false" outlineLevel="0" collapsed="false">
      <c r="A233" s="20"/>
      <c r="B233" s="19"/>
      <c r="C233" s="19"/>
      <c r="D233" s="21"/>
      <c r="E233" s="19"/>
      <c r="F233" s="19"/>
      <c r="G233" s="23" t="str">
        <f aca="false">IF(A233="","",TEXT(A233,"yyyy-mm"))</f>
        <v/>
      </c>
      <c r="H233" s="22" t="str">
        <f aca="false">IF(A233="","",N(H232)+IF(B233="Masuk",N(D233),-N(D233)))</f>
        <v/>
      </c>
    </row>
    <row r="234" customFormat="false" ht="15" hidden="false" customHeight="false" outlineLevel="0" collapsed="false">
      <c r="A234" s="20"/>
      <c r="B234" s="19"/>
      <c r="C234" s="19"/>
      <c r="D234" s="21"/>
      <c r="E234" s="19"/>
      <c r="F234" s="19"/>
      <c r="G234" s="23" t="str">
        <f aca="false">IF(A234="","",TEXT(A234,"yyyy-mm"))</f>
        <v/>
      </c>
      <c r="H234" s="22" t="str">
        <f aca="false">IF(A234="","",N(H233)+IF(B234="Masuk",N(D234),-N(D234)))</f>
        <v/>
      </c>
    </row>
    <row r="235" customFormat="false" ht="15" hidden="false" customHeight="false" outlineLevel="0" collapsed="false">
      <c r="A235" s="20"/>
      <c r="B235" s="19"/>
      <c r="C235" s="19"/>
      <c r="D235" s="21"/>
      <c r="E235" s="19"/>
      <c r="F235" s="19"/>
      <c r="G235" s="23" t="str">
        <f aca="false">IF(A235="","",TEXT(A235,"yyyy-mm"))</f>
        <v/>
      </c>
      <c r="H235" s="22" t="str">
        <f aca="false">IF(A235="","",N(H234)+IF(B235="Masuk",N(D235),-N(D235)))</f>
        <v/>
      </c>
    </row>
    <row r="236" customFormat="false" ht="15" hidden="false" customHeight="false" outlineLevel="0" collapsed="false">
      <c r="A236" s="20"/>
      <c r="B236" s="19"/>
      <c r="C236" s="19"/>
      <c r="D236" s="21"/>
      <c r="E236" s="19"/>
      <c r="F236" s="19"/>
      <c r="G236" s="23" t="str">
        <f aca="false">IF(A236="","",TEXT(A236,"yyyy-mm"))</f>
        <v/>
      </c>
      <c r="H236" s="22" t="str">
        <f aca="false">IF(A236="","",N(H235)+IF(B236="Masuk",N(D236),-N(D236)))</f>
        <v/>
      </c>
    </row>
    <row r="237" customFormat="false" ht="15" hidden="false" customHeight="false" outlineLevel="0" collapsed="false">
      <c r="A237" s="20"/>
      <c r="B237" s="19"/>
      <c r="C237" s="19"/>
      <c r="D237" s="21"/>
      <c r="E237" s="19"/>
      <c r="F237" s="19"/>
      <c r="G237" s="23" t="str">
        <f aca="false">IF(A237="","",TEXT(A237,"yyyy-mm"))</f>
        <v/>
      </c>
      <c r="H237" s="22" t="str">
        <f aca="false">IF(A237="","",N(H236)+IF(B237="Masuk",N(D237),-N(D237)))</f>
        <v/>
      </c>
    </row>
    <row r="238" customFormat="false" ht="15" hidden="false" customHeight="false" outlineLevel="0" collapsed="false">
      <c r="A238" s="20"/>
      <c r="B238" s="19"/>
      <c r="C238" s="19"/>
      <c r="D238" s="21"/>
      <c r="E238" s="19"/>
      <c r="F238" s="19"/>
      <c r="G238" s="23" t="str">
        <f aca="false">IF(A238="","",TEXT(A238,"yyyy-mm"))</f>
        <v/>
      </c>
      <c r="H238" s="22" t="str">
        <f aca="false">IF(A238="","",N(H237)+IF(B238="Masuk",N(D238),-N(D238)))</f>
        <v/>
      </c>
    </row>
    <row r="239" customFormat="false" ht="15" hidden="false" customHeight="false" outlineLevel="0" collapsed="false">
      <c r="A239" s="20"/>
      <c r="B239" s="19"/>
      <c r="C239" s="19"/>
      <c r="D239" s="21"/>
      <c r="E239" s="19"/>
      <c r="F239" s="19"/>
      <c r="G239" s="23" t="str">
        <f aca="false">IF(A239="","",TEXT(A239,"yyyy-mm"))</f>
        <v/>
      </c>
      <c r="H239" s="22" t="str">
        <f aca="false">IF(A239="","",N(H238)+IF(B239="Masuk",N(D239),-N(D239)))</f>
        <v/>
      </c>
    </row>
    <row r="240" customFormat="false" ht="15" hidden="false" customHeight="false" outlineLevel="0" collapsed="false">
      <c r="A240" s="20"/>
      <c r="B240" s="19"/>
      <c r="C240" s="19"/>
      <c r="D240" s="21"/>
      <c r="E240" s="19"/>
      <c r="F240" s="19"/>
      <c r="G240" s="23" t="str">
        <f aca="false">IF(A240="","",TEXT(A240,"yyyy-mm"))</f>
        <v/>
      </c>
      <c r="H240" s="22" t="str">
        <f aca="false">IF(A240="","",N(H239)+IF(B240="Masuk",N(D240),-N(D240)))</f>
        <v/>
      </c>
    </row>
    <row r="241" customFormat="false" ht="15" hidden="false" customHeight="false" outlineLevel="0" collapsed="false">
      <c r="A241" s="20"/>
      <c r="B241" s="19"/>
      <c r="C241" s="19"/>
      <c r="D241" s="21"/>
      <c r="E241" s="19"/>
      <c r="F241" s="19"/>
      <c r="G241" s="23" t="str">
        <f aca="false">IF(A241="","",TEXT(A241,"yyyy-mm"))</f>
        <v/>
      </c>
      <c r="H241" s="22" t="str">
        <f aca="false">IF(A241="","",N(H240)+IF(B241="Masuk",N(D241),-N(D241)))</f>
        <v/>
      </c>
    </row>
    <row r="242" customFormat="false" ht="15" hidden="false" customHeight="false" outlineLevel="0" collapsed="false">
      <c r="A242" s="20"/>
      <c r="B242" s="19"/>
      <c r="C242" s="19"/>
      <c r="D242" s="21"/>
      <c r="E242" s="19"/>
      <c r="F242" s="19"/>
      <c r="G242" s="23" t="str">
        <f aca="false">IF(A242="","",TEXT(A242,"yyyy-mm"))</f>
        <v/>
      </c>
      <c r="H242" s="22" t="str">
        <f aca="false">IF(A242="","",N(H241)+IF(B242="Masuk",N(D242),-N(D242)))</f>
        <v/>
      </c>
    </row>
    <row r="243" customFormat="false" ht="15" hidden="false" customHeight="false" outlineLevel="0" collapsed="false">
      <c r="A243" s="20"/>
      <c r="B243" s="19"/>
      <c r="C243" s="19"/>
      <c r="D243" s="21"/>
      <c r="E243" s="19"/>
      <c r="F243" s="19"/>
      <c r="G243" s="23" t="str">
        <f aca="false">IF(A243="","",TEXT(A243,"yyyy-mm"))</f>
        <v/>
      </c>
      <c r="H243" s="22" t="str">
        <f aca="false">IF(A243="","",N(H242)+IF(B243="Masuk",N(D243),-N(D243)))</f>
        <v/>
      </c>
    </row>
    <row r="244" customFormat="false" ht="15" hidden="false" customHeight="false" outlineLevel="0" collapsed="false">
      <c r="A244" s="20"/>
      <c r="B244" s="19"/>
      <c r="C244" s="19"/>
      <c r="D244" s="21"/>
      <c r="E244" s="19"/>
      <c r="F244" s="19"/>
      <c r="G244" s="23" t="str">
        <f aca="false">IF(A244="","",TEXT(A244,"yyyy-mm"))</f>
        <v/>
      </c>
      <c r="H244" s="22" t="str">
        <f aca="false">IF(A244="","",N(H243)+IF(B244="Masuk",N(D244),-N(D244)))</f>
        <v/>
      </c>
    </row>
    <row r="245" customFormat="false" ht="15" hidden="false" customHeight="false" outlineLevel="0" collapsed="false">
      <c r="A245" s="20"/>
      <c r="B245" s="19"/>
      <c r="C245" s="19"/>
      <c r="D245" s="21"/>
      <c r="E245" s="19"/>
      <c r="F245" s="19"/>
      <c r="G245" s="23" t="str">
        <f aca="false">IF(A245="","",TEXT(A245,"yyyy-mm"))</f>
        <v/>
      </c>
      <c r="H245" s="22" t="str">
        <f aca="false">IF(A245="","",N(H244)+IF(B245="Masuk",N(D245),-N(D245)))</f>
        <v/>
      </c>
    </row>
    <row r="246" customFormat="false" ht="15" hidden="false" customHeight="false" outlineLevel="0" collapsed="false">
      <c r="A246" s="20"/>
      <c r="B246" s="19"/>
      <c r="C246" s="19"/>
      <c r="D246" s="21"/>
      <c r="E246" s="19"/>
      <c r="F246" s="19"/>
      <c r="G246" s="23" t="str">
        <f aca="false">IF(A246="","",TEXT(A246,"yyyy-mm"))</f>
        <v/>
      </c>
      <c r="H246" s="22" t="str">
        <f aca="false">IF(A246="","",N(H245)+IF(B246="Masuk",N(D246),-N(D246)))</f>
        <v/>
      </c>
    </row>
    <row r="247" customFormat="false" ht="15" hidden="false" customHeight="false" outlineLevel="0" collapsed="false">
      <c r="A247" s="20"/>
      <c r="B247" s="19"/>
      <c r="C247" s="19"/>
      <c r="D247" s="21"/>
      <c r="E247" s="19"/>
      <c r="F247" s="19"/>
      <c r="G247" s="23" t="str">
        <f aca="false">IF(A247="","",TEXT(A247,"yyyy-mm"))</f>
        <v/>
      </c>
      <c r="H247" s="22" t="str">
        <f aca="false">IF(A247="","",N(H246)+IF(B247="Masuk",N(D247),-N(D247)))</f>
        <v/>
      </c>
    </row>
    <row r="248" customFormat="false" ht="15" hidden="false" customHeight="false" outlineLevel="0" collapsed="false">
      <c r="A248" s="20"/>
      <c r="B248" s="19"/>
      <c r="C248" s="19"/>
      <c r="D248" s="21"/>
      <c r="E248" s="19"/>
      <c r="F248" s="19"/>
      <c r="G248" s="23" t="str">
        <f aca="false">IF(A248="","",TEXT(A248,"yyyy-mm"))</f>
        <v/>
      </c>
      <c r="H248" s="22" t="str">
        <f aca="false">IF(A248="","",N(H247)+IF(B248="Masuk",N(D248),-N(D248)))</f>
        <v/>
      </c>
    </row>
    <row r="249" customFormat="false" ht="15" hidden="false" customHeight="false" outlineLevel="0" collapsed="false">
      <c r="A249" s="20"/>
      <c r="B249" s="19"/>
      <c r="C249" s="19"/>
      <c r="D249" s="21"/>
      <c r="E249" s="19"/>
      <c r="F249" s="19"/>
      <c r="G249" s="23" t="str">
        <f aca="false">IF(A249="","",TEXT(A249,"yyyy-mm"))</f>
        <v/>
      </c>
      <c r="H249" s="22" t="str">
        <f aca="false">IF(A249="","",N(H248)+IF(B249="Masuk",N(D249),-N(D249)))</f>
        <v/>
      </c>
    </row>
    <row r="250" customFormat="false" ht="15" hidden="false" customHeight="false" outlineLevel="0" collapsed="false">
      <c r="A250" s="20"/>
      <c r="B250" s="19"/>
      <c r="C250" s="19"/>
      <c r="D250" s="21"/>
      <c r="E250" s="19"/>
      <c r="F250" s="19"/>
      <c r="G250" s="23" t="str">
        <f aca="false">IF(A250="","",TEXT(A250,"yyyy-mm"))</f>
        <v/>
      </c>
      <c r="H250" s="22" t="str">
        <f aca="false">IF(A250="","",N(H249)+IF(B250="Masuk",N(D250),-N(D250)))</f>
        <v/>
      </c>
    </row>
    <row r="251" customFormat="false" ht="15" hidden="false" customHeight="false" outlineLevel="0" collapsed="false">
      <c r="A251" s="20"/>
      <c r="B251" s="19"/>
      <c r="C251" s="19"/>
      <c r="D251" s="21"/>
      <c r="E251" s="19"/>
      <c r="F251" s="19"/>
      <c r="G251" s="23" t="str">
        <f aca="false">IF(A251="","",TEXT(A251,"yyyy-mm"))</f>
        <v/>
      </c>
      <c r="H251" s="22" t="str">
        <f aca="false">IF(A251="","",N(H250)+IF(B251="Masuk",N(D251),-N(D251)))</f>
        <v/>
      </c>
    </row>
    <row r="252" customFormat="false" ht="15" hidden="false" customHeight="false" outlineLevel="0" collapsed="false">
      <c r="A252" s="20"/>
      <c r="B252" s="19"/>
      <c r="C252" s="19"/>
      <c r="D252" s="21"/>
      <c r="E252" s="19"/>
      <c r="F252" s="19"/>
      <c r="G252" s="23" t="str">
        <f aca="false">IF(A252="","",TEXT(A252,"yyyy-mm"))</f>
        <v/>
      </c>
      <c r="H252" s="22" t="str">
        <f aca="false">IF(A252="","",N(H251)+IF(B252="Masuk",N(D252),-N(D252)))</f>
        <v/>
      </c>
    </row>
    <row r="253" customFormat="false" ht="15" hidden="false" customHeight="false" outlineLevel="0" collapsed="false">
      <c r="A253" s="20"/>
      <c r="B253" s="19"/>
      <c r="C253" s="19"/>
      <c r="D253" s="21"/>
      <c r="E253" s="19"/>
      <c r="F253" s="19"/>
      <c r="G253" s="23" t="str">
        <f aca="false">IF(A253="","",TEXT(A253,"yyyy-mm"))</f>
        <v/>
      </c>
      <c r="H253" s="22" t="str">
        <f aca="false">IF(A253="","",N(H252)+IF(B253="Masuk",N(D253),-N(D253)))</f>
        <v/>
      </c>
    </row>
    <row r="254" customFormat="false" ht="15" hidden="false" customHeight="false" outlineLevel="0" collapsed="false">
      <c r="A254" s="20"/>
      <c r="B254" s="19"/>
      <c r="C254" s="19"/>
      <c r="D254" s="21"/>
      <c r="E254" s="19"/>
      <c r="F254" s="19"/>
      <c r="G254" s="23" t="str">
        <f aca="false">IF(A254="","",TEXT(A254,"yyyy-mm"))</f>
        <v/>
      </c>
      <c r="H254" s="22" t="str">
        <f aca="false">IF(A254="","",N(H253)+IF(B254="Masuk",N(D254),-N(D254)))</f>
        <v/>
      </c>
    </row>
    <row r="255" customFormat="false" ht="15" hidden="false" customHeight="false" outlineLevel="0" collapsed="false">
      <c r="A255" s="20"/>
      <c r="B255" s="19"/>
      <c r="C255" s="19"/>
      <c r="D255" s="21"/>
      <c r="E255" s="19"/>
      <c r="F255" s="19"/>
      <c r="G255" s="23" t="str">
        <f aca="false">IF(A255="","",TEXT(A255,"yyyy-mm"))</f>
        <v/>
      </c>
      <c r="H255" s="22" t="str">
        <f aca="false">IF(A255="","",N(H254)+IF(B255="Masuk",N(D255),-N(D255)))</f>
        <v/>
      </c>
    </row>
    <row r="256" customFormat="false" ht="15" hidden="false" customHeight="false" outlineLevel="0" collapsed="false">
      <c r="A256" s="20"/>
      <c r="B256" s="19"/>
      <c r="C256" s="19"/>
      <c r="D256" s="21"/>
      <c r="E256" s="19"/>
      <c r="F256" s="19"/>
      <c r="G256" s="23" t="str">
        <f aca="false">IF(A256="","",TEXT(A256,"yyyy-mm"))</f>
        <v/>
      </c>
      <c r="H256" s="22" t="str">
        <f aca="false">IF(A256="","",N(H255)+IF(B256="Masuk",N(D256),-N(D256)))</f>
        <v/>
      </c>
    </row>
    <row r="257" customFormat="false" ht="15" hidden="false" customHeight="false" outlineLevel="0" collapsed="false">
      <c r="A257" s="20"/>
      <c r="B257" s="19"/>
      <c r="C257" s="19"/>
      <c r="D257" s="21"/>
      <c r="E257" s="19"/>
      <c r="F257" s="19"/>
      <c r="G257" s="23" t="str">
        <f aca="false">IF(A257="","",TEXT(A257,"yyyy-mm"))</f>
        <v/>
      </c>
      <c r="H257" s="22" t="str">
        <f aca="false">IF(A257="","",N(H256)+IF(B257="Masuk",N(D257),-N(D257)))</f>
        <v/>
      </c>
    </row>
    <row r="258" customFormat="false" ht="15" hidden="false" customHeight="false" outlineLevel="0" collapsed="false">
      <c r="A258" s="20"/>
      <c r="B258" s="19"/>
      <c r="C258" s="19"/>
      <c r="D258" s="21"/>
      <c r="E258" s="19"/>
      <c r="F258" s="19"/>
      <c r="G258" s="23" t="str">
        <f aca="false">IF(A258="","",TEXT(A258,"yyyy-mm"))</f>
        <v/>
      </c>
      <c r="H258" s="22" t="str">
        <f aca="false">IF(A258="","",N(H257)+IF(B258="Masuk",N(D258),-N(D258)))</f>
        <v/>
      </c>
    </row>
    <row r="259" customFormat="false" ht="15" hidden="false" customHeight="false" outlineLevel="0" collapsed="false">
      <c r="A259" s="20"/>
      <c r="B259" s="19"/>
      <c r="C259" s="19"/>
      <c r="D259" s="21"/>
      <c r="E259" s="19"/>
      <c r="F259" s="19"/>
      <c r="G259" s="23" t="str">
        <f aca="false">IF(A259="","",TEXT(A259,"yyyy-mm"))</f>
        <v/>
      </c>
      <c r="H259" s="22" t="str">
        <f aca="false">IF(A259="","",N(H258)+IF(B259="Masuk",N(D259),-N(D259)))</f>
        <v/>
      </c>
    </row>
    <row r="260" customFormat="false" ht="15" hidden="false" customHeight="false" outlineLevel="0" collapsed="false">
      <c r="A260" s="20"/>
      <c r="B260" s="19"/>
      <c r="C260" s="19"/>
      <c r="D260" s="21"/>
      <c r="E260" s="19"/>
      <c r="F260" s="19"/>
      <c r="G260" s="23" t="str">
        <f aca="false">IF(A260="","",TEXT(A260,"yyyy-mm"))</f>
        <v/>
      </c>
      <c r="H260" s="22" t="str">
        <f aca="false">IF(A260="","",N(H259)+IF(B260="Masuk",N(D260),-N(D260)))</f>
        <v/>
      </c>
    </row>
    <row r="261" customFormat="false" ht="15" hidden="false" customHeight="false" outlineLevel="0" collapsed="false">
      <c r="A261" s="20"/>
      <c r="B261" s="19"/>
      <c r="C261" s="19"/>
      <c r="D261" s="21"/>
      <c r="E261" s="19"/>
      <c r="F261" s="19"/>
      <c r="G261" s="23" t="str">
        <f aca="false">IF(A261="","",TEXT(A261,"yyyy-mm"))</f>
        <v/>
      </c>
      <c r="H261" s="22" t="str">
        <f aca="false">IF(A261="","",N(H260)+IF(B261="Masuk",N(D261),-N(D261)))</f>
        <v/>
      </c>
    </row>
    <row r="262" customFormat="false" ht="15" hidden="false" customHeight="false" outlineLevel="0" collapsed="false">
      <c r="A262" s="20"/>
      <c r="B262" s="19"/>
      <c r="C262" s="19"/>
      <c r="D262" s="21"/>
      <c r="E262" s="19"/>
      <c r="F262" s="19"/>
      <c r="G262" s="23" t="str">
        <f aca="false">IF(A262="","",TEXT(A262,"yyyy-mm"))</f>
        <v/>
      </c>
      <c r="H262" s="22" t="str">
        <f aca="false">IF(A262="","",N(H261)+IF(B262="Masuk",N(D262),-N(D262)))</f>
        <v/>
      </c>
    </row>
    <row r="263" customFormat="false" ht="15" hidden="false" customHeight="false" outlineLevel="0" collapsed="false">
      <c r="A263" s="20"/>
      <c r="B263" s="19"/>
      <c r="C263" s="19"/>
      <c r="D263" s="21"/>
      <c r="E263" s="19"/>
      <c r="F263" s="19"/>
      <c r="G263" s="23" t="str">
        <f aca="false">IF(A263="","",TEXT(A263,"yyyy-mm"))</f>
        <v/>
      </c>
      <c r="H263" s="22" t="str">
        <f aca="false">IF(A263="","",N(H262)+IF(B263="Masuk",N(D263),-N(D263)))</f>
        <v/>
      </c>
    </row>
    <row r="264" customFormat="false" ht="15" hidden="false" customHeight="false" outlineLevel="0" collapsed="false">
      <c r="A264" s="20"/>
      <c r="B264" s="19"/>
      <c r="C264" s="19"/>
      <c r="D264" s="21"/>
      <c r="E264" s="19"/>
      <c r="F264" s="19"/>
      <c r="G264" s="23" t="str">
        <f aca="false">IF(A264="","",TEXT(A264,"yyyy-mm"))</f>
        <v/>
      </c>
      <c r="H264" s="22" t="str">
        <f aca="false">IF(A264="","",N(H263)+IF(B264="Masuk",N(D264),-N(D264)))</f>
        <v/>
      </c>
    </row>
    <row r="265" customFormat="false" ht="15" hidden="false" customHeight="false" outlineLevel="0" collapsed="false">
      <c r="A265" s="20"/>
      <c r="B265" s="19"/>
      <c r="C265" s="19"/>
      <c r="D265" s="21"/>
      <c r="E265" s="19"/>
      <c r="F265" s="19"/>
      <c r="G265" s="23" t="str">
        <f aca="false">IF(A265="","",TEXT(A265,"yyyy-mm"))</f>
        <v/>
      </c>
      <c r="H265" s="22" t="str">
        <f aca="false">IF(A265="","",N(H264)+IF(B265="Masuk",N(D265),-N(D265)))</f>
        <v/>
      </c>
    </row>
    <row r="266" customFormat="false" ht="15" hidden="false" customHeight="false" outlineLevel="0" collapsed="false">
      <c r="A266" s="20"/>
      <c r="B266" s="19"/>
      <c r="C266" s="19"/>
      <c r="D266" s="21"/>
      <c r="E266" s="19"/>
      <c r="F266" s="19"/>
      <c r="G266" s="23" t="str">
        <f aca="false">IF(A266="","",TEXT(A266,"yyyy-mm"))</f>
        <v/>
      </c>
      <c r="H266" s="22" t="str">
        <f aca="false">IF(A266="","",N(H265)+IF(B266="Masuk",N(D266),-N(D266)))</f>
        <v/>
      </c>
    </row>
    <row r="267" customFormat="false" ht="15" hidden="false" customHeight="false" outlineLevel="0" collapsed="false">
      <c r="A267" s="20"/>
      <c r="B267" s="19"/>
      <c r="C267" s="19"/>
      <c r="D267" s="21"/>
      <c r="E267" s="19"/>
      <c r="F267" s="19"/>
      <c r="G267" s="23" t="str">
        <f aca="false">IF(A267="","",TEXT(A267,"yyyy-mm"))</f>
        <v/>
      </c>
      <c r="H267" s="22" t="str">
        <f aca="false">IF(A267="","",N(H266)+IF(B267="Masuk",N(D267),-N(D267)))</f>
        <v/>
      </c>
    </row>
    <row r="268" customFormat="false" ht="15" hidden="false" customHeight="false" outlineLevel="0" collapsed="false">
      <c r="A268" s="20"/>
      <c r="B268" s="19"/>
      <c r="C268" s="19"/>
      <c r="D268" s="21"/>
      <c r="E268" s="19"/>
      <c r="F268" s="19"/>
      <c r="G268" s="23" t="str">
        <f aca="false">IF(A268="","",TEXT(A268,"yyyy-mm"))</f>
        <v/>
      </c>
      <c r="H268" s="22" t="str">
        <f aca="false">IF(A268="","",N(H267)+IF(B268="Masuk",N(D268),-N(D268)))</f>
        <v/>
      </c>
    </row>
    <row r="269" customFormat="false" ht="15" hidden="false" customHeight="false" outlineLevel="0" collapsed="false">
      <c r="A269" s="20"/>
      <c r="B269" s="19"/>
      <c r="C269" s="19"/>
      <c r="D269" s="21"/>
      <c r="E269" s="19"/>
      <c r="F269" s="19"/>
      <c r="G269" s="23" t="str">
        <f aca="false">IF(A269="","",TEXT(A269,"yyyy-mm"))</f>
        <v/>
      </c>
      <c r="H269" s="22" t="str">
        <f aca="false">IF(A269="","",N(H268)+IF(B269="Masuk",N(D269),-N(D269)))</f>
        <v/>
      </c>
    </row>
    <row r="270" customFormat="false" ht="15" hidden="false" customHeight="false" outlineLevel="0" collapsed="false">
      <c r="A270" s="20"/>
      <c r="B270" s="19"/>
      <c r="C270" s="19"/>
      <c r="D270" s="21"/>
      <c r="E270" s="19"/>
      <c r="F270" s="19"/>
      <c r="G270" s="23" t="str">
        <f aca="false">IF(A270="","",TEXT(A270,"yyyy-mm"))</f>
        <v/>
      </c>
      <c r="H270" s="22" t="str">
        <f aca="false">IF(A270="","",N(H269)+IF(B270="Masuk",N(D270),-N(D270)))</f>
        <v/>
      </c>
    </row>
    <row r="271" customFormat="false" ht="15" hidden="false" customHeight="false" outlineLevel="0" collapsed="false">
      <c r="A271" s="20"/>
      <c r="B271" s="19"/>
      <c r="C271" s="19"/>
      <c r="D271" s="21"/>
      <c r="E271" s="19"/>
      <c r="F271" s="19"/>
      <c r="G271" s="23" t="str">
        <f aca="false">IF(A271="","",TEXT(A271,"yyyy-mm"))</f>
        <v/>
      </c>
      <c r="H271" s="22" t="str">
        <f aca="false">IF(A271="","",N(H270)+IF(B271="Masuk",N(D271),-N(D271)))</f>
        <v/>
      </c>
    </row>
    <row r="272" customFormat="false" ht="15" hidden="false" customHeight="false" outlineLevel="0" collapsed="false">
      <c r="A272" s="20"/>
      <c r="B272" s="19"/>
      <c r="C272" s="19"/>
      <c r="D272" s="21"/>
      <c r="E272" s="19"/>
      <c r="F272" s="19"/>
      <c r="G272" s="23" t="str">
        <f aca="false">IF(A272="","",TEXT(A272,"yyyy-mm"))</f>
        <v/>
      </c>
      <c r="H272" s="22" t="str">
        <f aca="false">IF(A272="","",N(H271)+IF(B272="Masuk",N(D272),-N(D272)))</f>
        <v/>
      </c>
    </row>
    <row r="273" customFormat="false" ht="15" hidden="false" customHeight="false" outlineLevel="0" collapsed="false">
      <c r="A273" s="20"/>
      <c r="B273" s="19"/>
      <c r="C273" s="19"/>
      <c r="D273" s="21"/>
      <c r="E273" s="19"/>
      <c r="F273" s="19"/>
      <c r="G273" s="23" t="str">
        <f aca="false">IF(A273="","",TEXT(A273,"yyyy-mm"))</f>
        <v/>
      </c>
      <c r="H273" s="22" t="str">
        <f aca="false">IF(A273="","",N(H272)+IF(B273="Masuk",N(D273),-N(D273)))</f>
        <v/>
      </c>
    </row>
    <row r="274" customFormat="false" ht="15" hidden="false" customHeight="false" outlineLevel="0" collapsed="false">
      <c r="A274" s="20"/>
      <c r="B274" s="19"/>
      <c r="C274" s="19"/>
      <c r="D274" s="21"/>
      <c r="E274" s="19"/>
      <c r="F274" s="19"/>
      <c r="G274" s="23" t="str">
        <f aca="false">IF(A274="","",TEXT(A274,"yyyy-mm"))</f>
        <v/>
      </c>
      <c r="H274" s="22" t="str">
        <f aca="false">IF(A274="","",N(H273)+IF(B274="Masuk",N(D274),-N(D274)))</f>
        <v/>
      </c>
    </row>
    <row r="275" customFormat="false" ht="15" hidden="false" customHeight="false" outlineLevel="0" collapsed="false">
      <c r="A275" s="20"/>
      <c r="B275" s="19"/>
      <c r="C275" s="19"/>
      <c r="D275" s="21"/>
      <c r="E275" s="19"/>
      <c r="F275" s="19"/>
      <c r="G275" s="23" t="str">
        <f aca="false">IF(A275="","",TEXT(A275,"yyyy-mm"))</f>
        <v/>
      </c>
      <c r="H275" s="22" t="str">
        <f aca="false">IF(A275="","",N(H274)+IF(B275="Masuk",N(D275),-N(D275)))</f>
        <v/>
      </c>
    </row>
    <row r="276" customFormat="false" ht="15" hidden="false" customHeight="false" outlineLevel="0" collapsed="false">
      <c r="A276" s="20"/>
      <c r="B276" s="19"/>
      <c r="C276" s="19"/>
      <c r="D276" s="21"/>
      <c r="E276" s="19"/>
      <c r="F276" s="19"/>
      <c r="G276" s="23" t="str">
        <f aca="false">IF(A276="","",TEXT(A276,"yyyy-mm"))</f>
        <v/>
      </c>
      <c r="H276" s="22" t="str">
        <f aca="false">IF(A276="","",N(H275)+IF(B276="Masuk",N(D276),-N(D276)))</f>
        <v/>
      </c>
    </row>
    <row r="277" customFormat="false" ht="15" hidden="false" customHeight="false" outlineLevel="0" collapsed="false">
      <c r="A277" s="20"/>
      <c r="B277" s="19"/>
      <c r="C277" s="19"/>
      <c r="D277" s="21"/>
      <c r="E277" s="19"/>
      <c r="F277" s="19"/>
      <c r="G277" s="23" t="str">
        <f aca="false">IF(A277="","",TEXT(A277,"yyyy-mm"))</f>
        <v/>
      </c>
      <c r="H277" s="22" t="str">
        <f aca="false">IF(A277="","",N(H276)+IF(B277="Masuk",N(D277),-N(D277)))</f>
        <v/>
      </c>
    </row>
    <row r="278" customFormat="false" ht="15" hidden="false" customHeight="false" outlineLevel="0" collapsed="false">
      <c r="A278" s="20"/>
      <c r="B278" s="19"/>
      <c r="C278" s="19"/>
      <c r="D278" s="21"/>
      <c r="E278" s="19"/>
      <c r="F278" s="19"/>
      <c r="G278" s="23" t="str">
        <f aca="false">IF(A278="","",TEXT(A278,"yyyy-mm"))</f>
        <v/>
      </c>
      <c r="H278" s="22" t="str">
        <f aca="false">IF(A278="","",N(H277)+IF(B278="Masuk",N(D278),-N(D278)))</f>
        <v/>
      </c>
    </row>
    <row r="279" customFormat="false" ht="15" hidden="false" customHeight="false" outlineLevel="0" collapsed="false">
      <c r="A279" s="20"/>
      <c r="B279" s="19"/>
      <c r="C279" s="19"/>
      <c r="D279" s="21"/>
      <c r="E279" s="19"/>
      <c r="F279" s="19"/>
      <c r="G279" s="23" t="str">
        <f aca="false">IF(A279="","",TEXT(A279,"yyyy-mm"))</f>
        <v/>
      </c>
      <c r="H279" s="22" t="str">
        <f aca="false">IF(A279="","",N(H278)+IF(B279="Masuk",N(D279),-N(D279)))</f>
        <v/>
      </c>
    </row>
    <row r="280" customFormat="false" ht="15" hidden="false" customHeight="false" outlineLevel="0" collapsed="false">
      <c r="A280" s="20"/>
      <c r="B280" s="19"/>
      <c r="C280" s="19"/>
      <c r="D280" s="21"/>
      <c r="E280" s="19"/>
      <c r="F280" s="19"/>
      <c r="G280" s="23" t="str">
        <f aca="false">IF(A280="","",TEXT(A280,"yyyy-mm"))</f>
        <v/>
      </c>
      <c r="H280" s="22" t="str">
        <f aca="false">IF(A280="","",N(H279)+IF(B280="Masuk",N(D280),-N(D280)))</f>
        <v/>
      </c>
    </row>
    <row r="281" customFormat="false" ht="15" hidden="false" customHeight="false" outlineLevel="0" collapsed="false">
      <c r="A281" s="20"/>
      <c r="B281" s="19"/>
      <c r="C281" s="19"/>
      <c r="D281" s="21"/>
      <c r="E281" s="19"/>
      <c r="F281" s="19"/>
      <c r="G281" s="23" t="str">
        <f aca="false">IF(A281="","",TEXT(A281,"yyyy-mm"))</f>
        <v/>
      </c>
      <c r="H281" s="22" t="str">
        <f aca="false">IF(A281="","",N(H280)+IF(B281="Masuk",N(D281),-N(D281)))</f>
        <v/>
      </c>
    </row>
    <row r="282" customFormat="false" ht="15" hidden="false" customHeight="false" outlineLevel="0" collapsed="false">
      <c r="A282" s="20"/>
      <c r="B282" s="19"/>
      <c r="C282" s="19"/>
      <c r="D282" s="21"/>
      <c r="E282" s="19"/>
      <c r="F282" s="19"/>
      <c r="G282" s="23" t="str">
        <f aca="false">IF(A282="","",TEXT(A282,"yyyy-mm"))</f>
        <v/>
      </c>
      <c r="H282" s="22" t="str">
        <f aca="false">IF(A282="","",N(H281)+IF(B282="Masuk",N(D282),-N(D282)))</f>
        <v/>
      </c>
    </row>
    <row r="283" customFormat="false" ht="15" hidden="false" customHeight="false" outlineLevel="0" collapsed="false">
      <c r="A283" s="20"/>
      <c r="B283" s="19"/>
      <c r="C283" s="19"/>
      <c r="D283" s="21"/>
      <c r="E283" s="19"/>
      <c r="F283" s="19"/>
      <c r="G283" s="23" t="str">
        <f aca="false">IF(A283="","",TEXT(A283,"yyyy-mm"))</f>
        <v/>
      </c>
      <c r="H283" s="22" t="str">
        <f aca="false">IF(A283="","",N(H282)+IF(B283="Masuk",N(D283),-N(D283)))</f>
        <v/>
      </c>
    </row>
    <row r="284" customFormat="false" ht="15" hidden="false" customHeight="false" outlineLevel="0" collapsed="false">
      <c r="A284" s="20"/>
      <c r="B284" s="19"/>
      <c r="C284" s="19"/>
      <c r="D284" s="21"/>
      <c r="E284" s="19"/>
      <c r="F284" s="19"/>
      <c r="G284" s="23" t="str">
        <f aca="false">IF(A284="","",TEXT(A284,"yyyy-mm"))</f>
        <v/>
      </c>
      <c r="H284" s="22" t="str">
        <f aca="false">IF(A284="","",N(H283)+IF(B284="Masuk",N(D284),-N(D284)))</f>
        <v/>
      </c>
    </row>
    <row r="285" customFormat="false" ht="15" hidden="false" customHeight="false" outlineLevel="0" collapsed="false">
      <c r="A285" s="20"/>
      <c r="B285" s="19"/>
      <c r="C285" s="19"/>
      <c r="D285" s="21"/>
      <c r="E285" s="19"/>
      <c r="F285" s="19"/>
      <c r="G285" s="23" t="str">
        <f aca="false">IF(A285="","",TEXT(A285,"yyyy-mm"))</f>
        <v/>
      </c>
      <c r="H285" s="22" t="str">
        <f aca="false">IF(A285="","",N(H284)+IF(B285="Masuk",N(D285),-N(D285)))</f>
        <v/>
      </c>
    </row>
    <row r="286" customFormat="false" ht="15" hidden="false" customHeight="false" outlineLevel="0" collapsed="false">
      <c r="A286" s="20"/>
      <c r="B286" s="19"/>
      <c r="C286" s="19"/>
      <c r="D286" s="21"/>
      <c r="E286" s="19"/>
      <c r="F286" s="19"/>
      <c r="G286" s="23" t="str">
        <f aca="false">IF(A286="","",TEXT(A286,"yyyy-mm"))</f>
        <v/>
      </c>
      <c r="H286" s="22" t="str">
        <f aca="false">IF(A286="","",N(H285)+IF(B286="Masuk",N(D286),-N(D286)))</f>
        <v/>
      </c>
    </row>
    <row r="287" customFormat="false" ht="15" hidden="false" customHeight="false" outlineLevel="0" collapsed="false">
      <c r="A287" s="20"/>
      <c r="B287" s="19"/>
      <c r="C287" s="19"/>
      <c r="D287" s="21"/>
      <c r="E287" s="19"/>
      <c r="F287" s="19"/>
      <c r="G287" s="23" t="str">
        <f aca="false">IF(A287="","",TEXT(A287,"yyyy-mm"))</f>
        <v/>
      </c>
      <c r="H287" s="22" t="str">
        <f aca="false">IF(A287="","",N(H286)+IF(B287="Masuk",N(D287),-N(D287)))</f>
        <v/>
      </c>
    </row>
    <row r="288" customFormat="false" ht="15" hidden="false" customHeight="false" outlineLevel="0" collapsed="false">
      <c r="A288" s="20"/>
      <c r="B288" s="19"/>
      <c r="C288" s="19"/>
      <c r="D288" s="21"/>
      <c r="E288" s="19"/>
      <c r="F288" s="19"/>
      <c r="G288" s="23" t="str">
        <f aca="false">IF(A288="","",TEXT(A288,"yyyy-mm"))</f>
        <v/>
      </c>
      <c r="H288" s="22" t="str">
        <f aca="false">IF(A288="","",N(H287)+IF(B288="Masuk",N(D288),-N(D288)))</f>
        <v/>
      </c>
    </row>
    <row r="289" customFormat="false" ht="15" hidden="false" customHeight="false" outlineLevel="0" collapsed="false">
      <c r="A289" s="20"/>
      <c r="B289" s="19"/>
      <c r="C289" s="19"/>
      <c r="D289" s="21"/>
      <c r="E289" s="19"/>
      <c r="F289" s="19"/>
      <c r="G289" s="23" t="str">
        <f aca="false">IF(A289="","",TEXT(A289,"yyyy-mm"))</f>
        <v/>
      </c>
      <c r="H289" s="22" t="str">
        <f aca="false">IF(A289="","",N(H288)+IF(B289="Masuk",N(D289),-N(D289)))</f>
        <v/>
      </c>
    </row>
    <row r="290" customFormat="false" ht="15" hidden="false" customHeight="false" outlineLevel="0" collapsed="false">
      <c r="A290" s="20"/>
      <c r="B290" s="19"/>
      <c r="C290" s="19"/>
      <c r="D290" s="21"/>
      <c r="E290" s="19"/>
      <c r="F290" s="19"/>
      <c r="G290" s="23" t="str">
        <f aca="false">IF(A290="","",TEXT(A290,"yyyy-mm"))</f>
        <v/>
      </c>
      <c r="H290" s="22" t="str">
        <f aca="false">IF(A290="","",N(H289)+IF(B290="Masuk",N(D290),-N(D290)))</f>
        <v/>
      </c>
    </row>
    <row r="291" customFormat="false" ht="15" hidden="false" customHeight="false" outlineLevel="0" collapsed="false">
      <c r="A291" s="20"/>
      <c r="B291" s="19"/>
      <c r="C291" s="19"/>
      <c r="D291" s="21"/>
      <c r="E291" s="19"/>
      <c r="F291" s="19"/>
      <c r="G291" s="23" t="str">
        <f aca="false">IF(A291="","",TEXT(A291,"yyyy-mm"))</f>
        <v/>
      </c>
      <c r="H291" s="22" t="str">
        <f aca="false">IF(A291="","",N(H290)+IF(B291="Masuk",N(D291),-N(D291)))</f>
        <v/>
      </c>
    </row>
    <row r="292" customFormat="false" ht="15" hidden="false" customHeight="false" outlineLevel="0" collapsed="false">
      <c r="A292" s="20"/>
      <c r="B292" s="19"/>
      <c r="C292" s="19"/>
      <c r="D292" s="21"/>
      <c r="E292" s="19"/>
      <c r="F292" s="19"/>
      <c r="G292" s="23" t="str">
        <f aca="false">IF(A292="","",TEXT(A292,"yyyy-mm"))</f>
        <v/>
      </c>
      <c r="H292" s="22" t="str">
        <f aca="false">IF(A292="","",N(H291)+IF(B292="Masuk",N(D292),-N(D292)))</f>
        <v/>
      </c>
    </row>
    <row r="293" customFormat="false" ht="15" hidden="false" customHeight="false" outlineLevel="0" collapsed="false">
      <c r="A293" s="20"/>
      <c r="B293" s="19"/>
      <c r="C293" s="19"/>
      <c r="D293" s="21"/>
      <c r="E293" s="19"/>
      <c r="F293" s="19"/>
      <c r="G293" s="23" t="str">
        <f aca="false">IF(A293="","",TEXT(A293,"yyyy-mm"))</f>
        <v/>
      </c>
      <c r="H293" s="22" t="str">
        <f aca="false">IF(A293="","",N(H292)+IF(B293="Masuk",N(D293),-N(D293)))</f>
        <v/>
      </c>
    </row>
    <row r="294" customFormat="false" ht="15" hidden="false" customHeight="false" outlineLevel="0" collapsed="false">
      <c r="A294" s="20"/>
      <c r="B294" s="19"/>
      <c r="C294" s="19"/>
      <c r="D294" s="21"/>
      <c r="E294" s="19"/>
      <c r="F294" s="19"/>
      <c r="G294" s="23" t="str">
        <f aca="false">IF(A294="","",TEXT(A294,"yyyy-mm"))</f>
        <v/>
      </c>
      <c r="H294" s="22" t="str">
        <f aca="false">IF(A294="","",N(H293)+IF(B294="Masuk",N(D294),-N(D294)))</f>
        <v/>
      </c>
    </row>
    <row r="295" customFormat="false" ht="15" hidden="false" customHeight="false" outlineLevel="0" collapsed="false">
      <c r="A295" s="20"/>
      <c r="B295" s="19"/>
      <c r="C295" s="19"/>
      <c r="D295" s="21"/>
      <c r="E295" s="19"/>
      <c r="F295" s="19"/>
      <c r="G295" s="23" t="str">
        <f aca="false">IF(A295="","",TEXT(A295,"yyyy-mm"))</f>
        <v/>
      </c>
      <c r="H295" s="22" t="str">
        <f aca="false">IF(A295="","",N(H294)+IF(B295="Masuk",N(D295),-N(D295)))</f>
        <v/>
      </c>
    </row>
    <row r="296" customFormat="false" ht="15" hidden="false" customHeight="false" outlineLevel="0" collapsed="false">
      <c r="A296" s="20"/>
      <c r="B296" s="19"/>
      <c r="C296" s="19"/>
      <c r="D296" s="21"/>
      <c r="E296" s="19"/>
      <c r="F296" s="19"/>
      <c r="G296" s="23" t="str">
        <f aca="false">IF(A296="","",TEXT(A296,"yyyy-mm"))</f>
        <v/>
      </c>
      <c r="H296" s="22" t="str">
        <f aca="false">IF(A296="","",N(H295)+IF(B296="Masuk",N(D296),-N(D296)))</f>
        <v/>
      </c>
    </row>
    <row r="297" customFormat="false" ht="15" hidden="false" customHeight="false" outlineLevel="0" collapsed="false">
      <c r="A297" s="20"/>
      <c r="B297" s="19"/>
      <c r="C297" s="19"/>
      <c r="D297" s="21"/>
      <c r="E297" s="19"/>
      <c r="F297" s="19"/>
      <c r="G297" s="23" t="str">
        <f aca="false">IF(A297="","",TEXT(A297,"yyyy-mm"))</f>
        <v/>
      </c>
      <c r="H297" s="22" t="str">
        <f aca="false">IF(A297="","",N(H296)+IF(B297="Masuk",N(D297),-N(D297)))</f>
        <v/>
      </c>
    </row>
    <row r="298" customFormat="false" ht="15" hidden="false" customHeight="false" outlineLevel="0" collapsed="false">
      <c r="A298" s="20"/>
      <c r="B298" s="19"/>
      <c r="C298" s="19"/>
      <c r="D298" s="21"/>
      <c r="E298" s="19"/>
      <c r="F298" s="19"/>
      <c r="G298" s="23" t="str">
        <f aca="false">IF(A298="","",TEXT(A298,"yyyy-mm"))</f>
        <v/>
      </c>
      <c r="H298" s="22" t="str">
        <f aca="false">IF(A298="","",N(H297)+IF(B298="Masuk",N(D298),-N(D298)))</f>
        <v/>
      </c>
    </row>
    <row r="299" customFormat="false" ht="15" hidden="false" customHeight="false" outlineLevel="0" collapsed="false">
      <c r="A299" s="20"/>
      <c r="B299" s="19"/>
      <c r="C299" s="19"/>
      <c r="D299" s="21"/>
      <c r="E299" s="19"/>
      <c r="F299" s="19"/>
      <c r="G299" s="23" t="str">
        <f aca="false">IF(A299="","",TEXT(A299,"yyyy-mm"))</f>
        <v/>
      </c>
      <c r="H299" s="22" t="str">
        <f aca="false">IF(A299="","",N(H298)+IF(B299="Masuk",N(D299),-N(D299)))</f>
        <v/>
      </c>
    </row>
    <row r="300" customFormat="false" ht="15" hidden="false" customHeight="false" outlineLevel="0" collapsed="false">
      <c r="A300" s="20"/>
      <c r="B300" s="19"/>
      <c r="C300" s="19"/>
      <c r="D300" s="21"/>
      <c r="E300" s="19"/>
      <c r="F300" s="19"/>
      <c r="G300" s="23" t="str">
        <f aca="false">IF(A300="","",TEXT(A300,"yyyy-mm"))</f>
        <v/>
      </c>
      <c r="H300" s="22" t="str">
        <f aca="false">IF(A300="","",N(H299)+IF(B300="Masuk",N(D300),-N(D300)))</f>
        <v/>
      </c>
    </row>
    <row r="301" customFormat="false" ht="15" hidden="false" customHeight="false" outlineLevel="0" collapsed="false">
      <c r="A301" s="20"/>
      <c r="B301" s="19"/>
      <c r="C301" s="19"/>
      <c r="D301" s="21"/>
      <c r="E301" s="19"/>
      <c r="F301" s="19"/>
      <c r="G301" s="23" t="str">
        <f aca="false">IF(A301="","",TEXT(A301,"yyyy-mm"))</f>
        <v/>
      </c>
      <c r="H301" s="22" t="str">
        <f aca="false">IF(A301="","",N(H300)+IF(B301="Masuk",N(D301),-N(D301)))</f>
        <v/>
      </c>
    </row>
    <row r="302" customFormat="false" ht="15" hidden="false" customHeight="false" outlineLevel="0" collapsed="false">
      <c r="A302" s="20"/>
      <c r="B302" s="19"/>
      <c r="C302" s="19"/>
      <c r="D302" s="21"/>
      <c r="E302" s="19"/>
      <c r="F302" s="19"/>
      <c r="G302" s="23" t="str">
        <f aca="false">IF(A302="","",TEXT(A302,"yyyy-mm"))</f>
        <v/>
      </c>
      <c r="H302" s="22" t="str">
        <f aca="false">IF(A302="","",N(H301)+IF(B302="Masuk",N(D302),-N(D302)))</f>
        <v/>
      </c>
    </row>
    <row r="303" customFormat="false" ht="15" hidden="false" customHeight="false" outlineLevel="0" collapsed="false">
      <c r="A303" s="20"/>
      <c r="B303" s="19"/>
      <c r="C303" s="19"/>
      <c r="D303" s="21"/>
      <c r="E303" s="19"/>
      <c r="F303" s="19"/>
      <c r="G303" s="23" t="str">
        <f aca="false">IF(A303="","",TEXT(A303,"yyyy-mm"))</f>
        <v/>
      </c>
      <c r="H303" s="22" t="str">
        <f aca="false">IF(A303="","",N(H302)+IF(B303="Masuk",N(D303),-N(D303)))</f>
        <v/>
      </c>
    </row>
    <row r="304" customFormat="false" ht="15" hidden="false" customHeight="false" outlineLevel="0" collapsed="false">
      <c r="A304" s="20"/>
      <c r="B304" s="19"/>
      <c r="C304" s="19"/>
      <c r="D304" s="21"/>
      <c r="E304" s="19"/>
      <c r="F304" s="19"/>
      <c r="G304" s="23" t="str">
        <f aca="false">IF(A304="","",TEXT(A304,"yyyy-mm"))</f>
        <v/>
      </c>
      <c r="H304" s="22" t="str">
        <f aca="false">IF(A304="","",N(H303)+IF(B304="Masuk",N(D304),-N(D304)))</f>
        <v/>
      </c>
    </row>
    <row r="305" customFormat="false" ht="15" hidden="false" customHeight="false" outlineLevel="0" collapsed="false">
      <c r="A305" s="20"/>
      <c r="B305" s="19"/>
      <c r="C305" s="19"/>
      <c r="D305" s="21"/>
      <c r="E305" s="19"/>
      <c r="F305" s="19"/>
      <c r="G305" s="23" t="str">
        <f aca="false">IF(A305="","",TEXT(A305,"yyyy-mm"))</f>
        <v/>
      </c>
      <c r="H305" s="22" t="str">
        <f aca="false">IF(A305="","",N(H304)+IF(B305="Masuk",N(D305),-N(D305)))</f>
        <v/>
      </c>
    </row>
    <row r="306" customFormat="false" ht="15" hidden="false" customHeight="false" outlineLevel="0" collapsed="false">
      <c r="A306" s="20"/>
      <c r="B306" s="19"/>
      <c r="C306" s="19"/>
      <c r="D306" s="21"/>
      <c r="E306" s="19"/>
      <c r="F306" s="19"/>
      <c r="G306" s="23" t="str">
        <f aca="false">IF(A306="","",TEXT(A306,"yyyy-mm"))</f>
        <v/>
      </c>
      <c r="H306" s="22" t="str">
        <f aca="false">IF(A306="","",N(H305)+IF(B306="Masuk",N(D306),-N(D306)))</f>
        <v/>
      </c>
    </row>
    <row r="307" customFormat="false" ht="15" hidden="false" customHeight="false" outlineLevel="0" collapsed="false">
      <c r="A307" s="20"/>
      <c r="B307" s="19"/>
      <c r="C307" s="19"/>
      <c r="D307" s="21"/>
      <c r="E307" s="19"/>
      <c r="F307" s="19"/>
      <c r="G307" s="23" t="str">
        <f aca="false">IF(A307="","",TEXT(A307,"yyyy-mm"))</f>
        <v/>
      </c>
      <c r="H307" s="22" t="str">
        <f aca="false">IF(A307="","",N(H306)+IF(B307="Masuk",N(D307),-N(D307)))</f>
        <v/>
      </c>
    </row>
    <row r="308" customFormat="false" ht="15" hidden="false" customHeight="false" outlineLevel="0" collapsed="false">
      <c r="A308" s="20"/>
      <c r="B308" s="19"/>
      <c r="C308" s="19"/>
      <c r="D308" s="21"/>
      <c r="E308" s="19"/>
      <c r="F308" s="19"/>
      <c r="G308" s="23" t="str">
        <f aca="false">IF(A308="","",TEXT(A308,"yyyy-mm"))</f>
        <v/>
      </c>
      <c r="H308" s="22" t="str">
        <f aca="false">IF(A308="","",N(H307)+IF(B308="Masuk",N(D308),-N(D308)))</f>
        <v/>
      </c>
    </row>
    <row r="309" customFormat="false" ht="15" hidden="false" customHeight="false" outlineLevel="0" collapsed="false">
      <c r="A309" s="20"/>
      <c r="B309" s="19"/>
      <c r="C309" s="19"/>
      <c r="D309" s="21"/>
      <c r="E309" s="19"/>
      <c r="F309" s="19"/>
      <c r="G309" s="23" t="str">
        <f aca="false">IF(A309="","",TEXT(A309,"yyyy-mm"))</f>
        <v/>
      </c>
      <c r="H309" s="22" t="str">
        <f aca="false">IF(A309="","",N(H308)+IF(B309="Masuk",N(D309),-N(D309)))</f>
        <v/>
      </c>
    </row>
    <row r="310" customFormat="false" ht="15" hidden="false" customHeight="false" outlineLevel="0" collapsed="false">
      <c r="A310" s="20"/>
      <c r="B310" s="19"/>
      <c r="C310" s="19"/>
      <c r="D310" s="21"/>
      <c r="E310" s="19"/>
      <c r="F310" s="19"/>
      <c r="G310" s="23" t="str">
        <f aca="false">IF(A310="","",TEXT(A310,"yyyy-mm"))</f>
        <v/>
      </c>
      <c r="H310" s="22" t="str">
        <f aca="false">IF(A310="","",N(H309)+IF(B310="Masuk",N(D310),-N(D310)))</f>
        <v/>
      </c>
    </row>
    <row r="311" customFormat="false" ht="15" hidden="false" customHeight="false" outlineLevel="0" collapsed="false">
      <c r="A311" s="20"/>
      <c r="B311" s="19"/>
      <c r="C311" s="19"/>
      <c r="D311" s="21"/>
      <c r="E311" s="19"/>
      <c r="F311" s="19"/>
      <c r="G311" s="23" t="str">
        <f aca="false">IF(A311="","",TEXT(A311,"yyyy-mm"))</f>
        <v/>
      </c>
      <c r="H311" s="22" t="str">
        <f aca="false">IF(A311="","",N(H310)+IF(B311="Masuk",N(D311),-N(D311)))</f>
        <v/>
      </c>
    </row>
    <row r="312" customFormat="false" ht="15" hidden="false" customHeight="false" outlineLevel="0" collapsed="false">
      <c r="A312" s="20"/>
      <c r="B312" s="19"/>
      <c r="C312" s="19"/>
      <c r="D312" s="21"/>
      <c r="E312" s="19"/>
      <c r="F312" s="19"/>
      <c r="G312" s="23" t="str">
        <f aca="false">IF(A312="","",TEXT(A312,"yyyy-mm"))</f>
        <v/>
      </c>
      <c r="H312" s="22" t="str">
        <f aca="false">IF(A312="","",N(H311)+IF(B312="Masuk",N(D312),-N(D312)))</f>
        <v/>
      </c>
    </row>
    <row r="313" customFormat="false" ht="15" hidden="false" customHeight="false" outlineLevel="0" collapsed="false">
      <c r="A313" s="20"/>
      <c r="B313" s="19"/>
      <c r="C313" s="19"/>
      <c r="D313" s="21"/>
      <c r="E313" s="19"/>
      <c r="F313" s="19"/>
      <c r="G313" s="23" t="str">
        <f aca="false">IF(A313="","",TEXT(A313,"yyyy-mm"))</f>
        <v/>
      </c>
      <c r="H313" s="22" t="str">
        <f aca="false">IF(A313="","",N(H312)+IF(B313="Masuk",N(D313),-N(D313)))</f>
        <v/>
      </c>
    </row>
    <row r="314" customFormat="false" ht="15" hidden="false" customHeight="false" outlineLevel="0" collapsed="false">
      <c r="A314" s="20"/>
      <c r="B314" s="19"/>
      <c r="C314" s="19"/>
      <c r="D314" s="21"/>
      <c r="E314" s="19"/>
      <c r="F314" s="19"/>
      <c r="G314" s="23" t="str">
        <f aca="false">IF(A314="","",TEXT(A314,"yyyy-mm"))</f>
        <v/>
      </c>
      <c r="H314" s="22" t="str">
        <f aca="false">IF(A314="","",N(H313)+IF(B314="Masuk",N(D314),-N(D314)))</f>
        <v/>
      </c>
    </row>
    <row r="315" customFormat="false" ht="15" hidden="false" customHeight="false" outlineLevel="0" collapsed="false">
      <c r="A315" s="20"/>
      <c r="B315" s="19"/>
      <c r="C315" s="19"/>
      <c r="D315" s="21"/>
      <c r="E315" s="19"/>
      <c r="F315" s="19"/>
      <c r="G315" s="23" t="str">
        <f aca="false">IF(A315="","",TEXT(A315,"yyyy-mm"))</f>
        <v/>
      </c>
      <c r="H315" s="22" t="str">
        <f aca="false">IF(A315="","",N(H314)+IF(B315="Masuk",N(D315),-N(D315)))</f>
        <v/>
      </c>
    </row>
    <row r="316" customFormat="false" ht="15" hidden="false" customHeight="false" outlineLevel="0" collapsed="false">
      <c r="A316" s="20"/>
      <c r="B316" s="19"/>
      <c r="C316" s="19"/>
      <c r="D316" s="21"/>
      <c r="E316" s="19"/>
      <c r="F316" s="19"/>
      <c r="G316" s="23" t="str">
        <f aca="false">IF(A316="","",TEXT(A316,"yyyy-mm"))</f>
        <v/>
      </c>
      <c r="H316" s="22" t="str">
        <f aca="false">IF(A316="","",N(H315)+IF(B316="Masuk",N(D316),-N(D316)))</f>
        <v/>
      </c>
    </row>
    <row r="317" customFormat="false" ht="15" hidden="false" customHeight="false" outlineLevel="0" collapsed="false">
      <c r="A317" s="20"/>
      <c r="B317" s="19"/>
      <c r="C317" s="19"/>
      <c r="D317" s="21"/>
      <c r="E317" s="19"/>
      <c r="F317" s="19"/>
      <c r="G317" s="23" t="str">
        <f aca="false">IF(A317="","",TEXT(A317,"yyyy-mm"))</f>
        <v/>
      </c>
      <c r="H317" s="22" t="str">
        <f aca="false">IF(A317="","",N(H316)+IF(B317="Masuk",N(D317),-N(D317)))</f>
        <v/>
      </c>
    </row>
    <row r="318" customFormat="false" ht="15" hidden="false" customHeight="false" outlineLevel="0" collapsed="false">
      <c r="A318" s="20"/>
      <c r="B318" s="19"/>
      <c r="C318" s="19"/>
      <c r="D318" s="21"/>
      <c r="E318" s="19"/>
      <c r="F318" s="19"/>
      <c r="G318" s="23" t="str">
        <f aca="false">IF(A318="","",TEXT(A318,"yyyy-mm"))</f>
        <v/>
      </c>
      <c r="H318" s="22" t="str">
        <f aca="false">IF(A318="","",N(H317)+IF(B318="Masuk",N(D318),-N(D318)))</f>
        <v/>
      </c>
    </row>
    <row r="319" customFormat="false" ht="15" hidden="false" customHeight="false" outlineLevel="0" collapsed="false">
      <c r="A319" s="20"/>
      <c r="B319" s="19"/>
      <c r="C319" s="19"/>
      <c r="D319" s="21"/>
      <c r="E319" s="19"/>
      <c r="F319" s="19"/>
      <c r="G319" s="23" t="str">
        <f aca="false">IF(A319="","",TEXT(A319,"yyyy-mm"))</f>
        <v/>
      </c>
      <c r="H319" s="22" t="str">
        <f aca="false">IF(A319="","",N(H318)+IF(B319="Masuk",N(D319),-N(D319)))</f>
        <v/>
      </c>
    </row>
    <row r="320" customFormat="false" ht="15" hidden="false" customHeight="false" outlineLevel="0" collapsed="false">
      <c r="A320" s="20"/>
      <c r="B320" s="19"/>
      <c r="C320" s="19"/>
      <c r="D320" s="21"/>
      <c r="E320" s="19"/>
      <c r="F320" s="19"/>
      <c r="G320" s="23" t="str">
        <f aca="false">IF(A320="","",TEXT(A320,"yyyy-mm"))</f>
        <v/>
      </c>
      <c r="H320" s="22" t="str">
        <f aca="false">IF(A320="","",N(H319)+IF(B320="Masuk",N(D320),-N(D320)))</f>
        <v/>
      </c>
    </row>
    <row r="321" customFormat="false" ht="15" hidden="false" customHeight="false" outlineLevel="0" collapsed="false">
      <c r="A321" s="20"/>
      <c r="B321" s="19"/>
      <c r="C321" s="19"/>
      <c r="D321" s="21"/>
      <c r="E321" s="19"/>
      <c r="F321" s="19"/>
      <c r="G321" s="23" t="str">
        <f aca="false">IF(A321="","",TEXT(A321,"yyyy-mm"))</f>
        <v/>
      </c>
      <c r="H321" s="22" t="str">
        <f aca="false">IF(A321="","",N(H320)+IF(B321="Masuk",N(D321),-N(D321)))</f>
        <v/>
      </c>
    </row>
    <row r="322" customFormat="false" ht="15" hidden="false" customHeight="false" outlineLevel="0" collapsed="false">
      <c r="A322" s="20"/>
      <c r="B322" s="19"/>
      <c r="C322" s="19"/>
      <c r="D322" s="21"/>
      <c r="E322" s="19"/>
      <c r="F322" s="19"/>
      <c r="G322" s="23" t="str">
        <f aca="false">IF(A322="","",TEXT(A322,"yyyy-mm"))</f>
        <v/>
      </c>
      <c r="H322" s="22" t="str">
        <f aca="false">IF(A322="","",N(H321)+IF(B322="Masuk",N(D322),-N(D322)))</f>
        <v/>
      </c>
    </row>
    <row r="323" customFormat="false" ht="15" hidden="false" customHeight="false" outlineLevel="0" collapsed="false">
      <c r="A323" s="20"/>
      <c r="B323" s="19"/>
      <c r="C323" s="19"/>
      <c r="D323" s="21"/>
      <c r="E323" s="19"/>
      <c r="F323" s="19"/>
      <c r="G323" s="23" t="str">
        <f aca="false">IF(A323="","",TEXT(A323,"yyyy-mm"))</f>
        <v/>
      </c>
      <c r="H323" s="22" t="str">
        <f aca="false">IF(A323="","",N(H322)+IF(B323="Masuk",N(D323),-N(D323)))</f>
        <v/>
      </c>
    </row>
    <row r="324" customFormat="false" ht="15" hidden="false" customHeight="false" outlineLevel="0" collapsed="false">
      <c r="A324" s="20"/>
      <c r="B324" s="19"/>
      <c r="C324" s="19"/>
      <c r="D324" s="21"/>
      <c r="E324" s="19"/>
      <c r="F324" s="19"/>
      <c r="G324" s="23" t="str">
        <f aca="false">IF(A324="","",TEXT(A324,"yyyy-mm"))</f>
        <v/>
      </c>
      <c r="H324" s="22" t="str">
        <f aca="false">IF(A324="","",N(H323)+IF(B324="Masuk",N(D324),-N(D324)))</f>
        <v/>
      </c>
    </row>
    <row r="325" customFormat="false" ht="15" hidden="false" customHeight="false" outlineLevel="0" collapsed="false">
      <c r="A325" s="20"/>
      <c r="B325" s="19"/>
      <c r="C325" s="19"/>
      <c r="D325" s="21"/>
      <c r="E325" s="19"/>
      <c r="F325" s="19"/>
      <c r="G325" s="23" t="str">
        <f aca="false">IF(A325="","",TEXT(A325,"yyyy-mm"))</f>
        <v/>
      </c>
      <c r="H325" s="22" t="str">
        <f aca="false">IF(A325="","",N(H324)+IF(B325="Masuk",N(D325),-N(D325)))</f>
        <v/>
      </c>
    </row>
    <row r="326" customFormat="false" ht="15" hidden="false" customHeight="false" outlineLevel="0" collapsed="false">
      <c r="A326" s="20"/>
      <c r="B326" s="19"/>
      <c r="C326" s="19"/>
      <c r="D326" s="21"/>
      <c r="E326" s="19"/>
      <c r="F326" s="19"/>
      <c r="G326" s="23" t="str">
        <f aca="false">IF(A326="","",TEXT(A326,"yyyy-mm"))</f>
        <v/>
      </c>
      <c r="H326" s="22" t="str">
        <f aca="false">IF(A326="","",N(H325)+IF(B326="Masuk",N(D326),-N(D326)))</f>
        <v/>
      </c>
    </row>
    <row r="327" customFormat="false" ht="15" hidden="false" customHeight="false" outlineLevel="0" collapsed="false">
      <c r="A327" s="20"/>
      <c r="B327" s="19"/>
      <c r="C327" s="19"/>
      <c r="D327" s="21"/>
      <c r="E327" s="19"/>
      <c r="F327" s="19"/>
      <c r="G327" s="23" t="str">
        <f aca="false">IF(A327="","",TEXT(A327,"yyyy-mm"))</f>
        <v/>
      </c>
      <c r="H327" s="22" t="str">
        <f aca="false">IF(A327="","",N(H326)+IF(B327="Masuk",N(D327),-N(D327)))</f>
        <v/>
      </c>
    </row>
    <row r="328" customFormat="false" ht="15" hidden="false" customHeight="false" outlineLevel="0" collapsed="false">
      <c r="A328" s="20"/>
      <c r="B328" s="19"/>
      <c r="C328" s="19"/>
      <c r="D328" s="21"/>
      <c r="E328" s="19"/>
      <c r="F328" s="19"/>
      <c r="G328" s="23" t="str">
        <f aca="false">IF(A328="","",TEXT(A328,"yyyy-mm"))</f>
        <v/>
      </c>
      <c r="H328" s="22" t="str">
        <f aca="false">IF(A328="","",N(H327)+IF(B328="Masuk",N(D328),-N(D328)))</f>
        <v/>
      </c>
    </row>
    <row r="329" customFormat="false" ht="15" hidden="false" customHeight="false" outlineLevel="0" collapsed="false">
      <c r="A329" s="20"/>
      <c r="B329" s="19"/>
      <c r="C329" s="19"/>
      <c r="D329" s="21"/>
      <c r="E329" s="19"/>
      <c r="F329" s="19"/>
      <c r="G329" s="23" t="str">
        <f aca="false">IF(A329="","",TEXT(A329,"yyyy-mm"))</f>
        <v/>
      </c>
      <c r="H329" s="22" t="str">
        <f aca="false">IF(A329="","",N(H328)+IF(B329="Masuk",N(D329),-N(D329)))</f>
        <v/>
      </c>
    </row>
    <row r="330" customFormat="false" ht="15" hidden="false" customHeight="false" outlineLevel="0" collapsed="false">
      <c r="A330" s="20"/>
      <c r="B330" s="19"/>
      <c r="C330" s="19"/>
      <c r="D330" s="21"/>
      <c r="E330" s="19"/>
      <c r="F330" s="19"/>
      <c r="G330" s="23" t="str">
        <f aca="false">IF(A330="","",TEXT(A330,"yyyy-mm"))</f>
        <v/>
      </c>
      <c r="H330" s="22" t="str">
        <f aca="false">IF(A330="","",N(H329)+IF(B330="Masuk",N(D330),-N(D330)))</f>
        <v/>
      </c>
    </row>
    <row r="331" customFormat="false" ht="15" hidden="false" customHeight="false" outlineLevel="0" collapsed="false">
      <c r="A331" s="20"/>
      <c r="B331" s="19"/>
      <c r="C331" s="19"/>
      <c r="D331" s="21"/>
      <c r="E331" s="19"/>
      <c r="F331" s="19"/>
      <c r="G331" s="23" t="str">
        <f aca="false">IF(A331="","",TEXT(A331,"yyyy-mm"))</f>
        <v/>
      </c>
      <c r="H331" s="22" t="str">
        <f aca="false">IF(A331="","",N(H330)+IF(B331="Masuk",N(D331),-N(D331)))</f>
        <v/>
      </c>
    </row>
    <row r="332" customFormat="false" ht="15" hidden="false" customHeight="false" outlineLevel="0" collapsed="false">
      <c r="A332" s="20"/>
      <c r="B332" s="19"/>
      <c r="C332" s="19"/>
      <c r="D332" s="21"/>
      <c r="E332" s="19"/>
      <c r="F332" s="19"/>
      <c r="G332" s="23" t="str">
        <f aca="false">IF(A332="","",TEXT(A332,"yyyy-mm"))</f>
        <v/>
      </c>
      <c r="H332" s="22" t="str">
        <f aca="false">IF(A332="","",N(H331)+IF(B332="Masuk",N(D332),-N(D332)))</f>
        <v/>
      </c>
    </row>
    <row r="333" customFormat="false" ht="15" hidden="false" customHeight="false" outlineLevel="0" collapsed="false">
      <c r="A333" s="20"/>
      <c r="B333" s="19"/>
      <c r="C333" s="19"/>
      <c r="D333" s="21"/>
      <c r="E333" s="19"/>
      <c r="F333" s="19"/>
      <c r="G333" s="23" t="str">
        <f aca="false">IF(A333="","",TEXT(A333,"yyyy-mm"))</f>
        <v/>
      </c>
      <c r="H333" s="22" t="str">
        <f aca="false">IF(A333="","",N(H332)+IF(B333="Masuk",N(D333),-N(D333)))</f>
        <v/>
      </c>
    </row>
    <row r="334" customFormat="false" ht="15" hidden="false" customHeight="false" outlineLevel="0" collapsed="false">
      <c r="A334" s="20"/>
      <c r="B334" s="19"/>
      <c r="C334" s="19"/>
      <c r="D334" s="21"/>
      <c r="E334" s="19"/>
      <c r="F334" s="19"/>
      <c r="G334" s="23" t="str">
        <f aca="false">IF(A334="","",TEXT(A334,"yyyy-mm"))</f>
        <v/>
      </c>
      <c r="H334" s="22" t="str">
        <f aca="false">IF(A334="","",N(H333)+IF(B334="Masuk",N(D334),-N(D334)))</f>
        <v/>
      </c>
    </row>
    <row r="335" customFormat="false" ht="15" hidden="false" customHeight="false" outlineLevel="0" collapsed="false">
      <c r="A335" s="20"/>
      <c r="B335" s="19"/>
      <c r="C335" s="19"/>
      <c r="D335" s="21"/>
      <c r="E335" s="19"/>
      <c r="F335" s="19"/>
      <c r="G335" s="23" t="str">
        <f aca="false">IF(A335="","",TEXT(A335,"yyyy-mm"))</f>
        <v/>
      </c>
      <c r="H335" s="22" t="str">
        <f aca="false">IF(A335="","",N(H334)+IF(B335="Masuk",N(D335),-N(D335)))</f>
        <v/>
      </c>
    </row>
    <row r="336" customFormat="false" ht="15" hidden="false" customHeight="false" outlineLevel="0" collapsed="false">
      <c r="A336" s="20"/>
      <c r="B336" s="19"/>
      <c r="C336" s="19"/>
      <c r="D336" s="21"/>
      <c r="E336" s="19"/>
      <c r="F336" s="19"/>
      <c r="G336" s="23" t="str">
        <f aca="false">IF(A336="","",TEXT(A336,"yyyy-mm"))</f>
        <v/>
      </c>
      <c r="H336" s="22" t="str">
        <f aca="false">IF(A336="","",N(H335)+IF(B336="Masuk",N(D336),-N(D336)))</f>
        <v/>
      </c>
    </row>
    <row r="337" customFormat="false" ht="15" hidden="false" customHeight="false" outlineLevel="0" collapsed="false">
      <c r="A337" s="20"/>
      <c r="B337" s="19"/>
      <c r="C337" s="19"/>
      <c r="D337" s="21"/>
      <c r="E337" s="19"/>
      <c r="F337" s="19"/>
      <c r="G337" s="23" t="str">
        <f aca="false">IF(A337="","",TEXT(A337,"yyyy-mm"))</f>
        <v/>
      </c>
      <c r="H337" s="22" t="str">
        <f aca="false">IF(A337="","",N(H336)+IF(B337="Masuk",N(D337),-N(D337)))</f>
        <v/>
      </c>
    </row>
    <row r="338" customFormat="false" ht="15" hidden="false" customHeight="false" outlineLevel="0" collapsed="false">
      <c r="A338" s="20"/>
      <c r="B338" s="19"/>
      <c r="C338" s="19"/>
      <c r="D338" s="21"/>
      <c r="E338" s="19"/>
      <c r="F338" s="19"/>
      <c r="G338" s="23" t="str">
        <f aca="false">IF(A338="","",TEXT(A338,"yyyy-mm"))</f>
        <v/>
      </c>
      <c r="H338" s="22" t="str">
        <f aca="false">IF(A338="","",N(H337)+IF(B338="Masuk",N(D338),-N(D338)))</f>
        <v/>
      </c>
    </row>
    <row r="339" customFormat="false" ht="15" hidden="false" customHeight="false" outlineLevel="0" collapsed="false">
      <c r="A339" s="20"/>
      <c r="B339" s="19"/>
      <c r="C339" s="19"/>
      <c r="D339" s="21"/>
      <c r="E339" s="19"/>
      <c r="F339" s="19"/>
      <c r="G339" s="23" t="str">
        <f aca="false">IF(A339="","",TEXT(A339,"yyyy-mm"))</f>
        <v/>
      </c>
      <c r="H339" s="22" t="str">
        <f aca="false">IF(A339="","",N(H338)+IF(B339="Masuk",N(D339),-N(D339)))</f>
        <v/>
      </c>
    </row>
    <row r="340" customFormat="false" ht="15" hidden="false" customHeight="false" outlineLevel="0" collapsed="false">
      <c r="A340" s="20"/>
      <c r="B340" s="19"/>
      <c r="C340" s="19"/>
      <c r="D340" s="21"/>
      <c r="E340" s="19"/>
      <c r="F340" s="19"/>
      <c r="G340" s="23" t="str">
        <f aca="false">IF(A340="","",TEXT(A340,"yyyy-mm"))</f>
        <v/>
      </c>
      <c r="H340" s="22" t="str">
        <f aca="false">IF(A340="","",N(H339)+IF(B340="Masuk",N(D340),-N(D340)))</f>
        <v/>
      </c>
    </row>
    <row r="341" customFormat="false" ht="15" hidden="false" customHeight="false" outlineLevel="0" collapsed="false">
      <c r="A341" s="20"/>
      <c r="B341" s="19"/>
      <c r="C341" s="19"/>
      <c r="D341" s="21"/>
      <c r="E341" s="19"/>
      <c r="F341" s="19"/>
      <c r="G341" s="23" t="str">
        <f aca="false">IF(A341="","",TEXT(A341,"yyyy-mm"))</f>
        <v/>
      </c>
      <c r="H341" s="22" t="str">
        <f aca="false">IF(A341="","",N(H340)+IF(B341="Masuk",N(D341),-N(D341)))</f>
        <v/>
      </c>
    </row>
    <row r="342" customFormat="false" ht="15" hidden="false" customHeight="false" outlineLevel="0" collapsed="false">
      <c r="A342" s="20"/>
      <c r="B342" s="19"/>
      <c r="C342" s="19"/>
      <c r="D342" s="21"/>
      <c r="E342" s="19"/>
      <c r="F342" s="19"/>
      <c r="G342" s="23" t="str">
        <f aca="false">IF(A342="","",TEXT(A342,"yyyy-mm"))</f>
        <v/>
      </c>
      <c r="H342" s="22" t="str">
        <f aca="false">IF(A342="","",N(H341)+IF(B342="Masuk",N(D342),-N(D342)))</f>
        <v/>
      </c>
    </row>
    <row r="343" customFormat="false" ht="15" hidden="false" customHeight="false" outlineLevel="0" collapsed="false">
      <c r="A343" s="20"/>
      <c r="B343" s="19"/>
      <c r="C343" s="19"/>
      <c r="D343" s="21"/>
      <c r="E343" s="19"/>
      <c r="F343" s="19"/>
      <c r="G343" s="23" t="str">
        <f aca="false">IF(A343="","",TEXT(A343,"yyyy-mm"))</f>
        <v/>
      </c>
      <c r="H343" s="22" t="str">
        <f aca="false">IF(A343="","",N(H342)+IF(B343="Masuk",N(D343),-N(D343)))</f>
        <v/>
      </c>
    </row>
    <row r="344" customFormat="false" ht="15" hidden="false" customHeight="false" outlineLevel="0" collapsed="false">
      <c r="A344" s="20"/>
      <c r="B344" s="19"/>
      <c r="C344" s="19"/>
      <c r="D344" s="21"/>
      <c r="E344" s="19"/>
      <c r="F344" s="19"/>
      <c r="G344" s="23" t="str">
        <f aca="false">IF(A344="","",TEXT(A344,"yyyy-mm"))</f>
        <v/>
      </c>
      <c r="H344" s="22" t="str">
        <f aca="false">IF(A344="","",N(H343)+IF(B344="Masuk",N(D344),-N(D344)))</f>
        <v/>
      </c>
    </row>
    <row r="345" customFormat="false" ht="15" hidden="false" customHeight="false" outlineLevel="0" collapsed="false">
      <c r="A345" s="20"/>
      <c r="B345" s="19"/>
      <c r="C345" s="19"/>
      <c r="D345" s="21"/>
      <c r="E345" s="19"/>
      <c r="F345" s="19"/>
      <c r="G345" s="23" t="str">
        <f aca="false">IF(A345="","",TEXT(A345,"yyyy-mm"))</f>
        <v/>
      </c>
      <c r="H345" s="22" t="str">
        <f aca="false">IF(A345="","",N(H344)+IF(B345="Masuk",N(D345),-N(D345)))</f>
        <v/>
      </c>
    </row>
    <row r="346" customFormat="false" ht="15" hidden="false" customHeight="false" outlineLevel="0" collapsed="false">
      <c r="A346" s="20"/>
      <c r="B346" s="19"/>
      <c r="C346" s="19"/>
      <c r="D346" s="21"/>
      <c r="E346" s="19"/>
      <c r="F346" s="19"/>
      <c r="G346" s="23" t="str">
        <f aca="false">IF(A346="","",TEXT(A346,"yyyy-mm"))</f>
        <v/>
      </c>
      <c r="H346" s="22" t="str">
        <f aca="false">IF(A346="","",N(H345)+IF(B346="Masuk",N(D346),-N(D346)))</f>
        <v/>
      </c>
    </row>
    <row r="347" customFormat="false" ht="15" hidden="false" customHeight="false" outlineLevel="0" collapsed="false">
      <c r="A347" s="20"/>
      <c r="B347" s="19"/>
      <c r="C347" s="19"/>
      <c r="D347" s="21"/>
      <c r="E347" s="19"/>
      <c r="F347" s="19"/>
      <c r="G347" s="23" t="str">
        <f aca="false">IF(A347="","",TEXT(A347,"yyyy-mm"))</f>
        <v/>
      </c>
      <c r="H347" s="22" t="str">
        <f aca="false">IF(A347="","",N(H346)+IF(B347="Masuk",N(D347),-N(D347)))</f>
        <v/>
      </c>
    </row>
    <row r="348" customFormat="false" ht="15" hidden="false" customHeight="false" outlineLevel="0" collapsed="false">
      <c r="A348" s="20"/>
      <c r="B348" s="19"/>
      <c r="C348" s="19"/>
      <c r="D348" s="21"/>
      <c r="E348" s="19"/>
      <c r="F348" s="19"/>
      <c r="G348" s="23" t="str">
        <f aca="false">IF(A348="","",TEXT(A348,"yyyy-mm"))</f>
        <v/>
      </c>
      <c r="H348" s="22" t="str">
        <f aca="false">IF(A348="","",N(H347)+IF(B348="Masuk",N(D348),-N(D348)))</f>
        <v/>
      </c>
    </row>
    <row r="349" customFormat="false" ht="15" hidden="false" customHeight="false" outlineLevel="0" collapsed="false">
      <c r="A349" s="20"/>
      <c r="B349" s="19"/>
      <c r="C349" s="19"/>
      <c r="D349" s="21"/>
      <c r="E349" s="19"/>
      <c r="F349" s="19"/>
      <c r="G349" s="23" t="str">
        <f aca="false">IF(A349="","",TEXT(A349,"yyyy-mm"))</f>
        <v/>
      </c>
      <c r="H349" s="22" t="str">
        <f aca="false">IF(A349="","",N(H348)+IF(B349="Masuk",N(D349),-N(D349)))</f>
        <v/>
      </c>
    </row>
    <row r="350" customFormat="false" ht="15" hidden="false" customHeight="false" outlineLevel="0" collapsed="false">
      <c r="A350" s="20"/>
      <c r="B350" s="19"/>
      <c r="C350" s="19"/>
      <c r="D350" s="21"/>
      <c r="E350" s="19"/>
      <c r="F350" s="19"/>
      <c r="G350" s="23" t="str">
        <f aca="false">IF(A350="","",TEXT(A350,"yyyy-mm"))</f>
        <v/>
      </c>
      <c r="H350" s="22" t="str">
        <f aca="false">IF(A350="","",N(H349)+IF(B350="Masuk",N(D350),-N(D350)))</f>
        <v/>
      </c>
    </row>
    <row r="351" customFormat="false" ht="15" hidden="false" customHeight="false" outlineLevel="0" collapsed="false">
      <c r="A351" s="20"/>
      <c r="B351" s="19"/>
      <c r="C351" s="19"/>
      <c r="D351" s="21"/>
      <c r="E351" s="19"/>
      <c r="F351" s="19"/>
      <c r="G351" s="23" t="str">
        <f aca="false">IF(A351="","",TEXT(A351,"yyyy-mm"))</f>
        <v/>
      </c>
      <c r="H351" s="22" t="str">
        <f aca="false">IF(A351="","",N(H350)+IF(B351="Masuk",N(D351),-N(D351)))</f>
        <v/>
      </c>
    </row>
    <row r="352" customFormat="false" ht="15" hidden="false" customHeight="false" outlineLevel="0" collapsed="false">
      <c r="A352" s="20"/>
      <c r="B352" s="19"/>
      <c r="C352" s="19"/>
      <c r="D352" s="21"/>
      <c r="E352" s="19"/>
      <c r="F352" s="19"/>
      <c r="G352" s="23" t="str">
        <f aca="false">IF(A352="","",TEXT(A352,"yyyy-mm"))</f>
        <v/>
      </c>
      <c r="H352" s="22" t="str">
        <f aca="false">IF(A352="","",N(H351)+IF(B352="Masuk",N(D352),-N(D352)))</f>
        <v/>
      </c>
    </row>
    <row r="353" customFormat="false" ht="15" hidden="false" customHeight="false" outlineLevel="0" collapsed="false">
      <c r="A353" s="20"/>
      <c r="B353" s="19"/>
      <c r="C353" s="19"/>
      <c r="D353" s="21"/>
      <c r="E353" s="19"/>
      <c r="F353" s="19"/>
      <c r="G353" s="23" t="str">
        <f aca="false">IF(A353="","",TEXT(A353,"yyyy-mm"))</f>
        <v/>
      </c>
      <c r="H353" s="22" t="str">
        <f aca="false">IF(A353="","",N(H352)+IF(B353="Masuk",N(D353),-N(D353)))</f>
        <v/>
      </c>
    </row>
    <row r="354" customFormat="false" ht="15" hidden="false" customHeight="false" outlineLevel="0" collapsed="false">
      <c r="A354" s="20"/>
      <c r="B354" s="19"/>
      <c r="C354" s="19"/>
      <c r="D354" s="21"/>
      <c r="E354" s="19"/>
      <c r="F354" s="19"/>
      <c r="G354" s="23" t="str">
        <f aca="false">IF(A354="","",TEXT(A354,"yyyy-mm"))</f>
        <v/>
      </c>
      <c r="H354" s="22" t="str">
        <f aca="false">IF(A354="","",N(H353)+IF(B354="Masuk",N(D354),-N(D354)))</f>
        <v/>
      </c>
    </row>
    <row r="355" customFormat="false" ht="15" hidden="false" customHeight="false" outlineLevel="0" collapsed="false">
      <c r="A355" s="20"/>
      <c r="B355" s="19"/>
      <c r="C355" s="19"/>
      <c r="D355" s="21"/>
      <c r="E355" s="19"/>
      <c r="F355" s="19"/>
      <c r="G355" s="23" t="str">
        <f aca="false">IF(A355="","",TEXT(A355,"yyyy-mm"))</f>
        <v/>
      </c>
      <c r="H355" s="22" t="str">
        <f aca="false">IF(A355="","",N(H354)+IF(B355="Masuk",N(D355),-N(D355)))</f>
        <v/>
      </c>
    </row>
    <row r="356" customFormat="false" ht="15" hidden="false" customHeight="false" outlineLevel="0" collapsed="false">
      <c r="A356" s="20"/>
      <c r="B356" s="19"/>
      <c r="C356" s="19"/>
      <c r="D356" s="21"/>
      <c r="E356" s="19"/>
      <c r="F356" s="19"/>
      <c r="G356" s="23" t="str">
        <f aca="false">IF(A356="","",TEXT(A356,"yyyy-mm"))</f>
        <v/>
      </c>
      <c r="H356" s="22" t="str">
        <f aca="false">IF(A356="","",N(H355)+IF(B356="Masuk",N(D356),-N(D356)))</f>
        <v/>
      </c>
    </row>
    <row r="357" customFormat="false" ht="15" hidden="false" customHeight="false" outlineLevel="0" collapsed="false">
      <c r="A357" s="20"/>
      <c r="B357" s="19"/>
      <c r="C357" s="19"/>
      <c r="D357" s="21"/>
      <c r="E357" s="19"/>
      <c r="F357" s="19"/>
      <c r="G357" s="23" t="str">
        <f aca="false">IF(A357="","",TEXT(A357,"yyyy-mm"))</f>
        <v/>
      </c>
      <c r="H357" s="22" t="str">
        <f aca="false">IF(A357="","",N(H356)+IF(B357="Masuk",N(D357),-N(D357)))</f>
        <v/>
      </c>
    </row>
    <row r="358" customFormat="false" ht="15" hidden="false" customHeight="false" outlineLevel="0" collapsed="false">
      <c r="A358" s="20"/>
      <c r="B358" s="19"/>
      <c r="C358" s="19"/>
      <c r="D358" s="21"/>
      <c r="E358" s="19"/>
      <c r="F358" s="19"/>
      <c r="G358" s="23" t="str">
        <f aca="false">IF(A358="","",TEXT(A358,"yyyy-mm"))</f>
        <v/>
      </c>
      <c r="H358" s="22" t="str">
        <f aca="false">IF(A358="","",N(H357)+IF(B358="Masuk",N(D358),-N(D358)))</f>
        <v/>
      </c>
    </row>
    <row r="359" customFormat="false" ht="15" hidden="false" customHeight="false" outlineLevel="0" collapsed="false">
      <c r="A359" s="20"/>
      <c r="B359" s="19"/>
      <c r="C359" s="19"/>
      <c r="D359" s="21"/>
      <c r="E359" s="19"/>
      <c r="F359" s="19"/>
      <c r="G359" s="23" t="str">
        <f aca="false">IF(A359="","",TEXT(A359,"yyyy-mm"))</f>
        <v/>
      </c>
      <c r="H359" s="22" t="str">
        <f aca="false">IF(A359="","",N(H358)+IF(B359="Masuk",N(D359),-N(D359)))</f>
        <v/>
      </c>
    </row>
    <row r="360" customFormat="false" ht="15" hidden="false" customHeight="false" outlineLevel="0" collapsed="false">
      <c r="A360" s="20"/>
      <c r="B360" s="19"/>
      <c r="C360" s="19"/>
      <c r="D360" s="21"/>
      <c r="E360" s="19"/>
      <c r="F360" s="19"/>
      <c r="G360" s="23" t="str">
        <f aca="false">IF(A360="","",TEXT(A360,"yyyy-mm"))</f>
        <v/>
      </c>
      <c r="H360" s="22" t="str">
        <f aca="false">IF(A360="","",N(H359)+IF(B360="Masuk",N(D360),-N(D360)))</f>
        <v/>
      </c>
    </row>
    <row r="361" customFormat="false" ht="15" hidden="false" customHeight="false" outlineLevel="0" collapsed="false">
      <c r="A361" s="20"/>
      <c r="B361" s="19"/>
      <c r="C361" s="19"/>
      <c r="D361" s="21"/>
      <c r="E361" s="19"/>
      <c r="F361" s="19"/>
      <c r="G361" s="23" t="str">
        <f aca="false">IF(A361="","",TEXT(A361,"yyyy-mm"))</f>
        <v/>
      </c>
      <c r="H361" s="22" t="str">
        <f aca="false">IF(A361="","",N(H360)+IF(B361="Masuk",N(D361),-N(D361)))</f>
        <v/>
      </c>
    </row>
    <row r="362" customFormat="false" ht="15" hidden="false" customHeight="false" outlineLevel="0" collapsed="false">
      <c r="A362" s="20"/>
      <c r="B362" s="19"/>
      <c r="C362" s="19"/>
      <c r="D362" s="21"/>
      <c r="E362" s="19"/>
      <c r="F362" s="19"/>
      <c r="G362" s="23" t="str">
        <f aca="false">IF(A362="","",TEXT(A362,"yyyy-mm"))</f>
        <v/>
      </c>
      <c r="H362" s="22" t="str">
        <f aca="false">IF(A362="","",N(H361)+IF(B362="Masuk",N(D362),-N(D362)))</f>
        <v/>
      </c>
    </row>
    <row r="363" customFormat="false" ht="15" hidden="false" customHeight="false" outlineLevel="0" collapsed="false">
      <c r="A363" s="20"/>
      <c r="B363" s="19"/>
      <c r="C363" s="19"/>
      <c r="D363" s="21"/>
      <c r="E363" s="19"/>
      <c r="F363" s="19"/>
      <c r="G363" s="23" t="str">
        <f aca="false">IF(A363="","",TEXT(A363,"yyyy-mm"))</f>
        <v/>
      </c>
      <c r="H363" s="22" t="str">
        <f aca="false">IF(A363="","",N(H362)+IF(B363="Masuk",N(D363),-N(D363)))</f>
        <v/>
      </c>
    </row>
    <row r="364" customFormat="false" ht="15" hidden="false" customHeight="false" outlineLevel="0" collapsed="false">
      <c r="A364" s="20"/>
      <c r="B364" s="19"/>
      <c r="C364" s="19"/>
      <c r="D364" s="21"/>
      <c r="E364" s="19"/>
      <c r="F364" s="19"/>
      <c r="G364" s="23" t="str">
        <f aca="false">IF(A364="","",TEXT(A364,"yyyy-mm"))</f>
        <v/>
      </c>
      <c r="H364" s="22" t="str">
        <f aca="false">IF(A364="","",N(H363)+IF(B364="Masuk",N(D364),-N(D364)))</f>
        <v/>
      </c>
    </row>
    <row r="365" customFormat="false" ht="15" hidden="false" customHeight="false" outlineLevel="0" collapsed="false">
      <c r="A365" s="20"/>
      <c r="B365" s="19"/>
      <c r="C365" s="19"/>
      <c r="D365" s="21"/>
      <c r="E365" s="19"/>
      <c r="F365" s="19"/>
      <c r="G365" s="23" t="str">
        <f aca="false">IF(A365="","",TEXT(A365,"yyyy-mm"))</f>
        <v/>
      </c>
      <c r="H365" s="22" t="str">
        <f aca="false">IF(A365="","",N(H364)+IF(B365="Masuk",N(D365),-N(D365)))</f>
        <v/>
      </c>
    </row>
    <row r="366" customFormat="false" ht="15" hidden="false" customHeight="false" outlineLevel="0" collapsed="false">
      <c r="A366" s="20"/>
      <c r="B366" s="19"/>
      <c r="C366" s="19"/>
      <c r="D366" s="21"/>
      <c r="E366" s="19"/>
      <c r="F366" s="19"/>
      <c r="G366" s="23" t="str">
        <f aca="false">IF(A366="","",TEXT(A366,"yyyy-mm"))</f>
        <v/>
      </c>
      <c r="H366" s="22" t="str">
        <f aca="false">IF(A366="","",N(H365)+IF(B366="Masuk",N(D366),-N(D366)))</f>
        <v/>
      </c>
    </row>
    <row r="367" customFormat="false" ht="15" hidden="false" customHeight="false" outlineLevel="0" collapsed="false">
      <c r="A367" s="20"/>
      <c r="B367" s="19"/>
      <c r="C367" s="19"/>
      <c r="D367" s="21"/>
      <c r="E367" s="19"/>
      <c r="F367" s="19"/>
      <c r="G367" s="23" t="str">
        <f aca="false">IF(A367="","",TEXT(A367,"yyyy-mm"))</f>
        <v/>
      </c>
      <c r="H367" s="22" t="str">
        <f aca="false">IF(A367="","",N(H366)+IF(B367="Masuk",N(D367),-N(D367)))</f>
        <v/>
      </c>
    </row>
    <row r="368" customFormat="false" ht="15" hidden="false" customHeight="false" outlineLevel="0" collapsed="false">
      <c r="A368" s="20"/>
      <c r="B368" s="19"/>
      <c r="C368" s="19"/>
      <c r="D368" s="21"/>
      <c r="E368" s="19"/>
      <c r="F368" s="19"/>
      <c r="G368" s="23" t="str">
        <f aca="false">IF(A368="","",TEXT(A368,"yyyy-mm"))</f>
        <v/>
      </c>
      <c r="H368" s="22" t="str">
        <f aca="false">IF(A368="","",N(H367)+IF(B368="Masuk",N(D368),-N(D368)))</f>
        <v/>
      </c>
    </row>
    <row r="369" customFormat="false" ht="15" hidden="false" customHeight="false" outlineLevel="0" collapsed="false">
      <c r="A369" s="20"/>
      <c r="B369" s="19"/>
      <c r="C369" s="19"/>
      <c r="D369" s="21"/>
      <c r="E369" s="19"/>
      <c r="F369" s="19"/>
      <c r="G369" s="23" t="str">
        <f aca="false">IF(A369="","",TEXT(A369,"yyyy-mm"))</f>
        <v/>
      </c>
      <c r="H369" s="22" t="str">
        <f aca="false">IF(A369="","",N(H368)+IF(B369="Masuk",N(D369),-N(D369)))</f>
        <v/>
      </c>
    </row>
    <row r="370" customFormat="false" ht="15" hidden="false" customHeight="false" outlineLevel="0" collapsed="false">
      <c r="A370" s="20"/>
      <c r="B370" s="19"/>
      <c r="C370" s="19"/>
      <c r="D370" s="21"/>
      <c r="E370" s="19"/>
      <c r="F370" s="19"/>
      <c r="G370" s="23" t="str">
        <f aca="false">IF(A370="","",TEXT(A370,"yyyy-mm"))</f>
        <v/>
      </c>
      <c r="H370" s="22" t="str">
        <f aca="false">IF(A370="","",N(H369)+IF(B370="Masuk",N(D370),-N(D370)))</f>
        <v/>
      </c>
    </row>
    <row r="371" customFormat="false" ht="15" hidden="false" customHeight="false" outlineLevel="0" collapsed="false">
      <c r="A371" s="20"/>
      <c r="B371" s="19"/>
      <c r="C371" s="19"/>
      <c r="D371" s="21"/>
      <c r="E371" s="19"/>
      <c r="F371" s="19"/>
      <c r="G371" s="23" t="str">
        <f aca="false">IF(A371="","",TEXT(A371,"yyyy-mm"))</f>
        <v/>
      </c>
      <c r="H371" s="22" t="str">
        <f aca="false">IF(A371="","",N(H370)+IF(B371="Masuk",N(D371),-N(D371)))</f>
        <v/>
      </c>
    </row>
    <row r="372" customFormat="false" ht="15" hidden="false" customHeight="false" outlineLevel="0" collapsed="false">
      <c r="A372" s="20"/>
      <c r="B372" s="19"/>
      <c r="C372" s="19"/>
      <c r="D372" s="21"/>
      <c r="E372" s="19"/>
      <c r="F372" s="19"/>
      <c r="G372" s="23" t="str">
        <f aca="false">IF(A372="","",TEXT(A372,"yyyy-mm"))</f>
        <v/>
      </c>
      <c r="H372" s="22" t="str">
        <f aca="false">IF(A372="","",N(H371)+IF(B372="Masuk",N(D372),-N(D372)))</f>
        <v/>
      </c>
    </row>
    <row r="373" customFormat="false" ht="15" hidden="false" customHeight="false" outlineLevel="0" collapsed="false">
      <c r="A373" s="20"/>
      <c r="B373" s="19"/>
      <c r="C373" s="19"/>
      <c r="D373" s="21"/>
      <c r="E373" s="19"/>
      <c r="F373" s="19"/>
      <c r="G373" s="23" t="str">
        <f aca="false">IF(A373="","",TEXT(A373,"yyyy-mm"))</f>
        <v/>
      </c>
      <c r="H373" s="22" t="str">
        <f aca="false">IF(A373="","",N(H372)+IF(B373="Masuk",N(D373),-N(D373)))</f>
        <v/>
      </c>
    </row>
    <row r="374" customFormat="false" ht="15" hidden="false" customHeight="false" outlineLevel="0" collapsed="false">
      <c r="A374" s="20"/>
      <c r="B374" s="19"/>
      <c r="C374" s="19"/>
      <c r="D374" s="21"/>
      <c r="E374" s="19"/>
      <c r="F374" s="19"/>
      <c r="G374" s="23" t="str">
        <f aca="false">IF(A374="","",TEXT(A374,"yyyy-mm"))</f>
        <v/>
      </c>
      <c r="H374" s="22" t="str">
        <f aca="false">IF(A374="","",N(H373)+IF(B374="Masuk",N(D374),-N(D374)))</f>
        <v/>
      </c>
    </row>
    <row r="375" customFormat="false" ht="15" hidden="false" customHeight="false" outlineLevel="0" collapsed="false">
      <c r="A375" s="20"/>
      <c r="B375" s="19"/>
      <c r="C375" s="19"/>
      <c r="D375" s="21"/>
      <c r="E375" s="19"/>
      <c r="F375" s="19"/>
      <c r="G375" s="23" t="str">
        <f aca="false">IF(A375="","",TEXT(A375,"yyyy-mm"))</f>
        <v/>
      </c>
      <c r="H375" s="22" t="str">
        <f aca="false">IF(A375="","",N(H374)+IF(B375="Masuk",N(D375),-N(D375)))</f>
        <v/>
      </c>
    </row>
    <row r="376" customFormat="false" ht="15" hidden="false" customHeight="false" outlineLevel="0" collapsed="false">
      <c r="A376" s="20"/>
      <c r="B376" s="19"/>
      <c r="C376" s="19"/>
      <c r="D376" s="21"/>
      <c r="E376" s="19"/>
      <c r="F376" s="19"/>
      <c r="G376" s="23" t="str">
        <f aca="false">IF(A376="","",TEXT(A376,"yyyy-mm"))</f>
        <v/>
      </c>
      <c r="H376" s="22" t="str">
        <f aca="false">IF(A376="","",N(H375)+IF(B376="Masuk",N(D376),-N(D376)))</f>
        <v/>
      </c>
    </row>
    <row r="377" customFormat="false" ht="15" hidden="false" customHeight="false" outlineLevel="0" collapsed="false">
      <c r="A377" s="20"/>
      <c r="B377" s="19"/>
      <c r="C377" s="19"/>
      <c r="D377" s="21"/>
      <c r="E377" s="19"/>
      <c r="F377" s="19"/>
      <c r="G377" s="23" t="str">
        <f aca="false">IF(A377="","",TEXT(A377,"yyyy-mm"))</f>
        <v/>
      </c>
      <c r="H377" s="22" t="str">
        <f aca="false">IF(A377="","",N(H376)+IF(B377="Masuk",N(D377),-N(D377)))</f>
        <v/>
      </c>
    </row>
    <row r="378" customFormat="false" ht="15" hidden="false" customHeight="false" outlineLevel="0" collapsed="false">
      <c r="A378" s="20"/>
      <c r="B378" s="19"/>
      <c r="C378" s="19"/>
      <c r="D378" s="21"/>
      <c r="E378" s="19"/>
      <c r="F378" s="19"/>
      <c r="G378" s="23" t="str">
        <f aca="false">IF(A378="","",TEXT(A378,"yyyy-mm"))</f>
        <v/>
      </c>
      <c r="H378" s="22" t="str">
        <f aca="false">IF(A378="","",N(H377)+IF(B378="Masuk",N(D378),-N(D378)))</f>
        <v/>
      </c>
    </row>
    <row r="379" customFormat="false" ht="15" hidden="false" customHeight="false" outlineLevel="0" collapsed="false">
      <c r="A379" s="20"/>
      <c r="B379" s="19"/>
      <c r="C379" s="19"/>
      <c r="D379" s="21"/>
      <c r="E379" s="19"/>
      <c r="F379" s="19"/>
      <c r="G379" s="23" t="str">
        <f aca="false">IF(A379="","",TEXT(A379,"yyyy-mm"))</f>
        <v/>
      </c>
      <c r="H379" s="22" t="str">
        <f aca="false">IF(A379="","",N(H378)+IF(B379="Masuk",N(D379),-N(D379)))</f>
        <v/>
      </c>
    </row>
    <row r="380" customFormat="false" ht="15" hidden="false" customHeight="false" outlineLevel="0" collapsed="false">
      <c r="A380" s="20"/>
      <c r="B380" s="19"/>
      <c r="C380" s="19"/>
      <c r="D380" s="21"/>
      <c r="E380" s="19"/>
      <c r="F380" s="19"/>
      <c r="G380" s="23" t="str">
        <f aca="false">IF(A380="","",TEXT(A380,"yyyy-mm"))</f>
        <v/>
      </c>
      <c r="H380" s="22" t="str">
        <f aca="false">IF(A380="","",N(H379)+IF(B380="Masuk",N(D380),-N(D380)))</f>
        <v/>
      </c>
    </row>
    <row r="381" customFormat="false" ht="15" hidden="false" customHeight="false" outlineLevel="0" collapsed="false">
      <c r="A381" s="20"/>
      <c r="B381" s="19"/>
      <c r="C381" s="19"/>
      <c r="D381" s="21"/>
      <c r="E381" s="19"/>
      <c r="F381" s="19"/>
      <c r="G381" s="23" t="str">
        <f aca="false">IF(A381="","",TEXT(A381,"yyyy-mm"))</f>
        <v/>
      </c>
      <c r="H381" s="22" t="str">
        <f aca="false">IF(A381="","",N(H380)+IF(B381="Masuk",N(D381),-N(D381)))</f>
        <v/>
      </c>
    </row>
    <row r="382" customFormat="false" ht="15" hidden="false" customHeight="false" outlineLevel="0" collapsed="false">
      <c r="A382" s="20"/>
      <c r="B382" s="19"/>
      <c r="C382" s="19"/>
      <c r="D382" s="21"/>
      <c r="E382" s="19"/>
      <c r="F382" s="19"/>
      <c r="G382" s="23" t="str">
        <f aca="false">IF(A382="","",TEXT(A382,"yyyy-mm"))</f>
        <v/>
      </c>
      <c r="H382" s="22" t="str">
        <f aca="false">IF(A382="","",N(H381)+IF(B382="Masuk",N(D382),-N(D382)))</f>
        <v/>
      </c>
    </row>
    <row r="383" customFormat="false" ht="15" hidden="false" customHeight="false" outlineLevel="0" collapsed="false">
      <c r="A383" s="20"/>
      <c r="B383" s="19"/>
      <c r="C383" s="19"/>
      <c r="D383" s="21"/>
      <c r="E383" s="19"/>
      <c r="F383" s="19"/>
      <c r="G383" s="23" t="str">
        <f aca="false">IF(A383="","",TEXT(A383,"yyyy-mm"))</f>
        <v/>
      </c>
      <c r="H383" s="22" t="str">
        <f aca="false">IF(A383="","",N(H382)+IF(B383="Masuk",N(D383),-N(D383)))</f>
        <v/>
      </c>
    </row>
    <row r="384" customFormat="false" ht="15" hidden="false" customHeight="false" outlineLevel="0" collapsed="false">
      <c r="A384" s="20"/>
      <c r="B384" s="19"/>
      <c r="C384" s="19"/>
      <c r="D384" s="21"/>
      <c r="E384" s="19"/>
      <c r="F384" s="19"/>
      <c r="G384" s="23" t="str">
        <f aca="false">IF(A384="","",TEXT(A384,"yyyy-mm"))</f>
        <v/>
      </c>
      <c r="H384" s="22" t="str">
        <f aca="false">IF(A384="","",N(H383)+IF(B384="Masuk",N(D384),-N(D384)))</f>
        <v/>
      </c>
    </row>
    <row r="385" customFormat="false" ht="15" hidden="false" customHeight="false" outlineLevel="0" collapsed="false">
      <c r="A385" s="20"/>
      <c r="B385" s="19"/>
      <c r="C385" s="19"/>
      <c r="D385" s="21"/>
      <c r="E385" s="19"/>
      <c r="F385" s="19"/>
      <c r="G385" s="23" t="str">
        <f aca="false">IF(A385="","",TEXT(A385,"yyyy-mm"))</f>
        <v/>
      </c>
      <c r="H385" s="22" t="str">
        <f aca="false">IF(A385="","",N(H384)+IF(B385="Masuk",N(D385),-N(D385)))</f>
        <v/>
      </c>
    </row>
    <row r="386" customFormat="false" ht="15" hidden="false" customHeight="false" outlineLevel="0" collapsed="false">
      <c r="A386" s="20"/>
      <c r="B386" s="19"/>
      <c r="C386" s="19"/>
      <c r="D386" s="21"/>
      <c r="E386" s="19"/>
      <c r="F386" s="19"/>
      <c r="G386" s="23" t="str">
        <f aca="false">IF(A386="","",TEXT(A386,"yyyy-mm"))</f>
        <v/>
      </c>
      <c r="H386" s="22" t="str">
        <f aca="false">IF(A386="","",N(H385)+IF(B386="Masuk",N(D386),-N(D386)))</f>
        <v/>
      </c>
    </row>
    <row r="387" customFormat="false" ht="15" hidden="false" customHeight="false" outlineLevel="0" collapsed="false">
      <c r="A387" s="20"/>
      <c r="B387" s="19"/>
      <c r="C387" s="19"/>
      <c r="D387" s="21"/>
      <c r="E387" s="19"/>
      <c r="F387" s="19"/>
      <c r="G387" s="23" t="str">
        <f aca="false">IF(A387="","",TEXT(A387,"yyyy-mm"))</f>
        <v/>
      </c>
      <c r="H387" s="22" t="str">
        <f aca="false">IF(A387="","",N(H386)+IF(B387="Masuk",N(D387),-N(D387)))</f>
        <v/>
      </c>
    </row>
    <row r="388" customFormat="false" ht="15" hidden="false" customHeight="false" outlineLevel="0" collapsed="false">
      <c r="A388" s="20"/>
      <c r="B388" s="19"/>
      <c r="C388" s="19"/>
      <c r="D388" s="21"/>
      <c r="E388" s="19"/>
      <c r="F388" s="19"/>
      <c r="G388" s="23" t="str">
        <f aca="false">IF(A388="","",TEXT(A388,"yyyy-mm"))</f>
        <v/>
      </c>
      <c r="H388" s="22" t="str">
        <f aca="false">IF(A388="","",N(H387)+IF(B388="Masuk",N(D388),-N(D388)))</f>
        <v/>
      </c>
    </row>
    <row r="389" customFormat="false" ht="15" hidden="false" customHeight="false" outlineLevel="0" collapsed="false">
      <c r="A389" s="20"/>
      <c r="B389" s="19"/>
      <c r="C389" s="19"/>
      <c r="D389" s="21"/>
      <c r="E389" s="19"/>
      <c r="F389" s="19"/>
      <c r="G389" s="23" t="str">
        <f aca="false">IF(A389="","",TEXT(A389,"yyyy-mm"))</f>
        <v/>
      </c>
      <c r="H389" s="22" t="str">
        <f aca="false">IF(A389="","",N(H388)+IF(B389="Masuk",N(D389),-N(D389)))</f>
        <v/>
      </c>
    </row>
    <row r="390" customFormat="false" ht="15" hidden="false" customHeight="false" outlineLevel="0" collapsed="false">
      <c r="A390" s="20"/>
      <c r="B390" s="19"/>
      <c r="C390" s="19"/>
      <c r="D390" s="21"/>
      <c r="E390" s="19"/>
      <c r="F390" s="19"/>
      <c r="G390" s="23" t="str">
        <f aca="false">IF(A390="","",TEXT(A390,"yyyy-mm"))</f>
        <v/>
      </c>
      <c r="H390" s="22" t="str">
        <f aca="false">IF(A390="","",N(H389)+IF(B390="Masuk",N(D390),-N(D390)))</f>
        <v/>
      </c>
    </row>
    <row r="391" customFormat="false" ht="15" hidden="false" customHeight="false" outlineLevel="0" collapsed="false">
      <c r="A391" s="20"/>
      <c r="B391" s="19"/>
      <c r="C391" s="19"/>
      <c r="D391" s="21"/>
      <c r="E391" s="19"/>
      <c r="F391" s="19"/>
      <c r="G391" s="23" t="str">
        <f aca="false">IF(A391="","",TEXT(A391,"yyyy-mm"))</f>
        <v/>
      </c>
      <c r="H391" s="22" t="str">
        <f aca="false">IF(A391="","",N(H390)+IF(B391="Masuk",N(D391),-N(D391)))</f>
        <v/>
      </c>
    </row>
    <row r="392" customFormat="false" ht="15" hidden="false" customHeight="false" outlineLevel="0" collapsed="false">
      <c r="A392" s="20"/>
      <c r="B392" s="19"/>
      <c r="C392" s="19"/>
      <c r="D392" s="21"/>
      <c r="E392" s="19"/>
      <c r="F392" s="19"/>
      <c r="G392" s="23" t="str">
        <f aca="false">IF(A392="","",TEXT(A392,"yyyy-mm"))</f>
        <v/>
      </c>
      <c r="H392" s="22" t="str">
        <f aca="false">IF(A392="","",N(H391)+IF(B392="Masuk",N(D392),-N(D392)))</f>
        <v/>
      </c>
    </row>
    <row r="393" customFormat="false" ht="15" hidden="false" customHeight="false" outlineLevel="0" collapsed="false">
      <c r="A393" s="20"/>
      <c r="B393" s="19"/>
      <c r="C393" s="19"/>
      <c r="D393" s="21"/>
      <c r="E393" s="19"/>
      <c r="F393" s="19"/>
      <c r="G393" s="23" t="str">
        <f aca="false">IF(A393="","",TEXT(A393,"yyyy-mm"))</f>
        <v/>
      </c>
      <c r="H393" s="22" t="str">
        <f aca="false">IF(A393="","",N(H392)+IF(B393="Masuk",N(D393),-N(D393)))</f>
        <v/>
      </c>
    </row>
    <row r="394" customFormat="false" ht="15" hidden="false" customHeight="false" outlineLevel="0" collapsed="false">
      <c r="A394" s="20"/>
      <c r="B394" s="19"/>
      <c r="C394" s="19"/>
      <c r="D394" s="21"/>
      <c r="E394" s="19"/>
      <c r="F394" s="19"/>
      <c r="G394" s="23" t="str">
        <f aca="false">IF(A394="","",TEXT(A394,"yyyy-mm"))</f>
        <v/>
      </c>
      <c r="H394" s="22" t="str">
        <f aca="false">IF(A394="","",N(H393)+IF(B394="Masuk",N(D394),-N(D394)))</f>
        <v/>
      </c>
    </row>
    <row r="395" customFormat="false" ht="15" hidden="false" customHeight="false" outlineLevel="0" collapsed="false">
      <c r="A395" s="20"/>
      <c r="B395" s="19"/>
      <c r="C395" s="19"/>
      <c r="D395" s="21"/>
      <c r="E395" s="19"/>
      <c r="F395" s="19"/>
      <c r="G395" s="23" t="str">
        <f aca="false">IF(A395="","",TEXT(A395,"yyyy-mm"))</f>
        <v/>
      </c>
      <c r="H395" s="22" t="str">
        <f aca="false">IF(A395="","",N(H394)+IF(B395="Masuk",N(D395),-N(D395)))</f>
        <v/>
      </c>
    </row>
    <row r="396" customFormat="false" ht="15" hidden="false" customHeight="false" outlineLevel="0" collapsed="false">
      <c r="A396" s="20"/>
      <c r="B396" s="19"/>
      <c r="C396" s="19"/>
      <c r="D396" s="21"/>
      <c r="E396" s="19"/>
      <c r="F396" s="19"/>
      <c r="G396" s="23" t="str">
        <f aca="false">IF(A396="","",TEXT(A396,"yyyy-mm"))</f>
        <v/>
      </c>
      <c r="H396" s="22" t="str">
        <f aca="false">IF(A396="","",N(H395)+IF(B396="Masuk",N(D396),-N(D396)))</f>
        <v/>
      </c>
    </row>
    <row r="397" customFormat="false" ht="15" hidden="false" customHeight="false" outlineLevel="0" collapsed="false">
      <c r="A397" s="20"/>
      <c r="B397" s="19"/>
      <c r="C397" s="19"/>
      <c r="D397" s="21"/>
      <c r="E397" s="19"/>
      <c r="F397" s="19"/>
      <c r="G397" s="23" t="str">
        <f aca="false">IF(A397="","",TEXT(A397,"yyyy-mm"))</f>
        <v/>
      </c>
      <c r="H397" s="22" t="str">
        <f aca="false">IF(A397="","",N(H396)+IF(B397="Masuk",N(D397),-N(D397)))</f>
        <v/>
      </c>
    </row>
    <row r="398" customFormat="false" ht="15" hidden="false" customHeight="false" outlineLevel="0" collapsed="false">
      <c r="A398" s="20"/>
      <c r="B398" s="19"/>
      <c r="C398" s="19"/>
      <c r="D398" s="21"/>
      <c r="E398" s="19"/>
      <c r="F398" s="19"/>
      <c r="G398" s="23" t="str">
        <f aca="false">IF(A398="","",TEXT(A398,"yyyy-mm"))</f>
        <v/>
      </c>
      <c r="H398" s="22" t="str">
        <f aca="false">IF(A398="","",N(H397)+IF(B398="Masuk",N(D398),-N(D398)))</f>
        <v/>
      </c>
    </row>
    <row r="399" customFormat="false" ht="15" hidden="false" customHeight="false" outlineLevel="0" collapsed="false">
      <c r="A399" s="20"/>
      <c r="B399" s="19"/>
      <c r="C399" s="19"/>
      <c r="D399" s="21"/>
      <c r="E399" s="19"/>
      <c r="F399" s="19"/>
      <c r="G399" s="23" t="str">
        <f aca="false">IF(A399="","",TEXT(A399,"yyyy-mm"))</f>
        <v/>
      </c>
      <c r="H399" s="22" t="str">
        <f aca="false">IF(A399="","",N(H398)+IF(B399="Masuk",N(D399),-N(D399)))</f>
        <v/>
      </c>
    </row>
    <row r="400" customFormat="false" ht="15" hidden="false" customHeight="false" outlineLevel="0" collapsed="false">
      <c r="A400" s="20"/>
      <c r="B400" s="19"/>
      <c r="C400" s="19"/>
      <c r="D400" s="21"/>
      <c r="E400" s="19"/>
      <c r="F400" s="19"/>
      <c r="G400" s="23" t="str">
        <f aca="false">IF(A400="","",TEXT(A400,"yyyy-mm"))</f>
        <v/>
      </c>
      <c r="H400" s="22" t="str">
        <f aca="false">IF(A400="","",N(H399)+IF(B400="Masuk",N(D400),-N(D400)))</f>
        <v/>
      </c>
    </row>
    <row r="401" customFormat="false" ht="15" hidden="false" customHeight="false" outlineLevel="0" collapsed="false">
      <c r="A401" s="20"/>
      <c r="B401" s="19"/>
      <c r="C401" s="19"/>
      <c r="D401" s="21"/>
      <c r="E401" s="19"/>
      <c r="F401" s="19"/>
      <c r="G401" s="23" t="str">
        <f aca="false">IF(A401="","",TEXT(A401,"yyyy-mm"))</f>
        <v/>
      </c>
      <c r="H401" s="22" t="str">
        <f aca="false">IF(A401="","",N(H400)+IF(B401="Masuk",N(D401),-N(D401)))</f>
        <v/>
      </c>
    </row>
    <row r="402" customFormat="false" ht="15" hidden="false" customHeight="false" outlineLevel="0" collapsed="false">
      <c r="A402" s="20"/>
      <c r="B402" s="19"/>
      <c r="C402" s="19"/>
      <c r="D402" s="21"/>
      <c r="E402" s="19"/>
      <c r="F402" s="19"/>
      <c r="G402" s="23" t="str">
        <f aca="false">IF(A402="","",TEXT(A402,"yyyy-mm"))</f>
        <v/>
      </c>
      <c r="H402" s="22" t="str">
        <f aca="false">IF(A402="","",N(H401)+IF(B402="Masuk",N(D402),-N(D402)))</f>
        <v/>
      </c>
    </row>
    <row r="403" customFormat="false" ht="15" hidden="false" customHeight="false" outlineLevel="0" collapsed="false">
      <c r="A403" s="20"/>
      <c r="B403" s="19"/>
      <c r="C403" s="19"/>
      <c r="D403" s="21"/>
      <c r="E403" s="19"/>
      <c r="F403" s="19"/>
      <c r="G403" s="23" t="str">
        <f aca="false">IF(A403="","",TEXT(A403,"yyyy-mm"))</f>
        <v/>
      </c>
      <c r="H403" s="22" t="str">
        <f aca="false">IF(A403="","",N(H402)+IF(B403="Masuk",N(D403),-N(D403)))</f>
        <v/>
      </c>
    </row>
    <row r="404" customFormat="false" ht="15" hidden="false" customHeight="false" outlineLevel="0" collapsed="false">
      <c r="A404" s="20"/>
      <c r="B404" s="19"/>
      <c r="C404" s="19"/>
      <c r="D404" s="21"/>
      <c r="E404" s="19"/>
      <c r="F404" s="19"/>
      <c r="G404" s="23" t="str">
        <f aca="false">IF(A404="","",TEXT(A404,"yyyy-mm"))</f>
        <v/>
      </c>
      <c r="H404" s="22" t="str">
        <f aca="false">IF(A404="","",N(H403)+IF(B404="Masuk",N(D404),-N(D404)))</f>
        <v/>
      </c>
    </row>
    <row r="405" customFormat="false" ht="15" hidden="false" customHeight="false" outlineLevel="0" collapsed="false">
      <c r="A405" s="20"/>
      <c r="B405" s="19"/>
      <c r="C405" s="19"/>
      <c r="D405" s="21"/>
      <c r="E405" s="19"/>
      <c r="F405" s="19"/>
      <c r="G405" s="23" t="str">
        <f aca="false">IF(A405="","",TEXT(A405,"yyyy-mm"))</f>
        <v/>
      </c>
      <c r="H405" s="22" t="str">
        <f aca="false">IF(A405="","",N(H404)+IF(B405="Masuk",N(D405),-N(D405)))</f>
        <v/>
      </c>
    </row>
    <row r="406" customFormat="false" ht="15" hidden="false" customHeight="false" outlineLevel="0" collapsed="false">
      <c r="A406" s="20"/>
      <c r="B406" s="19"/>
      <c r="C406" s="19"/>
      <c r="D406" s="21"/>
      <c r="E406" s="19"/>
      <c r="F406" s="19"/>
      <c r="G406" s="23" t="str">
        <f aca="false">IF(A406="","",TEXT(A406,"yyyy-mm"))</f>
        <v/>
      </c>
      <c r="H406" s="22" t="str">
        <f aca="false">IF(A406="","",N(H405)+IF(B406="Masuk",N(D406),-N(D406)))</f>
        <v/>
      </c>
    </row>
    <row r="407" customFormat="false" ht="15" hidden="false" customHeight="false" outlineLevel="0" collapsed="false">
      <c r="A407" s="20"/>
      <c r="B407" s="19"/>
      <c r="C407" s="19"/>
      <c r="D407" s="21"/>
      <c r="E407" s="19"/>
      <c r="F407" s="19"/>
      <c r="G407" s="23" t="str">
        <f aca="false">IF(A407="","",TEXT(A407,"yyyy-mm"))</f>
        <v/>
      </c>
      <c r="H407" s="22" t="str">
        <f aca="false">IF(A407="","",N(H406)+IF(B407="Masuk",N(D407),-N(D407)))</f>
        <v/>
      </c>
    </row>
    <row r="408" customFormat="false" ht="15" hidden="false" customHeight="false" outlineLevel="0" collapsed="false">
      <c r="A408" s="20"/>
      <c r="B408" s="19"/>
      <c r="C408" s="19"/>
      <c r="D408" s="21"/>
      <c r="E408" s="19"/>
      <c r="F408" s="19"/>
      <c r="G408" s="23" t="str">
        <f aca="false">IF(A408="","",TEXT(A408,"yyyy-mm"))</f>
        <v/>
      </c>
      <c r="H408" s="22" t="str">
        <f aca="false">IF(A408="","",N(H407)+IF(B408="Masuk",N(D408),-N(D408)))</f>
        <v/>
      </c>
    </row>
    <row r="409" customFormat="false" ht="15" hidden="false" customHeight="false" outlineLevel="0" collapsed="false">
      <c r="A409" s="20"/>
      <c r="B409" s="19"/>
      <c r="C409" s="19"/>
      <c r="D409" s="21"/>
      <c r="E409" s="19"/>
      <c r="F409" s="19"/>
      <c r="G409" s="23" t="str">
        <f aca="false">IF(A409="","",TEXT(A409,"yyyy-mm"))</f>
        <v/>
      </c>
      <c r="H409" s="22" t="str">
        <f aca="false">IF(A409="","",N(H408)+IF(B409="Masuk",N(D409),-N(D409)))</f>
        <v/>
      </c>
    </row>
    <row r="410" customFormat="false" ht="15" hidden="false" customHeight="false" outlineLevel="0" collapsed="false">
      <c r="A410" s="20"/>
      <c r="B410" s="19"/>
      <c r="C410" s="19"/>
      <c r="D410" s="21"/>
      <c r="E410" s="19"/>
      <c r="F410" s="19"/>
      <c r="G410" s="23" t="str">
        <f aca="false">IF(A410="","",TEXT(A410,"yyyy-mm"))</f>
        <v/>
      </c>
      <c r="H410" s="22" t="str">
        <f aca="false">IF(A410="","",N(H409)+IF(B410="Masuk",N(D410),-N(D410)))</f>
        <v/>
      </c>
    </row>
    <row r="411" customFormat="false" ht="15" hidden="false" customHeight="false" outlineLevel="0" collapsed="false">
      <c r="A411" s="20"/>
      <c r="B411" s="19"/>
      <c r="C411" s="19"/>
      <c r="D411" s="21"/>
      <c r="E411" s="19"/>
      <c r="F411" s="19"/>
      <c r="G411" s="23" t="str">
        <f aca="false">IF(A411="","",TEXT(A411,"yyyy-mm"))</f>
        <v/>
      </c>
      <c r="H411" s="22" t="str">
        <f aca="false">IF(A411="","",N(H410)+IF(B411="Masuk",N(D411),-N(D411)))</f>
        <v/>
      </c>
    </row>
    <row r="412" customFormat="false" ht="15" hidden="false" customHeight="false" outlineLevel="0" collapsed="false">
      <c r="A412" s="20"/>
      <c r="B412" s="19"/>
      <c r="C412" s="19"/>
      <c r="D412" s="21"/>
      <c r="E412" s="19"/>
      <c r="F412" s="19"/>
      <c r="G412" s="23" t="str">
        <f aca="false">IF(A412="","",TEXT(A412,"yyyy-mm"))</f>
        <v/>
      </c>
      <c r="H412" s="22" t="str">
        <f aca="false">IF(A412="","",N(H411)+IF(B412="Masuk",N(D412),-N(D412)))</f>
        <v/>
      </c>
    </row>
    <row r="413" customFormat="false" ht="15" hidden="false" customHeight="false" outlineLevel="0" collapsed="false">
      <c r="A413" s="20"/>
      <c r="B413" s="19"/>
      <c r="C413" s="19"/>
      <c r="D413" s="21"/>
      <c r="E413" s="19"/>
      <c r="F413" s="19"/>
      <c r="G413" s="23" t="str">
        <f aca="false">IF(A413="","",TEXT(A413,"yyyy-mm"))</f>
        <v/>
      </c>
      <c r="H413" s="22" t="str">
        <f aca="false">IF(A413="","",N(H412)+IF(B413="Masuk",N(D413),-N(D413)))</f>
        <v/>
      </c>
    </row>
    <row r="414" customFormat="false" ht="15" hidden="false" customHeight="false" outlineLevel="0" collapsed="false">
      <c r="A414" s="20"/>
      <c r="B414" s="19"/>
      <c r="C414" s="19"/>
      <c r="D414" s="21"/>
      <c r="E414" s="19"/>
      <c r="F414" s="19"/>
      <c r="G414" s="23" t="str">
        <f aca="false">IF(A414="","",TEXT(A414,"yyyy-mm"))</f>
        <v/>
      </c>
      <c r="H414" s="22" t="str">
        <f aca="false">IF(A414="","",N(H413)+IF(B414="Masuk",N(D414),-N(D414)))</f>
        <v/>
      </c>
    </row>
    <row r="415" customFormat="false" ht="15" hidden="false" customHeight="false" outlineLevel="0" collapsed="false">
      <c r="A415" s="20"/>
      <c r="B415" s="19"/>
      <c r="C415" s="19"/>
      <c r="D415" s="21"/>
      <c r="E415" s="19"/>
      <c r="F415" s="19"/>
      <c r="G415" s="23" t="str">
        <f aca="false">IF(A415="","",TEXT(A415,"yyyy-mm"))</f>
        <v/>
      </c>
      <c r="H415" s="22" t="str">
        <f aca="false">IF(A415="","",N(H414)+IF(B415="Masuk",N(D415),-N(D415)))</f>
        <v/>
      </c>
    </row>
    <row r="416" customFormat="false" ht="15" hidden="false" customHeight="false" outlineLevel="0" collapsed="false">
      <c r="A416" s="20"/>
      <c r="B416" s="19"/>
      <c r="C416" s="19"/>
      <c r="D416" s="21"/>
      <c r="E416" s="19"/>
      <c r="F416" s="19"/>
      <c r="G416" s="23" t="str">
        <f aca="false">IF(A416="","",TEXT(A416,"yyyy-mm"))</f>
        <v/>
      </c>
      <c r="H416" s="22" t="str">
        <f aca="false">IF(A416="","",N(H415)+IF(B416="Masuk",N(D416),-N(D416)))</f>
        <v/>
      </c>
    </row>
    <row r="417" customFormat="false" ht="15" hidden="false" customHeight="false" outlineLevel="0" collapsed="false">
      <c r="A417" s="20"/>
      <c r="B417" s="19"/>
      <c r="C417" s="19"/>
      <c r="D417" s="21"/>
      <c r="E417" s="19"/>
      <c r="F417" s="19"/>
      <c r="G417" s="23" t="str">
        <f aca="false">IF(A417="","",TEXT(A417,"yyyy-mm"))</f>
        <v/>
      </c>
      <c r="H417" s="22" t="str">
        <f aca="false">IF(A417="","",N(H416)+IF(B417="Masuk",N(D417),-N(D417)))</f>
        <v/>
      </c>
    </row>
    <row r="418" customFormat="false" ht="15" hidden="false" customHeight="false" outlineLevel="0" collapsed="false">
      <c r="A418" s="20"/>
      <c r="B418" s="19"/>
      <c r="C418" s="19"/>
      <c r="D418" s="21"/>
      <c r="E418" s="19"/>
      <c r="F418" s="19"/>
      <c r="G418" s="23" t="str">
        <f aca="false">IF(A418="","",TEXT(A418,"yyyy-mm"))</f>
        <v/>
      </c>
      <c r="H418" s="22" t="str">
        <f aca="false">IF(A418="","",N(H417)+IF(B418="Masuk",N(D418),-N(D418)))</f>
        <v/>
      </c>
    </row>
    <row r="419" customFormat="false" ht="15" hidden="false" customHeight="false" outlineLevel="0" collapsed="false">
      <c r="A419" s="20"/>
      <c r="B419" s="19"/>
      <c r="C419" s="19"/>
      <c r="D419" s="21"/>
      <c r="E419" s="19"/>
      <c r="F419" s="19"/>
      <c r="G419" s="23" t="str">
        <f aca="false">IF(A419="","",TEXT(A419,"yyyy-mm"))</f>
        <v/>
      </c>
      <c r="H419" s="22" t="str">
        <f aca="false">IF(A419="","",N(H418)+IF(B419="Masuk",N(D419),-N(D419)))</f>
        <v/>
      </c>
    </row>
    <row r="420" customFormat="false" ht="15" hidden="false" customHeight="false" outlineLevel="0" collapsed="false">
      <c r="A420" s="20"/>
      <c r="B420" s="19"/>
      <c r="C420" s="19"/>
      <c r="D420" s="21"/>
      <c r="E420" s="19"/>
      <c r="F420" s="19"/>
      <c r="G420" s="23" t="str">
        <f aca="false">IF(A420="","",TEXT(A420,"yyyy-mm"))</f>
        <v/>
      </c>
      <c r="H420" s="22" t="str">
        <f aca="false">IF(A420="","",N(H419)+IF(B420="Masuk",N(D420),-N(D420)))</f>
        <v/>
      </c>
    </row>
    <row r="421" customFormat="false" ht="15" hidden="false" customHeight="false" outlineLevel="0" collapsed="false">
      <c r="A421" s="20"/>
      <c r="B421" s="19"/>
      <c r="C421" s="19"/>
      <c r="D421" s="21"/>
      <c r="E421" s="19"/>
      <c r="F421" s="19"/>
      <c r="G421" s="23" t="str">
        <f aca="false">IF(A421="","",TEXT(A421,"yyyy-mm"))</f>
        <v/>
      </c>
      <c r="H421" s="22" t="str">
        <f aca="false">IF(A421="","",N(H420)+IF(B421="Masuk",N(D421),-N(D421)))</f>
        <v/>
      </c>
    </row>
    <row r="422" customFormat="false" ht="15" hidden="false" customHeight="false" outlineLevel="0" collapsed="false">
      <c r="A422" s="20"/>
      <c r="B422" s="19"/>
      <c r="C422" s="19"/>
      <c r="D422" s="21"/>
      <c r="E422" s="19"/>
      <c r="F422" s="19"/>
      <c r="G422" s="23" t="str">
        <f aca="false">IF(A422="","",TEXT(A422,"yyyy-mm"))</f>
        <v/>
      </c>
      <c r="H422" s="22" t="str">
        <f aca="false">IF(A422="","",N(H421)+IF(B422="Masuk",N(D422),-N(D422)))</f>
        <v/>
      </c>
    </row>
    <row r="423" customFormat="false" ht="15" hidden="false" customHeight="false" outlineLevel="0" collapsed="false">
      <c r="A423" s="20"/>
      <c r="B423" s="19"/>
      <c r="C423" s="19"/>
      <c r="D423" s="21"/>
      <c r="E423" s="19"/>
      <c r="F423" s="19"/>
      <c r="G423" s="23" t="str">
        <f aca="false">IF(A423="","",TEXT(A423,"yyyy-mm"))</f>
        <v/>
      </c>
      <c r="H423" s="22" t="str">
        <f aca="false">IF(A423="","",N(H422)+IF(B423="Masuk",N(D423),-N(D423)))</f>
        <v/>
      </c>
    </row>
    <row r="424" customFormat="false" ht="15" hidden="false" customHeight="false" outlineLevel="0" collapsed="false">
      <c r="A424" s="20"/>
      <c r="B424" s="19"/>
      <c r="C424" s="19"/>
      <c r="D424" s="21"/>
      <c r="E424" s="19"/>
      <c r="F424" s="19"/>
      <c r="G424" s="23" t="str">
        <f aca="false">IF(A424="","",TEXT(A424,"yyyy-mm"))</f>
        <v/>
      </c>
      <c r="H424" s="22" t="str">
        <f aca="false">IF(A424="","",N(H423)+IF(B424="Masuk",N(D424),-N(D424)))</f>
        <v/>
      </c>
    </row>
    <row r="425" customFormat="false" ht="15" hidden="false" customHeight="false" outlineLevel="0" collapsed="false">
      <c r="A425" s="20"/>
      <c r="B425" s="19"/>
      <c r="C425" s="19"/>
      <c r="D425" s="21"/>
      <c r="E425" s="19"/>
      <c r="F425" s="19"/>
      <c r="G425" s="23" t="str">
        <f aca="false">IF(A425="","",TEXT(A425,"yyyy-mm"))</f>
        <v/>
      </c>
      <c r="H425" s="22" t="str">
        <f aca="false">IF(A425="","",N(H424)+IF(B425="Masuk",N(D425),-N(D425)))</f>
        <v/>
      </c>
    </row>
    <row r="426" customFormat="false" ht="15" hidden="false" customHeight="false" outlineLevel="0" collapsed="false">
      <c r="A426" s="20"/>
      <c r="B426" s="19"/>
      <c r="C426" s="19"/>
      <c r="D426" s="21"/>
      <c r="E426" s="19"/>
      <c r="F426" s="19"/>
      <c r="G426" s="23" t="str">
        <f aca="false">IF(A426="","",TEXT(A426,"yyyy-mm"))</f>
        <v/>
      </c>
      <c r="H426" s="22" t="str">
        <f aca="false">IF(A426="","",N(H425)+IF(B426="Masuk",N(D426),-N(D426)))</f>
        <v/>
      </c>
    </row>
    <row r="427" customFormat="false" ht="15" hidden="false" customHeight="false" outlineLevel="0" collapsed="false">
      <c r="A427" s="20"/>
      <c r="B427" s="19"/>
      <c r="C427" s="19"/>
      <c r="D427" s="21"/>
      <c r="E427" s="19"/>
      <c r="F427" s="19"/>
      <c r="G427" s="23" t="str">
        <f aca="false">IF(A427="","",TEXT(A427,"yyyy-mm"))</f>
        <v/>
      </c>
      <c r="H427" s="22" t="str">
        <f aca="false">IF(A427="","",N(H426)+IF(B427="Masuk",N(D427),-N(D427)))</f>
        <v/>
      </c>
    </row>
    <row r="428" customFormat="false" ht="15" hidden="false" customHeight="false" outlineLevel="0" collapsed="false">
      <c r="A428" s="20"/>
      <c r="B428" s="19"/>
      <c r="C428" s="19"/>
      <c r="D428" s="21"/>
      <c r="E428" s="19"/>
      <c r="F428" s="19"/>
      <c r="G428" s="23" t="str">
        <f aca="false">IF(A428="","",TEXT(A428,"yyyy-mm"))</f>
        <v/>
      </c>
      <c r="H428" s="22" t="str">
        <f aca="false">IF(A428="","",N(H427)+IF(B428="Masuk",N(D428),-N(D428)))</f>
        <v/>
      </c>
    </row>
    <row r="429" customFormat="false" ht="15" hidden="false" customHeight="false" outlineLevel="0" collapsed="false">
      <c r="A429" s="20"/>
      <c r="B429" s="19"/>
      <c r="C429" s="19"/>
      <c r="D429" s="21"/>
      <c r="E429" s="19"/>
      <c r="F429" s="19"/>
      <c r="G429" s="23" t="str">
        <f aca="false">IF(A429="","",TEXT(A429,"yyyy-mm"))</f>
        <v/>
      </c>
      <c r="H429" s="22" t="str">
        <f aca="false">IF(A429="","",N(H428)+IF(B429="Masuk",N(D429),-N(D429)))</f>
        <v/>
      </c>
    </row>
    <row r="430" customFormat="false" ht="15" hidden="false" customHeight="false" outlineLevel="0" collapsed="false">
      <c r="A430" s="20"/>
      <c r="B430" s="19"/>
      <c r="C430" s="19"/>
      <c r="D430" s="21"/>
      <c r="E430" s="19"/>
      <c r="F430" s="19"/>
      <c r="G430" s="23" t="str">
        <f aca="false">IF(A430="","",TEXT(A430,"yyyy-mm"))</f>
        <v/>
      </c>
      <c r="H430" s="22" t="str">
        <f aca="false">IF(A430="","",N(H429)+IF(B430="Masuk",N(D430),-N(D430)))</f>
        <v/>
      </c>
    </row>
    <row r="431" customFormat="false" ht="15" hidden="false" customHeight="false" outlineLevel="0" collapsed="false">
      <c r="A431" s="20"/>
      <c r="B431" s="19"/>
      <c r="C431" s="19"/>
      <c r="D431" s="21"/>
      <c r="E431" s="19"/>
      <c r="F431" s="19"/>
      <c r="G431" s="23" t="str">
        <f aca="false">IF(A431="","",TEXT(A431,"yyyy-mm"))</f>
        <v/>
      </c>
      <c r="H431" s="22" t="str">
        <f aca="false">IF(A431="","",N(H430)+IF(B431="Masuk",N(D431),-N(D431)))</f>
        <v/>
      </c>
    </row>
    <row r="432" customFormat="false" ht="15" hidden="false" customHeight="false" outlineLevel="0" collapsed="false">
      <c r="A432" s="20"/>
      <c r="B432" s="19"/>
      <c r="C432" s="19"/>
      <c r="D432" s="21"/>
      <c r="E432" s="19"/>
      <c r="F432" s="19"/>
      <c r="G432" s="23" t="str">
        <f aca="false">IF(A432="","",TEXT(A432,"yyyy-mm"))</f>
        <v/>
      </c>
      <c r="H432" s="22" t="str">
        <f aca="false">IF(A432="","",N(H431)+IF(B432="Masuk",N(D432),-N(D432)))</f>
        <v/>
      </c>
    </row>
    <row r="433" customFormat="false" ht="15" hidden="false" customHeight="false" outlineLevel="0" collapsed="false">
      <c r="A433" s="20"/>
      <c r="B433" s="19"/>
      <c r="C433" s="19"/>
      <c r="D433" s="21"/>
      <c r="E433" s="19"/>
      <c r="F433" s="19"/>
      <c r="G433" s="23" t="str">
        <f aca="false">IF(A433="","",TEXT(A433,"yyyy-mm"))</f>
        <v/>
      </c>
      <c r="H433" s="22" t="str">
        <f aca="false">IF(A433="","",N(H432)+IF(B433="Masuk",N(D433),-N(D433)))</f>
        <v/>
      </c>
    </row>
    <row r="434" customFormat="false" ht="15" hidden="false" customHeight="false" outlineLevel="0" collapsed="false">
      <c r="A434" s="20"/>
      <c r="B434" s="19"/>
      <c r="C434" s="19"/>
      <c r="D434" s="21"/>
      <c r="E434" s="19"/>
      <c r="F434" s="19"/>
      <c r="G434" s="23" t="str">
        <f aca="false">IF(A434="","",TEXT(A434,"yyyy-mm"))</f>
        <v/>
      </c>
      <c r="H434" s="22" t="str">
        <f aca="false">IF(A434="","",N(H433)+IF(B434="Masuk",N(D434),-N(D434)))</f>
        <v/>
      </c>
    </row>
    <row r="435" customFormat="false" ht="15" hidden="false" customHeight="false" outlineLevel="0" collapsed="false">
      <c r="A435" s="20"/>
      <c r="B435" s="19"/>
      <c r="C435" s="19"/>
      <c r="D435" s="21"/>
      <c r="E435" s="19"/>
      <c r="F435" s="19"/>
      <c r="G435" s="23" t="str">
        <f aca="false">IF(A435="","",TEXT(A435,"yyyy-mm"))</f>
        <v/>
      </c>
      <c r="H435" s="22" t="str">
        <f aca="false">IF(A435="","",N(H434)+IF(B435="Masuk",N(D435),-N(D435)))</f>
        <v/>
      </c>
    </row>
    <row r="436" customFormat="false" ht="15" hidden="false" customHeight="false" outlineLevel="0" collapsed="false">
      <c r="A436" s="20"/>
      <c r="B436" s="19"/>
      <c r="C436" s="19"/>
      <c r="D436" s="21"/>
      <c r="E436" s="19"/>
      <c r="F436" s="19"/>
      <c r="G436" s="23" t="str">
        <f aca="false">IF(A436="","",TEXT(A436,"yyyy-mm"))</f>
        <v/>
      </c>
      <c r="H436" s="22" t="str">
        <f aca="false">IF(A436="","",N(H435)+IF(B436="Masuk",N(D436),-N(D436)))</f>
        <v/>
      </c>
    </row>
    <row r="437" customFormat="false" ht="15" hidden="false" customHeight="false" outlineLevel="0" collapsed="false">
      <c r="A437" s="20"/>
      <c r="B437" s="19"/>
      <c r="C437" s="19"/>
      <c r="D437" s="21"/>
      <c r="E437" s="19"/>
      <c r="F437" s="19"/>
      <c r="G437" s="23" t="str">
        <f aca="false">IF(A437="","",TEXT(A437,"yyyy-mm"))</f>
        <v/>
      </c>
      <c r="H437" s="22" t="str">
        <f aca="false">IF(A437="","",N(H436)+IF(B437="Masuk",N(D437),-N(D437)))</f>
        <v/>
      </c>
    </row>
    <row r="438" customFormat="false" ht="15" hidden="false" customHeight="false" outlineLevel="0" collapsed="false">
      <c r="A438" s="20"/>
      <c r="B438" s="19"/>
      <c r="C438" s="19"/>
      <c r="D438" s="21"/>
      <c r="E438" s="19"/>
      <c r="F438" s="19"/>
      <c r="G438" s="23" t="str">
        <f aca="false">IF(A438="","",TEXT(A438,"yyyy-mm"))</f>
        <v/>
      </c>
      <c r="H438" s="22" t="str">
        <f aca="false">IF(A438="","",N(H437)+IF(B438="Masuk",N(D438),-N(D438)))</f>
        <v/>
      </c>
    </row>
    <row r="439" customFormat="false" ht="15" hidden="false" customHeight="false" outlineLevel="0" collapsed="false">
      <c r="A439" s="20"/>
      <c r="B439" s="19"/>
      <c r="C439" s="19"/>
      <c r="D439" s="21"/>
      <c r="E439" s="19"/>
      <c r="F439" s="19"/>
      <c r="G439" s="23" t="str">
        <f aca="false">IF(A439="","",TEXT(A439,"yyyy-mm"))</f>
        <v/>
      </c>
      <c r="H439" s="22" t="str">
        <f aca="false">IF(A439="","",N(H438)+IF(B439="Masuk",N(D439),-N(D439)))</f>
        <v/>
      </c>
    </row>
    <row r="440" customFormat="false" ht="15" hidden="false" customHeight="false" outlineLevel="0" collapsed="false">
      <c r="A440" s="20"/>
      <c r="B440" s="19"/>
      <c r="C440" s="19"/>
      <c r="D440" s="21"/>
      <c r="E440" s="19"/>
      <c r="F440" s="19"/>
      <c r="G440" s="23" t="str">
        <f aca="false">IF(A440="","",TEXT(A440,"yyyy-mm"))</f>
        <v/>
      </c>
      <c r="H440" s="22" t="str">
        <f aca="false">IF(A440="","",N(H439)+IF(B440="Masuk",N(D440),-N(D440)))</f>
        <v/>
      </c>
    </row>
    <row r="441" customFormat="false" ht="15" hidden="false" customHeight="false" outlineLevel="0" collapsed="false">
      <c r="A441" s="20"/>
      <c r="B441" s="19"/>
      <c r="C441" s="19"/>
      <c r="D441" s="21"/>
      <c r="E441" s="19"/>
      <c r="F441" s="19"/>
      <c r="G441" s="23" t="str">
        <f aca="false">IF(A441="","",TEXT(A441,"yyyy-mm"))</f>
        <v/>
      </c>
      <c r="H441" s="22" t="str">
        <f aca="false">IF(A441="","",N(H440)+IF(B441="Masuk",N(D441),-N(D441)))</f>
        <v/>
      </c>
    </row>
    <row r="442" customFormat="false" ht="15" hidden="false" customHeight="false" outlineLevel="0" collapsed="false">
      <c r="A442" s="20"/>
      <c r="B442" s="19"/>
      <c r="C442" s="19"/>
      <c r="D442" s="21"/>
      <c r="E442" s="19"/>
      <c r="F442" s="19"/>
      <c r="G442" s="23" t="str">
        <f aca="false">IF(A442="","",TEXT(A442,"yyyy-mm"))</f>
        <v/>
      </c>
      <c r="H442" s="22" t="str">
        <f aca="false">IF(A442="","",N(H441)+IF(B442="Masuk",N(D442),-N(D442)))</f>
        <v/>
      </c>
    </row>
    <row r="443" customFormat="false" ht="15" hidden="false" customHeight="false" outlineLevel="0" collapsed="false">
      <c r="A443" s="20"/>
      <c r="B443" s="19"/>
      <c r="C443" s="19"/>
      <c r="D443" s="21"/>
      <c r="E443" s="19"/>
      <c r="F443" s="19"/>
      <c r="G443" s="23" t="str">
        <f aca="false">IF(A443="","",TEXT(A443,"yyyy-mm"))</f>
        <v/>
      </c>
      <c r="H443" s="22" t="str">
        <f aca="false">IF(A443="","",N(H442)+IF(B443="Masuk",N(D443),-N(D443)))</f>
        <v/>
      </c>
    </row>
    <row r="444" customFormat="false" ht="15" hidden="false" customHeight="false" outlineLevel="0" collapsed="false">
      <c r="A444" s="20"/>
      <c r="B444" s="19"/>
      <c r="C444" s="19"/>
      <c r="D444" s="21"/>
      <c r="E444" s="19"/>
      <c r="F444" s="19"/>
      <c r="G444" s="23" t="str">
        <f aca="false">IF(A444="","",TEXT(A444,"yyyy-mm"))</f>
        <v/>
      </c>
      <c r="H444" s="22" t="str">
        <f aca="false">IF(A444="","",N(H443)+IF(B444="Masuk",N(D444),-N(D444)))</f>
        <v/>
      </c>
    </row>
    <row r="445" customFormat="false" ht="15" hidden="false" customHeight="false" outlineLevel="0" collapsed="false">
      <c r="A445" s="20"/>
      <c r="B445" s="19"/>
      <c r="C445" s="19"/>
      <c r="D445" s="21"/>
      <c r="E445" s="19"/>
      <c r="F445" s="19"/>
      <c r="G445" s="23" t="str">
        <f aca="false">IF(A445="","",TEXT(A445,"yyyy-mm"))</f>
        <v/>
      </c>
      <c r="H445" s="22" t="str">
        <f aca="false">IF(A445="","",N(H444)+IF(B445="Masuk",N(D445),-N(D445)))</f>
        <v/>
      </c>
    </row>
    <row r="446" customFormat="false" ht="15" hidden="false" customHeight="false" outlineLevel="0" collapsed="false">
      <c r="A446" s="20"/>
      <c r="B446" s="19"/>
      <c r="C446" s="19"/>
      <c r="D446" s="21"/>
      <c r="E446" s="19"/>
      <c r="F446" s="19"/>
      <c r="G446" s="23" t="str">
        <f aca="false">IF(A446="","",TEXT(A446,"yyyy-mm"))</f>
        <v/>
      </c>
      <c r="H446" s="22" t="str">
        <f aca="false">IF(A446="","",N(H445)+IF(B446="Masuk",N(D446),-N(D446)))</f>
        <v/>
      </c>
    </row>
    <row r="447" customFormat="false" ht="15" hidden="false" customHeight="false" outlineLevel="0" collapsed="false">
      <c r="A447" s="20"/>
      <c r="B447" s="19"/>
      <c r="C447" s="19"/>
      <c r="D447" s="21"/>
      <c r="E447" s="19"/>
      <c r="F447" s="19"/>
      <c r="G447" s="23" t="str">
        <f aca="false">IF(A447="","",TEXT(A447,"yyyy-mm"))</f>
        <v/>
      </c>
      <c r="H447" s="22" t="str">
        <f aca="false">IF(A447="","",N(H446)+IF(B447="Masuk",N(D447),-N(D447)))</f>
        <v/>
      </c>
    </row>
    <row r="448" customFormat="false" ht="15" hidden="false" customHeight="false" outlineLevel="0" collapsed="false">
      <c r="A448" s="20"/>
      <c r="B448" s="19"/>
      <c r="C448" s="19"/>
      <c r="D448" s="21"/>
      <c r="E448" s="19"/>
      <c r="F448" s="19"/>
      <c r="G448" s="23" t="str">
        <f aca="false">IF(A448="","",TEXT(A448,"yyyy-mm"))</f>
        <v/>
      </c>
      <c r="H448" s="22" t="str">
        <f aca="false">IF(A448="","",N(H447)+IF(B448="Masuk",N(D448),-N(D448)))</f>
        <v/>
      </c>
    </row>
    <row r="449" customFormat="false" ht="15" hidden="false" customHeight="false" outlineLevel="0" collapsed="false">
      <c r="A449" s="20"/>
      <c r="B449" s="19"/>
      <c r="C449" s="19"/>
      <c r="D449" s="21"/>
      <c r="E449" s="19"/>
      <c r="F449" s="19"/>
      <c r="G449" s="23" t="str">
        <f aca="false">IF(A449="","",TEXT(A449,"yyyy-mm"))</f>
        <v/>
      </c>
      <c r="H449" s="22" t="str">
        <f aca="false">IF(A449="","",N(H448)+IF(B449="Masuk",N(D449),-N(D449)))</f>
        <v/>
      </c>
    </row>
    <row r="450" customFormat="false" ht="15" hidden="false" customHeight="false" outlineLevel="0" collapsed="false">
      <c r="A450" s="20"/>
      <c r="B450" s="19"/>
      <c r="C450" s="19"/>
      <c r="D450" s="21"/>
      <c r="E450" s="19"/>
      <c r="F450" s="19"/>
      <c r="G450" s="23" t="str">
        <f aca="false">IF(A450="","",TEXT(A450,"yyyy-mm"))</f>
        <v/>
      </c>
      <c r="H450" s="22" t="str">
        <f aca="false">IF(A450="","",N(H449)+IF(B450="Masuk",N(D450),-N(D450)))</f>
        <v/>
      </c>
    </row>
    <row r="451" customFormat="false" ht="15" hidden="false" customHeight="false" outlineLevel="0" collapsed="false">
      <c r="A451" s="20"/>
      <c r="B451" s="19"/>
      <c r="C451" s="19"/>
      <c r="D451" s="21"/>
      <c r="E451" s="19"/>
      <c r="F451" s="19"/>
      <c r="G451" s="23" t="str">
        <f aca="false">IF(A451="","",TEXT(A451,"yyyy-mm"))</f>
        <v/>
      </c>
      <c r="H451" s="22" t="str">
        <f aca="false">IF(A451="","",N(H450)+IF(B451="Masuk",N(D451),-N(D451)))</f>
        <v/>
      </c>
    </row>
    <row r="452" customFormat="false" ht="15" hidden="false" customHeight="false" outlineLevel="0" collapsed="false">
      <c r="A452" s="20"/>
      <c r="B452" s="19"/>
      <c r="C452" s="19"/>
      <c r="D452" s="21"/>
      <c r="E452" s="19"/>
      <c r="F452" s="19"/>
      <c r="G452" s="23" t="str">
        <f aca="false">IF(A452="","",TEXT(A452,"yyyy-mm"))</f>
        <v/>
      </c>
      <c r="H452" s="22" t="str">
        <f aca="false">IF(A452="","",N(H451)+IF(B452="Masuk",N(D452),-N(D452)))</f>
        <v/>
      </c>
    </row>
    <row r="453" customFormat="false" ht="15" hidden="false" customHeight="false" outlineLevel="0" collapsed="false">
      <c r="A453" s="20"/>
      <c r="B453" s="19"/>
      <c r="C453" s="19"/>
      <c r="D453" s="21"/>
      <c r="E453" s="19"/>
      <c r="F453" s="19"/>
      <c r="G453" s="23" t="str">
        <f aca="false">IF(A453="","",TEXT(A453,"yyyy-mm"))</f>
        <v/>
      </c>
      <c r="H453" s="22" t="str">
        <f aca="false">IF(A453="","",N(H452)+IF(B453="Masuk",N(D453),-N(D453)))</f>
        <v/>
      </c>
    </row>
    <row r="454" customFormat="false" ht="15" hidden="false" customHeight="false" outlineLevel="0" collapsed="false">
      <c r="A454" s="20"/>
      <c r="B454" s="19"/>
      <c r="C454" s="19"/>
      <c r="D454" s="21"/>
      <c r="E454" s="19"/>
      <c r="F454" s="19"/>
      <c r="G454" s="23" t="str">
        <f aca="false">IF(A454="","",TEXT(A454,"yyyy-mm"))</f>
        <v/>
      </c>
      <c r="H454" s="22" t="str">
        <f aca="false">IF(A454="","",N(H453)+IF(B454="Masuk",N(D454),-N(D454)))</f>
        <v/>
      </c>
    </row>
    <row r="455" customFormat="false" ht="15" hidden="false" customHeight="false" outlineLevel="0" collapsed="false">
      <c r="A455" s="20"/>
      <c r="B455" s="19"/>
      <c r="C455" s="19"/>
      <c r="D455" s="21"/>
      <c r="E455" s="19"/>
      <c r="F455" s="19"/>
      <c r="G455" s="23" t="str">
        <f aca="false">IF(A455="","",TEXT(A455,"yyyy-mm"))</f>
        <v/>
      </c>
      <c r="H455" s="22" t="str">
        <f aca="false">IF(A455="","",N(H454)+IF(B455="Masuk",N(D455),-N(D455)))</f>
        <v/>
      </c>
    </row>
    <row r="456" customFormat="false" ht="15" hidden="false" customHeight="false" outlineLevel="0" collapsed="false">
      <c r="A456" s="20"/>
      <c r="B456" s="19"/>
      <c r="C456" s="19"/>
      <c r="D456" s="21"/>
      <c r="E456" s="19"/>
      <c r="F456" s="19"/>
      <c r="G456" s="23" t="str">
        <f aca="false">IF(A456="","",TEXT(A456,"yyyy-mm"))</f>
        <v/>
      </c>
      <c r="H456" s="22" t="str">
        <f aca="false">IF(A456="","",N(H455)+IF(B456="Masuk",N(D456),-N(D456)))</f>
        <v/>
      </c>
    </row>
    <row r="457" customFormat="false" ht="15" hidden="false" customHeight="false" outlineLevel="0" collapsed="false">
      <c r="A457" s="20"/>
      <c r="B457" s="19"/>
      <c r="C457" s="19"/>
      <c r="D457" s="21"/>
      <c r="E457" s="19"/>
      <c r="F457" s="19"/>
      <c r="G457" s="23" t="str">
        <f aca="false">IF(A457="","",TEXT(A457,"yyyy-mm"))</f>
        <v/>
      </c>
      <c r="H457" s="22" t="str">
        <f aca="false">IF(A457="","",N(H456)+IF(B457="Masuk",N(D457),-N(D457)))</f>
        <v/>
      </c>
    </row>
    <row r="458" customFormat="false" ht="15" hidden="false" customHeight="false" outlineLevel="0" collapsed="false">
      <c r="A458" s="20"/>
      <c r="B458" s="19"/>
      <c r="C458" s="19"/>
      <c r="D458" s="21"/>
      <c r="E458" s="19"/>
      <c r="F458" s="19"/>
      <c r="G458" s="23" t="str">
        <f aca="false">IF(A458="","",TEXT(A458,"yyyy-mm"))</f>
        <v/>
      </c>
      <c r="H458" s="22" t="str">
        <f aca="false">IF(A458="","",N(H457)+IF(B458="Masuk",N(D458),-N(D458)))</f>
        <v/>
      </c>
    </row>
    <row r="459" customFormat="false" ht="15" hidden="false" customHeight="false" outlineLevel="0" collapsed="false">
      <c r="A459" s="20"/>
      <c r="B459" s="19"/>
      <c r="C459" s="19"/>
      <c r="D459" s="21"/>
      <c r="E459" s="19"/>
      <c r="F459" s="19"/>
      <c r="G459" s="23" t="str">
        <f aca="false">IF(A459="","",TEXT(A459,"yyyy-mm"))</f>
        <v/>
      </c>
      <c r="H459" s="22" t="str">
        <f aca="false">IF(A459="","",N(H458)+IF(B459="Masuk",N(D459),-N(D459)))</f>
        <v/>
      </c>
    </row>
    <row r="460" customFormat="false" ht="15" hidden="false" customHeight="false" outlineLevel="0" collapsed="false">
      <c r="A460" s="20"/>
      <c r="B460" s="19"/>
      <c r="C460" s="19"/>
      <c r="D460" s="21"/>
      <c r="E460" s="19"/>
      <c r="F460" s="19"/>
      <c r="G460" s="23" t="str">
        <f aca="false">IF(A460="","",TEXT(A460,"yyyy-mm"))</f>
        <v/>
      </c>
      <c r="H460" s="22" t="str">
        <f aca="false">IF(A460="","",N(H459)+IF(B460="Masuk",N(D460),-N(D460)))</f>
        <v/>
      </c>
    </row>
    <row r="461" customFormat="false" ht="15" hidden="false" customHeight="false" outlineLevel="0" collapsed="false">
      <c r="A461" s="20"/>
      <c r="B461" s="19"/>
      <c r="C461" s="19"/>
      <c r="D461" s="21"/>
      <c r="E461" s="19"/>
      <c r="F461" s="19"/>
      <c r="G461" s="23" t="str">
        <f aca="false">IF(A461="","",TEXT(A461,"yyyy-mm"))</f>
        <v/>
      </c>
      <c r="H461" s="22" t="str">
        <f aca="false">IF(A461="","",N(H460)+IF(B461="Masuk",N(D461),-N(D461)))</f>
        <v/>
      </c>
    </row>
    <row r="462" customFormat="false" ht="15" hidden="false" customHeight="false" outlineLevel="0" collapsed="false">
      <c r="A462" s="20"/>
      <c r="B462" s="19"/>
      <c r="C462" s="19"/>
      <c r="D462" s="21"/>
      <c r="E462" s="19"/>
      <c r="F462" s="19"/>
      <c r="G462" s="23" t="str">
        <f aca="false">IF(A462="","",TEXT(A462,"yyyy-mm"))</f>
        <v/>
      </c>
      <c r="H462" s="22" t="str">
        <f aca="false">IF(A462="","",N(H461)+IF(B462="Masuk",N(D462),-N(D462)))</f>
        <v/>
      </c>
    </row>
    <row r="463" customFormat="false" ht="15" hidden="false" customHeight="false" outlineLevel="0" collapsed="false">
      <c r="A463" s="20"/>
      <c r="B463" s="19"/>
      <c r="C463" s="19"/>
      <c r="D463" s="21"/>
      <c r="E463" s="19"/>
      <c r="F463" s="19"/>
      <c r="G463" s="23" t="str">
        <f aca="false">IF(A463="","",TEXT(A463,"yyyy-mm"))</f>
        <v/>
      </c>
      <c r="H463" s="22" t="str">
        <f aca="false">IF(A463="","",N(H462)+IF(B463="Masuk",N(D463),-N(D463)))</f>
        <v/>
      </c>
    </row>
    <row r="464" customFormat="false" ht="15" hidden="false" customHeight="false" outlineLevel="0" collapsed="false">
      <c r="A464" s="20"/>
      <c r="B464" s="19"/>
      <c r="C464" s="19"/>
      <c r="D464" s="21"/>
      <c r="E464" s="19"/>
      <c r="F464" s="19"/>
      <c r="G464" s="23" t="str">
        <f aca="false">IF(A464="","",TEXT(A464,"yyyy-mm"))</f>
        <v/>
      </c>
      <c r="H464" s="22" t="str">
        <f aca="false">IF(A464="","",N(H463)+IF(B464="Masuk",N(D464),-N(D464)))</f>
        <v/>
      </c>
    </row>
    <row r="465" customFormat="false" ht="15" hidden="false" customHeight="false" outlineLevel="0" collapsed="false">
      <c r="A465" s="20"/>
      <c r="B465" s="19"/>
      <c r="C465" s="19"/>
      <c r="D465" s="21"/>
      <c r="E465" s="19"/>
      <c r="F465" s="19"/>
      <c r="G465" s="23" t="str">
        <f aca="false">IF(A465="","",TEXT(A465,"yyyy-mm"))</f>
        <v/>
      </c>
      <c r="H465" s="22" t="str">
        <f aca="false">IF(A465="","",N(H464)+IF(B465="Masuk",N(D465),-N(D465)))</f>
        <v/>
      </c>
    </row>
    <row r="466" customFormat="false" ht="15" hidden="false" customHeight="false" outlineLevel="0" collapsed="false">
      <c r="A466" s="20"/>
      <c r="B466" s="19"/>
      <c r="C466" s="19"/>
      <c r="D466" s="21"/>
      <c r="E466" s="19"/>
      <c r="F466" s="19"/>
      <c r="G466" s="23" t="str">
        <f aca="false">IF(A466="","",TEXT(A466,"yyyy-mm"))</f>
        <v/>
      </c>
      <c r="H466" s="22" t="str">
        <f aca="false">IF(A466="","",N(H465)+IF(B466="Masuk",N(D466),-N(D466)))</f>
        <v/>
      </c>
    </row>
    <row r="467" customFormat="false" ht="15" hidden="false" customHeight="false" outlineLevel="0" collapsed="false">
      <c r="A467" s="20"/>
      <c r="B467" s="19"/>
      <c r="C467" s="19"/>
      <c r="D467" s="21"/>
      <c r="E467" s="19"/>
      <c r="F467" s="19"/>
      <c r="G467" s="23" t="str">
        <f aca="false">IF(A467="","",TEXT(A467,"yyyy-mm"))</f>
        <v/>
      </c>
      <c r="H467" s="22" t="str">
        <f aca="false">IF(A467="","",N(H466)+IF(B467="Masuk",N(D467),-N(D467)))</f>
        <v/>
      </c>
    </row>
    <row r="468" customFormat="false" ht="15" hidden="false" customHeight="false" outlineLevel="0" collapsed="false">
      <c r="A468" s="20"/>
      <c r="B468" s="19"/>
      <c r="C468" s="19"/>
      <c r="D468" s="21"/>
      <c r="E468" s="19"/>
      <c r="F468" s="19"/>
      <c r="G468" s="23" t="str">
        <f aca="false">IF(A468="","",TEXT(A468,"yyyy-mm"))</f>
        <v/>
      </c>
      <c r="H468" s="22" t="str">
        <f aca="false">IF(A468="","",N(H467)+IF(B468="Masuk",N(D468),-N(D468)))</f>
        <v/>
      </c>
    </row>
    <row r="469" customFormat="false" ht="15" hidden="false" customHeight="false" outlineLevel="0" collapsed="false">
      <c r="A469" s="20"/>
      <c r="B469" s="19"/>
      <c r="C469" s="19"/>
      <c r="D469" s="21"/>
      <c r="E469" s="19"/>
      <c r="F469" s="19"/>
      <c r="G469" s="23" t="str">
        <f aca="false">IF(A469="","",TEXT(A469,"yyyy-mm"))</f>
        <v/>
      </c>
      <c r="H469" s="22" t="str">
        <f aca="false">IF(A469="","",N(H468)+IF(B469="Masuk",N(D469),-N(D469)))</f>
        <v/>
      </c>
    </row>
    <row r="470" customFormat="false" ht="15" hidden="false" customHeight="false" outlineLevel="0" collapsed="false">
      <c r="A470" s="20"/>
      <c r="B470" s="19"/>
      <c r="C470" s="19"/>
      <c r="D470" s="21"/>
      <c r="E470" s="19"/>
      <c r="F470" s="19"/>
      <c r="G470" s="23" t="str">
        <f aca="false">IF(A470="","",TEXT(A470,"yyyy-mm"))</f>
        <v/>
      </c>
      <c r="H470" s="22" t="str">
        <f aca="false">IF(A470="","",N(H469)+IF(B470="Masuk",N(D470),-N(D470)))</f>
        <v/>
      </c>
    </row>
    <row r="471" customFormat="false" ht="15" hidden="false" customHeight="false" outlineLevel="0" collapsed="false">
      <c r="A471" s="20"/>
      <c r="B471" s="19"/>
      <c r="C471" s="19"/>
      <c r="D471" s="21"/>
      <c r="E471" s="19"/>
      <c r="F471" s="19"/>
      <c r="G471" s="23" t="str">
        <f aca="false">IF(A471="","",TEXT(A471,"yyyy-mm"))</f>
        <v/>
      </c>
      <c r="H471" s="22" t="str">
        <f aca="false">IF(A471="","",N(H470)+IF(B471="Masuk",N(D471),-N(D471)))</f>
        <v/>
      </c>
    </row>
    <row r="472" customFormat="false" ht="15" hidden="false" customHeight="false" outlineLevel="0" collapsed="false">
      <c r="A472" s="20"/>
      <c r="B472" s="19"/>
      <c r="C472" s="19"/>
      <c r="D472" s="21"/>
      <c r="E472" s="19"/>
      <c r="F472" s="19"/>
      <c r="G472" s="23" t="str">
        <f aca="false">IF(A472="","",TEXT(A472,"yyyy-mm"))</f>
        <v/>
      </c>
      <c r="H472" s="22" t="str">
        <f aca="false">IF(A472="","",N(H471)+IF(B472="Masuk",N(D472),-N(D472)))</f>
        <v/>
      </c>
    </row>
    <row r="473" customFormat="false" ht="15" hidden="false" customHeight="false" outlineLevel="0" collapsed="false">
      <c r="A473" s="20"/>
      <c r="B473" s="19"/>
      <c r="C473" s="19"/>
      <c r="D473" s="21"/>
      <c r="E473" s="19"/>
      <c r="F473" s="19"/>
      <c r="G473" s="23" t="str">
        <f aca="false">IF(A473="","",TEXT(A473,"yyyy-mm"))</f>
        <v/>
      </c>
      <c r="H473" s="22" t="str">
        <f aca="false">IF(A473="","",N(H472)+IF(B473="Masuk",N(D473),-N(D473)))</f>
        <v/>
      </c>
    </row>
    <row r="474" customFormat="false" ht="15" hidden="false" customHeight="false" outlineLevel="0" collapsed="false">
      <c r="A474" s="20"/>
      <c r="B474" s="19"/>
      <c r="C474" s="19"/>
      <c r="D474" s="21"/>
      <c r="E474" s="19"/>
      <c r="F474" s="19"/>
      <c r="G474" s="23" t="str">
        <f aca="false">IF(A474="","",TEXT(A474,"yyyy-mm"))</f>
        <v/>
      </c>
      <c r="H474" s="22" t="str">
        <f aca="false">IF(A474="","",N(H473)+IF(B474="Masuk",N(D474),-N(D474)))</f>
        <v/>
      </c>
    </row>
    <row r="475" customFormat="false" ht="15" hidden="false" customHeight="false" outlineLevel="0" collapsed="false">
      <c r="A475" s="20"/>
      <c r="B475" s="19"/>
      <c r="C475" s="19"/>
      <c r="D475" s="21"/>
      <c r="E475" s="19"/>
      <c r="F475" s="19"/>
      <c r="G475" s="23" t="str">
        <f aca="false">IF(A475="","",TEXT(A475,"yyyy-mm"))</f>
        <v/>
      </c>
      <c r="H475" s="22" t="str">
        <f aca="false">IF(A475="","",N(H474)+IF(B475="Masuk",N(D475),-N(D475)))</f>
        <v/>
      </c>
    </row>
    <row r="476" customFormat="false" ht="15" hidden="false" customHeight="false" outlineLevel="0" collapsed="false">
      <c r="A476" s="20"/>
      <c r="B476" s="19"/>
      <c r="C476" s="19"/>
      <c r="D476" s="21"/>
      <c r="E476" s="19"/>
      <c r="F476" s="19"/>
      <c r="G476" s="23" t="str">
        <f aca="false">IF(A476="","",TEXT(A476,"yyyy-mm"))</f>
        <v/>
      </c>
      <c r="H476" s="22" t="str">
        <f aca="false">IF(A476="","",N(H475)+IF(B476="Masuk",N(D476),-N(D476)))</f>
        <v/>
      </c>
    </row>
    <row r="477" customFormat="false" ht="15" hidden="false" customHeight="false" outlineLevel="0" collapsed="false">
      <c r="A477" s="20"/>
      <c r="B477" s="19"/>
      <c r="C477" s="19"/>
      <c r="D477" s="21"/>
      <c r="E477" s="19"/>
      <c r="F477" s="19"/>
      <c r="G477" s="23" t="str">
        <f aca="false">IF(A477="","",TEXT(A477,"yyyy-mm"))</f>
        <v/>
      </c>
      <c r="H477" s="22" t="str">
        <f aca="false">IF(A477="","",N(H476)+IF(B477="Masuk",N(D477),-N(D477)))</f>
        <v/>
      </c>
    </row>
    <row r="478" customFormat="false" ht="15" hidden="false" customHeight="false" outlineLevel="0" collapsed="false">
      <c r="A478" s="20"/>
      <c r="B478" s="19"/>
      <c r="C478" s="19"/>
      <c r="D478" s="21"/>
      <c r="E478" s="19"/>
      <c r="F478" s="19"/>
      <c r="G478" s="23" t="str">
        <f aca="false">IF(A478="","",TEXT(A478,"yyyy-mm"))</f>
        <v/>
      </c>
      <c r="H478" s="22" t="str">
        <f aca="false">IF(A478="","",N(H477)+IF(B478="Masuk",N(D478),-N(D478)))</f>
        <v/>
      </c>
    </row>
    <row r="479" customFormat="false" ht="15" hidden="false" customHeight="false" outlineLevel="0" collapsed="false">
      <c r="A479" s="20"/>
      <c r="B479" s="19"/>
      <c r="C479" s="19"/>
      <c r="D479" s="21"/>
      <c r="E479" s="19"/>
      <c r="F479" s="19"/>
      <c r="G479" s="23" t="str">
        <f aca="false">IF(A479="","",TEXT(A479,"yyyy-mm"))</f>
        <v/>
      </c>
      <c r="H479" s="22" t="str">
        <f aca="false">IF(A479="","",N(H478)+IF(B479="Masuk",N(D479),-N(D479)))</f>
        <v/>
      </c>
    </row>
    <row r="480" customFormat="false" ht="15" hidden="false" customHeight="false" outlineLevel="0" collapsed="false">
      <c r="A480" s="20"/>
      <c r="B480" s="19"/>
      <c r="C480" s="19"/>
      <c r="D480" s="21"/>
      <c r="E480" s="19"/>
      <c r="F480" s="19"/>
      <c r="G480" s="23" t="str">
        <f aca="false">IF(A480="","",TEXT(A480,"yyyy-mm"))</f>
        <v/>
      </c>
      <c r="H480" s="22" t="str">
        <f aca="false">IF(A480="","",N(H479)+IF(B480="Masuk",N(D480),-N(D480)))</f>
        <v/>
      </c>
    </row>
    <row r="481" customFormat="false" ht="15" hidden="false" customHeight="false" outlineLevel="0" collapsed="false">
      <c r="A481" s="20"/>
      <c r="B481" s="19"/>
      <c r="C481" s="19"/>
      <c r="D481" s="21"/>
      <c r="E481" s="19"/>
      <c r="F481" s="19"/>
      <c r="G481" s="23" t="str">
        <f aca="false">IF(A481="","",TEXT(A481,"yyyy-mm"))</f>
        <v/>
      </c>
      <c r="H481" s="22" t="str">
        <f aca="false">IF(A481="","",N(H480)+IF(B481="Masuk",N(D481),-N(D481)))</f>
        <v/>
      </c>
    </row>
    <row r="482" customFormat="false" ht="15" hidden="false" customHeight="false" outlineLevel="0" collapsed="false">
      <c r="A482" s="20"/>
      <c r="B482" s="19"/>
      <c r="C482" s="19"/>
      <c r="D482" s="21"/>
      <c r="E482" s="19"/>
      <c r="F482" s="19"/>
      <c r="G482" s="23" t="str">
        <f aca="false">IF(A482="","",TEXT(A482,"yyyy-mm"))</f>
        <v/>
      </c>
      <c r="H482" s="22" t="str">
        <f aca="false">IF(A482="","",N(H481)+IF(B482="Masuk",N(D482),-N(D482)))</f>
        <v/>
      </c>
    </row>
    <row r="483" customFormat="false" ht="15" hidden="false" customHeight="false" outlineLevel="0" collapsed="false">
      <c r="A483" s="20"/>
      <c r="B483" s="19"/>
      <c r="C483" s="19"/>
      <c r="D483" s="21"/>
      <c r="E483" s="19"/>
      <c r="F483" s="19"/>
      <c r="G483" s="23" t="str">
        <f aca="false">IF(A483="","",TEXT(A483,"yyyy-mm"))</f>
        <v/>
      </c>
      <c r="H483" s="22" t="str">
        <f aca="false">IF(A483="","",N(H482)+IF(B483="Masuk",N(D483),-N(D483)))</f>
        <v/>
      </c>
    </row>
    <row r="484" customFormat="false" ht="15" hidden="false" customHeight="false" outlineLevel="0" collapsed="false">
      <c r="A484" s="20"/>
      <c r="B484" s="19"/>
      <c r="C484" s="19"/>
      <c r="D484" s="21"/>
      <c r="E484" s="19"/>
      <c r="F484" s="19"/>
      <c r="G484" s="23" t="str">
        <f aca="false">IF(A484="","",TEXT(A484,"yyyy-mm"))</f>
        <v/>
      </c>
      <c r="H484" s="22" t="str">
        <f aca="false">IF(A484="","",N(H483)+IF(B484="Masuk",N(D484),-N(D484)))</f>
        <v/>
      </c>
    </row>
    <row r="485" customFormat="false" ht="15" hidden="false" customHeight="false" outlineLevel="0" collapsed="false">
      <c r="A485" s="20"/>
      <c r="B485" s="19"/>
      <c r="C485" s="19"/>
      <c r="D485" s="21"/>
      <c r="E485" s="19"/>
      <c r="F485" s="19"/>
      <c r="G485" s="23" t="str">
        <f aca="false">IF(A485="","",TEXT(A485,"yyyy-mm"))</f>
        <v/>
      </c>
      <c r="H485" s="22" t="str">
        <f aca="false">IF(A485="","",N(H484)+IF(B485="Masuk",N(D485),-N(D485)))</f>
        <v/>
      </c>
    </row>
    <row r="486" customFormat="false" ht="15" hidden="false" customHeight="false" outlineLevel="0" collapsed="false">
      <c r="A486" s="20"/>
      <c r="B486" s="19"/>
      <c r="C486" s="19"/>
      <c r="D486" s="21"/>
      <c r="E486" s="19"/>
      <c r="F486" s="19"/>
      <c r="G486" s="23" t="str">
        <f aca="false">IF(A486="","",TEXT(A486,"yyyy-mm"))</f>
        <v/>
      </c>
      <c r="H486" s="22" t="str">
        <f aca="false">IF(A486="","",N(H485)+IF(B486="Masuk",N(D486),-N(D486)))</f>
        <v/>
      </c>
    </row>
    <row r="487" customFormat="false" ht="15" hidden="false" customHeight="false" outlineLevel="0" collapsed="false">
      <c r="A487" s="20"/>
      <c r="B487" s="19"/>
      <c r="C487" s="19"/>
      <c r="D487" s="21"/>
      <c r="E487" s="19"/>
      <c r="F487" s="19"/>
      <c r="G487" s="23" t="str">
        <f aca="false">IF(A487="","",TEXT(A487,"yyyy-mm"))</f>
        <v/>
      </c>
      <c r="H487" s="22" t="str">
        <f aca="false">IF(A487="","",N(H486)+IF(B487="Masuk",N(D487),-N(D487)))</f>
        <v/>
      </c>
    </row>
    <row r="488" customFormat="false" ht="15" hidden="false" customHeight="false" outlineLevel="0" collapsed="false">
      <c r="A488" s="20"/>
      <c r="B488" s="19"/>
      <c r="C488" s="19"/>
      <c r="D488" s="21"/>
      <c r="E488" s="19"/>
      <c r="F488" s="19"/>
      <c r="G488" s="23" t="str">
        <f aca="false">IF(A488="","",TEXT(A488,"yyyy-mm"))</f>
        <v/>
      </c>
      <c r="H488" s="22" t="str">
        <f aca="false">IF(A488="","",N(H487)+IF(B488="Masuk",N(D488),-N(D488)))</f>
        <v/>
      </c>
    </row>
    <row r="489" customFormat="false" ht="15" hidden="false" customHeight="false" outlineLevel="0" collapsed="false">
      <c r="A489" s="20"/>
      <c r="B489" s="19"/>
      <c r="C489" s="19"/>
      <c r="D489" s="21"/>
      <c r="E489" s="19"/>
      <c r="F489" s="19"/>
      <c r="G489" s="23" t="str">
        <f aca="false">IF(A489="","",TEXT(A489,"yyyy-mm"))</f>
        <v/>
      </c>
      <c r="H489" s="22" t="str">
        <f aca="false">IF(A489="","",N(H488)+IF(B489="Masuk",N(D489),-N(D489)))</f>
        <v/>
      </c>
    </row>
    <row r="490" customFormat="false" ht="15" hidden="false" customHeight="false" outlineLevel="0" collapsed="false">
      <c r="A490" s="20"/>
      <c r="B490" s="19"/>
      <c r="C490" s="19"/>
      <c r="D490" s="21"/>
      <c r="E490" s="19"/>
      <c r="F490" s="19"/>
      <c r="G490" s="23" t="str">
        <f aca="false">IF(A490="","",TEXT(A490,"yyyy-mm"))</f>
        <v/>
      </c>
      <c r="H490" s="22" t="str">
        <f aca="false">IF(A490="","",N(H489)+IF(B490="Masuk",N(D490),-N(D490)))</f>
        <v/>
      </c>
    </row>
    <row r="491" customFormat="false" ht="15" hidden="false" customHeight="false" outlineLevel="0" collapsed="false">
      <c r="A491" s="20"/>
      <c r="B491" s="19"/>
      <c r="C491" s="19"/>
      <c r="D491" s="21"/>
      <c r="E491" s="19"/>
      <c r="F491" s="19"/>
      <c r="G491" s="23" t="str">
        <f aca="false">IF(A491="","",TEXT(A491,"yyyy-mm"))</f>
        <v/>
      </c>
      <c r="H491" s="22" t="str">
        <f aca="false">IF(A491="","",N(H490)+IF(B491="Masuk",N(D491),-N(D491)))</f>
        <v/>
      </c>
    </row>
    <row r="492" customFormat="false" ht="15" hidden="false" customHeight="false" outlineLevel="0" collapsed="false">
      <c r="A492" s="20"/>
      <c r="B492" s="19"/>
      <c r="C492" s="19"/>
      <c r="D492" s="21"/>
      <c r="E492" s="19"/>
      <c r="F492" s="19"/>
      <c r="G492" s="23" t="str">
        <f aca="false">IF(A492="","",TEXT(A492,"yyyy-mm"))</f>
        <v/>
      </c>
      <c r="H492" s="22" t="str">
        <f aca="false">IF(A492="","",N(H491)+IF(B492="Masuk",N(D492),-N(D492)))</f>
        <v/>
      </c>
    </row>
    <row r="493" customFormat="false" ht="15" hidden="false" customHeight="false" outlineLevel="0" collapsed="false">
      <c r="A493" s="20"/>
      <c r="B493" s="19"/>
      <c r="C493" s="19"/>
      <c r="D493" s="21"/>
      <c r="E493" s="19"/>
      <c r="F493" s="19"/>
      <c r="G493" s="23" t="str">
        <f aca="false">IF(A493="","",TEXT(A493,"yyyy-mm"))</f>
        <v/>
      </c>
      <c r="H493" s="22" t="str">
        <f aca="false">IF(A493="","",N(H492)+IF(B493="Masuk",N(D493),-N(D493)))</f>
        <v/>
      </c>
    </row>
    <row r="494" customFormat="false" ht="15" hidden="false" customHeight="false" outlineLevel="0" collapsed="false">
      <c r="A494" s="20"/>
      <c r="B494" s="19"/>
      <c r="C494" s="19"/>
      <c r="D494" s="21"/>
      <c r="E494" s="19"/>
      <c r="F494" s="19"/>
      <c r="G494" s="23" t="str">
        <f aca="false">IF(A494="","",TEXT(A494,"yyyy-mm"))</f>
        <v/>
      </c>
      <c r="H494" s="22" t="str">
        <f aca="false">IF(A494="","",N(H493)+IF(B494="Masuk",N(D494),-N(D494)))</f>
        <v/>
      </c>
    </row>
    <row r="495" customFormat="false" ht="15" hidden="false" customHeight="false" outlineLevel="0" collapsed="false">
      <c r="A495" s="20"/>
      <c r="B495" s="19"/>
      <c r="C495" s="19"/>
      <c r="D495" s="21"/>
      <c r="E495" s="19"/>
      <c r="F495" s="19"/>
      <c r="G495" s="23" t="str">
        <f aca="false">IF(A495="","",TEXT(A495,"yyyy-mm"))</f>
        <v/>
      </c>
      <c r="H495" s="22" t="str">
        <f aca="false">IF(A495="","",N(H494)+IF(B495="Masuk",N(D495),-N(D495)))</f>
        <v/>
      </c>
    </row>
    <row r="496" customFormat="false" ht="15" hidden="false" customHeight="false" outlineLevel="0" collapsed="false">
      <c r="A496" s="20"/>
      <c r="B496" s="19"/>
      <c r="C496" s="19"/>
      <c r="D496" s="21"/>
      <c r="E496" s="19"/>
      <c r="F496" s="19"/>
      <c r="G496" s="23" t="str">
        <f aca="false">IF(A496="","",TEXT(A496,"yyyy-mm"))</f>
        <v/>
      </c>
      <c r="H496" s="22" t="str">
        <f aca="false">IF(A496="","",N(H495)+IF(B496="Masuk",N(D496),-N(D496)))</f>
        <v/>
      </c>
    </row>
    <row r="497" customFormat="false" ht="15" hidden="false" customHeight="false" outlineLevel="0" collapsed="false">
      <c r="A497" s="20"/>
      <c r="B497" s="19"/>
      <c r="C497" s="19"/>
      <c r="D497" s="21"/>
      <c r="E497" s="19"/>
      <c r="F497" s="19"/>
      <c r="G497" s="23" t="str">
        <f aca="false">IF(A497="","",TEXT(A497,"yyyy-mm"))</f>
        <v/>
      </c>
      <c r="H497" s="22" t="str">
        <f aca="false">IF(A497="","",N(H496)+IF(B497="Masuk",N(D497),-N(D497)))</f>
        <v/>
      </c>
    </row>
    <row r="498" customFormat="false" ht="15" hidden="false" customHeight="false" outlineLevel="0" collapsed="false">
      <c r="A498" s="20"/>
      <c r="B498" s="19"/>
      <c r="C498" s="19"/>
      <c r="D498" s="21"/>
      <c r="E498" s="19"/>
      <c r="F498" s="19"/>
      <c r="G498" s="23" t="str">
        <f aca="false">IF(A498="","",TEXT(A498,"yyyy-mm"))</f>
        <v/>
      </c>
      <c r="H498" s="22" t="str">
        <f aca="false">IF(A498="","",N(H497)+IF(B498="Masuk",N(D498),-N(D498)))</f>
        <v/>
      </c>
    </row>
    <row r="499" customFormat="false" ht="15" hidden="false" customHeight="false" outlineLevel="0" collapsed="false">
      <c r="A499" s="20"/>
      <c r="B499" s="19"/>
      <c r="C499" s="19"/>
      <c r="D499" s="21"/>
      <c r="E499" s="19"/>
      <c r="F499" s="19"/>
      <c r="G499" s="23" t="str">
        <f aca="false">IF(A499="","",TEXT(A499,"yyyy-mm"))</f>
        <v/>
      </c>
      <c r="H499" s="22" t="str">
        <f aca="false">IF(A499="","",N(H498)+IF(B499="Masuk",N(D499),-N(D499)))</f>
        <v/>
      </c>
    </row>
    <row r="500" customFormat="false" ht="15" hidden="false" customHeight="false" outlineLevel="0" collapsed="false">
      <c r="A500" s="20"/>
      <c r="B500" s="19"/>
      <c r="C500" s="19"/>
      <c r="D500" s="21"/>
      <c r="E500" s="19"/>
      <c r="F500" s="19"/>
      <c r="G500" s="23" t="str">
        <f aca="false">IF(A500="","",TEXT(A500,"yyyy-mm"))</f>
        <v/>
      </c>
      <c r="H500" s="22" t="str">
        <f aca="false">IF(A500="","",N(H499)+IF(B500="Masuk",N(D500),-N(D500)))</f>
        <v/>
      </c>
    </row>
    <row r="501" customFormat="false" ht="15" hidden="false" customHeight="false" outlineLevel="0" collapsed="false">
      <c r="A501" s="20"/>
      <c r="B501" s="19"/>
      <c r="C501" s="19"/>
      <c r="D501" s="21"/>
      <c r="E501" s="19"/>
      <c r="F501" s="19"/>
      <c r="G501" s="23" t="str">
        <f aca="false">IF(A501="","",TEXT(A501,"yyyy-mm"))</f>
        <v/>
      </c>
      <c r="H501" s="22" t="str">
        <f aca="false">IF(A501="","",N(H500)+IF(B501="Masuk",N(D501),-N(D501)))</f>
        <v/>
      </c>
    </row>
    <row r="502" customFormat="false" ht="15" hidden="false" customHeight="false" outlineLevel="0" collapsed="false">
      <c r="A502" s="20"/>
      <c r="B502" s="19"/>
      <c r="C502" s="19"/>
      <c r="D502" s="21"/>
      <c r="E502" s="19"/>
      <c r="F502" s="19"/>
      <c r="G502" s="23" t="str">
        <f aca="false">IF(A502="","",TEXT(A502,"yyyy-mm"))</f>
        <v/>
      </c>
      <c r="H502" s="22" t="str">
        <f aca="false">IF(A502="","",N(H501)+IF(B502="Masuk",N(D502),-N(D502)))</f>
        <v/>
      </c>
    </row>
    <row r="503" customFormat="false" ht="15" hidden="false" customHeight="false" outlineLevel="0" collapsed="false">
      <c r="A503" s="20"/>
      <c r="B503" s="19"/>
      <c r="C503" s="19"/>
      <c r="D503" s="21"/>
      <c r="E503" s="19"/>
      <c r="F503" s="19"/>
      <c r="G503" s="23" t="str">
        <f aca="false">IF(A503="","",TEXT(A503,"yyyy-mm"))</f>
        <v/>
      </c>
      <c r="H503" s="22" t="str">
        <f aca="false">IF(A503="","",N(H502)+IF(B503="Masuk",N(D503),-N(D503)))</f>
        <v/>
      </c>
    </row>
    <row r="504" customFormat="false" ht="15" hidden="false" customHeight="false" outlineLevel="0" collapsed="false">
      <c r="A504" s="20"/>
      <c r="B504" s="19"/>
      <c r="C504" s="19"/>
      <c r="D504" s="21"/>
      <c r="E504" s="19"/>
      <c r="F504" s="19"/>
      <c r="G504" s="23" t="str">
        <f aca="false">IF(A504="","",TEXT(A504,"yyyy-mm"))</f>
        <v/>
      </c>
      <c r="H504" s="22" t="str">
        <f aca="false">IF(A504="","",N(H503)+IF(B504="Masuk",N(D504),-N(D504)))</f>
        <v/>
      </c>
    </row>
    <row r="505" customFormat="false" ht="15" hidden="false" customHeight="false" outlineLevel="0" collapsed="false">
      <c r="A505" s="20"/>
      <c r="B505" s="19"/>
      <c r="C505" s="19"/>
      <c r="D505" s="21"/>
      <c r="E505" s="19"/>
      <c r="F505" s="19"/>
      <c r="G505" s="23" t="str">
        <f aca="false">IF(A505="","",TEXT(A505,"yyyy-mm"))</f>
        <v/>
      </c>
      <c r="H505" s="22" t="str">
        <f aca="false">IF(A505="","",N(H504)+IF(B505="Masuk",N(D505),-N(D505)))</f>
        <v/>
      </c>
    </row>
    <row r="506" customFormat="false" ht="15" hidden="false" customHeight="false" outlineLevel="0" collapsed="false">
      <c r="A506" s="20"/>
      <c r="B506" s="19"/>
      <c r="C506" s="19"/>
      <c r="D506" s="21"/>
      <c r="E506" s="19"/>
      <c r="F506" s="19"/>
      <c r="G506" s="23" t="str">
        <f aca="false">IF(A506="","",TEXT(A506,"yyyy-mm"))</f>
        <v/>
      </c>
      <c r="H506" s="22" t="str">
        <f aca="false">IF(A506="","",N(H505)+IF(B506="Masuk",N(D506),-N(D506)))</f>
        <v/>
      </c>
    </row>
    <row r="507" customFormat="false" ht="15" hidden="false" customHeight="false" outlineLevel="0" collapsed="false">
      <c r="A507" s="20"/>
      <c r="B507" s="19"/>
      <c r="C507" s="19"/>
      <c r="D507" s="21"/>
      <c r="E507" s="19"/>
      <c r="F507" s="19"/>
      <c r="G507" s="23" t="str">
        <f aca="false">IF(A507="","",TEXT(A507,"yyyy-mm"))</f>
        <v/>
      </c>
      <c r="H507" s="22" t="str">
        <f aca="false">IF(A507="","",N(H506)+IF(B507="Masuk",N(D507),-N(D507)))</f>
        <v/>
      </c>
    </row>
    <row r="508" customFormat="false" ht="15" hidden="false" customHeight="false" outlineLevel="0" collapsed="false">
      <c r="A508" s="20"/>
      <c r="B508" s="19"/>
      <c r="C508" s="19"/>
      <c r="D508" s="21"/>
      <c r="E508" s="19"/>
      <c r="F508" s="19"/>
      <c r="G508" s="23" t="str">
        <f aca="false">IF(A508="","",TEXT(A508,"yyyy-mm"))</f>
        <v/>
      </c>
      <c r="H508" s="22" t="str">
        <f aca="false">IF(A508="","",N(H507)+IF(B508="Masuk",N(D508),-N(D508)))</f>
        <v/>
      </c>
    </row>
    <row r="509" customFormat="false" ht="15" hidden="false" customHeight="false" outlineLevel="0" collapsed="false">
      <c r="A509" s="20"/>
      <c r="B509" s="19"/>
      <c r="C509" s="19"/>
      <c r="D509" s="21"/>
      <c r="E509" s="19"/>
      <c r="F509" s="19"/>
      <c r="G509" s="23" t="str">
        <f aca="false">IF(A509="","",TEXT(A509,"yyyy-mm"))</f>
        <v/>
      </c>
      <c r="H509" s="22" t="str">
        <f aca="false">IF(A509="","",N(H508)+IF(B509="Masuk",N(D509),-N(D509)))</f>
        <v/>
      </c>
    </row>
    <row r="510" customFormat="false" ht="15" hidden="false" customHeight="false" outlineLevel="0" collapsed="false">
      <c r="A510" s="20"/>
      <c r="B510" s="19"/>
      <c r="C510" s="19"/>
      <c r="D510" s="21"/>
      <c r="E510" s="19"/>
      <c r="F510" s="19"/>
      <c r="G510" s="23" t="str">
        <f aca="false">IF(A510="","",TEXT(A510,"yyyy-mm"))</f>
        <v/>
      </c>
      <c r="H510" s="22" t="str">
        <f aca="false">IF(A510="","",N(H509)+IF(B510="Masuk",N(D510),-N(D510)))</f>
        <v/>
      </c>
    </row>
    <row r="511" customFormat="false" ht="15" hidden="false" customHeight="false" outlineLevel="0" collapsed="false">
      <c r="A511" s="20"/>
      <c r="B511" s="19"/>
      <c r="C511" s="19"/>
      <c r="D511" s="21"/>
      <c r="E511" s="19"/>
      <c r="F511" s="19"/>
      <c r="G511" s="23" t="str">
        <f aca="false">IF(A511="","",TEXT(A511,"yyyy-mm"))</f>
        <v/>
      </c>
      <c r="H511" s="22" t="str">
        <f aca="false">IF(A511="","",N(H510)+IF(B511="Masuk",N(D511),-N(D511)))</f>
        <v/>
      </c>
    </row>
    <row r="512" customFormat="false" ht="15" hidden="false" customHeight="false" outlineLevel="0" collapsed="false">
      <c r="A512" s="20"/>
      <c r="B512" s="19"/>
      <c r="C512" s="19"/>
      <c r="D512" s="21"/>
      <c r="E512" s="19"/>
      <c r="F512" s="19"/>
      <c r="G512" s="23" t="str">
        <f aca="false">IF(A512="","",TEXT(A512,"yyyy-mm"))</f>
        <v/>
      </c>
      <c r="H512" s="22" t="str">
        <f aca="false">IF(A512="","",N(H511)+IF(B512="Masuk",N(D512),-N(D512)))</f>
        <v/>
      </c>
    </row>
    <row r="513" customFormat="false" ht="15" hidden="false" customHeight="false" outlineLevel="0" collapsed="false">
      <c r="A513" s="20"/>
      <c r="B513" s="19"/>
      <c r="C513" s="19"/>
      <c r="D513" s="21"/>
      <c r="E513" s="19"/>
      <c r="F513" s="19"/>
      <c r="G513" s="23" t="str">
        <f aca="false">IF(A513="","",TEXT(A513,"yyyy-mm"))</f>
        <v/>
      </c>
      <c r="H513" s="22" t="str">
        <f aca="false">IF(A513="","",N(H512)+IF(B513="Masuk",N(D513),-N(D513)))</f>
        <v/>
      </c>
    </row>
    <row r="514" customFormat="false" ht="15" hidden="false" customHeight="false" outlineLevel="0" collapsed="false">
      <c r="A514" s="20"/>
      <c r="B514" s="19"/>
      <c r="C514" s="19"/>
      <c r="D514" s="21"/>
      <c r="E514" s="19"/>
      <c r="F514" s="19"/>
      <c r="G514" s="23" t="str">
        <f aca="false">IF(A514="","",TEXT(A514,"yyyy-mm"))</f>
        <v/>
      </c>
      <c r="H514" s="22" t="str">
        <f aca="false">IF(A514="","",N(H513)+IF(B514="Masuk",N(D514),-N(D514)))</f>
        <v/>
      </c>
    </row>
    <row r="515" customFormat="false" ht="15" hidden="false" customHeight="false" outlineLevel="0" collapsed="false">
      <c r="A515" s="20"/>
      <c r="B515" s="19"/>
      <c r="C515" s="19"/>
      <c r="D515" s="21"/>
      <c r="E515" s="19"/>
      <c r="F515" s="19"/>
      <c r="G515" s="23" t="str">
        <f aca="false">IF(A515="","",TEXT(A515,"yyyy-mm"))</f>
        <v/>
      </c>
      <c r="H515" s="22" t="str">
        <f aca="false">IF(A515="","",N(H514)+IF(B515="Masuk",N(D515),-N(D515)))</f>
        <v/>
      </c>
    </row>
    <row r="516" customFormat="false" ht="15" hidden="false" customHeight="false" outlineLevel="0" collapsed="false">
      <c r="A516" s="20"/>
      <c r="B516" s="19"/>
      <c r="C516" s="19"/>
      <c r="D516" s="21"/>
      <c r="E516" s="19"/>
      <c r="F516" s="19"/>
      <c r="G516" s="23" t="str">
        <f aca="false">IF(A516="","",TEXT(A516,"yyyy-mm"))</f>
        <v/>
      </c>
      <c r="H516" s="22" t="str">
        <f aca="false">IF(A516="","",N(H515)+IF(B516="Masuk",N(D516),-N(D516)))</f>
        <v/>
      </c>
    </row>
    <row r="517" customFormat="false" ht="15" hidden="false" customHeight="false" outlineLevel="0" collapsed="false">
      <c r="A517" s="20"/>
      <c r="B517" s="19"/>
      <c r="C517" s="19"/>
      <c r="D517" s="21"/>
      <c r="E517" s="19"/>
      <c r="F517" s="19"/>
      <c r="G517" s="23" t="str">
        <f aca="false">IF(A517="","",TEXT(A517,"yyyy-mm"))</f>
        <v/>
      </c>
      <c r="H517" s="22" t="str">
        <f aca="false">IF(A517="","",N(H516)+IF(B517="Masuk",N(D517),-N(D517)))</f>
        <v/>
      </c>
    </row>
    <row r="518" customFormat="false" ht="15" hidden="false" customHeight="false" outlineLevel="0" collapsed="false">
      <c r="A518" s="20"/>
      <c r="B518" s="19"/>
      <c r="C518" s="19"/>
      <c r="D518" s="21"/>
      <c r="E518" s="19"/>
      <c r="F518" s="19"/>
      <c r="G518" s="23" t="str">
        <f aca="false">IF(A518="","",TEXT(A518,"yyyy-mm"))</f>
        <v/>
      </c>
      <c r="H518" s="22" t="str">
        <f aca="false">IF(A518="","",N(H517)+IF(B518="Masuk",N(D518),-N(D518)))</f>
        <v/>
      </c>
    </row>
    <row r="519" customFormat="false" ht="15" hidden="false" customHeight="false" outlineLevel="0" collapsed="false">
      <c r="A519" s="20"/>
      <c r="B519" s="19"/>
      <c r="C519" s="19"/>
      <c r="D519" s="21"/>
      <c r="E519" s="19"/>
      <c r="F519" s="19"/>
      <c r="G519" s="23" t="str">
        <f aca="false">IF(A519="","",TEXT(A519,"yyyy-mm"))</f>
        <v/>
      </c>
      <c r="H519" s="22" t="str">
        <f aca="false">IF(A519="","",N(H518)+IF(B519="Masuk",N(D519),-N(D519)))</f>
        <v/>
      </c>
    </row>
    <row r="520" customFormat="false" ht="15" hidden="false" customHeight="false" outlineLevel="0" collapsed="false">
      <c r="A520" s="20"/>
      <c r="B520" s="19"/>
      <c r="C520" s="19"/>
      <c r="D520" s="21"/>
      <c r="E520" s="19"/>
      <c r="F520" s="19"/>
      <c r="G520" s="23" t="str">
        <f aca="false">IF(A520="","",TEXT(A520,"yyyy-mm"))</f>
        <v/>
      </c>
      <c r="H520" s="22" t="str">
        <f aca="false">IF(A520="","",N(H519)+IF(B520="Masuk",N(D520),-N(D520)))</f>
        <v/>
      </c>
    </row>
    <row r="521" customFormat="false" ht="15" hidden="false" customHeight="false" outlineLevel="0" collapsed="false">
      <c r="A521" s="20"/>
      <c r="B521" s="19"/>
      <c r="C521" s="19"/>
      <c r="D521" s="21"/>
      <c r="E521" s="19"/>
      <c r="F521" s="19"/>
      <c r="G521" s="23" t="str">
        <f aca="false">IF(A521="","",TEXT(A521,"yyyy-mm"))</f>
        <v/>
      </c>
      <c r="H521" s="22" t="str">
        <f aca="false">IF(A521="","",N(H520)+IF(B521="Masuk",N(D521),-N(D521)))</f>
        <v/>
      </c>
    </row>
    <row r="522" customFormat="false" ht="15" hidden="false" customHeight="false" outlineLevel="0" collapsed="false">
      <c r="A522" s="20"/>
      <c r="B522" s="19"/>
      <c r="C522" s="19"/>
      <c r="D522" s="21"/>
      <c r="E522" s="19"/>
      <c r="F522" s="19"/>
      <c r="G522" s="23" t="str">
        <f aca="false">IF(A522="","",TEXT(A522,"yyyy-mm"))</f>
        <v/>
      </c>
      <c r="H522" s="22" t="str">
        <f aca="false">IF(A522="","",N(H521)+IF(B522="Masuk",N(D522),-N(D522)))</f>
        <v/>
      </c>
    </row>
    <row r="523" customFormat="false" ht="15" hidden="false" customHeight="false" outlineLevel="0" collapsed="false">
      <c r="A523" s="20"/>
      <c r="B523" s="19"/>
      <c r="C523" s="19"/>
      <c r="D523" s="21"/>
      <c r="E523" s="19"/>
      <c r="F523" s="19"/>
      <c r="G523" s="23" t="str">
        <f aca="false">IF(A523="","",TEXT(A523,"yyyy-mm"))</f>
        <v/>
      </c>
      <c r="H523" s="22" t="str">
        <f aca="false">IF(A523="","",N(H522)+IF(B523="Masuk",N(D523),-N(D523)))</f>
        <v/>
      </c>
    </row>
    <row r="524" customFormat="false" ht="15" hidden="false" customHeight="false" outlineLevel="0" collapsed="false">
      <c r="A524" s="20"/>
      <c r="B524" s="19"/>
      <c r="C524" s="19"/>
      <c r="D524" s="21"/>
      <c r="E524" s="19"/>
      <c r="F524" s="19"/>
      <c r="G524" s="23" t="str">
        <f aca="false">IF(A524="","",TEXT(A524,"yyyy-mm"))</f>
        <v/>
      </c>
      <c r="H524" s="22" t="str">
        <f aca="false">IF(A524="","",N(H523)+IF(B524="Masuk",N(D524),-N(D524)))</f>
        <v/>
      </c>
    </row>
    <row r="525" customFormat="false" ht="15" hidden="false" customHeight="false" outlineLevel="0" collapsed="false">
      <c r="A525" s="20"/>
      <c r="B525" s="19"/>
      <c r="C525" s="19"/>
      <c r="D525" s="21"/>
      <c r="E525" s="19"/>
      <c r="F525" s="19"/>
      <c r="G525" s="23" t="str">
        <f aca="false">IF(A525="","",TEXT(A525,"yyyy-mm"))</f>
        <v/>
      </c>
      <c r="H525" s="22" t="str">
        <f aca="false">IF(A525="","",N(H524)+IF(B525="Masuk",N(D525),-N(D525)))</f>
        <v/>
      </c>
    </row>
    <row r="526" customFormat="false" ht="15" hidden="false" customHeight="false" outlineLevel="0" collapsed="false">
      <c r="A526" s="20"/>
      <c r="B526" s="19"/>
      <c r="C526" s="19"/>
      <c r="D526" s="21"/>
      <c r="E526" s="19"/>
      <c r="F526" s="19"/>
      <c r="G526" s="23" t="str">
        <f aca="false">IF(A526="","",TEXT(A526,"yyyy-mm"))</f>
        <v/>
      </c>
      <c r="H526" s="22" t="str">
        <f aca="false">IF(A526="","",N(H525)+IF(B526="Masuk",N(D526),-N(D526)))</f>
        <v/>
      </c>
    </row>
    <row r="527" customFormat="false" ht="15" hidden="false" customHeight="false" outlineLevel="0" collapsed="false">
      <c r="A527" s="20"/>
      <c r="B527" s="19"/>
      <c r="C527" s="19"/>
      <c r="D527" s="21"/>
      <c r="E527" s="19"/>
      <c r="F527" s="19"/>
      <c r="G527" s="23" t="str">
        <f aca="false">IF(A527="","",TEXT(A527,"yyyy-mm"))</f>
        <v/>
      </c>
      <c r="H527" s="22" t="str">
        <f aca="false">IF(A527="","",N(H526)+IF(B527="Masuk",N(D527),-N(D527)))</f>
        <v/>
      </c>
    </row>
    <row r="528" customFormat="false" ht="15" hidden="false" customHeight="false" outlineLevel="0" collapsed="false">
      <c r="A528" s="20"/>
      <c r="B528" s="19"/>
      <c r="C528" s="19"/>
      <c r="D528" s="21"/>
      <c r="E528" s="19"/>
      <c r="F528" s="19"/>
      <c r="G528" s="23" t="str">
        <f aca="false">IF(A528="","",TEXT(A528,"yyyy-mm"))</f>
        <v/>
      </c>
      <c r="H528" s="22" t="str">
        <f aca="false">IF(A528="","",N(H527)+IF(B528="Masuk",N(D528),-N(D528)))</f>
        <v/>
      </c>
    </row>
    <row r="529" customFormat="false" ht="15" hidden="false" customHeight="false" outlineLevel="0" collapsed="false">
      <c r="A529" s="20"/>
      <c r="B529" s="19"/>
      <c r="C529" s="19"/>
      <c r="D529" s="21"/>
      <c r="E529" s="19"/>
      <c r="F529" s="19"/>
      <c r="G529" s="23" t="str">
        <f aca="false">IF(A529="","",TEXT(A529,"yyyy-mm"))</f>
        <v/>
      </c>
      <c r="H529" s="22" t="str">
        <f aca="false">IF(A529="","",N(H528)+IF(B529="Masuk",N(D529),-N(D529)))</f>
        <v/>
      </c>
    </row>
    <row r="530" customFormat="false" ht="15" hidden="false" customHeight="false" outlineLevel="0" collapsed="false">
      <c r="A530" s="20"/>
      <c r="B530" s="19"/>
      <c r="C530" s="19"/>
      <c r="D530" s="21"/>
      <c r="E530" s="19"/>
      <c r="F530" s="19"/>
      <c r="G530" s="23" t="str">
        <f aca="false">IF(A530="","",TEXT(A530,"yyyy-mm"))</f>
        <v/>
      </c>
      <c r="H530" s="22" t="str">
        <f aca="false">IF(A530="","",N(H529)+IF(B530="Masuk",N(D530),-N(D530)))</f>
        <v/>
      </c>
    </row>
    <row r="531" customFormat="false" ht="15" hidden="false" customHeight="false" outlineLevel="0" collapsed="false">
      <c r="A531" s="20"/>
      <c r="B531" s="19"/>
      <c r="C531" s="19"/>
      <c r="D531" s="21"/>
      <c r="E531" s="19"/>
      <c r="F531" s="19"/>
      <c r="G531" s="23" t="str">
        <f aca="false">IF(A531="","",TEXT(A531,"yyyy-mm"))</f>
        <v/>
      </c>
      <c r="H531" s="22" t="str">
        <f aca="false">IF(A531="","",N(H530)+IF(B531="Masuk",N(D531),-N(D531)))</f>
        <v/>
      </c>
    </row>
    <row r="532" customFormat="false" ht="15" hidden="false" customHeight="false" outlineLevel="0" collapsed="false">
      <c r="A532" s="20"/>
      <c r="B532" s="19"/>
      <c r="C532" s="19"/>
      <c r="D532" s="21"/>
      <c r="E532" s="19"/>
      <c r="F532" s="19"/>
      <c r="G532" s="23" t="str">
        <f aca="false">IF(A532="","",TEXT(A532,"yyyy-mm"))</f>
        <v/>
      </c>
      <c r="H532" s="22" t="str">
        <f aca="false">IF(A532="","",N(H531)+IF(B532="Masuk",N(D532),-N(D532)))</f>
        <v/>
      </c>
    </row>
    <row r="533" customFormat="false" ht="15" hidden="false" customHeight="false" outlineLevel="0" collapsed="false">
      <c r="A533" s="20"/>
      <c r="B533" s="19"/>
      <c r="C533" s="19"/>
      <c r="D533" s="21"/>
      <c r="E533" s="19"/>
      <c r="F533" s="19"/>
      <c r="G533" s="23" t="str">
        <f aca="false">IF(A533="","",TEXT(A533,"yyyy-mm"))</f>
        <v/>
      </c>
      <c r="H533" s="22" t="str">
        <f aca="false">IF(A533="","",N(H532)+IF(B533="Masuk",N(D533),-N(D533)))</f>
        <v/>
      </c>
    </row>
    <row r="534" customFormat="false" ht="15" hidden="false" customHeight="false" outlineLevel="0" collapsed="false">
      <c r="A534" s="20"/>
      <c r="B534" s="19"/>
      <c r="C534" s="19"/>
      <c r="D534" s="21"/>
      <c r="E534" s="19"/>
      <c r="F534" s="19"/>
      <c r="G534" s="23" t="str">
        <f aca="false">IF(A534="","",TEXT(A534,"yyyy-mm"))</f>
        <v/>
      </c>
      <c r="H534" s="22" t="str">
        <f aca="false">IF(A534="","",N(H533)+IF(B534="Masuk",N(D534),-N(D534)))</f>
        <v/>
      </c>
    </row>
    <row r="535" customFormat="false" ht="15" hidden="false" customHeight="false" outlineLevel="0" collapsed="false">
      <c r="A535" s="20"/>
      <c r="B535" s="19"/>
      <c r="C535" s="19"/>
      <c r="D535" s="21"/>
      <c r="E535" s="19"/>
      <c r="F535" s="19"/>
      <c r="G535" s="23" t="str">
        <f aca="false">IF(A535="","",TEXT(A535,"yyyy-mm"))</f>
        <v/>
      </c>
      <c r="H535" s="22" t="str">
        <f aca="false">IF(A535="","",N(H534)+IF(B535="Masuk",N(D535),-N(D535)))</f>
        <v/>
      </c>
    </row>
    <row r="536" customFormat="false" ht="15" hidden="false" customHeight="false" outlineLevel="0" collapsed="false">
      <c r="A536" s="20"/>
      <c r="B536" s="19"/>
      <c r="C536" s="19"/>
      <c r="D536" s="21"/>
      <c r="E536" s="19"/>
      <c r="F536" s="19"/>
      <c r="G536" s="23" t="str">
        <f aca="false">IF(A536="","",TEXT(A536,"yyyy-mm"))</f>
        <v/>
      </c>
      <c r="H536" s="22" t="str">
        <f aca="false">IF(A536="","",N(H535)+IF(B536="Masuk",N(D536),-N(D536)))</f>
        <v/>
      </c>
    </row>
    <row r="537" customFormat="false" ht="15" hidden="false" customHeight="false" outlineLevel="0" collapsed="false">
      <c r="A537" s="20"/>
      <c r="B537" s="19"/>
      <c r="C537" s="19"/>
      <c r="D537" s="21"/>
      <c r="E537" s="19"/>
      <c r="F537" s="19"/>
      <c r="G537" s="23" t="str">
        <f aca="false">IF(A537="","",TEXT(A537,"yyyy-mm"))</f>
        <v/>
      </c>
      <c r="H537" s="22" t="str">
        <f aca="false">IF(A537="","",N(H536)+IF(B537="Masuk",N(D537),-N(D537)))</f>
        <v/>
      </c>
    </row>
    <row r="538" customFormat="false" ht="15" hidden="false" customHeight="false" outlineLevel="0" collapsed="false">
      <c r="A538" s="20"/>
      <c r="B538" s="19"/>
      <c r="C538" s="19"/>
      <c r="D538" s="21"/>
      <c r="E538" s="19"/>
      <c r="F538" s="19"/>
      <c r="G538" s="23" t="str">
        <f aca="false">IF(A538="","",TEXT(A538,"yyyy-mm"))</f>
        <v/>
      </c>
      <c r="H538" s="22" t="str">
        <f aca="false">IF(A538="","",N(H537)+IF(B538="Masuk",N(D538),-N(D538)))</f>
        <v/>
      </c>
    </row>
    <row r="539" customFormat="false" ht="15" hidden="false" customHeight="false" outlineLevel="0" collapsed="false">
      <c r="A539" s="20"/>
      <c r="B539" s="19"/>
      <c r="C539" s="19"/>
      <c r="D539" s="21"/>
      <c r="E539" s="19"/>
      <c r="F539" s="19"/>
      <c r="G539" s="23" t="str">
        <f aca="false">IF(A539="","",TEXT(A539,"yyyy-mm"))</f>
        <v/>
      </c>
      <c r="H539" s="22" t="str">
        <f aca="false">IF(A539="","",N(H538)+IF(B539="Masuk",N(D539),-N(D539)))</f>
        <v/>
      </c>
    </row>
    <row r="540" customFormat="false" ht="15" hidden="false" customHeight="false" outlineLevel="0" collapsed="false">
      <c r="A540" s="20"/>
      <c r="B540" s="19"/>
      <c r="C540" s="19"/>
      <c r="D540" s="21"/>
      <c r="E540" s="19"/>
      <c r="F540" s="19"/>
      <c r="G540" s="23" t="str">
        <f aca="false">IF(A540="","",TEXT(A540,"yyyy-mm"))</f>
        <v/>
      </c>
      <c r="H540" s="22" t="str">
        <f aca="false">IF(A540="","",N(H539)+IF(B540="Masuk",N(D540),-N(D540)))</f>
        <v/>
      </c>
    </row>
    <row r="541" customFormat="false" ht="15" hidden="false" customHeight="false" outlineLevel="0" collapsed="false">
      <c r="A541" s="20"/>
      <c r="B541" s="19"/>
      <c r="C541" s="19"/>
      <c r="D541" s="21"/>
      <c r="E541" s="19"/>
      <c r="F541" s="19"/>
      <c r="G541" s="23" t="str">
        <f aca="false">IF(A541="","",TEXT(A541,"yyyy-mm"))</f>
        <v/>
      </c>
      <c r="H541" s="22" t="str">
        <f aca="false">IF(A541="","",N(H540)+IF(B541="Masuk",N(D541),-N(D541)))</f>
        <v/>
      </c>
    </row>
    <row r="542" customFormat="false" ht="15" hidden="false" customHeight="false" outlineLevel="0" collapsed="false">
      <c r="A542" s="20"/>
      <c r="B542" s="19"/>
      <c r="C542" s="19"/>
      <c r="D542" s="21"/>
      <c r="E542" s="19"/>
      <c r="F542" s="19"/>
      <c r="G542" s="23" t="str">
        <f aca="false">IF(A542="","",TEXT(A542,"yyyy-mm"))</f>
        <v/>
      </c>
      <c r="H542" s="22" t="str">
        <f aca="false">IF(A542="","",N(H541)+IF(B542="Masuk",N(D542),-N(D542)))</f>
        <v/>
      </c>
    </row>
    <row r="543" customFormat="false" ht="15" hidden="false" customHeight="false" outlineLevel="0" collapsed="false">
      <c r="A543" s="20"/>
      <c r="B543" s="19"/>
      <c r="C543" s="19"/>
      <c r="D543" s="21"/>
      <c r="E543" s="19"/>
      <c r="F543" s="19"/>
      <c r="G543" s="23" t="str">
        <f aca="false">IF(A543="","",TEXT(A543,"yyyy-mm"))</f>
        <v/>
      </c>
      <c r="H543" s="22" t="str">
        <f aca="false">IF(A543="","",N(H542)+IF(B543="Masuk",N(D543),-N(D543)))</f>
        <v/>
      </c>
    </row>
    <row r="544" customFormat="false" ht="15" hidden="false" customHeight="false" outlineLevel="0" collapsed="false">
      <c r="A544" s="20"/>
      <c r="B544" s="19"/>
      <c r="C544" s="19"/>
      <c r="D544" s="21"/>
      <c r="E544" s="19"/>
      <c r="F544" s="19"/>
      <c r="G544" s="23" t="str">
        <f aca="false">IF(A544="","",TEXT(A544,"yyyy-mm"))</f>
        <v/>
      </c>
      <c r="H544" s="22" t="str">
        <f aca="false">IF(A544="","",N(H543)+IF(B544="Masuk",N(D544),-N(D544)))</f>
        <v/>
      </c>
    </row>
    <row r="545" customFormat="false" ht="15" hidden="false" customHeight="false" outlineLevel="0" collapsed="false">
      <c r="A545" s="20"/>
      <c r="B545" s="19"/>
      <c r="C545" s="19"/>
      <c r="D545" s="21"/>
      <c r="E545" s="19"/>
      <c r="F545" s="19"/>
      <c r="G545" s="23" t="str">
        <f aca="false">IF(A545="","",TEXT(A545,"yyyy-mm"))</f>
        <v/>
      </c>
      <c r="H545" s="22" t="str">
        <f aca="false">IF(A545="","",N(H544)+IF(B545="Masuk",N(D545),-N(D545)))</f>
        <v/>
      </c>
    </row>
    <row r="546" customFormat="false" ht="15" hidden="false" customHeight="false" outlineLevel="0" collapsed="false">
      <c r="A546" s="20"/>
      <c r="B546" s="19"/>
      <c r="C546" s="19"/>
      <c r="D546" s="21"/>
      <c r="E546" s="19"/>
      <c r="F546" s="19"/>
      <c r="G546" s="23" t="str">
        <f aca="false">IF(A546="","",TEXT(A546,"yyyy-mm"))</f>
        <v/>
      </c>
      <c r="H546" s="22" t="str">
        <f aca="false">IF(A546="","",N(H545)+IF(B546="Masuk",N(D546),-N(D546)))</f>
        <v/>
      </c>
    </row>
    <row r="547" customFormat="false" ht="15" hidden="false" customHeight="false" outlineLevel="0" collapsed="false">
      <c r="A547" s="20"/>
      <c r="B547" s="19"/>
      <c r="C547" s="19"/>
      <c r="D547" s="21"/>
      <c r="E547" s="19"/>
      <c r="F547" s="19"/>
      <c r="G547" s="23" t="str">
        <f aca="false">IF(A547="","",TEXT(A547,"yyyy-mm"))</f>
        <v/>
      </c>
      <c r="H547" s="22" t="str">
        <f aca="false">IF(A547="","",N(H546)+IF(B547="Masuk",N(D547),-N(D547)))</f>
        <v/>
      </c>
    </row>
    <row r="548" customFormat="false" ht="15" hidden="false" customHeight="false" outlineLevel="0" collapsed="false">
      <c r="A548" s="20"/>
      <c r="B548" s="19"/>
      <c r="C548" s="19"/>
      <c r="D548" s="21"/>
      <c r="E548" s="19"/>
      <c r="F548" s="19"/>
      <c r="G548" s="23" t="str">
        <f aca="false">IF(A548="","",TEXT(A548,"yyyy-mm"))</f>
        <v/>
      </c>
      <c r="H548" s="22" t="str">
        <f aca="false">IF(A548="","",N(H547)+IF(B548="Masuk",N(D548),-N(D548)))</f>
        <v/>
      </c>
    </row>
    <row r="549" customFormat="false" ht="15" hidden="false" customHeight="false" outlineLevel="0" collapsed="false">
      <c r="A549" s="20"/>
      <c r="B549" s="19"/>
      <c r="C549" s="19"/>
      <c r="D549" s="21"/>
      <c r="E549" s="19"/>
      <c r="F549" s="19"/>
      <c r="G549" s="23" t="str">
        <f aca="false">IF(A549="","",TEXT(A549,"yyyy-mm"))</f>
        <v/>
      </c>
      <c r="H549" s="22" t="str">
        <f aca="false">IF(A549="","",N(H548)+IF(B549="Masuk",N(D549),-N(D549)))</f>
        <v/>
      </c>
    </row>
    <row r="550" customFormat="false" ht="15" hidden="false" customHeight="false" outlineLevel="0" collapsed="false">
      <c r="A550" s="20"/>
      <c r="B550" s="19"/>
      <c r="C550" s="19"/>
      <c r="D550" s="21"/>
      <c r="E550" s="19"/>
      <c r="F550" s="19"/>
      <c r="G550" s="23" t="str">
        <f aca="false">IF(A550="","",TEXT(A550,"yyyy-mm"))</f>
        <v/>
      </c>
      <c r="H550" s="22" t="str">
        <f aca="false">IF(A550="","",N(H549)+IF(B550="Masuk",N(D550),-N(D550)))</f>
        <v/>
      </c>
    </row>
    <row r="551" customFormat="false" ht="15" hidden="false" customHeight="false" outlineLevel="0" collapsed="false">
      <c r="A551" s="20"/>
      <c r="B551" s="19"/>
      <c r="C551" s="19"/>
      <c r="D551" s="21"/>
      <c r="E551" s="19"/>
      <c r="F551" s="19"/>
      <c r="G551" s="23" t="str">
        <f aca="false">IF(A551="","",TEXT(A551,"yyyy-mm"))</f>
        <v/>
      </c>
      <c r="H551" s="22" t="str">
        <f aca="false">IF(A551="","",N(H550)+IF(B551="Masuk",N(D551),-N(D551)))</f>
        <v/>
      </c>
    </row>
    <row r="552" customFormat="false" ht="15" hidden="false" customHeight="false" outlineLevel="0" collapsed="false">
      <c r="A552" s="20"/>
      <c r="B552" s="19"/>
      <c r="C552" s="19"/>
      <c r="D552" s="21"/>
      <c r="E552" s="19"/>
      <c r="F552" s="19"/>
      <c r="G552" s="23" t="str">
        <f aca="false">IF(A552="","",TEXT(A552,"yyyy-mm"))</f>
        <v/>
      </c>
      <c r="H552" s="22" t="str">
        <f aca="false">IF(A552="","",N(H551)+IF(B552="Masuk",N(D552),-N(D552)))</f>
        <v/>
      </c>
    </row>
    <row r="553" customFormat="false" ht="15" hidden="false" customHeight="false" outlineLevel="0" collapsed="false">
      <c r="A553" s="20"/>
      <c r="B553" s="19"/>
      <c r="C553" s="19"/>
      <c r="D553" s="21"/>
      <c r="E553" s="19"/>
      <c r="F553" s="19"/>
      <c r="G553" s="23" t="str">
        <f aca="false">IF(A553="","",TEXT(A553,"yyyy-mm"))</f>
        <v/>
      </c>
      <c r="H553" s="22" t="str">
        <f aca="false">IF(A553="","",N(H552)+IF(B553="Masuk",N(D553),-N(D553)))</f>
        <v/>
      </c>
    </row>
    <row r="554" customFormat="false" ht="15" hidden="false" customHeight="false" outlineLevel="0" collapsed="false">
      <c r="A554" s="20"/>
      <c r="B554" s="19"/>
      <c r="C554" s="19"/>
      <c r="D554" s="21"/>
      <c r="E554" s="19"/>
      <c r="F554" s="19"/>
      <c r="G554" s="23" t="str">
        <f aca="false">IF(A554="","",TEXT(A554,"yyyy-mm"))</f>
        <v/>
      </c>
      <c r="H554" s="22" t="str">
        <f aca="false">IF(A554="","",N(H553)+IF(B554="Masuk",N(D554),-N(D554)))</f>
        <v/>
      </c>
    </row>
    <row r="555" customFormat="false" ht="15" hidden="false" customHeight="false" outlineLevel="0" collapsed="false">
      <c r="A555" s="20"/>
      <c r="B555" s="19"/>
      <c r="C555" s="19"/>
      <c r="D555" s="21"/>
      <c r="E555" s="19"/>
      <c r="F555" s="19"/>
      <c r="G555" s="23" t="str">
        <f aca="false">IF(A555="","",TEXT(A555,"yyyy-mm"))</f>
        <v/>
      </c>
      <c r="H555" s="22" t="str">
        <f aca="false">IF(A555="","",N(H554)+IF(B555="Masuk",N(D555),-N(D555)))</f>
        <v/>
      </c>
    </row>
    <row r="556" customFormat="false" ht="15" hidden="false" customHeight="false" outlineLevel="0" collapsed="false">
      <c r="A556" s="20"/>
      <c r="B556" s="19"/>
      <c r="C556" s="19"/>
      <c r="D556" s="21"/>
      <c r="E556" s="19"/>
      <c r="F556" s="19"/>
      <c r="G556" s="23" t="str">
        <f aca="false">IF(A556="","",TEXT(A556,"yyyy-mm"))</f>
        <v/>
      </c>
      <c r="H556" s="22" t="str">
        <f aca="false">IF(A556="","",N(H555)+IF(B556="Masuk",N(D556),-N(D556)))</f>
        <v/>
      </c>
    </row>
    <row r="557" customFormat="false" ht="15" hidden="false" customHeight="false" outlineLevel="0" collapsed="false">
      <c r="A557" s="20"/>
      <c r="B557" s="19"/>
      <c r="C557" s="19"/>
      <c r="D557" s="21"/>
      <c r="E557" s="19"/>
      <c r="F557" s="19"/>
      <c r="G557" s="23" t="str">
        <f aca="false">IF(A557="","",TEXT(A557,"yyyy-mm"))</f>
        <v/>
      </c>
      <c r="H557" s="22" t="str">
        <f aca="false">IF(A557="","",N(H556)+IF(B557="Masuk",N(D557),-N(D557)))</f>
        <v/>
      </c>
    </row>
    <row r="558" customFormat="false" ht="15" hidden="false" customHeight="false" outlineLevel="0" collapsed="false">
      <c r="A558" s="20"/>
      <c r="B558" s="19"/>
      <c r="C558" s="19"/>
      <c r="D558" s="21"/>
      <c r="E558" s="19"/>
      <c r="F558" s="19"/>
      <c r="G558" s="23" t="str">
        <f aca="false">IF(A558="","",TEXT(A558,"yyyy-mm"))</f>
        <v/>
      </c>
      <c r="H558" s="22" t="str">
        <f aca="false">IF(A558="","",N(H557)+IF(B558="Masuk",N(D558),-N(D558)))</f>
        <v/>
      </c>
    </row>
    <row r="559" customFormat="false" ht="15" hidden="false" customHeight="false" outlineLevel="0" collapsed="false">
      <c r="A559" s="20"/>
      <c r="B559" s="19"/>
      <c r="C559" s="19"/>
      <c r="D559" s="21"/>
      <c r="E559" s="19"/>
      <c r="F559" s="19"/>
      <c r="G559" s="23" t="str">
        <f aca="false">IF(A559="","",TEXT(A559,"yyyy-mm"))</f>
        <v/>
      </c>
      <c r="H559" s="22" t="str">
        <f aca="false">IF(A559="","",N(H558)+IF(B559="Masuk",N(D559),-N(D559)))</f>
        <v/>
      </c>
    </row>
    <row r="560" customFormat="false" ht="15" hidden="false" customHeight="false" outlineLevel="0" collapsed="false">
      <c r="A560" s="20"/>
      <c r="B560" s="19"/>
      <c r="C560" s="19"/>
      <c r="D560" s="21"/>
      <c r="E560" s="19"/>
      <c r="F560" s="19"/>
      <c r="G560" s="23" t="str">
        <f aca="false">IF(A560="","",TEXT(A560,"yyyy-mm"))</f>
        <v/>
      </c>
      <c r="H560" s="22" t="str">
        <f aca="false">IF(A560="","",N(H559)+IF(B560="Masuk",N(D560),-N(D560)))</f>
        <v/>
      </c>
    </row>
    <row r="561" customFormat="false" ht="15" hidden="false" customHeight="false" outlineLevel="0" collapsed="false">
      <c r="A561" s="20"/>
      <c r="B561" s="19"/>
      <c r="C561" s="19"/>
      <c r="D561" s="21"/>
      <c r="E561" s="19"/>
      <c r="F561" s="19"/>
      <c r="G561" s="23" t="str">
        <f aca="false">IF(A561="","",TEXT(A561,"yyyy-mm"))</f>
        <v/>
      </c>
      <c r="H561" s="22" t="str">
        <f aca="false">IF(A561="","",N(H560)+IF(B561="Masuk",N(D561),-N(D561)))</f>
        <v/>
      </c>
    </row>
    <row r="562" customFormat="false" ht="15" hidden="false" customHeight="false" outlineLevel="0" collapsed="false">
      <c r="A562" s="20"/>
      <c r="B562" s="19"/>
      <c r="C562" s="19"/>
      <c r="D562" s="21"/>
      <c r="E562" s="19"/>
      <c r="F562" s="19"/>
      <c r="G562" s="23" t="str">
        <f aca="false">IF(A562="","",TEXT(A562,"yyyy-mm"))</f>
        <v/>
      </c>
      <c r="H562" s="22" t="str">
        <f aca="false">IF(A562="","",N(H561)+IF(B562="Masuk",N(D562),-N(D562)))</f>
        <v/>
      </c>
    </row>
    <row r="563" customFormat="false" ht="15" hidden="false" customHeight="false" outlineLevel="0" collapsed="false">
      <c r="A563" s="20"/>
      <c r="B563" s="19"/>
      <c r="C563" s="19"/>
      <c r="D563" s="21"/>
      <c r="E563" s="19"/>
      <c r="F563" s="19"/>
      <c r="G563" s="23" t="str">
        <f aca="false">IF(A563="","",TEXT(A563,"yyyy-mm"))</f>
        <v/>
      </c>
      <c r="H563" s="22" t="str">
        <f aca="false">IF(A563="","",N(H562)+IF(B563="Masuk",N(D563),-N(D563)))</f>
        <v/>
      </c>
    </row>
    <row r="564" customFormat="false" ht="15" hidden="false" customHeight="false" outlineLevel="0" collapsed="false">
      <c r="A564" s="20"/>
      <c r="B564" s="19"/>
      <c r="C564" s="19"/>
      <c r="D564" s="21"/>
      <c r="E564" s="19"/>
      <c r="F564" s="19"/>
      <c r="G564" s="23" t="str">
        <f aca="false">IF(A564="","",TEXT(A564,"yyyy-mm"))</f>
        <v/>
      </c>
      <c r="H564" s="22" t="str">
        <f aca="false">IF(A564="","",N(H563)+IF(B564="Masuk",N(D564),-N(D564)))</f>
        <v/>
      </c>
    </row>
    <row r="565" customFormat="false" ht="15" hidden="false" customHeight="false" outlineLevel="0" collapsed="false">
      <c r="A565" s="20"/>
      <c r="B565" s="19"/>
      <c r="C565" s="19"/>
      <c r="D565" s="21"/>
      <c r="E565" s="19"/>
      <c r="F565" s="19"/>
      <c r="G565" s="23" t="str">
        <f aca="false">IF(A565="","",TEXT(A565,"yyyy-mm"))</f>
        <v/>
      </c>
      <c r="H565" s="22" t="str">
        <f aca="false">IF(A565="","",N(H564)+IF(B565="Masuk",N(D565),-N(D565)))</f>
        <v/>
      </c>
    </row>
    <row r="566" customFormat="false" ht="15" hidden="false" customHeight="false" outlineLevel="0" collapsed="false">
      <c r="A566" s="20"/>
      <c r="B566" s="19"/>
      <c r="C566" s="19"/>
      <c r="D566" s="21"/>
      <c r="E566" s="19"/>
      <c r="F566" s="19"/>
      <c r="G566" s="23" t="str">
        <f aca="false">IF(A566="","",TEXT(A566,"yyyy-mm"))</f>
        <v/>
      </c>
      <c r="H566" s="22" t="str">
        <f aca="false">IF(A566="","",N(H565)+IF(B566="Masuk",N(D566),-N(D566)))</f>
        <v/>
      </c>
    </row>
    <row r="567" customFormat="false" ht="15" hidden="false" customHeight="false" outlineLevel="0" collapsed="false">
      <c r="A567" s="20"/>
      <c r="B567" s="19"/>
      <c r="C567" s="19"/>
      <c r="D567" s="21"/>
      <c r="E567" s="19"/>
      <c r="F567" s="19"/>
      <c r="G567" s="23" t="str">
        <f aca="false">IF(A567="","",TEXT(A567,"yyyy-mm"))</f>
        <v/>
      </c>
      <c r="H567" s="22" t="str">
        <f aca="false">IF(A567="","",N(H566)+IF(B567="Masuk",N(D567),-N(D567)))</f>
        <v/>
      </c>
    </row>
    <row r="568" customFormat="false" ht="15" hidden="false" customHeight="false" outlineLevel="0" collapsed="false">
      <c r="A568" s="20"/>
      <c r="B568" s="19"/>
      <c r="C568" s="19"/>
      <c r="D568" s="21"/>
      <c r="E568" s="19"/>
      <c r="F568" s="19"/>
      <c r="G568" s="23" t="str">
        <f aca="false">IF(A568="","",TEXT(A568,"yyyy-mm"))</f>
        <v/>
      </c>
      <c r="H568" s="22" t="str">
        <f aca="false">IF(A568="","",N(H567)+IF(B568="Masuk",N(D568),-N(D568)))</f>
        <v/>
      </c>
    </row>
    <row r="569" customFormat="false" ht="15" hidden="false" customHeight="false" outlineLevel="0" collapsed="false">
      <c r="A569" s="20"/>
      <c r="B569" s="19"/>
      <c r="C569" s="19"/>
      <c r="D569" s="21"/>
      <c r="E569" s="19"/>
      <c r="F569" s="19"/>
      <c r="G569" s="23" t="str">
        <f aca="false">IF(A569="","",TEXT(A569,"yyyy-mm"))</f>
        <v/>
      </c>
      <c r="H569" s="22" t="str">
        <f aca="false">IF(A569="","",N(H568)+IF(B569="Masuk",N(D569),-N(D569)))</f>
        <v/>
      </c>
    </row>
    <row r="570" customFormat="false" ht="15" hidden="false" customHeight="false" outlineLevel="0" collapsed="false">
      <c r="A570" s="20"/>
      <c r="B570" s="19"/>
      <c r="C570" s="19"/>
      <c r="D570" s="21"/>
      <c r="E570" s="19"/>
      <c r="F570" s="19"/>
      <c r="G570" s="23" t="str">
        <f aca="false">IF(A570="","",TEXT(A570,"yyyy-mm"))</f>
        <v/>
      </c>
      <c r="H570" s="22" t="str">
        <f aca="false">IF(A570="","",N(H569)+IF(B570="Masuk",N(D570),-N(D570)))</f>
        <v/>
      </c>
    </row>
    <row r="571" customFormat="false" ht="15" hidden="false" customHeight="false" outlineLevel="0" collapsed="false">
      <c r="A571" s="20"/>
      <c r="B571" s="19"/>
      <c r="C571" s="19"/>
      <c r="D571" s="21"/>
      <c r="E571" s="19"/>
      <c r="F571" s="19"/>
      <c r="G571" s="23" t="str">
        <f aca="false">IF(A571="","",TEXT(A571,"yyyy-mm"))</f>
        <v/>
      </c>
      <c r="H571" s="22" t="str">
        <f aca="false">IF(A571="","",N(H570)+IF(B571="Masuk",N(D571),-N(D571)))</f>
        <v/>
      </c>
    </row>
    <row r="572" customFormat="false" ht="15" hidden="false" customHeight="false" outlineLevel="0" collapsed="false">
      <c r="A572" s="20"/>
      <c r="B572" s="19"/>
      <c r="C572" s="19"/>
      <c r="D572" s="21"/>
      <c r="E572" s="19"/>
      <c r="F572" s="19"/>
      <c r="G572" s="23" t="str">
        <f aca="false">IF(A572="","",TEXT(A572,"yyyy-mm"))</f>
        <v/>
      </c>
      <c r="H572" s="22" t="str">
        <f aca="false">IF(A572="","",N(H571)+IF(B572="Masuk",N(D572),-N(D572)))</f>
        <v/>
      </c>
    </row>
    <row r="573" customFormat="false" ht="15" hidden="false" customHeight="false" outlineLevel="0" collapsed="false">
      <c r="A573" s="20"/>
      <c r="B573" s="19"/>
      <c r="C573" s="19"/>
      <c r="D573" s="21"/>
      <c r="E573" s="19"/>
      <c r="F573" s="19"/>
      <c r="G573" s="23" t="str">
        <f aca="false">IF(A573="","",TEXT(A573,"yyyy-mm"))</f>
        <v/>
      </c>
      <c r="H573" s="22" t="str">
        <f aca="false">IF(A573="","",N(H572)+IF(B573="Masuk",N(D573),-N(D573)))</f>
        <v/>
      </c>
    </row>
    <row r="574" customFormat="false" ht="15" hidden="false" customHeight="false" outlineLevel="0" collapsed="false">
      <c r="A574" s="20"/>
      <c r="B574" s="19"/>
      <c r="C574" s="19"/>
      <c r="D574" s="21"/>
      <c r="E574" s="19"/>
      <c r="F574" s="19"/>
      <c r="G574" s="23" t="str">
        <f aca="false">IF(A574="","",TEXT(A574,"yyyy-mm"))</f>
        <v/>
      </c>
      <c r="H574" s="22" t="str">
        <f aca="false">IF(A574="","",N(H573)+IF(B574="Masuk",N(D574),-N(D574)))</f>
        <v/>
      </c>
    </row>
    <row r="575" customFormat="false" ht="15" hidden="false" customHeight="false" outlineLevel="0" collapsed="false">
      <c r="A575" s="20"/>
      <c r="B575" s="19"/>
      <c r="C575" s="19"/>
      <c r="D575" s="21"/>
      <c r="E575" s="19"/>
      <c r="F575" s="19"/>
      <c r="G575" s="23" t="str">
        <f aca="false">IF(A575="","",TEXT(A575,"yyyy-mm"))</f>
        <v/>
      </c>
      <c r="H575" s="22" t="str">
        <f aca="false">IF(A575="","",N(H574)+IF(B575="Masuk",N(D575),-N(D575)))</f>
        <v/>
      </c>
    </row>
    <row r="576" customFormat="false" ht="15" hidden="false" customHeight="false" outlineLevel="0" collapsed="false">
      <c r="A576" s="20"/>
      <c r="B576" s="19"/>
      <c r="C576" s="19"/>
      <c r="D576" s="21"/>
      <c r="E576" s="19"/>
      <c r="F576" s="19"/>
      <c r="G576" s="23" t="str">
        <f aca="false">IF(A576="","",TEXT(A576,"yyyy-mm"))</f>
        <v/>
      </c>
      <c r="H576" s="22" t="str">
        <f aca="false">IF(A576="","",N(H575)+IF(B576="Masuk",N(D576),-N(D576)))</f>
        <v/>
      </c>
    </row>
    <row r="577" customFormat="false" ht="15" hidden="false" customHeight="false" outlineLevel="0" collapsed="false">
      <c r="A577" s="20"/>
      <c r="B577" s="19"/>
      <c r="C577" s="19"/>
      <c r="D577" s="21"/>
      <c r="E577" s="19"/>
      <c r="F577" s="19"/>
      <c r="G577" s="23" t="str">
        <f aca="false">IF(A577="","",TEXT(A577,"yyyy-mm"))</f>
        <v/>
      </c>
      <c r="H577" s="22" t="str">
        <f aca="false">IF(A577="","",N(H576)+IF(B577="Masuk",N(D577),-N(D577)))</f>
        <v/>
      </c>
    </row>
    <row r="578" customFormat="false" ht="15" hidden="false" customHeight="false" outlineLevel="0" collapsed="false">
      <c r="A578" s="20"/>
      <c r="B578" s="19"/>
      <c r="C578" s="19"/>
      <c r="D578" s="21"/>
      <c r="E578" s="19"/>
      <c r="F578" s="19"/>
      <c r="G578" s="23" t="str">
        <f aca="false">IF(A578="","",TEXT(A578,"yyyy-mm"))</f>
        <v/>
      </c>
      <c r="H578" s="22" t="str">
        <f aca="false">IF(A578="","",N(H577)+IF(B578="Masuk",N(D578),-N(D578)))</f>
        <v/>
      </c>
    </row>
    <row r="579" customFormat="false" ht="15" hidden="false" customHeight="false" outlineLevel="0" collapsed="false">
      <c r="A579" s="20"/>
      <c r="B579" s="19"/>
      <c r="C579" s="19"/>
      <c r="D579" s="21"/>
      <c r="E579" s="19"/>
      <c r="F579" s="19"/>
      <c r="G579" s="23" t="str">
        <f aca="false">IF(A579="","",TEXT(A579,"yyyy-mm"))</f>
        <v/>
      </c>
      <c r="H579" s="22" t="str">
        <f aca="false">IF(A579="","",N(H578)+IF(B579="Masuk",N(D579),-N(D579)))</f>
        <v/>
      </c>
    </row>
    <row r="580" customFormat="false" ht="15" hidden="false" customHeight="false" outlineLevel="0" collapsed="false">
      <c r="A580" s="20"/>
      <c r="B580" s="19"/>
      <c r="C580" s="19"/>
      <c r="D580" s="21"/>
      <c r="E580" s="19"/>
      <c r="F580" s="19"/>
      <c r="G580" s="23" t="str">
        <f aca="false">IF(A580="","",TEXT(A580,"yyyy-mm"))</f>
        <v/>
      </c>
      <c r="H580" s="22" t="str">
        <f aca="false">IF(A580="","",N(H579)+IF(B580="Masuk",N(D580),-N(D580)))</f>
        <v/>
      </c>
    </row>
    <row r="581" customFormat="false" ht="15" hidden="false" customHeight="false" outlineLevel="0" collapsed="false">
      <c r="A581" s="20"/>
      <c r="B581" s="19"/>
      <c r="C581" s="19"/>
      <c r="D581" s="21"/>
      <c r="E581" s="19"/>
      <c r="F581" s="19"/>
      <c r="G581" s="23" t="str">
        <f aca="false">IF(A581="","",TEXT(A581,"yyyy-mm"))</f>
        <v/>
      </c>
      <c r="H581" s="22" t="str">
        <f aca="false">IF(A581="","",N(H580)+IF(B581="Masuk",N(D581),-N(D581)))</f>
        <v/>
      </c>
    </row>
    <row r="582" customFormat="false" ht="15" hidden="false" customHeight="false" outlineLevel="0" collapsed="false">
      <c r="A582" s="20"/>
      <c r="B582" s="19"/>
      <c r="C582" s="19"/>
      <c r="D582" s="21"/>
      <c r="E582" s="19"/>
      <c r="F582" s="19"/>
      <c r="G582" s="23" t="str">
        <f aca="false">IF(A582="","",TEXT(A582,"yyyy-mm"))</f>
        <v/>
      </c>
      <c r="H582" s="22" t="str">
        <f aca="false">IF(A582="","",N(H581)+IF(B582="Masuk",N(D582),-N(D582)))</f>
        <v/>
      </c>
    </row>
    <row r="583" customFormat="false" ht="15" hidden="false" customHeight="false" outlineLevel="0" collapsed="false">
      <c r="A583" s="20"/>
      <c r="B583" s="19"/>
      <c r="C583" s="19"/>
      <c r="D583" s="21"/>
      <c r="E583" s="19"/>
      <c r="F583" s="19"/>
      <c r="G583" s="23" t="str">
        <f aca="false">IF(A583="","",TEXT(A583,"yyyy-mm"))</f>
        <v/>
      </c>
      <c r="H583" s="22" t="str">
        <f aca="false">IF(A583="","",N(H582)+IF(B583="Masuk",N(D583),-N(D583)))</f>
        <v/>
      </c>
    </row>
    <row r="584" customFormat="false" ht="15" hidden="false" customHeight="false" outlineLevel="0" collapsed="false">
      <c r="A584" s="20"/>
      <c r="B584" s="19"/>
      <c r="C584" s="19"/>
      <c r="D584" s="21"/>
      <c r="E584" s="19"/>
      <c r="F584" s="19"/>
      <c r="G584" s="23" t="str">
        <f aca="false">IF(A584="","",TEXT(A584,"yyyy-mm"))</f>
        <v/>
      </c>
      <c r="H584" s="22" t="str">
        <f aca="false">IF(A584="","",N(H583)+IF(B584="Masuk",N(D584),-N(D584)))</f>
        <v/>
      </c>
    </row>
    <row r="585" customFormat="false" ht="15" hidden="false" customHeight="false" outlineLevel="0" collapsed="false">
      <c r="A585" s="20"/>
      <c r="B585" s="19"/>
      <c r="C585" s="19"/>
      <c r="D585" s="21"/>
      <c r="E585" s="19"/>
      <c r="F585" s="19"/>
      <c r="G585" s="23" t="str">
        <f aca="false">IF(A585="","",TEXT(A585,"yyyy-mm"))</f>
        <v/>
      </c>
      <c r="H585" s="22" t="str">
        <f aca="false">IF(A585="","",N(H584)+IF(B585="Masuk",N(D585),-N(D585)))</f>
        <v/>
      </c>
    </row>
    <row r="586" customFormat="false" ht="15" hidden="false" customHeight="false" outlineLevel="0" collapsed="false">
      <c r="A586" s="20"/>
      <c r="B586" s="19"/>
      <c r="C586" s="19"/>
      <c r="D586" s="21"/>
      <c r="E586" s="19"/>
      <c r="F586" s="19"/>
      <c r="G586" s="23" t="str">
        <f aca="false">IF(A586="","",TEXT(A586,"yyyy-mm"))</f>
        <v/>
      </c>
      <c r="H586" s="22" t="str">
        <f aca="false">IF(A586="","",N(H585)+IF(B586="Masuk",N(D586),-N(D586)))</f>
        <v/>
      </c>
    </row>
    <row r="587" customFormat="false" ht="15" hidden="false" customHeight="false" outlineLevel="0" collapsed="false">
      <c r="A587" s="20"/>
      <c r="B587" s="19"/>
      <c r="C587" s="19"/>
      <c r="D587" s="21"/>
      <c r="E587" s="19"/>
      <c r="F587" s="19"/>
      <c r="G587" s="23" t="str">
        <f aca="false">IF(A587="","",TEXT(A587,"yyyy-mm"))</f>
        <v/>
      </c>
      <c r="H587" s="22" t="str">
        <f aca="false">IF(A587="","",N(H586)+IF(B587="Masuk",N(D587),-N(D587)))</f>
        <v/>
      </c>
    </row>
    <row r="588" customFormat="false" ht="15" hidden="false" customHeight="false" outlineLevel="0" collapsed="false">
      <c r="A588" s="20"/>
      <c r="B588" s="19"/>
      <c r="C588" s="19"/>
      <c r="D588" s="21"/>
      <c r="E588" s="19"/>
      <c r="F588" s="19"/>
      <c r="G588" s="23" t="str">
        <f aca="false">IF(A588="","",TEXT(A588,"yyyy-mm"))</f>
        <v/>
      </c>
      <c r="H588" s="22" t="str">
        <f aca="false">IF(A588="","",N(H587)+IF(B588="Masuk",N(D588),-N(D588)))</f>
        <v/>
      </c>
    </row>
    <row r="589" customFormat="false" ht="15" hidden="false" customHeight="false" outlineLevel="0" collapsed="false">
      <c r="A589" s="20"/>
      <c r="B589" s="19"/>
      <c r="C589" s="19"/>
      <c r="D589" s="21"/>
      <c r="E589" s="19"/>
      <c r="F589" s="19"/>
      <c r="G589" s="23" t="str">
        <f aca="false">IF(A589="","",TEXT(A589,"yyyy-mm"))</f>
        <v/>
      </c>
      <c r="H589" s="22" t="str">
        <f aca="false">IF(A589="","",N(H588)+IF(B589="Masuk",N(D589),-N(D589)))</f>
        <v/>
      </c>
    </row>
    <row r="590" customFormat="false" ht="15" hidden="false" customHeight="false" outlineLevel="0" collapsed="false">
      <c r="A590" s="20"/>
      <c r="B590" s="19"/>
      <c r="C590" s="19"/>
      <c r="D590" s="21"/>
      <c r="E590" s="19"/>
      <c r="F590" s="19"/>
      <c r="G590" s="23" t="str">
        <f aca="false">IF(A590="","",TEXT(A590,"yyyy-mm"))</f>
        <v/>
      </c>
      <c r="H590" s="22" t="str">
        <f aca="false">IF(A590="","",N(H589)+IF(B590="Masuk",N(D590),-N(D590)))</f>
        <v/>
      </c>
    </row>
    <row r="591" customFormat="false" ht="15" hidden="false" customHeight="false" outlineLevel="0" collapsed="false">
      <c r="A591" s="20"/>
      <c r="B591" s="19"/>
      <c r="C591" s="19"/>
      <c r="D591" s="21"/>
      <c r="E591" s="19"/>
      <c r="F591" s="19"/>
      <c r="G591" s="23" t="str">
        <f aca="false">IF(A591="","",TEXT(A591,"yyyy-mm"))</f>
        <v/>
      </c>
      <c r="H591" s="22" t="str">
        <f aca="false">IF(A591="","",N(H590)+IF(B591="Masuk",N(D591),-N(D591)))</f>
        <v/>
      </c>
    </row>
    <row r="592" customFormat="false" ht="15" hidden="false" customHeight="false" outlineLevel="0" collapsed="false">
      <c r="A592" s="20"/>
      <c r="B592" s="19"/>
      <c r="C592" s="19"/>
      <c r="D592" s="21"/>
      <c r="E592" s="19"/>
      <c r="F592" s="19"/>
      <c r="G592" s="23" t="str">
        <f aca="false">IF(A592="","",TEXT(A592,"yyyy-mm"))</f>
        <v/>
      </c>
      <c r="H592" s="22" t="str">
        <f aca="false">IF(A592="","",N(H591)+IF(B592="Masuk",N(D592),-N(D592)))</f>
        <v/>
      </c>
    </row>
    <row r="593" customFormat="false" ht="15" hidden="false" customHeight="false" outlineLevel="0" collapsed="false">
      <c r="A593" s="20"/>
      <c r="B593" s="19"/>
      <c r="C593" s="19"/>
      <c r="D593" s="21"/>
      <c r="E593" s="19"/>
      <c r="F593" s="19"/>
      <c r="G593" s="23" t="str">
        <f aca="false">IF(A593="","",TEXT(A593,"yyyy-mm"))</f>
        <v/>
      </c>
      <c r="H593" s="22" t="str">
        <f aca="false">IF(A593="","",N(H592)+IF(B593="Masuk",N(D593),-N(D593)))</f>
        <v/>
      </c>
    </row>
    <row r="594" customFormat="false" ht="15" hidden="false" customHeight="false" outlineLevel="0" collapsed="false">
      <c r="A594" s="20"/>
      <c r="B594" s="19"/>
      <c r="C594" s="19"/>
      <c r="D594" s="21"/>
      <c r="E594" s="19"/>
      <c r="F594" s="19"/>
      <c r="G594" s="23" t="str">
        <f aca="false">IF(A594="","",TEXT(A594,"yyyy-mm"))</f>
        <v/>
      </c>
      <c r="H594" s="22" t="str">
        <f aca="false">IF(A594="","",N(H593)+IF(B594="Masuk",N(D594),-N(D594)))</f>
        <v/>
      </c>
    </row>
    <row r="595" customFormat="false" ht="15" hidden="false" customHeight="false" outlineLevel="0" collapsed="false">
      <c r="A595" s="20"/>
      <c r="B595" s="19"/>
      <c r="C595" s="19"/>
      <c r="D595" s="21"/>
      <c r="E595" s="19"/>
      <c r="F595" s="19"/>
      <c r="G595" s="23" t="str">
        <f aca="false">IF(A595="","",TEXT(A595,"yyyy-mm"))</f>
        <v/>
      </c>
      <c r="H595" s="22" t="str">
        <f aca="false">IF(A595="","",N(H594)+IF(B595="Masuk",N(D595),-N(D595)))</f>
        <v/>
      </c>
    </row>
    <row r="596" customFormat="false" ht="15" hidden="false" customHeight="false" outlineLevel="0" collapsed="false">
      <c r="A596" s="20"/>
      <c r="B596" s="19"/>
      <c r="C596" s="19"/>
      <c r="D596" s="21"/>
      <c r="E596" s="19"/>
      <c r="F596" s="19"/>
      <c r="G596" s="23" t="str">
        <f aca="false">IF(A596="","",TEXT(A596,"yyyy-mm"))</f>
        <v/>
      </c>
      <c r="H596" s="22" t="str">
        <f aca="false">IF(A596="","",N(H595)+IF(B596="Masuk",N(D596),-N(D596)))</f>
        <v/>
      </c>
    </row>
    <row r="597" customFormat="false" ht="15" hidden="false" customHeight="false" outlineLevel="0" collapsed="false">
      <c r="A597" s="20"/>
      <c r="B597" s="19"/>
      <c r="C597" s="19"/>
      <c r="D597" s="21"/>
      <c r="E597" s="19"/>
      <c r="F597" s="19"/>
      <c r="G597" s="23" t="str">
        <f aca="false">IF(A597="","",TEXT(A597,"yyyy-mm"))</f>
        <v/>
      </c>
      <c r="H597" s="22" t="str">
        <f aca="false">IF(A597="","",N(H596)+IF(B597="Masuk",N(D597),-N(D597)))</f>
        <v/>
      </c>
    </row>
    <row r="598" customFormat="false" ht="15" hidden="false" customHeight="false" outlineLevel="0" collapsed="false">
      <c r="A598" s="20"/>
      <c r="B598" s="19"/>
      <c r="C598" s="19"/>
      <c r="D598" s="21"/>
      <c r="E598" s="19"/>
      <c r="F598" s="19"/>
      <c r="G598" s="23" t="str">
        <f aca="false">IF(A598="","",TEXT(A598,"yyyy-mm"))</f>
        <v/>
      </c>
      <c r="H598" s="22" t="str">
        <f aca="false">IF(A598="","",N(H597)+IF(B598="Masuk",N(D598),-N(D598)))</f>
        <v/>
      </c>
    </row>
    <row r="599" customFormat="false" ht="15" hidden="false" customHeight="false" outlineLevel="0" collapsed="false">
      <c r="A599" s="20"/>
      <c r="B599" s="19"/>
      <c r="C599" s="19"/>
      <c r="D599" s="21"/>
      <c r="E599" s="19"/>
      <c r="F599" s="19"/>
      <c r="G599" s="23" t="str">
        <f aca="false">IF(A599="","",TEXT(A599,"yyyy-mm"))</f>
        <v/>
      </c>
      <c r="H599" s="22" t="str">
        <f aca="false">IF(A599="","",N(H598)+IF(B599="Masuk",N(D599),-N(D599)))</f>
        <v/>
      </c>
    </row>
    <row r="600" customFormat="false" ht="15" hidden="false" customHeight="false" outlineLevel="0" collapsed="false">
      <c r="A600" s="20"/>
      <c r="B600" s="19"/>
      <c r="C600" s="19"/>
      <c r="D600" s="21"/>
      <c r="E600" s="19"/>
      <c r="F600" s="19"/>
      <c r="G600" s="23" t="str">
        <f aca="false">IF(A600="","",TEXT(A600,"yyyy-mm"))</f>
        <v/>
      </c>
      <c r="H600" s="22" t="str">
        <f aca="false">IF(A600="","",N(H599)+IF(B600="Masuk",N(D600),-N(D600)))</f>
        <v/>
      </c>
    </row>
    <row r="601" customFormat="false" ht="15" hidden="false" customHeight="false" outlineLevel="0" collapsed="false">
      <c r="A601" s="20"/>
      <c r="B601" s="19"/>
      <c r="C601" s="19"/>
      <c r="D601" s="21"/>
      <c r="E601" s="19"/>
      <c r="F601" s="19"/>
      <c r="G601" s="23" t="str">
        <f aca="false">IF(A601="","",TEXT(A601,"yyyy-mm"))</f>
        <v/>
      </c>
      <c r="H601" s="22" t="str">
        <f aca="false">IF(A601="","",N(H600)+IF(B601="Masuk",N(D601),-N(D601)))</f>
        <v/>
      </c>
    </row>
    <row r="602" customFormat="false" ht="15" hidden="false" customHeight="false" outlineLevel="0" collapsed="false">
      <c r="A602" s="20"/>
      <c r="B602" s="19"/>
      <c r="C602" s="19"/>
      <c r="D602" s="21"/>
      <c r="E602" s="19"/>
      <c r="F602" s="19"/>
      <c r="G602" s="23" t="str">
        <f aca="false">IF(A602="","",TEXT(A602,"yyyy-mm"))</f>
        <v/>
      </c>
      <c r="H602" s="22" t="str">
        <f aca="false">IF(A602="","",N(H601)+IF(B602="Masuk",N(D602),-N(D602)))</f>
        <v/>
      </c>
    </row>
    <row r="603" customFormat="false" ht="15" hidden="false" customHeight="false" outlineLevel="0" collapsed="false">
      <c r="A603" s="20"/>
      <c r="B603" s="19"/>
      <c r="C603" s="19"/>
      <c r="D603" s="21"/>
      <c r="E603" s="19"/>
      <c r="F603" s="19"/>
      <c r="G603" s="23" t="str">
        <f aca="false">IF(A603="","",TEXT(A603,"yyyy-mm"))</f>
        <v/>
      </c>
      <c r="H603" s="22" t="str">
        <f aca="false">IF(A603="","",N(H602)+IF(B603="Masuk",N(D603),-N(D603)))</f>
        <v/>
      </c>
    </row>
    <row r="604" customFormat="false" ht="15" hidden="false" customHeight="false" outlineLevel="0" collapsed="false">
      <c r="A604" s="20"/>
      <c r="B604" s="19"/>
      <c r="C604" s="19"/>
      <c r="D604" s="21"/>
      <c r="E604" s="19"/>
      <c r="F604" s="19"/>
      <c r="G604" s="23" t="str">
        <f aca="false">IF(A604="","",TEXT(A604,"yyyy-mm"))</f>
        <v/>
      </c>
      <c r="H604" s="22" t="str">
        <f aca="false">IF(A604="","",N(H603)+IF(B604="Masuk",N(D604),-N(D604)))</f>
        <v/>
      </c>
    </row>
    <row r="605" customFormat="false" ht="15" hidden="false" customHeight="false" outlineLevel="0" collapsed="false">
      <c r="A605" s="20"/>
      <c r="B605" s="19"/>
      <c r="C605" s="19"/>
      <c r="D605" s="21"/>
      <c r="E605" s="19"/>
      <c r="F605" s="19"/>
      <c r="G605" s="23" t="str">
        <f aca="false">IF(A605="","",TEXT(A605,"yyyy-mm"))</f>
        <v/>
      </c>
      <c r="H605" s="22" t="str">
        <f aca="false">IF(A605="","",N(H604)+IF(B605="Masuk",N(D605),-N(D605)))</f>
        <v/>
      </c>
    </row>
    <row r="606" customFormat="false" ht="15" hidden="false" customHeight="false" outlineLevel="0" collapsed="false">
      <c r="A606" s="20"/>
      <c r="B606" s="19"/>
      <c r="C606" s="19"/>
      <c r="D606" s="21"/>
      <c r="E606" s="19"/>
      <c r="F606" s="19"/>
      <c r="G606" s="23" t="str">
        <f aca="false">IF(A606="","",TEXT(A606,"yyyy-mm"))</f>
        <v/>
      </c>
      <c r="H606" s="22" t="str">
        <f aca="false">IF(A606="","",N(H605)+IF(B606="Masuk",N(D606),-N(D606)))</f>
        <v/>
      </c>
    </row>
    <row r="607" customFormat="false" ht="15" hidden="false" customHeight="false" outlineLevel="0" collapsed="false">
      <c r="A607" s="20"/>
      <c r="B607" s="19"/>
      <c r="C607" s="19"/>
      <c r="D607" s="21"/>
      <c r="E607" s="19"/>
      <c r="F607" s="19"/>
      <c r="G607" s="23" t="str">
        <f aca="false">IF(A607="","",TEXT(A607,"yyyy-mm"))</f>
        <v/>
      </c>
      <c r="H607" s="22" t="str">
        <f aca="false">IF(A607="","",N(H606)+IF(B607="Masuk",N(D607),-N(D607)))</f>
        <v/>
      </c>
    </row>
    <row r="608" customFormat="false" ht="15" hidden="false" customHeight="false" outlineLevel="0" collapsed="false">
      <c r="A608" s="20"/>
      <c r="B608" s="19"/>
      <c r="C608" s="19"/>
      <c r="D608" s="21"/>
      <c r="E608" s="19"/>
      <c r="F608" s="19"/>
      <c r="G608" s="23" t="str">
        <f aca="false">IF(A608="","",TEXT(A608,"yyyy-mm"))</f>
        <v/>
      </c>
      <c r="H608" s="22" t="str">
        <f aca="false">IF(A608="","",N(H607)+IF(B608="Masuk",N(D608),-N(D608)))</f>
        <v/>
      </c>
    </row>
    <row r="609" customFormat="false" ht="15" hidden="false" customHeight="false" outlineLevel="0" collapsed="false">
      <c r="A609" s="20"/>
      <c r="B609" s="19"/>
      <c r="C609" s="19"/>
      <c r="D609" s="21"/>
      <c r="E609" s="19"/>
      <c r="F609" s="19"/>
      <c r="G609" s="23" t="str">
        <f aca="false">IF(A609="","",TEXT(A609,"yyyy-mm"))</f>
        <v/>
      </c>
      <c r="H609" s="22" t="str">
        <f aca="false">IF(A609="","",N(H608)+IF(B609="Masuk",N(D609),-N(D609)))</f>
        <v/>
      </c>
    </row>
    <row r="610" customFormat="false" ht="15" hidden="false" customHeight="false" outlineLevel="0" collapsed="false">
      <c r="A610" s="20"/>
      <c r="B610" s="19"/>
      <c r="C610" s="19"/>
      <c r="D610" s="21"/>
      <c r="E610" s="19"/>
      <c r="F610" s="19"/>
      <c r="G610" s="23" t="str">
        <f aca="false">IF(A610="","",TEXT(A610,"yyyy-mm"))</f>
        <v/>
      </c>
      <c r="H610" s="22" t="str">
        <f aca="false">IF(A610="","",N(H609)+IF(B610="Masuk",N(D610),-N(D610)))</f>
        <v/>
      </c>
    </row>
    <row r="611" customFormat="false" ht="15" hidden="false" customHeight="false" outlineLevel="0" collapsed="false">
      <c r="A611" s="20"/>
      <c r="B611" s="19"/>
      <c r="C611" s="19"/>
      <c r="D611" s="21"/>
      <c r="E611" s="19"/>
      <c r="F611" s="19"/>
      <c r="G611" s="23" t="str">
        <f aca="false">IF(A611="","",TEXT(A611,"yyyy-mm"))</f>
        <v/>
      </c>
      <c r="H611" s="22" t="str">
        <f aca="false">IF(A611="","",N(H610)+IF(B611="Masuk",N(D611),-N(D611)))</f>
        <v/>
      </c>
    </row>
    <row r="612" customFormat="false" ht="15" hidden="false" customHeight="false" outlineLevel="0" collapsed="false">
      <c r="A612" s="20"/>
      <c r="B612" s="19"/>
      <c r="C612" s="19"/>
      <c r="D612" s="21"/>
      <c r="E612" s="19"/>
      <c r="F612" s="19"/>
      <c r="G612" s="23" t="str">
        <f aca="false">IF(A612="","",TEXT(A612,"yyyy-mm"))</f>
        <v/>
      </c>
      <c r="H612" s="22" t="str">
        <f aca="false">IF(A612="","",N(H611)+IF(B612="Masuk",N(D612),-N(D612)))</f>
        <v/>
      </c>
    </row>
    <row r="613" customFormat="false" ht="15" hidden="false" customHeight="false" outlineLevel="0" collapsed="false">
      <c r="A613" s="20"/>
      <c r="B613" s="19"/>
      <c r="C613" s="19"/>
      <c r="D613" s="21"/>
      <c r="E613" s="19"/>
      <c r="F613" s="19"/>
      <c r="G613" s="23" t="str">
        <f aca="false">IF(A613="","",TEXT(A613,"yyyy-mm"))</f>
        <v/>
      </c>
      <c r="H613" s="22" t="str">
        <f aca="false">IF(A613="","",N(H612)+IF(B613="Masuk",N(D613),-N(D613)))</f>
        <v/>
      </c>
    </row>
    <row r="614" customFormat="false" ht="15" hidden="false" customHeight="false" outlineLevel="0" collapsed="false">
      <c r="A614" s="20"/>
      <c r="B614" s="19"/>
      <c r="C614" s="19"/>
      <c r="D614" s="21"/>
      <c r="E614" s="19"/>
      <c r="F614" s="19"/>
      <c r="G614" s="23" t="str">
        <f aca="false">IF(A614="","",TEXT(A614,"yyyy-mm"))</f>
        <v/>
      </c>
      <c r="H614" s="22" t="str">
        <f aca="false">IF(A614="","",N(H613)+IF(B614="Masuk",N(D614),-N(D614)))</f>
        <v/>
      </c>
    </row>
    <row r="615" customFormat="false" ht="15" hidden="false" customHeight="false" outlineLevel="0" collapsed="false">
      <c r="A615" s="20"/>
      <c r="B615" s="19"/>
      <c r="C615" s="19"/>
      <c r="D615" s="21"/>
      <c r="E615" s="19"/>
      <c r="F615" s="19"/>
      <c r="G615" s="23" t="str">
        <f aca="false">IF(A615="","",TEXT(A615,"yyyy-mm"))</f>
        <v/>
      </c>
      <c r="H615" s="22" t="str">
        <f aca="false">IF(A615="","",N(H614)+IF(B615="Masuk",N(D615),-N(D615)))</f>
        <v/>
      </c>
    </row>
    <row r="616" customFormat="false" ht="15" hidden="false" customHeight="false" outlineLevel="0" collapsed="false">
      <c r="A616" s="20"/>
      <c r="B616" s="19"/>
      <c r="C616" s="19"/>
      <c r="D616" s="21"/>
      <c r="E616" s="19"/>
      <c r="F616" s="19"/>
      <c r="G616" s="23" t="str">
        <f aca="false">IF(A616="","",TEXT(A616,"yyyy-mm"))</f>
        <v/>
      </c>
      <c r="H616" s="22" t="str">
        <f aca="false">IF(A616="","",N(H615)+IF(B616="Masuk",N(D616),-N(D616)))</f>
        <v/>
      </c>
    </row>
    <row r="617" customFormat="false" ht="15" hidden="false" customHeight="false" outlineLevel="0" collapsed="false">
      <c r="A617" s="20"/>
      <c r="B617" s="19"/>
      <c r="C617" s="19"/>
      <c r="D617" s="21"/>
      <c r="E617" s="19"/>
      <c r="F617" s="19"/>
      <c r="G617" s="23" t="str">
        <f aca="false">IF(A617="","",TEXT(A617,"yyyy-mm"))</f>
        <v/>
      </c>
      <c r="H617" s="22" t="str">
        <f aca="false">IF(A617="","",N(H616)+IF(B617="Masuk",N(D617),-N(D617)))</f>
        <v/>
      </c>
    </row>
    <row r="618" customFormat="false" ht="15" hidden="false" customHeight="false" outlineLevel="0" collapsed="false">
      <c r="A618" s="20"/>
      <c r="B618" s="19"/>
      <c r="C618" s="19"/>
      <c r="D618" s="21"/>
      <c r="E618" s="19"/>
      <c r="F618" s="19"/>
      <c r="G618" s="23" t="str">
        <f aca="false">IF(A618="","",TEXT(A618,"yyyy-mm"))</f>
        <v/>
      </c>
      <c r="H618" s="22" t="str">
        <f aca="false">IF(A618="","",N(H617)+IF(B618="Masuk",N(D618),-N(D618)))</f>
        <v/>
      </c>
    </row>
    <row r="619" customFormat="false" ht="15" hidden="false" customHeight="false" outlineLevel="0" collapsed="false">
      <c r="A619" s="20"/>
      <c r="B619" s="19"/>
      <c r="C619" s="19"/>
      <c r="D619" s="21"/>
      <c r="E619" s="19"/>
      <c r="F619" s="19"/>
      <c r="G619" s="23" t="str">
        <f aca="false">IF(A619="","",TEXT(A619,"yyyy-mm"))</f>
        <v/>
      </c>
      <c r="H619" s="22" t="str">
        <f aca="false">IF(A619="","",N(H618)+IF(B619="Masuk",N(D619),-N(D619)))</f>
        <v/>
      </c>
    </row>
    <row r="620" customFormat="false" ht="15" hidden="false" customHeight="false" outlineLevel="0" collapsed="false">
      <c r="A620" s="20"/>
      <c r="B620" s="19"/>
      <c r="C620" s="19"/>
      <c r="D620" s="21"/>
      <c r="E620" s="19"/>
      <c r="F620" s="19"/>
      <c r="G620" s="23" t="str">
        <f aca="false">IF(A620="","",TEXT(A620,"yyyy-mm"))</f>
        <v/>
      </c>
      <c r="H620" s="22" t="str">
        <f aca="false">IF(A620="","",N(H619)+IF(B620="Masuk",N(D620),-N(D620)))</f>
        <v/>
      </c>
    </row>
    <row r="621" customFormat="false" ht="15" hidden="false" customHeight="false" outlineLevel="0" collapsed="false">
      <c r="A621" s="20"/>
      <c r="B621" s="19"/>
      <c r="C621" s="19"/>
      <c r="D621" s="21"/>
      <c r="E621" s="19"/>
      <c r="F621" s="19"/>
      <c r="G621" s="23" t="str">
        <f aca="false">IF(A621="","",TEXT(A621,"yyyy-mm"))</f>
        <v/>
      </c>
      <c r="H621" s="22" t="str">
        <f aca="false">IF(A621="","",N(H620)+IF(B621="Masuk",N(D621),-N(D621)))</f>
        <v/>
      </c>
    </row>
    <row r="622" customFormat="false" ht="15" hidden="false" customHeight="false" outlineLevel="0" collapsed="false">
      <c r="A622" s="20"/>
      <c r="B622" s="19"/>
      <c r="C622" s="19"/>
      <c r="D622" s="21"/>
      <c r="E622" s="19"/>
      <c r="F622" s="19"/>
      <c r="G622" s="23" t="str">
        <f aca="false">IF(A622="","",TEXT(A622,"yyyy-mm"))</f>
        <v/>
      </c>
      <c r="H622" s="22" t="str">
        <f aca="false">IF(A622="","",N(H621)+IF(B622="Masuk",N(D622),-N(D622)))</f>
        <v/>
      </c>
    </row>
    <row r="623" customFormat="false" ht="15" hidden="false" customHeight="false" outlineLevel="0" collapsed="false">
      <c r="A623" s="20"/>
      <c r="B623" s="19"/>
      <c r="C623" s="19"/>
      <c r="D623" s="21"/>
      <c r="E623" s="19"/>
      <c r="F623" s="19"/>
      <c r="G623" s="23" t="str">
        <f aca="false">IF(A623="","",TEXT(A623,"yyyy-mm"))</f>
        <v/>
      </c>
      <c r="H623" s="22" t="str">
        <f aca="false">IF(A623="","",N(H622)+IF(B623="Masuk",N(D623),-N(D623)))</f>
        <v/>
      </c>
    </row>
    <row r="624" customFormat="false" ht="15" hidden="false" customHeight="false" outlineLevel="0" collapsed="false">
      <c r="A624" s="20"/>
      <c r="B624" s="19"/>
      <c r="C624" s="19"/>
      <c r="D624" s="21"/>
      <c r="E624" s="19"/>
      <c r="F624" s="19"/>
      <c r="G624" s="23" t="str">
        <f aca="false">IF(A624="","",TEXT(A624,"yyyy-mm"))</f>
        <v/>
      </c>
      <c r="H624" s="22" t="str">
        <f aca="false">IF(A624="","",N(H623)+IF(B624="Masuk",N(D624),-N(D624)))</f>
        <v/>
      </c>
    </row>
    <row r="625" customFormat="false" ht="15" hidden="false" customHeight="false" outlineLevel="0" collapsed="false">
      <c r="A625" s="20"/>
      <c r="B625" s="19"/>
      <c r="C625" s="19"/>
      <c r="D625" s="21"/>
      <c r="E625" s="19"/>
      <c r="F625" s="19"/>
      <c r="G625" s="23" t="str">
        <f aca="false">IF(A625="","",TEXT(A625,"yyyy-mm"))</f>
        <v/>
      </c>
      <c r="H625" s="22" t="str">
        <f aca="false">IF(A625="","",N(H624)+IF(B625="Masuk",N(D625),-N(D625)))</f>
        <v/>
      </c>
    </row>
    <row r="626" customFormat="false" ht="15" hidden="false" customHeight="false" outlineLevel="0" collapsed="false">
      <c r="A626" s="20"/>
      <c r="B626" s="19"/>
      <c r="C626" s="19"/>
      <c r="D626" s="21"/>
      <c r="E626" s="19"/>
      <c r="F626" s="19"/>
      <c r="G626" s="23" t="str">
        <f aca="false">IF(A626="","",TEXT(A626,"yyyy-mm"))</f>
        <v/>
      </c>
      <c r="H626" s="22" t="str">
        <f aca="false">IF(A626="","",N(H625)+IF(B626="Masuk",N(D626),-N(D626)))</f>
        <v/>
      </c>
    </row>
    <row r="627" customFormat="false" ht="15" hidden="false" customHeight="false" outlineLevel="0" collapsed="false">
      <c r="A627" s="20"/>
      <c r="B627" s="19"/>
      <c r="C627" s="19"/>
      <c r="D627" s="21"/>
      <c r="E627" s="19"/>
      <c r="F627" s="19"/>
      <c r="G627" s="23" t="str">
        <f aca="false">IF(A627="","",TEXT(A627,"yyyy-mm"))</f>
        <v/>
      </c>
      <c r="H627" s="22" t="str">
        <f aca="false">IF(A627="","",N(H626)+IF(B627="Masuk",N(D627),-N(D627)))</f>
        <v/>
      </c>
    </row>
    <row r="628" customFormat="false" ht="15" hidden="false" customHeight="false" outlineLevel="0" collapsed="false">
      <c r="A628" s="20"/>
      <c r="B628" s="19"/>
      <c r="C628" s="19"/>
      <c r="D628" s="21"/>
      <c r="E628" s="19"/>
      <c r="F628" s="19"/>
      <c r="G628" s="23" t="str">
        <f aca="false">IF(A628="","",TEXT(A628,"yyyy-mm"))</f>
        <v/>
      </c>
      <c r="H628" s="22" t="str">
        <f aca="false">IF(A628="","",N(H627)+IF(B628="Masuk",N(D628),-N(D628)))</f>
        <v/>
      </c>
    </row>
    <row r="629" customFormat="false" ht="15" hidden="false" customHeight="false" outlineLevel="0" collapsed="false">
      <c r="A629" s="20"/>
      <c r="B629" s="19"/>
      <c r="C629" s="19"/>
      <c r="D629" s="21"/>
      <c r="E629" s="19"/>
      <c r="F629" s="19"/>
      <c r="G629" s="23" t="str">
        <f aca="false">IF(A629="","",TEXT(A629,"yyyy-mm"))</f>
        <v/>
      </c>
      <c r="H629" s="22" t="str">
        <f aca="false">IF(A629="","",N(H628)+IF(B629="Masuk",N(D629),-N(D629)))</f>
        <v/>
      </c>
    </row>
    <row r="630" customFormat="false" ht="15" hidden="false" customHeight="false" outlineLevel="0" collapsed="false">
      <c r="A630" s="20"/>
      <c r="B630" s="19"/>
      <c r="C630" s="19"/>
      <c r="D630" s="21"/>
      <c r="E630" s="19"/>
      <c r="F630" s="19"/>
      <c r="G630" s="23" t="str">
        <f aca="false">IF(A630="","",TEXT(A630,"yyyy-mm"))</f>
        <v/>
      </c>
      <c r="H630" s="22" t="str">
        <f aca="false">IF(A630="","",N(H629)+IF(B630="Masuk",N(D630),-N(D630)))</f>
        <v/>
      </c>
    </row>
    <row r="631" customFormat="false" ht="15" hidden="false" customHeight="false" outlineLevel="0" collapsed="false">
      <c r="A631" s="20"/>
      <c r="B631" s="19"/>
      <c r="C631" s="19"/>
      <c r="D631" s="21"/>
      <c r="E631" s="19"/>
      <c r="F631" s="19"/>
      <c r="G631" s="23" t="str">
        <f aca="false">IF(A631="","",TEXT(A631,"yyyy-mm"))</f>
        <v/>
      </c>
      <c r="H631" s="22" t="str">
        <f aca="false">IF(A631="","",N(H630)+IF(B631="Masuk",N(D631),-N(D631)))</f>
        <v/>
      </c>
    </row>
    <row r="632" customFormat="false" ht="15" hidden="false" customHeight="false" outlineLevel="0" collapsed="false">
      <c r="A632" s="20"/>
      <c r="B632" s="19"/>
      <c r="C632" s="19"/>
      <c r="D632" s="21"/>
      <c r="E632" s="19"/>
      <c r="F632" s="19"/>
      <c r="G632" s="23" t="str">
        <f aca="false">IF(A632="","",TEXT(A632,"yyyy-mm"))</f>
        <v/>
      </c>
      <c r="H632" s="22" t="str">
        <f aca="false">IF(A632="","",N(H631)+IF(B632="Masuk",N(D632),-N(D632)))</f>
        <v/>
      </c>
    </row>
    <row r="633" customFormat="false" ht="15" hidden="false" customHeight="false" outlineLevel="0" collapsed="false">
      <c r="A633" s="20"/>
      <c r="B633" s="19"/>
      <c r="C633" s="19"/>
      <c r="D633" s="21"/>
      <c r="E633" s="19"/>
      <c r="F633" s="19"/>
      <c r="G633" s="23" t="str">
        <f aca="false">IF(A633="","",TEXT(A633,"yyyy-mm"))</f>
        <v/>
      </c>
      <c r="H633" s="22" t="str">
        <f aca="false">IF(A633="","",N(H632)+IF(B633="Masuk",N(D633),-N(D633)))</f>
        <v/>
      </c>
    </row>
    <row r="634" customFormat="false" ht="15" hidden="false" customHeight="false" outlineLevel="0" collapsed="false">
      <c r="A634" s="20"/>
      <c r="B634" s="19"/>
      <c r="C634" s="19"/>
      <c r="D634" s="21"/>
      <c r="E634" s="19"/>
      <c r="F634" s="19"/>
      <c r="G634" s="23" t="str">
        <f aca="false">IF(A634="","",TEXT(A634,"yyyy-mm"))</f>
        <v/>
      </c>
      <c r="H634" s="22" t="str">
        <f aca="false">IF(A634="","",N(H633)+IF(B634="Masuk",N(D634),-N(D634)))</f>
        <v/>
      </c>
    </row>
    <row r="635" customFormat="false" ht="15" hidden="false" customHeight="false" outlineLevel="0" collapsed="false">
      <c r="A635" s="20"/>
      <c r="B635" s="19"/>
      <c r="C635" s="19"/>
      <c r="D635" s="21"/>
      <c r="E635" s="19"/>
      <c r="F635" s="19"/>
      <c r="G635" s="23" t="str">
        <f aca="false">IF(A635="","",TEXT(A635,"yyyy-mm"))</f>
        <v/>
      </c>
      <c r="H635" s="22" t="str">
        <f aca="false">IF(A635="","",N(H634)+IF(B635="Masuk",N(D635),-N(D635)))</f>
        <v/>
      </c>
    </row>
    <row r="636" customFormat="false" ht="15" hidden="false" customHeight="false" outlineLevel="0" collapsed="false">
      <c r="A636" s="20"/>
      <c r="B636" s="19"/>
      <c r="C636" s="19"/>
      <c r="D636" s="21"/>
      <c r="E636" s="19"/>
      <c r="F636" s="19"/>
      <c r="G636" s="23" t="str">
        <f aca="false">IF(A636="","",TEXT(A636,"yyyy-mm"))</f>
        <v/>
      </c>
      <c r="H636" s="22" t="str">
        <f aca="false">IF(A636="","",N(H635)+IF(B636="Masuk",N(D636),-N(D636)))</f>
        <v/>
      </c>
    </row>
    <row r="637" customFormat="false" ht="15" hidden="false" customHeight="false" outlineLevel="0" collapsed="false">
      <c r="A637" s="20"/>
      <c r="B637" s="19"/>
      <c r="C637" s="19"/>
      <c r="D637" s="21"/>
      <c r="E637" s="19"/>
      <c r="F637" s="19"/>
      <c r="G637" s="23" t="str">
        <f aca="false">IF(A637="","",TEXT(A637,"yyyy-mm"))</f>
        <v/>
      </c>
      <c r="H637" s="22" t="str">
        <f aca="false">IF(A637="","",N(H636)+IF(B637="Masuk",N(D637),-N(D637)))</f>
        <v/>
      </c>
    </row>
    <row r="638" customFormat="false" ht="15" hidden="false" customHeight="false" outlineLevel="0" collapsed="false">
      <c r="A638" s="20"/>
      <c r="B638" s="19"/>
      <c r="C638" s="19"/>
      <c r="D638" s="21"/>
      <c r="E638" s="19"/>
      <c r="F638" s="19"/>
      <c r="G638" s="23" t="str">
        <f aca="false">IF(A638="","",TEXT(A638,"yyyy-mm"))</f>
        <v/>
      </c>
      <c r="H638" s="22" t="str">
        <f aca="false">IF(A638="","",N(H637)+IF(B638="Masuk",N(D638),-N(D638)))</f>
        <v/>
      </c>
    </row>
    <row r="639" customFormat="false" ht="15" hidden="false" customHeight="false" outlineLevel="0" collapsed="false">
      <c r="A639" s="20"/>
      <c r="B639" s="19"/>
      <c r="C639" s="19"/>
      <c r="D639" s="21"/>
      <c r="E639" s="19"/>
      <c r="F639" s="19"/>
      <c r="G639" s="23" t="str">
        <f aca="false">IF(A639="","",TEXT(A639,"yyyy-mm"))</f>
        <v/>
      </c>
      <c r="H639" s="22" t="str">
        <f aca="false">IF(A639="","",N(H638)+IF(B639="Masuk",N(D639),-N(D639)))</f>
        <v/>
      </c>
    </row>
    <row r="640" customFormat="false" ht="15" hidden="false" customHeight="false" outlineLevel="0" collapsed="false">
      <c r="A640" s="20"/>
      <c r="B640" s="19"/>
      <c r="C640" s="19"/>
      <c r="D640" s="21"/>
      <c r="E640" s="19"/>
      <c r="F640" s="19"/>
      <c r="G640" s="23" t="str">
        <f aca="false">IF(A640="","",TEXT(A640,"yyyy-mm"))</f>
        <v/>
      </c>
      <c r="H640" s="22" t="str">
        <f aca="false">IF(A640="","",N(H639)+IF(B640="Masuk",N(D640),-N(D640)))</f>
        <v/>
      </c>
    </row>
    <row r="641" customFormat="false" ht="15" hidden="false" customHeight="false" outlineLevel="0" collapsed="false">
      <c r="A641" s="20"/>
      <c r="B641" s="19"/>
      <c r="C641" s="19"/>
      <c r="D641" s="21"/>
      <c r="E641" s="19"/>
      <c r="F641" s="19"/>
      <c r="G641" s="23" t="str">
        <f aca="false">IF(A641="","",TEXT(A641,"yyyy-mm"))</f>
        <v/>
      </c>
      <c r="H641" s="22" t="str">
        <f aca="false">IF(A641="","",N(H640)+IF(B641="Masuk",N(D641),-N(D641)))</f>
        <v/>
      </c>
    </row>
    <row r="642" customFormat="false" ht="15" hidden="false" customHeight="false" outlineLevel="0" collapsed="false">
      <c r="A642" s="20"/>
      <c r="B642" s="19"/>
      <c r="C642" s="19"/>
      <c r="D642" s="21"/>
      <c r="E642" s="19"/>
      <c r="F642" s="19"/>
      <c r="G642" s="23" t="str">
        <f aca="false">IF(A642="","",TEXT(A642,"yyyy-mm"))</f>
        <v/>
      </c>
      <c r="H642" s="22" t="str">
        <f aca="false">IF(A642="","",N(H641)+IF(B642="Masuk",N(D642),-N(D642)))</f>
        <v/>
      </c>
    </row>
    <row r="643" customFormat="false" ht="15" hidden="false" customHeight="false" outlineLevel="0" collapsed="false">
      <c r="A643" s="20"/>
      <c r="B643" s="19"/>
      <c r="C643" s="19"/>
      <c r="D643" s="21"/>
      <c r="E643" s="19"/>
      <c r="F643" s="19"/>
      <c r="G643" s="23" t="str">
        <f aca="false">IF(A643="","",TEXT(A643,"yyyy-mm"))</f>
        <v/>
      </c>
      <c r="H643" s="22" t="str">
        <f aca="false">IF(A643="","",N(H642)+IF(B643="Masuk",N(D643),-N(D643)))</f>
        <v/>
      </c>
    </row>
    <row r="644" customFormat="false" ht="15" hidden="false" customHeight="false" outlineLevel="0" collapsed="false">
      <c r="A644" s="20"/>
      <c r="B644" s="19"/>
      <c r="C644" s="19"/>
      <c r="D644" s="21"/>
      <c r="E644" s="19"/>
      <c r="F644" s="19"/>
      <c r="G644" s="23" t="str">
        <f aca="false">IF(A644="","",TEXT(A644,"yyyy-mm"))</f>
        <v/>
      </c>
      <c r="H644" s="22" t="str">
        <f aca="false">IF(A644="","",N(H643)+IF(B644="Masuk",N(D644),-N(D644)))</f>
        <v/>
      </c>
    </row>
    <row r="645" customFormat="false" ht="15" hidden="false" customHeight="false" outlineLevel="0" collapsed="false">
      <c r="A645" s="20"/>
      <c r="B645" s="19"/>
      <c r="C645" s="19"/>
      <c r="D645" s="21"/>
      <c r="E645" s="19"/>
      <c r="F645" s="19"/>
      <c r="G645" s="23" t="str">
        <f aca="false">IF(A645="","",TEXT(A645,"yyyy-mm"))</f>
        <v/>
      </c>
      <c r="H645" s="22" t="str">
        <f aca="false">IF(A645="","",N(H644)+IF(B645="Masuk",N(D645),-N(D645)))</f>
        <v/>
      </c>
    </row>
    <row r="646" customFormat="false" ht="15" hidden="false" customHeight="false" outlineLevel="0" collapsed="false">
      <c r="A646" s="20"/>
      <c r="B646" s="19"/>
      <c r="C646" s="19"/>
      <c r="D646" s="21"/>
      <c r="E646" s="19"/>
      <c r="F646" s="19"/>
      <c r="G646" s="23" t="str">
        <f aca="false">IF(A646="","",TEXT(A646,"yyyy-mm"))</f>
        <v/>
      </c>
      <c r="H646" s="22" t="str">
        <f aca="false">IF(A646="","",N(H645)+IF(B646="Masuk",N(D646),-N(D646)))</f>
        <v/>
      </c>
    </row>
    <row r="647" customFormat="false" ht="15" hidden="false" customHeight="false" outlineLevel="0" collapsed="false">
      <c r="A647" s="20"/>
      <c r="B647" s="19"/>
      <c r="C647" s="19"/>
      <c r="D647" s="21"/>
      <c r="E647" s="19"/>
      <c r="F647" s="19"/>
      <c r="G647" s="23" t="str">
        <f aca="false">IF(A647="","",TEXT(A647,"yyyy-mm"))</f>
        <v/>
      </c>
      <c r="H647" s="22" t="str">
        <f aca="false">IF(A647="","",N(H646)+IF(B647="Masuk",N(D647),-N(D647)))</f>
        <v/>
      </c>
    </row>
    <row r="648" customFormat="false" ht="15" hidden="false" customHeight="false" outlineLevel="0" collapsed="false">
      <c r="A648" s="20"/>
      <c r="B648" s="19"/>
      <c r="C648" s="19"/>
      <c r="D648" s="21"/>
      <c r="E648" s="19"/>
      <c r="F648" s="19"/>
      <c r="G648" s="23" t="str">
        <f aca="false">IF(A648="","",TEXT(A648,"yyyy-mm"))</f>
        <v/>
      </c>
      <c r="H648" s="22" t="str">
        <f aca="false">IF(A648="","",N(H647)+IF(B648="Masuk",N(D648),-N(D648)))</f>
        <v/>
      </c>
    </row>
    <row r="649" customFormat="false" ht="15" hidden="false" customHeight="false" outlineLevel="0" collapsed="false">
      <c r="A649" s="20"/>
      <c r="B649" s="19"/>
      <c r="C649" s="19"/>
      <c r="D649" s="21"/>
      <c r="E649" s="19"/>
      <c r="F649" s="19"/>
      <c r="G649" s="23" t="str">
        <f aca="false">IF(A649="","",TEXT(A649,"yyyy-mm"))</f>
        <v/>
      </c>
      <c r="H649" s="22" t="str">
        <f aca="false">IF(A649="","",N(H648)+IF(B649="Masuk",N(D649),-N(D649)))</f>
        <v/>
      </c>
    </row>
    <row r="650" customFormat="false" ht="15" hidden="false" customHeight="false" outlineLevel="0" collapsed="false">
      <c r="A650" s="20"/>
      <c r="B650" s="19"/>
      <c r="C650" s="19"/>
      <c r="D650" s="21"/>
      <c r="E650" s="19"/>
      <c r="F650" s="19"/>
      <c r="G650" s="23" t="str">
        <f aca="false">IF(A650="","",TEXT(A650,"yyyy-mm"))</f>
        <v/>
      </c>
      <c r="H650" s="22" t="str">
        <f aca="false">IF(A650="","",N(H649)+IF(B650="Masuk",N(D650),-N(D650)))</f>
        <v/>
      </c>
    </row>
    <row r="651" customFormat="false" ht="15" hidden="false" customHeight="false" outlineLevel="0" collapsed="false">
      <c r="A651" s="20"/>
      <c r="B651" s="19"/>
      <c r="C651" s="19"/>
      <c r="D651" s="21"/>
      <c r="E651" s="19"/>
      <c r="F651" s="19"/>
      <c r="G651" s="23" t="str">
        <f aca="false">IF(A651="","",TEXT(A651,"yyyy-mm"))</f>
        <v/>
      </c>
      <c r="H651" s="22" t="str">
        <f aca="false">IF(A651="","",N(H650)+IF(B651="Masuk",N(D651),-N(D651)))</f>
        <v/>
      </c>
    </row>
    <row r="652" customFormat="false" ht="15" hidden="false" customHeight="false" outlineLevel="0" collapsed="false">
      <c r="A652" s="20"/>
      <c r="B652" s="19"/>
      <c r="C652" s="19"/>
      <c r="D652" s="21"/>
      <c r="E652" s="19"/>
      <c r="F652" s="19"/>
      <c r="G652" s="23" t="str">
        <f aca="false">IF(A652="","",TEXT(A652,"yyyy-mm"))</f>
        <v/>
      </c>
      <c r="H652" s="22" t="str">
        <f aca="false">IF(A652="","",N(H651)+IF(B652="Masuk",N(D652),-N(D652)))</f>
        <v/>
      </c>
    </row>
    <row r="653" customFormat="false" ht="15" hidden="false" customHeight="false" outlineLevel="0" collapsed="false">
      <c r="A653" s="20"/>
      <c r="B653" s="19"/>
      <c r="C653" s="19"/>
      <c r="D653" s="21"/>
      <c r="E653" s="19"/>
      <c r="F653" s="19"/>
      <c r="G653" s="23" t="str">
        <f aca="false">IF(A653="","",TEXT(A653,"yyyy-mm"))</f>
        <v/>
      </c>
      <c r="H653" s="22" t="str">
        <f aca="false">IF(A653="","",N(H652)+IF(B653="Masuk",N(D653),-N(D653)))</f>
        <v/>
      </c>
    </row>
    <row r="654" customFormat="false" ht="15" hidden="false" customHeight="false" outlineLevel="0" collapsed="false">
      <c r="A654" s="20"/>
      <c r="B654" s="19"/>
      <c r="C654" s="19"/>
      <c r="D654" s="21"/>
      <c r="E654" s="19"/>
      <c r="F654" s="19"/>
      <c r="G654" s="23" t="str">
        <f aca="false">IF(A654="","",TEXT(A654,"yyyy-mm"))</f>
        <v/>
      </c>
      <c r="H654" s="22" t="str">
        <f aca="false">IF(A654="","",N(H653)+IF(B654="Masuk",N(D654),-N(D654)))</f>
        <v/>
      </c>
    </row>
    <row r="655" customFormat="false" ht="15" hidden="false" customHeight="false" outlineLevel="0" collapsed="false">
      <c r="A655" s="20"/>
      <c r="B655" s="19"/>
      <c r="C655" s="19"/>
      <c r="D655" s="21"/>
      <c r="E655" s="19"/>
      <c r="F655" s="19"/>
      <c r="G655" s="23" t="str">
        <f aca="false">IF(A655="","",TEXT(A655,"yyyy-mm"))</f>
        <v/>
      </c>
      <c r="H655" s="22" t="str">
        <f aca="false">IF(A655="","",N(H654)+IF(B655="Masuk",N(D655),-N(D655)))</f>
        <v/>
      </c>
    </row>
    <row r="656" customFormat="false" ht="15" hidden="false" customHeight="false" outlineLevel="0" collapsed="false">
      <c r="A656" s="20"/>
      <c r="B656" s="19"/>
      <c r="C656" s="19"/>
      <c r="D656" s="21"/>
      <c r="E656" s="19"/>
      <c r="F656" s="19"/>
      <c r="G656" s="23" t="str">
        <f aca="false">IF(A656="","",TEXT(A656,"yyyy-mm"))</f>
        <v/>
      </c>
      <c r="H656" s="22" t="str">
        <f aca="false">IF(A656="","",N(H655)+IF(B656="Masuk",N(D656),-N(D656)))</f>
        <v/>
      </c>
    </row>
    <row r="657" customFormat="false" ht="15" hidden="false" customHeight="false" outlineLevel="0" collapsed="false">
      <c r="A657" s="20"/>
      <c r="B657" s="19"/>
      <c r="C657" s="19"/>
      <c r="D657" s="21"/>
      <c r="E657" s="19"/>
      <c r="F657" s="19"/>
      <c r="G657" s="23" t="str">
        <f aca="false">IF(A657="","",TEXT(A657,"yyyy-mm"))</f>
        <v/>
      </c>
      <c r="H657" s="22" t="str">
        <f aca="false">IF(A657="","",N(H656)+IF(B657="Masuk",N(D657),-N(D657)))</f>
        <v/>
      </c>
    </row>
    <row r="658" customFormat="false" ht="15" hidden="false" customHeight="false" outlineLevel="0" collapsed="false">
      <c r="A658" s="20"/>
      <c r="B658" s="19"/>
      <c r="C658" s="19"/>
      <c r="D658" s="21"/>
      <c r="E658" s="19"/>
      <c r="F658" s="19"/>
      <c r="G658" s="23" t="str">
        <f aca="false">IF(A658="","",TEXT(A658,"yyyy-mm"))</f>
        <v/>
      </c>
      <c r="H658" s="22" t="str">
        <f aca="false">IF(A658="","",N(H657)+IF(B658="Masuk",N(D658),-N(D658)))</f>
        <v/>
      </c>
    </row>
    <row r="659" customFormat="false" ht="15" hidden="false" customHeight="false" outlineLevel="0" collapsed="false">
      <c r="A659" s="20"/>
      <c r="B659" s="19"/>
      <c r="C659" s="19"/>
      <c r="D659" s="21"/>
      <c r="E659" s="19"/>
      <c r="F659" s="19"/>
      <c r="G659" s="23" t="str">
        <f aca="false">IF(A659="","",TEXT(A659,"yyyy-mm"))</f>
        <v/>
      </c>
      <c r="H659" s="22" t="str">
        <f aca="false">IF(A659="","",N(H658)+IF(B659="Masuk",N(D659),-N(D659)))</f>
        <v/>
      </c>
    </row>
    <row r="660" customFormat="false" ht="15" hidden="false" customHeight="false" outlineLevel="0" collapsed="false">
      <c r="A660" s="20"/>
      <c r="B660" s="19"/>
      <c r="C660" s="19"/>
      <c r="D660" s="21"/>
      <c r="E660" s="19"/>
      <c r="F660" s="19"/>
      <c r="G660" s="23" t="str">
        <f aca="false">IF(A660="","",TEXT(A660,"yyyy-mm"))</f>
        <v/>
      </c>
      <c r="H660" s="22" t="str">
        <f aca="false">IF(A660="","",N(H659)+IF(B660="Masuk",N(D660),-N(D660)))</f>
        <v/>
      </c>
    </row>
    <row r="661" customFormat="false" ht="15" hidden="false" customHeight="false" outlineLevel="0" collapsed="false">
      <c r="A661" s="20"/>
      <c r="B661" s="19"/>
      <c r="C661" s="19"/>
      <c r="D661" s="21"/>
      <c r="E661" s="19"/>
      <c r="F661" s="19"/>
      <c r="G661" s="23" t="str">
        <f aca="false">IF(A661="","",TEXT(A661,"yyyy-mm"))</f>
        <v/>
      </c>
      <c r="H661" s="22" t="str">
        <f aca="false">IF(A661="","",N(H660)+IF(B661="Masuk",N(D661),-N(D661)))</f>
        <v/>
      </c>
    </row>
    <row r="662" customFormat="false" ht="15" hidden="false" customHeight="false" outlineLevel="0" collapsed="false">
      <c r="A662" s="20"/>
      <c r="B662" s="19"/>
      <c r="C662" s="19"/>
      <c r="D662" s="21"/>
      <c r="E662" s="19"/>
      <c r="F662" s="19"/>
      <c r="G662" s="23" t="str">
        <f aca="false">IF(A662="","",TEXT(A662,"yyyy-mm"))</f>
        <v/>
      </c>
      <c r="H662" s="22" t="str">
        <f aca="false">IF(A662="","",N(H661)+IF(B662="Masuk",N(D662),-N(D662)))</f>
        <v/>
      </c>
    </row>
    <row r="663" customFormat="false" ht="15" hidden="false" customHeight="false" outlineLevel="0" collapsed="false">
      <c r="A663" s="20"/>
      <c r="B663" s="19"/>
      <c r="C663" s="19"/>
      <c r="D663" s="21"/>
      <c r="E663" s="19"/>
      <c r="F663" s="19"/>
      <c r="G663" s="23" t="str">
        <f aca="false">IF(A663="","",TEXT(A663,"yyyy-mm"))</f>
        <v/>
      </c>
      <c r="H663" s="22" t="str">
        <f aca="false">IF(A663="","",N(H662)+IF(B663="Masuk",N(D663),-N(D663)))</f>
        <v/>
      </c>
    </row>
    <row r="664" customFormat="false" ht="15" hidden="false" customHeight="false" outlineLevel="0" collapsed="false">
      <c r="A664" s="20"/>
      <c r="B664" s="19"/>
      <c r="C664" s="19"/>
      <c r="D664" s="21"/>
      <c r="E664" s="19"/>
      <c r="F664" s="19"/>
      <c r="G664" s="23" t="str">
        <f aca="false">IF(A664="","",TEXT(A664,"yyyy-mm"))</f>
        <v/>
      </c>
      <c r="H664" s="22" t="str">
        <f aca="false">IF(A664="","",N(H663)+IF(B664="Masuk",N(D664),-N(D664)))</f>
        <v/>
      </c>
    </row>
    <row r="665" customFormat="false" ht="15" hidden="false" customHeight="false" outlineLevel="0" collapsed="false">
      <c r="A665" s="20"/>
      <c r="B665" s="19"/>
      <c r="C665" s="19"/>
      <c r="D665" s="21"/>
      <c r="E665" s="19"/>
      <c r="F665" s="19"/>
      <c r="G665" s="23" t="str">
        <f aca="false">IF(A665="","",TEXT(A665,"yyyy-mm"))</f>
        <v/>
      </c>
      <c r="H665" s="22" t="str">
        <f aca="false">IF(A665="","",N(H664)+IF(B665="Masuk",N(D665),-N(D665)))</f>
        <v/>
      </c>
    </row>
    <row r="666" customFormat="false" ht="15" hidden="false" customHeight="false" outlineLevel="0" collapsed="false">
      <c r="A666" s="20"/>
      <c r="B666" s="19"/>
      <c r="C666" s="19"/>
      <c r="D666" s="21"/>
      <c r="E666" s="19"/>
      <c r="F666" s="19"/>
      <c r="G666" s="23" t="str">
        <f aca="false">IF(A666="","",TEXT(A666,"yyyy-mm"))</f>
        <v/>
      </c>
      <c r="H666" s="22" t="str">
        <f aca="false">IF(A666="","",N(H665)+IF(B666="Masuk",N(D666),-N(D666)))</f>
        <v/>
      </c>
    </row>
    <row r="667" customFormat="false" ht="15" hidden="false" customHeight="false" outlineLevel="0" collapsed="false">
      <c r="A667" s="20"/>
      <c r="B667" s="19"/>
      <c r="C667" s="19"/>
      <c r="D667" s="21"/>
      <c r="E667" s="19"/>
      <c r="F667" s="19"/>
      <c r="G667" s="23" t="str">
        <f aca="false">IF(A667="","",TEXT(A667,"yyyy-mm"))</f>
        <v/>
      </c>
      <c r="H667" s="22" t="str">
        <f aca="false">IF(A667="","",N(H666)+IF(B667="Masuk",N(D667),-N(D667)))</f>
        <v/>
      </c>
    </row>
    <row r="668" customFormat="false" ht="15" hidden="false" customHeight="false" outlineLevel="0" collapsed="false">
      <c r="A668" s="20"/>
      <c r="B668" s="19"/>
      <c r="C668" s="19"/>
      <c r="D668" s="21"/>
      <c r="E668" s="19"/>
      <c r="F668" s="19"/>
      <c r="G668" s="23" t="str">
        <f aca="false">IF(A668="","",TEXT(A668,"yyyy-mm"))</f>
        <v/>
      </c>
      <c r="H668" s="22" t="str">
        <f aca="false">IF(A668="","",N(H667)+IF(B668="Masuk",N(D668),-N(D668)))</f>
        <v/>
      </c>
    </row>
    <row r="669" customFormat="false" ht="15" hidden="false" customHeight="false" outlineLevel="0" collapsed="false">
      <c r="A669" s="20"/>
      <c r="B669" s="19"/>
      <c r="C669" s="19"/>
      <c r="D669" s="21"/>
      <c r="E669" s="19"/>
      <c r="F669" s="19"/>
      <c r="G669" s="23" t="str">
        <f aca="false">IF(A669="","",TEXT(A669,"yyyy-mm"))</f>
        <v/>
      </c>
      <c r="H669" s="22" t="str">
        <f aca="false">IF(A669="","",N(H668)+IF(B669="Masuk",N(D669),-N(D669)))</f>
        <v/>
      </c>
    </row>
    <row r="670" customFormat="false" ht="15" hidden="false" customHeight="false" outlineLevel="0" collapsed="false">
      <c r="A670" s="20"/>
      <c r="B670" s="19"/>
      <c r="C670" s="19"/>
      <c r="D670" s="21"/>
      <c r="E670" s="19"/>
      <c r="F670" s="19"/>
      <c r="G670" s="23" t="str">
        <f aca="false">IF(A670="","",TEXT(A670,"yyyy-mm"))</f>
        <v/>
      </c>
      <c r="H670" s="22" t="str">
        <f aca="false">IF(A670="","",N(H669)+IF(B670="Masuk",N(D670),-N(D670)))</f>
        <v/>
      </c>
    </row>
    <row r="671" customFormat="false" ht="15" hidden="false" customHeight="false" outlineLevel="0" collapsed="false">
      <c r="A671" s="20"/>
      <c r="B671" s="19"/>
      <c r="C671" s="19"/>
      <c r="D671" s="21"/>
      <c r="E671" s="19"/>
      <c r="F671" s="19"/>
      <c r="G671" s="23" t="str">
        <f aca="false">IF(A671="","",TEXT(A671,"yyyy-mm"))</f>
        <v/>
      </c>
      <c r="H671" s="22" t="str">
        <f aca="false">IF(A671="","",N(H670)+IF(B671="Masuk",N(D671),-N(D671)))</f>
        <v/>
      </c>
    </row>
    <row r="672" customFormat="false" ht="15" hidden="false" customHeight="false" outlineLevel="0" collapsed="false">
      <c r="A672" s="20"/>
      <c r="B672" s="19"/>
      <c r="C672" s="19"/>
      <c r="D672" s="21"/>
      <c r="E672" s="19"/>
      <c r="F672" s="19"/>
      <c r="G672" s="23" t="str">
        <f aca="false">IF(A672="","",TEXT(A672,"yyyy-mm"))</f>
        <v/>
      </c>
      <c r="H672" s="22" t="str">
        <f aca="false">IF(A672="","",N(H671)+IF(B672="Masuk",N(D672),-N(D672)))</f>
        <v/>
      </c>
    </row>
    <row r="673" customFormat="false" ht="15" hidden="false" customHeight="false" outlineLevel="0" collapsed="false">
      <c r="A673" s="20"/>
      <c r="B673" s="19"/>
      <c r="C673" s="19"/>
      <c r="D673" s="21"/>
      <c r="E673" s="19"/>
      <c r="F673" s="19"/>
      <c r="G673" s="23" t="str">
        <f aca="false">IF(A673="","",TEXT(A673,"yyyy-mm"))</f>
        <v/>
      </c>
      <c r="H673" s="22" t="str">
        <f aca="false">IF(A673="","",N(H672)+IF(B673="Masuk",N(D673),-N(D673)))</f>
        <v/>
      </c>
    </row>
    <row r="674" customFormat="false" ht="15" hidden="false" customHeight="false" outlineLevel="0" collapsed="false">
      <c r="A674" s="20"/>
      <c r="B674" s="19"/>
      <c r="C674" s="19"/>
      <c r="D674" s="21"/>
      <c r="E674" s="19"/>
      <c r="F674" s="19"/>
      <c r="G674" s="23" t="str">
        <f aca="false">IF(A674="","",TEXT(A674,"yyyy-mm"))</f>
        <v/>
      </c>
      <c r="H674" s="22" t="str">
        <f aca="false">IF(A674="","",N(H673)+IF(B674="Masuk",N(D674),-N(D674)))</f>
        <v/>
      </c>
    </row>
    <row r="675" customFormat="false" ht="15" hidden="false" customHeight="false" outlineLevel="0" collapsed="false">
      <c r="A675" s="20"/>
      <c r="B675" s="19"/>
      <c r="C675" s="19"/>
      <c r="D675" s="21"/>
      <c r="E675" s="19"/>
      <c r="F675" s="19"/>
      <c r="G675" s="23" t="str">
        <f aca="false">IF(A675="","",TEXT(A675,"yyyy-mm"))</f>
        <v/>
      </c>
      <c r="H675" s="22" t="str">
        <f aca="false">IF(A675="","",N(H674)+IF(B675="Masuk",N(D675),-N(D675)))</f>
        <v/>
      </c>
    </row>
    <row r="676" customFormat="false" ht="15" hidden="false" customHeight="false" outlineLevel="0" collapsed="false">
      <c r="A676" s="20"/>
      <c r="B676" s="19"/>
      <c r="C676" s="19"/>
      <c r="D676" s="21"/>
      <c r="E676" s="19"/>
      <c r="F676" s="19"/>
      <c r="G676" s="23" t="str">
        <f aca="false">IF(A676="","",TEXT(A676,"yyyy-mm"))</f>
        <v/>
      </c>
      <c r="H676" s="22" t="str">
        <f aca="false">IF(A676="","",N(H675)+IF(B676="Masuk",N(D676),-N(D676)))</f>
        <v/>
      </c>
    </row>
    <row r="677" customFormat="false" ht="15" hidden="false" customHeight="false" outlineLevel="0" collapsed="false">
      <c r="A677" s="20"/>
      <c r="B677" s="19"/>
      <c r="C677" s="19"/>
      <c r="D677" s="21"/>
      <c r="E677" s="19"/>
      <c r="F677" s="19"/>
      <c r="G677" s="23" t="str">
        <f aca="false">IF(A677="","",TEXT(A677,"yyyy-mm"))</f>
        <v/>
      </c>
      <c r="H677" s="22" t="str">
        <f aca="false">IF(A677="","",N(H676)+IF(B677="Masuk",N(D677),-N(D677)))</f>
        <v/>
      </c>
    </row>
    <row r="678" customFormat="false" ht="15" hidden="false" customHeight="false" outlineLevel="0" collapsed="false">
      <c r="A678" s="20"/>
      <c r="B678" s="19"/>
      <c r="C678" s="19"/>
      <c r="D678" s="21"/>
      <c r="E678" s="19"/>
      <c r="F678" s="19"/>
      <c r="G678" s="23" t="str">
        <f aca="false">IF(A678="","",TEXT(A678,"yyyy-mm"))</f>
        <v/>
      </c>
      <c r="H678" s="22" t="str">
        <f aca="false">IF(A678="","",N(H677)+IF(B678="Masuk",N(D678),-N(D678)))</f>
        <v/>
      </c>
    </row>
    <row r="679" customFormat="false" ht="15" hidden="false" customHeight="false" outlineLevel="0" collapsed="false">
      <c r="A679" s="20"/>
      <c r="B679" s="19"/>
      <c r="C679" s="19"/>
      <c r="D679" s="21"/>
      <c r="E679" s="19"/>
      <c r="F679" s="19"/>
      <c r="G679" s="23" t="str">
        <f aca="false">IF(A679="","",TEXT(A679,"yyyy-mm"))</f>
        <v/>
      </c>
      <c r="H679" s="22" t="str">
        <f aca="false">IF(A679="","",N(H678)+IF(B679="Masuk",N(D679),-N(D679)))</f>
        <v/>
      </c>
    </row>
    <row r="680" customFormat="false" ht="15" hidden="false" customHeight="false" outlineLevel="0" collapsed="false">
      <c r="A680" s="20"/>
      <c r="B680" s="19"/>
      <c r="C680" s="19"/>
      <c r="D680" s="21"/>
      <c r="E680" s="19"/>
      <c r="F680" s="19"/>
      <c r="G680" s="23" t="str">
        <f aca="false">IF(A680="","",TEXT(A680,"yyyy-mm"))</f>
        <v/>
      </c>
      <c r="H680" s="22" t="str">
        <f aca="false">IF(A680="","",N(H679)+IF(B680="Masuk",N(D680),-N(D680)))</f>
        <v/>
      </c>
    </row>
    <row r="681" customFormat="false" ht="15" hidden="false" customHeight="false" outlineLevel="0" collapsed="false">
      <c r="A681" s="20"/>
      <c r="B681" s="19"/>
      <c r="C681" s="19"/>
      <c r="D681" s="21"/>
      <c r="E681" s="19"/>
      <c r="F681" s="19"/>
      <c r="G681" s="23" t="str">
        <f aca="false">IF(A681="","",TEXT(A681,"yyyy-mm"))</f>
        <v/>
      </c>
      <c r="H681" s="22" t="str">
        <f aca="false">IF(A681="","",N(H680)+IF(B681="Masuk",N(D681),-N(D681)))</f>
        <v/>
      </c>
    </row>
    <row r="682" customFormat="false" ht="15" hidden="false" customHeight="false" outlineLevel="0" collapsed="false">
      <c r="A682" s="20"/>
      <c r="B682" s="19"/>
      <c r="C682" s="19"/>
      <c r="D682" s="21"/>
      <c r="E682" s="19"/>
      <c r="F682" s="19"/>
      <c r="G682" s="23" t="str">
        <f aca="false">IF(A682="","",TEXT(A682,"yyyy-mm"))</f>
        <v/>
      </c>
      <c r="H682" s="22" t="str">
        <f aca="false">IF(A682="","",N(H681)+IF(B682="Masuk",N(D682),-N(D682)))</f>
        <v/>
      </c>
    </row>
    <row r="683" customFormat="false" ht="15" hidden="false" customHeight="false" outlineLevel="0" collapsed="false">
      <c r="A683" s="20"/>
      <c r="B683" s="19"/>
      <c r="C683" s="19"/>
      <c r="D683" s="21"/>
      <c r="E683" s="19"/>
      <c r="F683" s="19"/>
      <c r="G683" s="23" t="str">
        <f aca="false">IF(A683="","",TEXT(A683,"yyyy-mm"))</f>
        <v/>
      </c>
      <c r="H683" s="22" t="str">
        <f aca="false">IF(A683="","",N(H682)+IF(B683="Masuk",N(D683),-N(D683)))</f>
        <v/>
      </c>
    </row>
    <row r="684" customFormat="false" ht="15" hidden="false" customHeight="false" outlineLevel="0" collapsed="false">
      <c r="A684" s="20"/>
      <c r="B684" s="19"/>
      <c r="C684" s="19"/>
      <c r="D684" s="21"/>
      <c r="E684" s="19"/>
      <c r="F684" s="19"/>
      <c r="G684" s="23" t="str">
        <f aca="false">IF(A684="","",TEXT(A684,"yyyy-mm"))</f>
        <v/>
      </c>
      <c r="H684" s="22" t="str">
        <f aca="false">IF(A684="","",N(H683)+IF(B684="Masuk",N(D684),-N(D684)))</f>
        <v/>
      </c>
    </row>
    <row r="685" customFormat="false" ht="15" hidden="false" customHeight="false" outlineLevel="0" collapsed="false">
      <c r="A685" s="20"/>
      <c r="B685" s="19"/>
      <c r="C685" s="19"/>
      <c r="D685" s="21"/>
      <c r="E685" s="19"/>
      <c r="F685" s="19"/>
      <c r="G685" s="23" t="str">
        <f aca="false">IF(A685="","",TEXT(A685,"yyyy-mm"))</f>
        <v/>
      </c>
      <c r="H685" s="22" t="str">
        <f aca="false">IF(A685="","",N(H684)+IF(B685="Masuk",N(D685),-N(D685)))</f>
        <v/>
      </c>
    </row>
    <row r="686" customFormat="false" ht="15" hidden="false" customHeight="false" outlineLevel="0" collapsed="false">
      <c r="A686" s="20"/>
      <c r="B686" s="19"/>
      <c r="C686" s="19"/>
      <c r="D686" s="21"/>
      <c r="E686" s="19"/>
      <c r="F686" s="19"/>
      <c r="G686" s="23" t="str">
        <f aca="false">IF(A686="","",TEXT(A686,"yyyy-mm"))</f>
        <v/>
      </c>
      <c r="H686" s="22" t="str">
        <f aca="false">IF(A686="","",N(H685)+IF(B686="Masuk",N(D686),-N(D686)))</f>
        <v/>
      </c>
    </row>
    <row r="687" customFormat="false" ht="15" hidden="false" customHeight="false" outlineLevel="0" collapsed="false">
      <c r="A687" s="20"/>
      <c r="B687" s="19"/>
      <c r="C687" s="19"/>
      <c r="D687" s="21"/>
      <c r="E687" s="19"/>
      <c r="F687" s="19"/>
      <c r="G687" s="23" t="str">
        <f aca="false">IF(A687="","",TEXT(A687,"yyyy-mm"))</f>
        <v/>
      </c>
      <c r="H687" s="22" t="str">
        <f aca="false">IF(A687="","",N(H686)+IF(B687="Masuk",N(D687),-N(D687)))</f>
        <v/>
      </c>
    </row>
    <row r="688" customFormat="false" ht="15" hidden="false" customHeight="false" outlineLevel="0" collapsed="false">
      <c r="A688" s="20"/>
      <c r="B688" s="19"/>
      <c r="C688" s="19"/>
      <c r="D688" s="21"/>
      <c r="E688" s="19"/>
      <c r="F688" s="19"/>
      <c r="G688" s="23" t="str">
        <f aca="false">IF(A688="","",TEXT(A688,"yyyy-mm"))</f>
        <v/>
      </c>
      <c r="H688" s="22" t="str">
        <f aca="false">IF(A688="","",N(H687)+IF(B688="Masuk",N(D688),-N(D688)))</f>
        <v/>
      </c>
    </row>
    <row r="689" customFormat="false" ht="15" hidden="false" customHeight="false" outlineLevel="0" collapsed="false">
      <c r="A689" s="20"/>
      <c r="B689" s="19"/>
      <c r="C689" s="19"/>
      <c r="D689" s="21"/>
      <c r="E689" s="19"/>
      <c r="F689" s="19"/>
      <c r="G689" s="23" t="str">
        <f aca="false">IF(A689="","",TEXT(A689,"yyyy-mm"))</f>
        <v/>
      </c>
      <c r="H689" s="22" t="str">
        <f aca="false">IF(A689="","",N(H688)+IF(B689="Masuk",N(D689),-N(D689)))</f>
        <v/>
      </c>
    </row>
    <row r="690" customFormat="false" ht="15" hidden="false" customHeight="false" outlineLevel="0" collapsed="false">
      <c r="A690" s="20"/>
      <c r="B690" s="19"/>
      <c r="C690" s="19"/>
      <c r="D690" s="21"/>
      <c r="E690" s="19"/>
      <c r="F690" s="19"/>
      <c r="G690" s="23" t="str">
        <f aca="false">IF(A690="","",TEXT(A690,"yyyy-mm"))</f>
        <v/>
      </c>
      <c r="H690" s="22" t="str">
        <f aca="false">IF(A690="","",N(H689)+IF(B690="Masuk",N(D690),-N(D690)))</f>
        <v/>
      </c>
    </row>
    <row r="691" customFormat="false" ht="15" hidden="false" customHeight="false" outlineLevel="0" collapsed="false">
      <c r="A691" s="20"/>
      <c r="B691" s="19"/>
      <c r="C691" s="19"/>
      <c r="D691" s="21"/>
      <c r="E691" s="19"/>
      <c r="F691" s="19"/>
      <c r="G691" s="23" t="str">
        <f aca="false">IF(A691="","",TEXT(A691,"yyyy-mm"))</f>
        <v/>
      </c>
      <c r="H691" s="22" t="str">
        <f aca="false">IF(A691="","",N(H690)+IF(B691="Masuk",N(D691),-N(D691)))</f>
        <v/>
      </c>
    </row>
    <row r="692" customFormat="false" ht="15" hidden="false" customHeight="false" outlineLevel="0" collapsed="false">
      <c r="A692" s="20"/>
      <c r="B692" s="19"/>
      <c r="C692" s="19"/>
      <c r="D692" s="21"/>
      <c r="E692" s="19"/>
      <c r="F692" s="19"/>
      <c r="G692" s="23" t="str">
        <f aca="false">IF(A692="","",TEXT(A692,"yyyy-mm"))</f>
        <v/>
      </c>
      <c r="H692" s="22" t="str">
        <f aca="false">IF(A692="","",N(H691)+IF(B692="Masuk",N(D692),-N(D692)))</f>
        <v/>
      </c>
    </row>
    <row r="693" customFormat="false" ht="15" hidden="false" customHeight="false" outlineLevel="0" collapsed="false">
      <c r="A693" s="20"/>
      <c r="B693" s="19"/>
      <c r="C693" s="19"/>
      <c r="D693" s="21"/>
      <c r="E693" s="19"/>
      <c r="F693" s="19"/>
      <c r="G693" s="23" t="str">
        <f aca="false">IF(A693="","",TEXT(A693,"yyyy-mm"))</f>
        <v/>
      </c>
      <c r="H693" s="22" t="str">
        <f aca="false">IF(A693="","",N(H692)+IF(B693="Masuk",N(D693),-N(D693)))</f>
        <v/>
      </c>
    </row>
    <row r="694" customFormat="false" ht="15" hidden="false" customHeight="false" outlineLevel="0" collapsed="false">
      <c r="A694" s="20"/>
      <c r="B694" s="19"/>
      <c r="C694" s="19"/>
      <c r="D694" s="21"/>
      <c r="E694" s="19"/>
      <c r="F694" s="19"/>
      <c r="G694" s="23" t="str">
        <f aca="false">IF(A694="","",TEXT(A694,"yyyy-mm"))</f>
        <v/>
      </c>
      <c r="H694" s="22" t="str">
        <f aca="false">IF(A694="","",N(H693)+IF(B694="Masuk",N(D694),-N(D694)))</f>
        <v/>
      </c>
    </row>
    <row r="695" customFormat="false" ht="15" hidden="false" customHeight="false" outlineLevel="0" collapsed="false">
      <c r="A695" s="20"/>
      <c r="B695" s="19"/>
      <c r="C695" s="19"/>
      <c r="D695" s="21"/>
      <c r="E695" s="19"/>
      <c r="F695" s="19"/>
      <c r="G695" s="23" t="str">
        <f aca="false">IF(A695="","",TEXT(A695,"yyyy-mm"))</f>
        <v/>
      </c>
      <c r="H695" s="22" t="str">
        <f aca="false">IF(A695="","",N(H694)+IF(B695="Masuk",N(D695),-N(D695)))</f>
        <v/>
      </c>
    </row>
    <row r="696" customFormat="false" ht="15" hidden="false" customHeight="false" outlineLevel="0" collapsed="false">
      <c r="A696" s="20"/>
      <c r="B696" s="19"/>
      <c r="C696" s="19"/>
      <c r="D696" s="21"/>
      <c r="E696" s="19"/>
      <c r="F696" s="19"/>
      <c r="G696" s="23" t="str">
        <f aca="false">IF(A696="","",TEXT(A696,"yyyy-mm"))</f>
        <v/>
      </c>
      <c r="H696" s="22" t="str">
        <f aca="false">IF(A696="","",N(H695)+IF(B696="Masuk",N(D696),-N(D696)))</f>
        <v/>
      </c>
    </row>
    <row r="697" customFormat="false" ht="15" hidden="false" customHeight="false" outlineLevel="0" collapsed="false">
      <c r="A697" s="20"/>
      <c r="B697" s="19"/>
      <c r="C697" s="19"/>
      <c r="D697" s="21"/>
      <c r="E697" s="19"/>
      <c r="F697" s="19"/>
      <c r="G697" s="23" t="str">
        <f aca="false">IF(A697="","",TEXT(A697,"yyyy-mm"))</f>
        <v/>
      </c>
      <c r="H697" s="22" t="str">
        <f aca="false">IF(A697="","",N(H696)+IF(B697="Masuk",N(D697),-N(D697)))</f>
        <v/>
      </c>
    </row>
    <row r="698" customFormat="false" ht="15" hidden="false" customHeight="false" outlineLevel="0" collapsed="false">
      <c r="A698" s="20"/>
      <c r="B698" s="19"/>
      <c r="C698" s="19"/>
      <c r="D698" s="21"/>
      <c r="E698" s="19"/>
      <c r="F698" s="19"/>
      <c r="G698" s="23" t="str">
        <f aca="false">IF(A698="","",TEXT(A698,"yyyy-mm"))</f>
        <v/>
      </c>
      <c r="H698" s="22" t="str">
        <f aca="false">IF(A698="","",N(H697)+IF(B698="Masuk",N(D698),-N(D698)))</f>
        <v/>
      </c>
    </row>
    <row r="699" customFormat="false" ht="15" hidden="false" customHeight="false" outlineLevel="0" collapsed="false">
      <c r="A699" s="20"/>
      <c r="B699" s="19"/>
      <c r="C699" s="19"/>
      <c r="D699" s="21"/>
      <c r="E699" s="19"/>
      <c r="F699" s="19"/>
      <c r="G699" s="23" t="str">
        <f aca="false">IF(A699="","",TEXT(A699,"yyyy-mm"))</f>
        <v/>
      </c>
      <c r="H699" s="22" t="str">
        <f aca="false">IF(A699="","",N(H698)+IF(B699="Masuk",N(D699),-N(D699)))</f>
        <v/>
      </c>
    </row>
    <row r="700" customFormat="false" ht="15" hidden="false" customHeight="false" outlineLevel="0" collapsed="false">
      <c r="A700" s="20"/>
      <c r="B700" s="19"/>
      <c r="C700" s="19"/>
      <c r="D700" s="21"/>
      <c r="E700" s="19"/>
      <c r="F700" s="19"/>
      <c r="G700" s="23" t="str">
        <f aca="false">IF(A700="","",TEXT(A700,"yyyy-mm"))</f>
        <v/>
      </c>
      <c r="H700" s="22" t="str">
        <f aca="false">IF(A700="","",N(H699)+IF(B700="Masuk",N(D700),-N(D700)))</f>
        <v/>
      </c>
    </row>
    <row r="701" customFormat="false" ht="15" hidden="false" customHeight="false" outlineLevel="0" collapsed="false">
      <c r="A701" s="20"/>
      <c r="B701" s="19"/>
      <c r="C701" s="19"/>
      <c r="D701" s="21"/>
      <c r="E701" s="19"/>
      <c r="F701" s="19"/>
      <c r="G701" s="23" t="str">
        <f aca="false">IF(A701="","",TEXT(A701,"yyyy-mm"))</f>
        <v/>
      </c>
      <c r="H701" s="22" t="str">
        <f aca="false">IF(A701="","",N(H700)+IF(B701="Masuk",N(D701),-N(D701)))</f>
        <v/>
      </c>
    </row>
    <row r="702" customFormat="false" ht="15" hidden="false" customHeight="false" outlineLevel="0" collapsed="false">
      <c r="A702" s="20"/>
      <c r="B702" s="19"/>
      <c r="C702" s="19"/>
      <c r="D702" s="21"/>
      <c r="E702" s="19"/>
      <c r="F702" s="19"/>
      <c r="G702" s="23" t="str">
        <f aca="false">IF(A702="","",TEXT(A702,"yyyy-mm"))</f>
        <v/>
      </c>
      <c r="H702" s="22" t="str">
        <f aca="false">IF(A702="","",N(H701)+IF(B702="Masuk",N(D702),-N(D702)))</f>
        <v/>
      </c>
    </row>
    <row r="703" customFormat="false" ht="15" hidden="false" customHeight="false" outlineLevel="0" collapsed="false">
      <c r="A703" s="20"/>
      <c r="B703" s="19"/>
      <c r="C703" s="19"/>
      <c r="D703" s="21"/>
      <c r="E703" s="19"/>
      <c r="F703" s="19"/>
      <c r="G703" s="23" t="str">
        <f aca="false">IF(A703="","",TEXT(A703,"yyyy-mm"))</f>
        <v/>
      </c>
      <c r="H703" s="22" t="str">
        <f aca="false">IF(A703="","",N(H702)+IF(B703="Masuk",N(D703),-N(D703)))</f>
        <v/>
      </c>
    </row>
    <row r="704" customFormat="false" ht="15" hidden="false" customHeight="false" outlineLevel="0" collapsed="false">
      <c r="A704" s="20"/>
      <c r="B704" s="19"/>
      <c r="C704" s="19"/>
      <c r="D704" s="21"/>
      <c r="E704" s="19"/>
      <c r="F704" s="19"/>
      <c r="G704" s="23" t="str">
        <f aca="false">IF(A704="","",TEXT(A704,"yyyy-mm"))</f>
        <v/>
      </c>
      <c r="H704" s="22" t="str">
        <f aca="false">IF(A704="","",N(H703)+IF(B704="Masuk",N(D704),-N(D704)))</f>
        <v/>
      </c>
    </row>
    <row r="705" customFormat="false" ht="15" hidden="false" customHeight="false" outlineLevel="0" collapsed="false">
      <c r="A705" s="20"/>
      <c r="B705" s="19"/>
      <c r="C705" s="19"/>
      <c r="D705" s="21"/>
      <c r="E705" s="19"/>
      <c r="F705" s="19"/>
      <c r="G705" s="23" t="str">
        <f aca="false">IF(A705="","",TEXT(A705,"yyyy-mm"))</f>
        <v/>
      </c>
      <c r="H705" s="22" t="str">
        <f aca="false">IF(A705="","",N(H704)+IF(B705="Masuk",N(D705),-N(D705)))</f>
        <v/>
      </c>
    </row>
    <row r="706" customFormat="false" ht="15" hidden="false" customHeight="false" outlineLevel="0" collapsed="false">
      <c r="A706" s="20"/>
      <c r="B706" s="19"/>
      <c r="C706" s="19"/>
      <c r="D706" s="21"/>
      <c r="E706" s="19"/>
      <c r="F706" s="19"/>
      <c r="G706" s="23" t="str">
        <f aca="false">IF(A706="","",TEXT(A706,"yyyy-mm"))</f>
        <v/>
      </c>
      <c r="H706" s="22" t="str">
        <f aca="false">IF(A706="","",N(H705)+IF(B706="Masuk",N(D706),-N(D706)))</f>
        <v/>
      </c>
    </row>
    <row r="707" customFormat="false" ht="15" hidden="false" customHeight="false" outlineLevel="0" collapsed="false">
      <c r="A707" s="20"/>
      <c r="B707" s="19"/>
      <c r="C707" s="19"/>
      <c r="D707" s="21"/>
      <c r="E707" s="19"/>
      <c r="F707" s="19"/>
      <c r="G707" s="23" t="str">
        <f aca="false">IF(A707="","",TEXT(A707,"yyyy-mm"))</f>
        <v/>
      </c>
      <c r="H707" s="22" t="str">
        <f aca="false">IF(A707="","",N(H706)+IF(B707="Masuk",N(D707),-N(D707)))</f>
        <v/>
      </c>
    </row>
    <row r="708" customFormat="false" ht="15" hidden="false" customHeight="false" outlineLevel="0" collapsed="false">
      <c r="A708" s="20"/>
      <c r="B708" s="19"/>
      <c r="C708" s="19"/>
      <c r="D708" s="21"/>
      <c r="E708" s="19"/>
      <c r="F708" s="19"/>
      <c r="G708" s="23" t="str">
        <f aca="false">IF(A708="","",TEXT(A708,"yyyy-mm"))</f>
        <v/>
      </c>
      <c r="H708" s="22" t="str">
        <f aca="false">IF(A708="","",N(H707)+IF(B708="Masuk",N(D708),-N(D708)))</f>
        <v/>
      </c>
    </row>
    <row r="709" customFormat="false" ht="15" hidden="false" customHeight="false" outlineLevel="0" collapsed="false">
      <c r="A709" s="20"/>
      <c r="B709" s="19"/>
      <c r="C709" s="19"/>
      <c r="D709" s="21"/>
      <c r="E709" s="19"/>
      <c r="F709" s="19"/>
      <c r="G709" s="23" t="str">
        <f aca="false">IF(A709="","",TEXT(A709,"yyyy-mm"))</f>
        <v/>
      </c>
      <c r="H709" s="22" t="str">
        <f aca="false">IF(A709="","",N(H708)+IF(B709="Masuk",N(D709),-N(D709)))</f>
        <v/>
      </c>
    </row>
    <row r="710" customFormat="false" ht="15" hidden="false" customHeight="false" outlineLevel="0" collapsed="false">
      <c r="A710" s="20"/>
      <c r="B710" s="19"/>
      <c r="C710" s="19"/>
      <c r="D710" s="21"/>
      <c r="E710" s="19"/>
      <c r="F710" s="19"/>
      <c r="G710" s="23" t="str">
        <f aca="false">IF(A710="","",TEXT(A710,"yyyy-mm"))</f>
        <v/>
      </c>
      <c r="H710" s="22" t="str">
        <f aca="false">IF(A710="","",N(H709)+IF(B710="Masuk",N(D710),-N(D710)))</f>
        <v/>
      </c>
    </row>
    <row r="711" customFormat="false" ht="15" hidden="false" customHeight="false" outlineLevel="0" collapsed="false">
      <c r="A711" s="20"/>
      <c r="B711" s="19"/>
      <c r="C711" s="19"/>
      <c r="D711" s="21"/>
      <c r="E711" s="19"/>
      <c r="F711" s="19"/>
      <c r="G711" s="23" t="str">
        <f aca="false">IF(A711="","",TEXT(A711,"yyyy-mm"))</f>
        <v/>
      </c>
      <c r="H711" s="22" t="str">
        <f aca="false">IF(A711="","",N(H710)+IF(B711="Masuk",N(D711),-N(D711)))</f>
        <v/>
      </c>
    </row>
    <row r="712" customFormat="false" ht="15" hidden="false" customHeight="false" outlineLevel="0" collapsed="false">
      <c r="A712" s="20"/>
      <c r="B712" s="19"/>
      <c r="C712" s="19"/>
      <c r="D712" s="21"/>
      <c r="E712" s="19"/>
      <c r="F712" s="19"/>
      <c r="G712" s="23" t="str">
        <f aca="false">IF(A712="","",TEXT(A712,"yyyy-mm"))</f>
        <v/>
      </c>
      <c r="H712" s="22" t="str">
        <f aca="false">IF(A712="","",N(H711)+IF(B712="Masuk",N(D712),-N(D712)))</f>
        <v/>
      </c>
    </row>
    <row r="713" customFormat="false" ht="15" hidden="false" customHeight="false" outlineLevel="0" collapsed="false">
      <c r="A713" s="20"/>
      <c r="B713" s="19"/>
      <c r="C713" s="19"/>
      <c r="D713" s="21"/>
      <c r="E713" s="19"/>
      <c r="F713" s="19"/>
      <c r="G713" s="23" t="str">
        <f aca="false">IF(A713="","",TEXT(A713,"yyyy-mm"))</f>
        <v/>
      </c>
      <c r="H713" s="22" t="str">
        <f aca="false">IF(A713="","",N(H712)+IF(B713="Masuk",N(D713),-N(D713)))</f>
        <v/>
      </c>
    </row>
    <row r="714" customFormat="false" ht="15" hidden="false" customHeight="false" outlineLevel="0" collapsed="false">
      <c r="A714" s="20"/>
      <c r="B714" s="19"/>
      <c r="C714" s="19"/>
      <c r="D714" s="21"/>
      <c r="E714" s="19"/>
      <c r="F714" s="19"/>
      <c r="G714" s="23" t="str">
        <f aca="false">IF(A714="","",TEXT(A714,"yyyy-mm"))</f>
        <v/>
      </c>
      <c r="H714" s="22" t="str">
        <f aca="false">IF(A714="","",N(H713)+IF(B714="Masuk",N(D714),-N(D714)))</f>
        <v/>
      </c>
    </row>
    <row r="715" customFormat="false" ht="15" hidden="false" customHeight="false" outlineLevel="0" collapsed="false">
      <c r="A715" s="20"/>
      <c r="B715" s="19"/>
      <c r="C715" s="19"/>
      <c r="D715" s="21"/>
      <c r="E715" s="19"/>
      <c r="F715" s="19"/>
      <c r="G715" s="23" t="str">
        <f aca="false">IF(A715="","",TEXT(A715,"yyyy-mm"))</f>
        <v/>
      </c>
      <c r="H715" s="22" t="str">
        <f aca="false">IF(A715="","",N(H714)+IF(B715="Masuk",N(D715),-N(D715)))</f>
        <v/>
      </c>
    </row>
    <row r="716" customFormat="false" ht="15" hidden="false" customHeight="false" outlineLevel="0" collapsed="false">
      <c r="A716" s="20"/>
      <c r="B716" s="19"/>
      <c r="C716" s="19"/>
      <c r="D716" s="21"/>
      <c r="E716" s="19"/>
      <c r="F716" s="19"/>
      <c r="G716" s="23" t="str">
        <f aca="false">IF(A716="","",TEXT(A716,"yyyy-mm"))</f>
        <v/>
      </c>
      <c r="H716" s="22" t="str">
        <f aca="false">IF(A716="","",N(H715)+IF(B716="Masuk",N(D716),-N(D716)))</f>
        <v/>
      </c>
    </row>
    <row r="717" customFormat="false" ht="15" hidden="false" customHeight="false" outlineLevel="0" collapsed="false">
      <c r="A717" s="20"/>
      <c r="B717" s="19"/>
      <c r="C717" s="19"/>
      <c r="D717" s="21"/>
      <c r="E717" s="19"/>
      <c r="F717" s="19"/>
      <c r="G717" s="23" t="str">
        <f aca="false">IF(A717="","",TEXT(A717,"yyyy-mm"))</f>
        <v/>
      </c>
      <c r="H717" s="22" t="str">
        <f aca="false">IF(A717="","",N(H716)+IF(B717="Masuk",N(D717),-N(D717)))</f>
        <v/>
      </c>
    </row>
    <row r="718" customFormat="false" ht="15" hidden="false" customHeight="false" outlineLevel="0" collapsed="false">
      <c r="A718" s="20"/>
      <c r="B718" s="19"/>
      <c r="C718" s="19"/>
      <c r="D718" s="21"/>
      <c r="E718" s="19"/>
      <c r="F718" s="19"/>
      <c r="G718" s="23" t="str">
        <f aca="false">IF(A718="","",TEXT(A718,"yyyy-mm"))</f>
        <v/>
      </c>
      <c r="H718" s="22" t="str">
        <f aca="false">IF(A718="","",N(H717)+IF(B718="Masuk",N(D718),-N(D718)))</f>
        <v/>
      </c>
    </row>
    <row r="719" customFormat="false" ht="15" hidden="false" customHeight="false" outlineLevel="0" collapsed="false">
      <c r="A719" s="20"/>
      <c r="B719" s="19"/>
      <c r="C719" s="19"/>
      <c r="D719" s="21"/>
      <c r="E719" s="19"/>
      <c r="F719" s="19"/>
      <c r="G719" s="23" t="str">
        <f aca="false">IF(A719="","",TEXT(A719,"yyyy-mm"))</f>
        <v/>
      </c>
      <c r="H719" s="22" t="str">
        <f aca="false">IF(A719="","",N(H718)+IF(B719="Masuk",N(D719),-N(D719)))</f>
        <v/>
      </c>
    </row>
    <row r="720" customFormat="false" ht="15" hidden="false" customHeight="false" outlineLevel="0" collapsed="false">
      <c r="A720" s="20"/>
      <c r="B720" s="19"/>
      <c r="C720" s="19"/>
      <c r="D720" s="21"/>
      <c r="E720" s="19"/>
      <c r="F720" s="19"/>
      <c r="G720" s="23" t="str">
        <f aca="false">IF(A720="","",TEXT(A720,"yyyy-mm"))</f>
        <v/>
      </c>
      <c r="H720" s="22" t="str">
        <f aca="false">IF(A720="","",N(H719)+IF(B720="Masuk",N(D720),-N(D720)))</f>
        <v/>
      </c>
    </row>
    <row r="721" customFormat="false" ht="15" hidden="false" customHeight="false" outlineLevel="0" collapsed="false">
      <c r="A721" s="20"/>
      <c r="B721" s="19"/>
      <c r="C721" s="19"/>
      <c r="D721" s="21"/>
      <c r="E721" s="19"/>
      <c r="F721" s="19"/>
      <c r="G721" s="23" t="str">
        <f aca="false">IF(A721="","",TEXT(A721,"yyyy-mm"))</f>
        <v/>
      </c>
      <c r="H721" s="22" t="str">
        <f aca="false">IF(A721="","",N(H720)+IF(B721="Masuk",N(D721),-N(D721)))</f>
        <v/>
      </c>
    </row>
    <row r="722" customFormat="false" ht="15" hidden="false" customHeight="false" outlineLevel="0" collapsed="false">
      <c r="A722" s="20"/>
      <c r="B722" s="19"/>
      <c r="C722" s="19"/>
      <c r="D722" s="21"/>
      <c r="E722" s="19"/>
      <c r="F722" s="19"/>
      <c r="G722" s="23" t="str">
        <f aca="false">IF(A722="","",TEXT(A722,"yyyy-mm"))</f>
        <v/>
      </c>
      <c r="H722" s="22" t="str">
        <f aca="false">IF(A722="","",N(H721)+IF(B722="Masuk",N(D722),-N(D722)))</f>
        <v/>
      </c>
    </row>
    <row r="723" customFormat="false" ht="15" hidden="false" customHeight="false" outlineLevel="0" collapsed="false">
      <c r="A723" s="20"/>
      <c r="B723" s="19"/>
      <c r="C723" s="19"/>
      <c r="D723" s="21"/>
      <c r="E723" s="19"/>
      <c r="F723" s="19"/>
      <c r="G723" s="23" t="str">
        <f aca="false">IF(A723="","",TEXT(A723,"yyyy-mm"))</f>
        <v/>
      </c>
      <c r="H723" s="22" t="str">
        <f aca="false">IF(A723="","",N(H722)+IF(B723="Masuk",N(D723),-N(D723)))</f>
        <v/>
      </c>
    </row>
    <row r="724" customFormat="false" ht="15" hidden="false" customHeight="false" outlineLevel="0" collapsed="false">
      <c r="A724" s="20"/>
      <c r="B724" s="19"/>
      <c r="C724" s="19"/>
      <c r="D724" s="21"/>
      <c r="E724" s="19"/>
      <c r="F724" s="19"/>
      <c r="G724" s="23" t="str">
        <f aca="false">IF(A724="","",TEXT(A724,"yyyy-mm"))</f>
        <v/>
      </c>
      <c r="H724" s="22" t="str">
        <f aca="false">IF(A724="","",N(H723)+IF(B724="Masuk",N(D724),-N(D724)))</f>
        <v/>
      </c>
    </row>
    <row r="725" customFormat="false" ht="15" hidden="false" customHeight="false" outlineLevel="0" collapsed="false">
      <c r="A725" s="20"/>
      <c r="B725" s="19"/>
      <c r="C725" s="19"/>
      <c r="D725" s="21"/>
      <c r="E725" s="19"/>
      <c r="F725" s="19"/>
      <c r="G725" s="23" t="str">
        <f aca="false">IF(A725="","",TEXT(A725,"yyyy-mm"))</f>
        <v/>
      </c>
      <c r="H725" s="22" t="str">
        <f aca="false">IF(A725="","",N(H724)+IF(B725="Masuk",N(D725),-N(D725)))</f>
        <v/>
      </c>
    </row>
    <row r="726" customFormat="false" ht="15" hidden="false" customHeight="false" outlineLevel="0" collapsed="false">
      <c r="A726" s="20"/>
      <c r="B726" s="19"/>
      <c r="C726" s="19"/>
      <c r="D726" s="21"/>
      <c r="E726" s="19"/>
      <c r="F726" s="19"/>
      <c r="G726" s="23" t="str">
        <f aca="false">IF(A726="","",TEXT(A726,"yyyy-mm"))</f>
        <v/>
      </c>
      <c r="H726" s="22" t="str">
        <f aca="false">IF(A726="","",N(H725)+IF(B726="Masuk",N(D726),-N(D726)))</f>
        <v/>
      </c>
    </row>
    <row r="727" customFormat="false" ht="15" hidden="false" customHeight="false" outlineLevel="0" collapsed="false">
      <c r="A727" s="20"/>
      <c r="B727" s="19"/>
      <c r="C727" s="19"/>
      <c r="D727" s="21"/>
      <c r="E727" s="19"/>
      <c r="F727" s="19"/>
      <c r="G727" s="23" t="str">
        <f aca="false">IF(A727="","",TEXT(A727,"yyyy-mm"))</f>
        <v/>
      </c>
      <c r="H727" s="22" t="str">
        <f aca="false">IF(A727="","",N(H726)+IF(B727="Masuk",N(D727),-N(D727)))</f>
        <v/>
      </c>
    </row>
    <row r="728" customFormat="false" ht="15" hidden="false" customHeight="false" outlineLevel="0" collapsed="false">
      <c r="A728" s="20"/>
      <c r="B728" s="19"/>
      <c r="C728" s="19"/>
      <c r="D728" s="21"/>
      <c r="E728" s="19"/>
      <c r="F728" s="19"/>
      <c r="G728" s="23" t="str">
        <f aca="false">IF(A728="","",TEXT(A728,"yyyy-mm"))</f>
        <v/>
      </c>
      <c r="H728" s="22" t="str">
        <f aca="false">IF(A728="","",N(H727)+IF(B728="Masuk",N(D728),-N(D728)))</f>
        <v/>
      </c>
    </row>
    <row r="729" customFormat="false" ht="15" hidden="false" customHeight="false" outlineLevel="0" collapsed="false">
      <c r="A729" s="20"/>
      <c r="B729" s="19"/>
      <c r="C729" s="19"/>
      <c r="D729" s="21"/>
      <c r="E729" s="19"/>
      <c r="F729" s="19"/>
      <c r="G729" s="23" t="str">
        <f aca="false">IF(A729="","",TEXT(A729,"yyyy-mm"))</f>
        <v/>
      </c>
      <c r="H729" s="22" t="str">
        <f aca="false">IF(A729="","",N(H728)+IF(B729="Masuk",N(D729),-N(D729)))</f>
        <v/>
      </c>
    </row>
    <row r="730" customFormat="false" ht="15" hidden="false" customHeight="false" outlineLevel="0" collapsed="false">
      <c r="A730" s="20"/>
      <c r="B730" s="19"/>
      <c r="C730" s="19"/>
      <c r="D730" s="21"/>
      <c r="E730" s="19"/>
      <c r="F730" s="19"/>
      <c r="G730" s="23" t="str">
        <f aca="false">IF(A730="","",TEXT(A730,"yyyy-mm"))</f>
        <v/>
      </c>
      <c r="H730" s="22" t="str">
        <f aca="false">IF(A730="","",N(H729)+IF(B730="Masuk",N(D730),-N(D730)))</f>
        <v/>
      </c>
    </row>
    <row r="731" customFormat="false" ht="15" hidden="false" customHeight="false" outlineLevel="0" collapsed="false">
      <c r="A731" s="20"/>
      <c r="B731" s="19"/>
      <c r="C731" s="19"/>
      <c r="D731" s="21"/>
      <c r="E731" s="19"/>
      <c r="F731" s="19"/>
      <c r="G731" s="23" t="str">
        <f aca="false">IF(A731="","",TEXT(A731,"yyyy-mm"))</f>
        <v/>
      </c>
      <c r="H731" s="22" t="str">
        <f aca="false">IF(A731="","",N(H730)+IF(B731="Masuk",N(D731),-N(D731)))</f>
        <v/>
      </c>
    </row>
    <row r="732" customFormat="false" ht="15" hidden="false" customHeight="false" outlineLevel="0" collapsed="false">
      <c r="A732" s="20"/>
      <c r="B732" s="19"/>
      <c r="C732" s="19"/>
      <c r="D732" s="21"/>
      <c r="E732" s="19"/>
      <c r="F732" s="19"/>
      <c r="G732" s="23" t="str">
        <f aca="false">IF(A732="","",TEXT(A732,"yyyy-mm"))</f>
        <v/>
      </c>
      <c r="H732" s="22" t="str">
        <f aca="false">IF(A732="","",N(H731)+IF(B732="Masuk",N(D732),-N(D732)))</f>
        <v/>
      </c>
    </row>
    <row r="733" customFormat="false" ht="15" hidden="false" customHeight="false" outlineLevel="0" collapsed="false">
      <c r="A733" s="20"/>
      <c r="B733" s="19"/>
      <c r="C733" s="19"/>
      <c r="D733" s="21"/>
      <c r="E733" s="19"/>
      <c r="F733" s="19"/>
      <c r="G733" s="23" t="str">
        <f aca="false">IF(A733="","",TEXT(A733,"yyyy-mm"))</f>
        <v/>
      </c>
      <c r="H733" s="22" t="str">
        <f aca="false">IF(A733="","",N(H732)+IF(B733="Masuk",N(D733),-N(D733)))</f>
        <v/>
      </c>
    </row>
    <row r="734" customFormat="false" ht="15" hidden="false" customHeight="false" outlineLevel="0" collapsed="false">
      <c r="A734" s="20"/>
      <c r="B734" s="19"/>
      <c r="C734" s="19"/>
      <c r="D734" s="21"/>
      <c r="E734" s="19"/>
      <c r="F734" s="19"/>
      <c r="G734" s="23" t="str">
        <f aca="false">IF(A734="","",TEXT(A734,"yyyy-mm"))</f>
        <v/>
      </c>
      <c r="H734" s="22" t="str">
        <f aca="false">IF(A734="","",N(H733)+IF(B734="Masuk",N(D734),-N(D734)))</f>
        <v/>
      </c>
    </row>
    <row r="735" customFormat="false" ht="15" hidden="false" customHeight="false" outlineLevel="0" collapsed="false">
      <c r="A735" s="20"/>
      <c r="B735" s="19"/>
      <c r="C735" s="19"/>
      <c r="D735" s="21"/>
      <c r="E735" s="19"/>
      <c r="F735" s="19"/>
      <c r="G735" s="23" t="str">
        <f aca="false">IF(A735="","",TEXT(A735,"yyyy-mm"))</f>
        <v/>
      </c>
      <c r="H735" s="22" t="str">
        <f aca="false">IF(A735="","",N(H734)+IF(B735="Masuk",N(D735),-N(D735)))</f>
        <v/>
      </c>
    </row>
    <row r="736" customFormat="false" ht="15" hidden="false" customHeight="false" outlineLevel="0" collapsed="false">
      <c r="A736" s="20"/>
      <c r="B736" s="19"/>
      <c r="C736" s="19"/>
      <c r="D736" s="21"/>
      <c r="E736" s="19"/>
      <c r="F736" s="19"/>
      <c r="G736" s="23" t="str">
        <f aca="false">IF(A736="","",TEXT(A736,"yyyy-mm"))</f>
        <v/>
      </c>
      <c r="H736" s="22" t="str">
        <f aca="false">IF(A736="","",N(H735)+IF(B736="Masuk",N(D736),-N(D736)))</f>
        <v/>
      </c>
    </row>
    <row r="737" customFormat="false" ht="15" hidden="false" customHeight="false" outlineLevel="0" collapsed="false">
      <c r="A737" s="20"/>
      <c r="B737" s="19"/>
      <c r="C737" s="19"/>
      <c r="D737" s="21"/>
      <c r="E737" s="19"/>
      <c r="F737" s="19"/>
      <c r="G737" s="23" t="str">
        <f aca="false">IF(A737="","",TEXT(A737,"yyyy-mm"))</f>
        <v/>
      </c>
      <c r="H737" s="22" t="str">
        <f aca="false">IF(A737="","",N(H736)+IF(B737="Masuk",N(D737),-N(D737)))</f>
        <v/>
      </c>
    </row>
    <row r="738" customFormat="false" ht="15" hidden="false" customHeight="false" outlineLevel="0" collapsed="false">
      <c r="A738" s="20"/>
      <c r="B738" s="19"/>
      <c r="C738" s="19"/>
      <c r="D738" s="21"/>
      <c r="E738" s="19"/>
      <c r="F738" s="19"/>
      <c r="G738" s="23" t="str">
        <f aca="false">IF(A738="","",TEXT(A738,"yyyy-mm"))</f>
        <v/>
      </c>
      <c r="H738" s="22" t="str">
        <f aca="false">IF(A738="","",N(H737)+IF(B738="Masuk",N(D738),-N(D738)))</f>
        <v/>
      </c>
    </row>
    <row r="739" customFormat="false" ht="15" hidden="false" customHeight="false" outlineLevel="0" collapsed="false">
      <c r="A739" s="20"/>
      <c r="B739" s="19"/>
      <c r="C739" s="19"/>
      <c r="D739" s="21"/>
      <c r="E739" s="19"/>
      <c r="F739" s="19"/>
      <c r="G739" s="23" t="str">
        <f aca="false">IF(A739="","",TEXT(A739,"yyyy-mm"))</f>
        <v/>
      </c>
      <c r="H739" s="22" t="str">
        <f aca="false">IF(A739="","",N(H738)+IF(B739="Masuk",N(D739),-N(D739)))</f>
        <v/>
      </c>
    </row>
    <row r="740" customFormat="false" ht="15" hidden="false" customHeight="false" outlineLevel="0" collapsed="false">
      <c r="A740" s="20"/>
      <c r="B740" s="19"/>
      <c r="C740" s="19"/>
      <c r="D740" s="21"/>
      <c r="E740" s="19"/>
      <c r="F740" s="19"/>
      <c r="G740" s="23" t="str">
        <f aca="false">IF(A740="","",TEXT(A740,"yyyy-mm"))</f>
        <v/>
      </c>
      <c r="H740" s="22" t="str">
        <f aca="false">IF(A740="","",N(H739)+IF(B740="Masuk",N(D740),-N(D740)))</f>
        <v/>
      </c>
    </row>
    <row r="741" customFormat="false" ht="15" hidden="false" customHeight="false" outlineLevel="0" collapsed="false">
      <c r="A741" s="20"/>
      <c r="B741" s="19"/>
      <c r="C741" s="19"/>
      <c r="D741" s="21"/>
      <c r="E741" s="19"/>
      <c r="F741" s="19"/>
      <c r="G741" s="23" t="str">
        <f aca="false">IF(A741="","",TEXT(A741,"yyyy-mm"))</f>
        <v/>
      </c>
      <c r="H741" s="22" t="str">
        <f aca="false">IF(A741="","",N(H740)+IF(B741="Masuk",N(D741),-N(D741)))</f>
        <v/>
      </c>
    </row>
    <row r="742" customFormat="false" ht="15" hidden="false" customHeight="false" outlineLevel="0" collapsed="false">
      <c r="A742" s="20"/>
      <c r="B742" s="19"/>
      <c r="C742" s="19"/>
      <c r="D742" s="21"/>
      <c r="E742" s="19"/>
      <c r="F742" s="19"/>
      <c r="G742" s="23" t="str">
        <f aca="false">IF(A742="","",TEXT(A742,"yyyy-mm"))</f>
        <v/>
      </c>
      <c r="H742" s="22" t="str">
        <f aca="false">IF(A742="","",N(H741)+IF(B742="Masuk",N(D742),-N(D742)))</f>
        <v/>
      </c>
    </row>
    <row r="743" customFormat="false" ht="15" hidden="false" customHeight="false" outlineLevel="0" collapsed="false">
      <c r="A743" s="20"/>
      <c r="B743" s="19"/>
      <c r="C743" s="19"/>
      <c r="D743" s="21"/>
      <c r="E743" s="19"/>
      <c r="F743" s="19"/>
      <c r="G743" s="23" t="str">
        <f aca="false">IF(A743="","",TEXT(A743,"yyyy-mm"))</f>
        <v/>
      </c>
      <c r="H743" s="22" t="str">
        <f aca="false">IF(A743="","",N(H742)+IF(B743="Masuk",N(D743),-N(D743)))</f>
        <v/>
      </c>
    </row>
    <row r="744" customFormat="false" ht="15" hidden="false" customHeight="false" outlineLevel="0" collapsed="false">
      <c r="A744" s="20"/>
      <c r="B744" s="19"/>
      <c r="C744" s="19"/>
      <c r="D744" s="21"/>
      <c r="E744" s="19"/>
      <c r="F744" s="19"/>
      <c r="G744" s="23" t="str">
        <f aca="false">IF(A744="","",TEXT(A744,"yyyy-mm"))</f>
        <v/>
      </c>
      <c r="H744" s="22" t="str">
        <f aca="false">IF(A744="","",N(H743)+IF(B744="Masuk",N(D744),-N(D744)))</f>
        <v/>
      </c>
    </row>
    <row r="745" customFormat="false" ht="15" hidden="false" customHeight="false" outlineLevel="0" collapsed="false">
      <c r="A745" s="20"/>
      <c r="B745" s="19"/>
      <c r="C745" s="19"/>
      <c r="D745" s="21"/>
      <c r="E745" s="19"/>
      <c r="F745" s="19"/>
      <c r="G745" s="23" t="str">
        <f aca="false">IF(A745="","",TEXT(A745,"yyyy-mm"))</f>
        <v/>
      </c>
      <c r="H745" s="22" t="str">
        <f aca="false">IF(A745="","",N(H744)+IF(B745="Masuk",N(D745),-N(D745)))</f>
        <v/>
      </c>
    </row>
    <row r="746" customFormat="false" ht="15" hidden="false" customHeight="false" outlineLevel="0" collapsed="false">
      <c r="A746" s="20"/>
      <c r="B746" s="19"/>
      <c r="C746" s="19"/>
      <c r="D746" s="21"/>
      <c r="E746" s="19"/>
      <c r="F746" s="19"/>
      <c r="G746" s="23" t="str">
        <f aca="false">IF(A746="","",TEXT(A746,"yyyy-mm"))</f>
        <v/>
      </c>
      <c r="H746" s="22" t="str">
        <f aca="false">IF(A746="","",N(H745)+IF(B746="Masuk",N(D746),-N(D746)))</f>
        <v/>
      </c>
    </row>
    <row r="747" customFormat="false" ht="15" hidden="false" customHeight="false" outlineLevel="0" collapsed="false">
      <c r="A747" s="20"/>
      <c r="B747" s="19"/>
      <c r="C747" s="19"/>
      <c r="D747" s="21"/>
      <c r="E747" s="19"/>
      <c r="F747" s="19"/>
      <c r="G747" s="23" t="str">
        <f aca="false">IF(A747="","",TEXT(A747,"yyyy-mm"))</f>
        <v/>
      </c>
      <c r="H747" s="22" t="str">
        <f aca="false">IF(A747="","",N(H746)+IF(B747="Masuk",N(D747),-N(D747)))</f>
        <v/>
      </c>
    </row>
    <row r="748" customFormat="false" ht="15" hidden="false" customHeight="false" outlineLevel="0" collapsed="false">
      <c r="A748" s="20"/>
      <c r="B748" s="19"/>
      <c r="C748" s="19"/>
      <c r="D748" s="21"/>
      <c r="E748" s="19"/>
      <c r="F748" s="19"/>
      <c r="G748" s="23" t="str">
        <f aca="false">IF(A748="","",TEXT(A748,"yyyy-mm"))</f>
        <v/>
      </c>
      <c r="H748" s="22" t="str">
        <f aca="false">IF(A748="","",N(H747)+IF(B748="Masuk",N(D748),-N(D748)))</f>
        <v/>
      </c>
    </row>
    <row r="749" customFormat="false" ht="15" hidden="false" customHeight="false" outlineLevel="0" collapsed="false">
      <c r="A749" s="20"/>
      <c r="B749" s="19"/>
      <c r="C749" s="19"/>
      <c r="D749" s="21"/>
      <c r="E749" s="19"/>
      <c r="F749" s="19"/>
      <c r="G749" s="23" t="str">
        <f aca="false">IF(A749="","",TEXT(A749,"yyyy-mm"))</f>
        <v/>
      </c>
      <c r="H749" s="22" t="str">
        <f aca="false">IF(A749="","",N(H748)+IF(B749="Masuk",N(D749),-N(D749)))</f>
        <v/>
      </c>
    </row>
    <row r="750" customFormat="false" ht="15" hidden="false" customHeight="false" outlineLevel="0" collapsed="false">
      <c r="A750" s="20"/>
      <c r="B750" s="19"/>
      <c r="C750" s="19"/>
      <c r="D750" s="21"/>
      <c r="E750" s="19"/>
      <c r="F750" s="19"/>
      <c r="G750" s="23" t="str">
        <f aca="false">IF(A750="","",TEXT(A750,"yyyy-mm"))</f>
        <v/>
      </c>
      <c r="H750" s="22" t="str">
        <f aca="false">IF(A750="","",N(H749)+IF(B750="Masuk",N(D750),-N(D750)))</f>
        <v/>
      </c>
    </row>
    <row r="751" customFormat="false" ht="15" hidden="false" customHeight="false" outlineLevel="0" collapsed="false">
      <c r="A751" s="20"/>
      <c r="B751" s="19"/>
      <c r="C751" s="19"/>
      <c r="D751" s="21"/>
      <c r="E751" s="19"/>
      <c r="F751" s="19"/>
      <c r="G751" s="23" t="str">
        <f aca="false">IF(A751="","",TEXT(A751,"yyyy-mm"))</f>
        <v/>
      </c>
      <c r="H751" s="22" t="str">
        <f aca="false">IF(A751="","",N(H750)+IF(B751="Masuk",N(D751),-N(D751)))</f>
        <v/>
      </c>
    </row>
    <row r="752" customFormat="false" ht="15" hidden="false" customHeight="false" outlineLevel="0" collapsed="false">
      <c r="A752" s="20"/>
      <c r="B752" s="19"/>
      <c r="C752" s="19"/>
      <c r="D752" s="21"/>
      <c r="E752" s="19"/>
      <c r="F752" s="19"/>
      <c r="G752" s="23" t="str">
        <f aca="false">IF(A752="","",TEXT(A752,"yyyy-mm"))</f>
        <v/>
      </c>
      <c r="H752" s="22" t="str">
        <f aca="false">IF(A752="","",N(H751)+IF(B752="Masuk",N(D752),-N(D752)))</f>
        <v/>
      </c>
    </row>
    <row r="753" customFormat="false" ht="15" hidden="false" customHeight="false" outlineLevel="0" collapsed="false">
      <c r="A753" s="20"/>
      <c r="B753" s="19"/>
      <c r="C753" s="19"/>
      <c r="D753" s="21"/>
      <c r="E753" s="19"/>
      <c r="F753" s="19"/>
      <c r="G753" s="23" t="str">
        <f aca="false">IF(A753="","",TEXT(A753,"yyyy-mm"))</f>
        <v/>
      </c>
      <c r="H753" s="22" t="str">
        <f aca="false">IF(A753="","",N(H752)+IF(B753="Masuk",N(D753),-N(D753)))</f>
        <v/>
      </c>
    </row>
    <row r="754" customFormat="false" ht="15" hidden="false" customHeight="false" outlineLevel="0" collapsed="false">
      <c r="A754" s="20"/>
      <c r="B754" s="19"/>
      <c r="C754" s="19"/>
      <c r="D754" s="21"/>
      <c r="E754" s="19"/>
      <c r="F754" s="19"/>
      <c r="G754" s="23" t="str">
        <f aca="false">IF(A754="","",TEXT(A754,"yyyy-mm"))</f>
        <v/>
      </c>
      <c r="H754" s="22" t="str">
        <f aca="false">IF(A754="","",N(H753)+IF(B754="Masuk",N(D754),-N(D754)))</f>
        <v/>
      </c>
    </row>
    <row r="755" customFormat="false" ht="15" hidden="false" customHeight="false" outlineLevel="0" collapsed="false">
      <c r="A755" s="20"/>
      <c r="B755" s="19"/>
      <c r="C755" s="19"/>
      <c r="D755" s="21"/>
      <c r="E755" s="19"/>
      <c r="F755" s="19"/>
      <c r="G755" s="23" t="str">
        <f aca="false">IF(A755="","",TEXT(A755,"yyyy-mm"))</f>
        <v/>
      </c>
      <c r="H755" s="22" t="str">
        <f aca="false">IF(A755="","",N(H754)+IF(B755="Masuk",N(D755),-N(D755)))</f>
        <v/>
      </c>
    </row>
    <row r="756" customFormat="false" ht="15" hidden="false" customHeight="false" outlineLevel="0" collapsed="false">
      <c r="A756" s="20"/>
      <c r="B756" s="19"/>
      <c r="C756" s="19"/>
      <c r="D756" s="21"/>
      <c r="E756" s="19"/>
      <c r="F756" s="19"/>
      <c r="G756" s="23" t="str">
        <f aca="false">IF(A756="","",TEXT(A756,"yyyy-mm"))</f>
        <v/>
      </c>
      <c r="H756" s="22" t="str">
        <f aca="false">IF(A756="","",N(H755)+IF(B756="Masuk",N(D756),-N(D756)))</f>
        <v/>
      </c>
    </row>
    <row r="757" customFormat="false" ht="15" hidden="false" customHeight="false" outlineLevel="0" collapsed="false">
      <c r="A757" s="20"/>
      <c r="B757" s="19"/>
      <c r="C757" s="19"/>
      <c r="D757" s="21"/>
      <c r="E757" s="19"/>
      <c r="F757" s="19"/>
      <c r="G757" s="23" t="str">
        <f aca="false">IF(A757="","",TEXT(A757,"yyyy-mm"))</f>
        <v/>
      </c>
      <c r="H757" s="22" t="str">
        <f aca="false">IF(A757="","",N(H756)+IF(B757="Masuk",N(D757),-N(D757)))</f>
        <v/>
      </c>
    </row>
    <row r="758" customFormat="false" ht="15" hidden="false" customHeight="false" outlineLevel="0" collapsed="false">
      <c r="A758" s="20"/>
      <c r="B758" s="19"/>
      <c r="C758" s="19"/>
      <c r="D758" s="21"/>
      <c r="E758" s="19"/>
      <c r="F758" s="19"/>
      <c r="G758" s="23" t="str">
        <f aca="false">IF(A758="","",TEXT(A758,"yyyy-mm"))</f>
        <v/>
      </c>
      <c r="H758" s="22" t="str">
        <f aca="false">IF(A758="","",N(H757)+IF(B758="Masuk",N(D758),-N(D758)))</f>
        <v/>
      </c>
    </row>
    <row r="759" customFormat="false" ht="15" hidden="false" customHeight="false" outlineLevel="0" collapsed="false">
      <c r="A759" s="20"/>
      <c r="B759" s="19"/>
      <c r="C759" s="19"/>
      <c r="D759" s="21"/>
      <c r="E759" s="19"/>
      <c r="F759" s="19"/>
      <c r="G759" s="23" t="str">
        <f aca="false">IF(A759="","",TEXT(A759,"yyyy-mm"))</f>
        <v/>
      </c>
      <c r="H759" s="22" t="str">
        <f aca="false">IF(A759="","",N(H758)+IF(B759="Masuk",N(D759),-N(D759)))</f>
        <v/>
      </c>
    </row>
    <row r="760" customFormat="false" ht="15" hidden="false" customHeight="false" outlineLevel="0" collapsed="false">
      <c r="A760" s="20"/>
      <c r="B760" s="19"/>
      <c r="C760" s="19"/>
      <c r="D760" s="21"/>
      <c r="E760" s="19"/>
      <c r="F760" s="19"/>
      <c r="G760" s="23" t="str">
        <f aca="false">IF(A760="","",TEXT(A760,"yyyy-mm"))</f>
        <v/>
      </c>
      <c r="H760" s="22" t="str">
        <f aca="false">IF(A760="","",N(H759)+IF(B760="Masuk",N(D760),-N(D760)))</f>
        <v/>
      </c>
    </row>
    <row r="761" customFormat="false" ht="15" hidden="false" customHeight="false" outlineLevel="0" collapsed="false">
      <c r="A761" s="20"/>
      <c r="B761" s="19"/>
      <c r="C761" s="19"/>
      <c r="D761" s="21"/>
      <c r="E761" s="19"/>
      <c r="F761" s="19"/>
      <c r="G761" s="23" t="str">
        <f aca="false">IF(A761="","",TEXT(A761,"yyyy-mm"))</f>
        <v/>
      </c>
      <c r="H761" s="22" t="str">
        <f aca="false">IF(A761="","",N(H760)+IF(B761="Masuk",N(D761),-N(D761)))</f>
        <v/>
      </c>
    </row>
    <row r="762" customFormat="false" ht="15" hidden="false" customHeight="false" outlineLevel="0" collapsed="false">
      <c r="A762" s="20"/>
      <c r="B762" s="19"/>
      <c r="C762" s="19"/>
      <c r="D762" s="21"/>
      <c r="E762" s="19"/>
      <c r="F762" s="19"/>
      <c r="G762" s="23" t="str">
        <f aca="false">IF(A762="","",TEXT(A762,"yyyy-mm"))</f>
        <v/>
      </c>
      <c r="H762" s="22" t="str">
        <f aca="false">IF(A762="","",N(H761)+IF(B762="Masuk",N(D762),-N(D762)))</f>
        <v/>
      </c>
    </row>
    <row r="763" customFormat="false" ht="15" hidden="false" customHeight="false" outlineLevel="0" collapsed="false">
      <c r="A763" s="20"/>
      <c r="B763" s="19"/>
      <c r="C763" s="19"/>
      <c r="D763" s="21"/>
      <c r="E763" s="19"/>
      <c r="F763" s="19"/>
      <c r="G763" s="23" t="str">
        <f aca="false">IF(A763="","",TEXT(A763,"yyyy-mm"))</f>
        <v/>
      </c>
      <c r="H763" s="22" t="str">
        <f aca="false">IF(A763="","",N(H762)+IF(B763="Masuk",N(D763),-N(D763)))</f>
        <v/>
      </c>
    </row>
    <row r="764" customFormat="false" ht="15" hidden="false" customHeight="false" outlineLevel="0" collapsed="false">
      <c r="A764" s="20"/>
      <c r="B764" s="19"/>
      <c r="C764" s="19"/>
      <c r="D764" s="21"/>
      <c r="E764" s="19"/>
      <c r="F764" s="19"/>
      <c r="G764" s="23" t="str">
        <f aca="false">IF(A764="","",TEXT(A764,"yyyy-mm"))</f>
        <v/>
      </c>
      <c r="H764" s="22" t="str">
        <f aca="false">IF(A764="","",N(H763)+IF(B764="Masuk",N(D764),-N(D764)))</f>
        <v/>
      </c>
    </row>
    <row r="765" customFormat="false" ht="15" hidden="false" customHeight="false" outlineLevel="0" collapsed="false">
      <c r="A765" s="20"/>
      <c r="B765" s="19"/>
      <c r="C765" s="19"/>
      <c r="D765" s="21"/>
      <c r="E765" s="19"/>
      <c r="F765" s="19"/>
      <c r="G765" s="23" t="str">
        <f aca="false">IF(A765="","",TEXT(A765,"yyyy-mm"))</f>
        <v/>
      </c>
      <c r="H765" s="22" t="str">
        <f aca="false">IF(A765="","",N(H764)+IF(B765="Masuk",N(D765),-N(D765)))</f>
        <v/>
      </c>
    </row>
    <row r="766" customFormat="false" ht="15" hidden="false" customHeight="false" outlineLevel="0" collapsed="false">
      <c r="A766" s="20"/>
      <c r="B766" s="19"/>
      <c r="C766" s="19"/>
      <c r="D766" s="21"/>
      <c r="E766" s="19"/>
      <c r="F766" s="19"/>
      <c r="G766" s="23" t="str">
        <f aca="false">IF(A766="","",TEXT(A766,"yyyy-mm"))</f>
        <v/>
      </c>
      <c r="H766" s="22" t="str">
        <f aca="false">IF(A766="","",N(H765)+IF(B766="Masuk",N(D766),-N(D766)))</f>
        <v/>
      </c>
    </row>
    <row r="767" customFormat="false" ht="15" hidden="false" customHeight="false" outlineLevel="0" collapsed="false">
      <c r="A767" s="20"/>
      <c r="B767" s="19"/>
      <c r="C767" s="19"/>
      <c r="D767" s="21"/>
      <c r="E767" s="19"/>
      <c r="F767" s="19"/>
      <c r="G767" s="23" t="str">
        <f aca="false">IF(A767="","",TEXT(A767,"yyyy-mm"))</f>
        <v/>
      </c>
      <c r="H767" s="22" t="str">
        <f aca="false">IF(A767="","",N(H766)+IF(B767="Masuk",N(D767),-N(D767)))</f>
        <v/>
      </c>
    </row>
    <row r="768" customFormat="false" ht="15" hidden="false" customHeight="false" outlineLevel="0" collapsed="false">
      <c r="A768" s="20"/>
      <c r="B768" s="19"/>
      <c r="C768" s="19"/>
      <c r="D768" s="21"/>
      <c r="E768" s="19"/>
      <c r="F768" s="19"/>
      <c r="G768" s="23" t="str">
        <f aca="false">IF(A768="","",TEXT(A768,"yyyy-mm"))</f>
        <v/>
      </c>
      <c r="H768" s="22" t="str">
        <f aca="false">IF(A768="","",N(H767)+IF(B768="Masuk",N(D768),-N(D768)))</f>
        <v/>
      </c>
    </row>
    <row r="769" customFormat="false" ht="15" hidden="false" customHeight="false" outlineLevel="0" collapsed="false">
      <c r="A769" s="20"/>
      <c r="B769" s="19"/>
      <c r="C769" s="19"/>
      <c r="D769" s="21"/>
      <c r="E769" s="19"/>
      <c r="F769" s="19"/>
      <c r="G769" s="23" t="str">
        <f aca="false">IF(A769="","",TEXT(A769,"yyyy-mm"))</f>
        <v/>
      </c>
      <c r="H769" s="22" t="str">
        <f aca="false">IF(A769="","",N(H768)+IF(B769="Masuk",N(D769),-N(D769)))</f>
        <v/>
      </c>
    </row>
    <row r="770" customFormat="false" ht="15" hidden="false" customHeight="false" outlineLevel="0" collapsed="false">
      <c r="A770" s="20"/>
      <c r="B770" s="19"/>
      <c r="C770" s="19"/>
      <c r="D770" s="21"/>
      <c r="E770" s="19"/>
      <c r="F770" s="19"/>
      <c r="G770" s="23" t="str">
        <f aca="false">IF(A770="","",TEXT(A770,"yyyy-mm"))</f>
        <v/>
      </c>
      <c r="H770" s="22" t="str">
        <f aca="false">IF(A770="","",N(H769)+IF(B770="Masuk",N(D770),-N(D770)))</f>
        <v/>
      </c>
    </row>
    <row r="771" customFormat="false" ht="15" hidden="false" customHeight="false" outlineLevel="0" collapsed="false">
      <c r="A771" s="20"/>
      <c r="B771" s="19"/>
      <c r="C771" s="19"/>
      <c r="D771" s="21"/>
      <c r="E771" s="19"/>
      <c r="F771" s="19"/>
      <c r="G771" s="23" t="str">
        <f aca="false">IF(A771="","",TEXT(A771,"yyyy-mm"))</f>
        <v/>
      </c>
      <c r="H771" s="22" t="str">
        <f aca="false">IF(A771="","",N(H770)+IF(B771="Masuk",N(D771),-N(D771)))</f>
        <v/>
      </c>
    </row>
    <row r="772" customFormat="false" ht="15" hidden="false" customHeight="false" outlineLevel="0" collapsed="false">
      <c r="A772" s="20"/>
      <c r="B772" s="19"/>
      <c r="C772" s="19"/>
      <c r="D772" s="21"/>
      <c r="E772" s="19"/>
      <c r="F772" s="19"/>
      <c r="G772" s="23" t="str">
        <f aca="false">IF(A772="","",TEXT(A772,"yyyy-mm"))</f>
        <v/>
      </c>
      <c r="H772" s="22" t="str">
        <f aca="false">IF(A772="","",N(H771)+IF(B772="Masuk",N(D772),-N(D772)))</f>
        <v/>
      </c>
    </row>
    <row r="773" customFormat="false" ht="15" hidden="false" customHeight="false" outlineLevel="0" collapsed="false">
      <c r="A773" s="20"/>
      <c r="B773" s="19"/>
      <c r="C773" s="19"/>
      <c r="D773" s="21"/>
      <c r="E773" s="19"/>
      <c r="F773" s="19"/>
      <c r="G773" s="23" t="str">
        <f aca="false">IF(A773="","",TEXT(A773,"yyyy-mm"))</f>
        <v/>
      </c>
      <c r="H773" s="22" t="str">
        <f aca="false">IF(A773="","",N(H772)+IF(B773="Masuk",N(D773),-N(D773)))</f>
        <v/>
      </c>
    </row>
    <row r="774" customFormat="false" ht="15" hidden="false" customHeight="false" outlineLevel="0" collapsed="false">
      <c r="A774" s="20"/>
      <c r="B774" s="19"/>
      <c r="C774" s="19"/>
      <c r="D774" s="21"/>
      <c r="E774" s="19"/>
      <c r="F774" s="19"/>
      <c r="G774" s="23" t="str">
        <f aca="false">IF(A774="","",TEXT(A774,"yyyy-mm"))</f>
        <v/>
      </c>
      <c r="H774" s="22" t="str">
        <f aca="false">IF(A774="","",N(H773)+IF(B774="Masuk",N(D774),-N(D774)))</f>
        <v/>
      </c>
    </row>
    <row r="775" customFormat="false" ht="15" hidden="false" customHeight="false" outlineLevel="0" collapsed="false">
      <c r="A775" s="20"/>
      <c r="B775" s="19"/>
      <c r="C775" s="19"/>
      <c r="D775" s="21"/>
      <c r="E775" s="19"/>
      <c r="F775" s="19"/>
      <c r="G775" s="23" t="str">
        <f aca="false">IF(A775="","",TEXT(A775,"yyyy-mm"))</f>
        <v/>
      </c>
      <c r="H775" s="22" t="str">
        <f aca="false">IF(A775="","",N(H774)+IF(B775="Masuk",N(D775),-N(D775)))</f>
        <v/>
      </c>
    </row>
    <row r="776" customFormat="false" ht="15" hidden="false" customHeight="false" outlineLevel="0" collapsed="false">
      <c r="A776" s="20"/>
      <c r="B776" s="19"/>
      <c r="C776" s="19"/>
      <c r="D776" s="21"/>
      <c r="E776" s="19"/>
      <c r="F776" s="19"/>
      <c r="G776" s="23" t="str">
        <f aca="false">IF(A776="","",TEXT(A776,"yyyy-mm"))</f>
        <v/>
      </c>
      <c r="H776" s="22" t="str">
        <f aca="false">IF(A776="","",N(H775)+IF(B776="Masuk",N(D776),-N(D776)))</f>
        <v/>
      </c>
    </row>
    <row r="777" customFormat="false" ht="15" hidden="false" customHeight="false" outlineLevel="0" collapsed="false">
      <c r="A777" s="20"/>
      <c r="B777" s="19"/>
      <c r="C777" s="19"/>
      <c r="D777" s="21"/>
      <c r="E777" s="19"/>
      <c r="F777" s="19"/>
      <c r="G777" s="23" t="str">
        <f aca="false">IF(A777="","",TEXT(A777,"yyyy-mm"))</f>
        <v/>
      </c>
      <c r="H777" s="22" t="str">
        <f aca="false">IF(A777="","",N(H776)+IF(B777="Masuk",N(D777),-N(D777)))</f>
        <v/>
      </c>
    </row>
    <row r="778" customFormat="false" ht="15" hidden="false" customHeight="false" outlineLevel="0" collapsed="false">
      <c r="A778" s="20"/>
      <c r="B778" s="19"/>
      <c r="C778" s="19"/>
      <c r="D778" s="21"/>
      <c r="E778" s="19"/>
      <c r="F778" s="19"/>
      <c r="G778" s="23" t="str">
        <f aca="false">IF(A778="","",TEXT(A778,"yyyy-mm"))</f>
        <v/>
      </c>
      <c r="H778" s="22" t="str">
        <f aca="false">IF(A778="","",N(H777)+IF(B778="Masuk",N(D778),-N(D778)))</f>
        <v/>
      </c>
    </row>
    <row r="779" customFormat="false" ht="15" hidden="false" customHeight="false" outlineLevel="0" collapsed="false">
      <c r="A779" s="20"/>
      <c r="B779" s="19"/>
      <c r="C779" s="19"/>
      <c r="D779" s="21"/>
      <c r="E779" s="19"/>
      <c r="F779" s="19"/>
      <c r="G779" s="23" t="str">
        <f aca="false">IF(A779="","",TEXT(A779,"yyyy-mm"))</f>
        <v/>
      </c>
      <c r="H779" s="22" t="str">
        <f aca="false">IF(A779="","",N(H778)+IF(B779="Masuk",N(D779),-N(D779)))</f>
        <v/>
      </c>
    </row>
    <row r="780" customFormat="false" ht="15" hidden="false" customHeight="false" outlineLevel="0" collapsed="false">
      <c r="A780" s="20"/>
      <c r="B780" s="19"/>
      <c r="C780" s="19"/>
      <c r="D780" s="21"/>
      <c r="E780" s="19"/>
      <c r="F780" s="19"/>
      <c r="G780" s="23" t="str">
        <f aca="false">IF(A780="","",TEXT(A780,"yyyy-mm"))</f>
        <v/>
      </c>
      <c r="H780" s="22" t="str">
        <f aca="false">IF(A780="","",N(H779)+IF(B780="Masuk",N(D780),-N(D780)))</f>
        <v/>
      </c>
    </row>
    <row r="781" customFormat="false" ht="15" hidden="false" customHeight="false" outlineLevel="0" collapsed="false">
      <c r="A781" s="20"/>
      <c r="B781" s="19"/>
      <c r="C781" s="19"/>
      <c r="D781" s="21"/>
      <c r="E781" s="19"/>
      <c r="F781" s="19"/>
      <c r="G781" s="23" t="str">
        <f aca="false">IF(A781="","",TEXT(A781,"yyyy-mm"))</f>
        <v/>
      </c>
      <c r="H781" s="22" t="str">
        <f aca="false">IF(A781="","",N(H780)+IF(B781="Masuk",N(D781),-N(D781)))</f>
        <v/>
      </c>
    </row>
    <row r="782" customFormat="false" ht="15" hidden="false" customHeight="false" outlineLevel="0" collapsed="false">
      <c r="A782" s="20"/>
      <c r="B782" s="19"/>
      <c r="C782" s="19"/>
      <c r="D782" s="21"/>
      <c r="E782" s="19"/>
      <c r="F782" s="19"/>
      <c r="G782" s="23" t="str">
        <f aca="false">IF(A782="","",TEXT(A782,"yyyy-mm"))</f>
        <v/>
      </c>
      <c r="H782" s="22" t="str">
        <f aca="false">IF(A782="","",N(H781)+IF(B782="Masuk",N(D782),-N(D782)))</f>
        <v/>
      </c>
    </row>
    <row r="783" customFormat="false" ht="15" hidden="false" customHeight="false" outlineLevel="0" collapsed="false">
      <c r="A783" s="20"/>
      <c r="B783" s="19"/>
      <c r="C783" s="19"/>
      <c r="D783" s="21"/>
      <c r="E783" s="19"/>
      <c r="F783" s="19"/>
      <c r="G783" s="23" t="str">
        <f aca="false">IF(A783="","",TEXT(A783,"yyyy-mm"))</f>
        <v/>
      </c>
      <c r="H783" s="22" t="str">
        <f aca="false">IF(A783="","",N(H782)+IF(B783="Masuk",N(D783),-N(D783)))</f>
        <v/>
      </c>
    </row>
    <row r="784" customFormat="false" ht="15" hidden="false" customHeight="false" outlineLevel="0" collapsed="false">
      <c r="A784" s="20"/>
      <c r="B784" s="19"/>
      <c r="C784" s="19"/>
      <c r="D784" s="21"/>
      <c r="E784" s="19"/>
      <c r="F784" s="19"/>
      <c r="G784" s="23" t="str">
        <f aca="false">IF(A784="","",TEXT(A784,"yyyy-mm"))</f>
        <v/>
      </c>
      <c r="H784" s="22" t="str">
        <f aca="false">IF(A784="","",N(H783)+IF(B784="Masuk",N(D784),-N(D784)))</f>
        <v/>
      </c>
    </row>
    <row r="785" customFormat="false" ht="15" hidden="false" customHeight="false" outlineLevel="0" collapsed="false">
      <c r="A785" s="20"/>
      <c r="B785" s="19"/>
      <c r="C785" s="19"/>
      <c r="D785" s="21"/>
      <c r="E785" s="19"/>
      <c r="F785" s="19"/>
      <c r="G785" s="23" t="str">
        <f aca="false">IF(A785="","",TEXT(A785,"yyyy-mm"))</f>
        <v/>
      </c>
      <c r="H785" s="22" t="str">
        <f aca="false">IF(A785="","",N(H784)+IF(B785="Masuk",N(D785),-N(D785)))</f>
        <v/>
      </c>
    </row>
    <row r="786" customFormat="false" ht="15" hidden="false" customHeight="false" outlineLevel="0" collapsed="false">
      <c r="A786" s="20"/>
      <c r="B786" s="19"/>
      <c r="C786" s="19"/>
      <c r="D786" s="21"/>
      <c r="E786" s="19"/>
      <c r="F786" s="19"/>
      <c r="G786" s="23" t="str">
        <f aca="false">IF(A786="","",TEXT(A786,"yyyy-mm"))</f>
        <v/>
      </c>
      <c r="H786" s="22" t="str">
        <f aca="false">IF(A786="","",N(H785)+IF(B786="Masuk",N(D786),-N(D786)))</f>
        <v/>
      </c>
    </row>
    <row r="787" customFormat="false" ht="15" hidden="false" customHeight="false" outlineLevel="0" collapsed="false">
      <c r="A787" s="20"/>
      <c r="B787" s="19"/>
      <c r="C787" s="19"/>
      <c r="D787" s="21"/>
      <c r="E787" s="19"/>
      <c r="F787" s="19"/>
      <c r="G787" s="23" t="str">
        <f aca="false">IF(A787="","",TEXT(A787,"yyyy-mm"))</f>
        <v/>
      </c>
      <c r="H787" s="22" t="str">
        <f aca="false">IF(A787="","",N(H786)+IF(B787="Masuk",N(D787),-N(D787)))</f>
        <v/>
      </c>
    </row>
    <row r="788" customFormat="false" ht="15" hidden="false" customHeight="false" outlineLevel="0" collapsed="false">
      <c r="A788" s="20"/>
      <c r="B788" s="19"/>
      <c r="C788" s="19"/>
      <c r="D788" s="21"/>
      <c r="E788" s="19"/>
      <c r="F788" s="19"/>
      <c r="G788" s="23" t="str">
        <f aca="false">IF(A788="","",TEXT(A788,"yyyy-mm"))</f>
        <v/>
      </c>
      <c r="H788" s="22" t="str">
        <f aca="false">IF(A788="","",N(H787)+IF(B788="Masuk",N(D788),-N(D788)))</f>
        <v/>
      </c>
    </row>
    <row r="789" customFormat="false" ht="15" hidden="false" customHeight="false" outlineLevel="0" collapsed="false">
      <c r="A789" s="20"/>
      <c r="B789" s="19"/>
      <c r="C789" s="19"/>
      <c r="D789" s="21"/>
      <c r="E789" s="19"/>
      <c r="F789" s="19"/>
      <c r="G789" s="23" t="str">
        <f aca="false">IF(A789="","",TEXT(A789,"yyyy-mm"))</f>
        <v/>
      </c>
      <c r="H789" s="22" t="str">
        <f aca="false">IF(A789="","",N(H788)+IF(B789="Masuk",N(D789),-N(D789)))</f>
        <v/>
      </c>
    </row>
    <row r="790" customFormat="false" ht="15" hidden="false" customHeight="false" outlineLevel="0" collapsed="false">
      <c r="A790" s="20"/>
      <c r="B790" s="19"/>
      <c r="C790" s="19"/>
      <c r="D790" s="21"/>
      <c r="E790" s="19"/>
      <c r="F790" s="19"/>
      <c r="G790" s="23" t="str">
        <f aca="false">IF(A790="","",TEXT(A790,"yyyy-mm"))</f>
        <v/>
      </c>
      <c r="H790" s="22" t="str">
        <f aca="false">IF(A790="","",N(H789)+IF(B790="Masuk",N(D790),-N(D790)))</f>
        <v/>
      </c>
    </row>
    <row r="791" customFormat="false" ht="15" hidden="false" customHeight="false" outlineLevel="0" collapsed="false">
      <c r="A791" s="20"/>
      <c r="B791" s="19"/>
      <c r="C791" s="19"/>
      <c r="D791" s="21"/>
      <c r="E791" s="19"/>
      <c r="F791" s="19"/>
      <c r="G791" s="23" t="str">
        <f aca="false">IF(A791="","",TEXT(A791,"yyyy-mm"))</f>
        <v/>
      </c>
      <c r="H791" s="22" t="str">
        <f aca="false">IF(A791="","",N(H790)+IF(B791="Masuk",N(D791),-N(D791)))</f>
        <v/>
      </c>
    </row>
    <row r="792" customFormat="false" ht="15" hidden="false" customHeight="false" outlineLevel="0" collapsed="false">
      <c r="A792" s="20"/>
      <c r="B792" s="19"/>
      <c r="C792" s="19"/>
      <c r="D792" s="21"/>
      <c r="E792" s="19"/>
      <c r="F792" s="19"/>
      <c r="G792" s="23" t="str">
        <f aca="false">IF(A792="","",TEXT(A792,"yyyy-mm"))</f>
        <v/>
      </c>
      <c r="H792" s="22" t="str">
        <f aca="false">IF(A792="","",N(H791)+IF(B792="Masuk",N(D792),-N(D792)))</f>
        <v/>
      </c>
    </row>
    <row r="793" customFormat="false" ht="15" hidden="false" customHeight="false" outlineLevel="0" collapsed="false">
      <c r="A793" s="20"/>
      <c r="B793" s="19"/>
      <c r="C793" s="19"/>
      <c r="D793" s="21"/>
      <c r="E793" s="19"/>
      <c r="F793" s="19"/>
      <c r="G793" s="23" t="str">
        <f aca="false">IF(A793="","",TEXT(A793,"yyyy-mm"))</f>
        <v/>
      </c>
      <c r="H793" s="22" t="str">
        <f aca="false">IF(A793="","",N(H792)+IF(B793="Masuk",N(D793),-N(D793)))</f>
        <v/>
      </c>
    </row>
    <row r="794" customFormat="false" ht="15" hidden="false" customHeight="false" outlineLevel="0" collapsed="false">
      <c r="A794" s="20"/>
      <c r="B794" s="19"/>
      <c r="C794" s="19"/>
      <c r="D794" s="21"/>
      <c r="E794" s="19"/>
      <c r="F794" s="19"/>
      <c r="G794" s="23" t="str">
        <f aca="false">IF(A794="","",TEXT(A794,"yyyy-mm"))</f>
        <v/>
      </c>
      <c r="H794" s="22" t="str">
        <f aca="false">IF(A794="","",N(H793)+IF(B794="Masuk",N(D794),-N(D794)))</f>
        <v/>
      </c>
    </row>
    <row r="795" customFormat="false" ht="15" hidden="false" customHeight="false" outlineLevel="0" collapsed="false">
      <c r="A795" s="20"/>
      <c r="B795" s="19"/>
      <c r="C795" s="19"/>
      <c r="D795" s="21"/>
      <c r="E795" s="19"/>
      <c r="F795" s="19"/>
      <c r="G795" s="23" t="str">
        <f aca="false">IF(A795="","",TEXT(A795,"yyyy-mm"))</f>
        <v/>
      </c>
      <c r="H795" s="22" t="str">
        <f aca="false">IF(A795="","",N(H794)+IF(B795="Masuk",N(D795),-N(D795)))</f>
        <v/>
      </c>
    </row>
    <row r="796" customFormat="false" ht="15" hidden="false" customHeight="false" outlineLevel="0" collapsed="false">
      <c r="A796" s="20"/>
      <c r="B796" s="19"/>
      <c r="C796" s="19"/>
      <c r="D796" s="21"/>
      <c r="E796" s="19"/>
      <c r="F796" s="19"/>
      <c r="G796" s="23" t="str">
        <f aca="false">IF(A796="","",TEXT(A796,"yyyy-mm"))</f>
        <v/>
      </c>
      <c r="H796" s="22" t="str">
        <f aca="false">IF(A796="","",N(H795)+IF(B796="Masuk",N(D796),-N(D796)))</f>
        <v/>
      </c>
    </row>
    <row r="797" customFormat="false" ht="15" hidden="false" customHeight="false" outlineLevel="0" collapsed="false">
      <c r="A797" s="20"/>
      <c r="B797" s="19"/>
      <c r="C797" s="19"/>
      <c r="D797" s="21"/>
      <c r="E797" s="19"/>
      <c r="F797" s="19"/>
      <c r="G797" s="23" t="str">
        <f aca="false">IF(A797="","",TEXT(A797,"yyyy-mm"))</f>
        <v/>
      </c>
      <c r="H797" s="22" t="str">
        <f aca="false">IF(A797="","",N(H796)+IF(B797="Masuk",N(D797),-N(D797)))</f>
        <v/>
      </c>
    </row>
    <row r="798" customFormat="false" ht="15" hidden="false" customHeight="false" outlineLevel="0" collapsed="false">
      <c r="A798" s="20"/>
      <c r="B798" s="19"/>
      <c r="C798" s="19"/>
      <c r="D798" s="21"/>
      <c r="E798" s="19"/>
      <c r="F798" s="19"/>
      <c r="G798" s="23" t="str">
        <f aca="false">IF(A798="","",TEXT(A798,"yyyy-mm"))</f>
        <v/>
      </c>
      <c r="H798" s="22" t="str">
        <f aca="false">IF(A798="","",N(H797)+IF(B798="Masuk",N(D798),-N(D798)))</f>
        <v/>
      </c>
    </row>
    <row r="799" customFormat="false" ht="15" hidden="false" customHeight="false" outlineLevel="0" collapsed="false">
      <c r="A799" s="20"/>
      <c r="B799" s="19"/>
      <c r="C799" s="19"/>
      <c r="D799" s="21"/>
      <c r="E799" s="19"/>
      <c r="F799" s="19"/>
      <c r="G799" s="23" t="str">
        <f aca="false">IF(A799="","",TEXT(A799,"yyyy-mm"))</f>
        <v/>
      </c>
      <c r="H799" s="22" t="str">
        <f aca="false">IF(A799="","",N(H798)+IF(B799="Masuk",N(D799),-N(D799)))</f>
        <v/>
      </c>
    </row>
    <row r="800" customFormat="false" ht="15" hidden="false" customHeight="false" outlineLevel="0" collapsed="false">
      <c r="A800" s="20"/>
      <c r="B800" s="19"/>
      <c r="C800" s="19"/>
      <c r="D800" s="21"/>
      <c r="E800" s="19"/>
      <c r="F800" s="19"/>
      <c r="G800" s="23" t="str">
        <f aca="false">IF(A800="","",TEXT(A800,"yyyy-mm"))</f>
        <v/>
      </c>
      <c r="H800" s="22" t="str">
        <f aca="false">IF(A800="","",N(H799)+IF(B800="Masuk",N(D800),-N(D800)))</f>
        <v/>
      </c>
    </row>
    <row r="801" customFormat="false" ht="15" hidden="false" customHeight="false" outlineLevel="0" collapsed="false">
      <c r="A801" s="20"/>
      <c r="B801" s="19"/>
      <c r="C801" s="19"/>
      <c r="D801" s="21"/>
      <c r="E801" s="19"/>
      <c r="F801" s="19"/>
      <c r="G801" s="23" t="str">
        <f aca="false">IF(A801="","",TEXT(A801,"yyyy-mm"))</f>
        <v/>
      </c>
      <c r="H801" s="22" t="str">
        <f aca="false">IF(A801="","",N(H800)+IF(B801="Masuk",N(D801),-N(D801)))</f>
        <v/>
      </c>
    </row>
    <row r="802" customFormat="false" ht="15" hidden="false" customHeight="false" outlineLevel="0" collapsed="false">
      <c r="A802" s="20"/>
      <c r="B802" s="19"/>
      <c r="C802" s="19"/>
      <c r="D802" s="21"/>
      <c r="E802" s="19"/>
      <c r="F802" s="19"/>
      <c r="G802" s="23" t="str">
        <f aca="false">IF(A802="","",TEXT(A802,"yyyy-mm"))</f>
        <v/>
      </c>
      <c r="H802" s="22" t="str">
        <f aca="false">IF(A802="","",N(H801)+IF(B802="Masuk",N(D802),-N(D802)))</f>
        <v/>
      </c>
    </row>
    <row r="803" customFormat="false" ht="15" hidden="false" customHeight="false" outlineLevel="0" collapsed="false">
      <c r="A803" s="20"/>
      <c r="B803" s="19"/>
      <c r="C803" s="19"/>
      <c r="D803" s="21"/>
      <c r="E803" s="19"/>
      <c r="F803" s="19"/>
      <c r="G803" s="23" t="str">
        <f aca="false">IF(A803="","",TEXT(A803,"yyyy-mm"))</f>
        <v/>
      </c>
      <c r="H803" s="22" t="str">
        <f aca="false">IF(A803="","",N(H802)+IF(B803="Masuk",N(D803),-N(D803)))</f>
        <v/>
      </c>
    </row>
    <row r="804" customFormat="false" ht="15" hidden="false" customHeight="false" outlineLevel="0" collapsed="false">
      <c r="A804" s="20"/>
      <c r="B804" s="19"/>
      <c r="C804" s="19"/>
      <c r="D804" s="21"/>
      <c r="E804" s="19"/>
      <c r="F804" s="19"/>
      <c r="G804" s="23" t="str">
        <f aca="false">IF(A804="","",TEXT(A804,"yyyy-mm"))</f>
        <v/>
      </c>
      <c r="H804" s="22" t="str">
        <f aca="false">IF(A804="","",N(H803)+IF(B804="Masuk",N(D804),-N(D804)))</f>
        <v/>
      </c>
    </row>
    <row r="805" customFormat="false" ht="15" hidden="false" customHeight="false" outlineLevel="0" collapsed="false">
      <c r="A805" s="20"/>
      <c r="B805" s="19"/>
      <c r="C805" s="19"/>
      <c r="D805" s="21"/>
      <c r="E805" s="19"/>
      <c r="F805" s="19"/>
      <c r="G805" s="23" t="str">
        <f aca="false">IF(A805="","",TEXT(A805,"yyyy-mm"))</f>
        <v/>
      </c>
      <c r="H805" s="22" t="str">
        <f aca="false">IF(A805="","",N(H804)+IF(B805="Masuk",N(D805),-N(D805)))</f>
        <v/>
      </c>
    </row>
    <row r="806" customFormat="false" ht="15" hidden="false" customHeight="false" outlineLevel="0" collapsed="false">
      <c r="A806" s="20"/>
      <c r="B806" s="19"/>
      <c r="C806" s="19"/>
      <c r="D806" s="21"/>
      <c r="E806" s="19"/>
      <c r="F806" s="19"/>
      <c r="G806" s="23" t="str">
        <f aca="false">IF(A806="","",TEXT(A806,"yyyy-mm"))</f>
        <v/>
      </c>
      <c r="H806" s="22" t="str">
        <f aca="false">IF(A806="","",N(H805)+IF(B806="Masuk",N(D806),-N(D806)))</f>
        <v/>
      </c>
    </row>
    <row r="807" customFormat="false" ht="15" hidden="false" customHeight="false" outlineLevel="0" collapsed="false">
      <c r="A807" s="20"/>
      <c r="B807" s="19"/>
      <c r="C807" s="19"/>
      <c r="D807" s="21"/>
      <c r="E807" s="19"/>
      <c r="F807" s="19"/>
      <c r="G807" s="23" t="str">
        <f aca="false">IF(A807="","",TEXT(A807,"yyyy-mm"))</f>
        <v/>
      </c>
      <c r="H807" s="22" t="str">
        <f aca="false">IF(A807="","",N(H806)+IF(B807="Masuk",N(D807),-N(D807)))</f>
        <v/>
      </c>
    </row>
    <row r="808" customFormat="false" ht="15" hidden="false" customHeight="false" outlineLevel="0" collapsed="false">
      <c r="A808" s="20"/>
      <c r="B808" s="19"/>
      <c r="C808" s="19"/>
      <c r="D808" s="21"/>
      <c r="E808" s="19"/>
      <c r="F808" s="19"/>
      <c r="G808" s="23" t="str">
        <f aca="false">IF(A808="","",TEXT(A808,"yyyy-mm"))</f>
        <v/>
      </c>
      <c r="H808" s="22" t="str">
        <f aca="false">IF(A808="","",N(H807)+IF(B808="Masuk",N(D808),-N(D808)))</f>
        <v/>
      </c>
    </row>
    <row r="809" customFormat="false" ht="15" hidden="false" customHeight="false" outlineLevel="0" collapsed="false">
      <c r="A809" s="20"/>
      <c r="B809" s="19"/>
      <c r="C809" s="19"/>
      <c r="D809" s="21"/>
      <c r="E809" s="19"/>
      <c r="F809" s="19"/>
      <c r="G809" s="23" t="str">
        <f aca="false">IF(A809="","",TEXT(A809,"yyyy-mm"))</f>
        <v/>
      </c>
      <c r="H809" s="22" t="str">
        <f aca="false">IF(A809="","",N(H808)+IF(B809="Masuk",N(D809),-N(D809)))</f>
        <v/>
      </c>
    </row>
    <row r="810" customFormat="false" ht="15" hidden="false" customHeight="false" outlineLevel="0" collapsed="false">
      <c r="A810" s="20"/>
      <c r="B810" s="19"/>
      <c r="C810" s="19"/>
      <c r="D810" s="21"/>
      <c r="E810" s="19"/>
      <c r="F810" s="19"/>
      <c r="G810" s="23" t="str">
        <f aca="false">IF(A810="","",TEXT(A810,"yyyy-mm"))</f>
        <v/>
      </c>
      <c r="H810" s="22" t="str">
        <f aca="false">IF(A810="","",N(H809)+IF(B810="Masuk",N(D810),-N(D810)))</f>
        <v/>
      </c>
    </row>
    <row r="811" customFormat="false" ht="15" hidden="false" customHeight="false" outlineLevel="0" collapsed="false">
      <c r="A811" s="20"/>
      <c r="B811" s="19"/>
      <c r="C811" s="19"/>
      <c r="D811" s="21"/>
      <c r="E811" s="19"/>
      <c r="F811" s="19"/>
      <c r="G811" s="23" t="str">
        <f aca="false">IF(A811="","",TEXT(A811,"yyyy-mm"))</f>
        <v/>
      </c>
      <c r="H811" s="22" t="str">
        <f aca="false">IF(A811="","",N(H810)+IF(B811="Masuk",N(D811),-N(D811)))</f>
        <v/>
      </c>
    </row>
    <row r="812" customFormat="false" ht="15" hidden="false" customHeight="false" outlineLevel="0" collapsed="false">
      <c r="A812" s="20"/>
      <c r="B812" s="19"/>
      <c r="C812" s="19"/>
      <c r="D812" s="21"/>
      <c r="E812" s="19"/>
      <c r="F812" s="19"/>
      <c r="G812" s="23" t="str">
        <f aca="false">IF(A812="","",TEXT(A812,"yyyy-mm"))</f>
        <v/>
      </c>
      <c r="H812" s="22" t="str">
        <f aca="false">IF(A812="","",N(H811)+IF(B812="Masuk",N(D812),-N(D812)))</f>
        <v/>
      </c>
    </row>
    <row r="813" customFormat="false" ht="15" hidden="false" customHeight="false" outlineLevel="0" collapsed="false">
      <c r="A813" s="20"/>
      <c r="B813" s="19"/>
      <c r="C813" s="19"/>
      <c r="D813" s="21"/>
      <c r="E813" s="19"/>
      <c r="F813" s="19"/>
      <c r="G813" s="23" t="str">
        <f aca="false">IF(A813="","",TEXT(A813,"yyyy-mm"))</f>
        <v/>
      </c>
      <c r="H813" s="22" t="str">
        <f aca="false">IF(A813="","",N(H812)+IF(B813="Masuk",N(D813),-N(D813)))</f>
        <v/>
      </c>
    </row>
    <row r="814" customFormat="false" ht="15" hidden="false" customHeight="false" outlineLevel="0" collapsed="false">
      <c r="A814" s="20"/>
      <c r="B814" s="19"/>
      <c r="C814" s="19"/>
      <c r="D814" s="21"/>
      <c r="E814" s="19"/>
      <c r="F814" s="19"/>
      <c r="G814" s="23" t="str">
        <f aca="false">IF(A814="","",TEXT(A814,"yyyy-mm"))</f>
        <v/>
      </c>
      <c r="H814" s="22" t="str">
        <f aca="false">IF(A814="","",N(H813)+IF(B814="Masuk",N(D814),-N(D814)))</f>
        <v/>
      </c>
    </row>
    <row r="815" customFormat="false" ht="15" hidden="false" customHeight="false" outlineLevel="0" collapsed="false">
      <c r="A815" s="20"/>
      <c r="B815" s="19"/>
      <c r="C815" s="19"/>
      <c r="D815" s="21"/>
      <c r="E815" s="19"/>
      <c r="F815" s="19"/>
      <c r="G815" s="23" t="str">
        <f aca="false">IF(A815="","",TEXT(A815,"yyyy-mm"))</f>
        <v/>
      </c>
      <c r="H815" s="22" t="str">
        <f aca="false">IF(A815="","",N(H814)+IF(B815="Masuk",N(D815),-N(D815)))</f>
        <v/>
      </c>
    </row>
    <row r="816" customFormat="false" ht="15" hidden="false" customHeight="false" outlineLevel="0" collapsed="false">
      <c r="A816" s="20"/>
      <c r="B816" s="19"/>
      <c r="C816" s="19"/>
      <c r="D816" s="21"/>
      <c r="E816" s="19"/>
      <c r="F816" s="19"/>
      <c r="G816" s="23" t="str">
        <f aca="false">IF(A816="","",TEXT(A816,"yyyy-mm"))</f>
        <v/>
      </c>
      <c r="H816" s="22" t="str">
        <f aca="false">IF(A816="","",N(H815)+IF(B816="Masuk",N(D816),-N(D816)))</f>
        <v/>
      </c>
    </row>
    <row r="817" customFormat="false" ht="15" hidden="false" customHeight="false" outlineLevel="0" collapsed="false">
      <c r="A817" s="20"/>
      <c r="B817" s="19"/>
      <c r="C817" s="19"/>
      <c r="D817" s="21"/>
      <c r="E817" s="19"/>
      <c r="F817" s="19"/>
      <c r="G817" s="23" t="str">
        <f aca="false">IF(A817="","",TEXT(A817,"yyyy-mm"))</f>
        <v/>
      </c>
      <c r="H817" s="22" t="str">
        <f aca="false">IF(A817="","",N(H816)+IF(B817="Masuk",N(D817),-N(D817)))</f>
        <v/>
      </c>
    </row>
    <row r="818" customFormat="false" ht="15" hidden="false" customHeight="false" outlineLevel="0" collapsed="false">
      <c r="A818" s="20"/>
      <c r="B818" s="19"/>
      <c r="C818" s="19"/>
      <c r="D818" s="21"/>
      <c r="E818" s="19"/>
      <c r="F818" s="19"/>
      <c r="G818" s="23" t="str">
        <f aca="false">IF(A818="","",TEXT(A818,"yyyy-mm"))</f>
        <v/>
      </c>
      <c r="H818" s="22" t="str">
        <f aca="false">IF(A818="","",N(H817)+IF(B818="Masuk",N(D818),-N(D818)))</f>
        <v/>
      </c>
    </row>
    <row r="819" customFormat="false" ht="15" hidden="false" customHeight="false" outlineLevel="0" collapsed="false">
      <c r="A819" s="20"/>
      <c r="B819" s="19"/>
      <c r="C819" s="19"/>
      <c r="D819" s="21"/>
      <c r="E819" s="19"/>
      <c r="F819" s="19"/>
      <c r="G819" s="23" t="str">
        <f aca="false">IF(A819="","",TEXT(A819,"yyyy-mm"))</f>
        <v/>
      </c>
      <c r="H819" s="22" t="str">
        <f aca="false">IF(A819="","",N(H818)+IF(B819="Masuk",N(D819),-N(D819)))</f>
        <v/>
      </c>
    </row>
    <row r="820" customFormat="false" ht="15" hidden="false" customHeight="false" outlineLevel="0" collapsed="false">
      <c r="A820" s="20"/>
      <c r="B820" s="19"/>
      <c r="C820" s="19"/>
      <c r="D820" s="21"/>
      <c r="E820" s="19"/>
      <c r="F820" s="19"/>
      <c r="G820" s="23" t="str">
        <f aca="false">IF(A820="","",TEXT(A820,"yyyy-mm"))</f>
        <v/>
      </c>
      <c r="H820" s="22" t="str">
        <f aca="false">IF(A820="","",N(H819)+IF(B820="Masuk",N(D820),-N(D820)))</f>
        <v/>
      </c>
    </row>
    <row r="821" customFormat="false" ht="15" hidden="false" customHeight="false" outlineLevel="0" collapsed="false">
      <c r="A821" s="20"/>
      <c r="B821" s="19"/>
      <c r="C821" s="19"/>
      <c r="D821" s="21"/>
      <c r="E821" s="19"/>
      <c r="F821" s="19"/>
      <c r="G821" s="23" t="str">
        <f aca="false">IF(A821="","",TEXT(A821,"yyyy-mm"))</f>
        <v/>
      </c>
      <c r="H821" s="22" t="str">
        <f aca="false">IF(A821="","",N(H820)+IF(B821="Masuk",N(D821),-N(D821)))</f>
        <v/>
      </c>
    </row>
    <row r="822" customFormat="false" ht="15" hidden="false" customHeight="false" outlineLevel="0" collapsed="false">
      <c r="A822" s="20"/>
      <c r="B822" s="19"/>
      <c r="C822" s="19"/>
      <c r="D822" s="21"/>
      <c r="E822" s="19"/>
      <c r="F822" s="19"/>
      <c r="G822" s="23" t="str">
        <f aca="false">IF(A822="","",TEXT(A822,"yyyy-mm"))</f>
        <v/>
      </c>
      <c r="H822" s="22" t="str">
        <f aca="false">IF(A822="","",N(H821)+IF(B822="Masuk",N(D822),-N(D822)))</f>
        <v/>
      </c>
    </row>
    <row r="823" customFormat="false" ht="15" hidden="false" customHeight="false" outlineLevel="0" collapsed="false">
      <c r="A823" s="20"/>
      <c r="B823" s="19"/>
      <c r="C823" s="19"/>
      <c r="D823" s="21"/>
      <c r="E823" s="19"/>
      <c r="F823" s="19"/>
      <c r="G823" s="23" t="str">
        <f aca="false">IF(A823="","",TEXT(A823,"yyyy-mm"))</f>
        <v/>
      </c>
      <c r="H823" s="22" t="str">
        <f aca="false">IF(A823="","",N(H822)+IF(B823="Masuk",N(D823),-N(D823)))</f>
        <v/>
      </c>
    </row>
    <row r="824" customFormat="false" ht="15" hidden="false" customHeight="false" outlineLevel="0" collapsed="false">
      <c r="A824" s="20"/>
      <c r="B824" s="19"/>
      <c r="C824" s="19"/>
      <c r="D824" s="21"/>
      <c r="E824" s="19"/>
      <c r="F824" s="19"/>
      <c r="G824" s="23" t="str">
        <f aca="false">IF(A824="","",TEXT(A824,"yyyy-mm"))</f>
        <v/>
      </c>
      <c r="H824" s="22" t="str">
        <f aca="false">IF(A824="","",N(H823)+IF(B824="Masuk",N(D824),-N(D824)))</f>
        <v/>
      </c>
    </row>
    <row r="825" customFormat="false" ht="15" hidden="false" customHeight="false" outlineLevel="0" collapsed="false">
      <c r="A825" s="20"/>
      <c r="B825" s="19"/>
      <c r="C825" s="19"/>
      <c r="D825" s="21"/>
      <c r="E825" s="19"/>
      <c r="F825" s="19"/>
      <c r="G825" s="23" t="str">
        <f aca="false">IF(A825="","",TEXT(A825,"yyyy-mm"))</f>
        <v/>
      </c>
      <c r="H825" s="22" t="str">
        <f aca="false">IF(A825="","",N(H824)+IF(B825="Masuk",N(D825),-N(D825)))</f>
        <v/>
      </c>
    </row>
    <row r="826" customFormat="false" ht="15" hidden="false" customHeight="false" outlineLevel="0" collapsed="false">
      <c r="A826" s="20"/>
      <c r="B826" s="19"/>
      <c r="C826" s="19"/>
      <c r="D826" s="21"/>
      <c r="E826" s="19"/>
      <c r="F826" s="19"/>
      <c r="G826" s="23" t="str">
        <f aca="false">IF(A826="","",TEXT(A826,"yyyy-mm"))</f>
        <v/>
      </c>
      <c r="H826" s="22" t="str">
        <f aca="false">IF(A826="","",N(H825)+IF(B826="Masuk",N(D826),-N(D826)))</f>
        <v/>
      </c>
    </row>
    <row r="827" customFormat="false" ht="15" hidden="false" customHeight="false" outlineLevel="0" collapsed="false">
      <c r="A827" s="20"/>
      <c r="B827" s="19"/>
      <c r="C827" s="19"/>
      <c r="D827" s="21"/>
      <c r="E827" s="19"/>
      <c r="F827" s="19"/>
      <c r="G827" s="23" t="str">
        <f aca="false">IF(A827="","",TEXT(A827,"yyyy-mm"))</f>
        <v/>
      </c>
      <c r="H827" s="22" t="str">
        <f aca="false">IF(A827="","",N(H826)+IF(B827="Masuk",N(D827),-N(D827)))</f>
        <v/>
      </c>
    </row>
    <row r="828" customFormat="false" ht="15" hidden="false" customHeight="false" outlineLevel="0" collapsed="false">
      <c r="A828" s="20"/>
      <c r="B828" s="19"/>
      <c r="C828" s="19"/>
      <c r="D828" s="21"/>
      <c r="E828" s="19"/>
      <c r="F828" s="19"/>
      <c r="G828" s="23" t="str">
        <f aca="false">IF(A828="","",TEXT(A828,"yyyy-mm"))</f>
        <v/>
      </c>
      <c r="H828" s="22" t="str">
        <f aca="false">IF(A828="","",N(H827)+IF(B828="Masuk",N(D828),-N(D828)))</f>
        <v/>
      </c>
    </row>
    <row r="829" customFormat="false" ht="15" hidden="false" customHeight="false" outlineLevel="0" collapsed="false">
      <c r="A829" s="20"/>
      <c r="B829" s="19"/>
      <c r="C829" s="19"/>
      <c r="D829" s="21"/>
      <c r="E829" s="19"/>
      <c r="F829" s="19"/>
      <c r="G829" s="23" t="str">
        <f aca="false">IF(A829="","",TEXT(A829,"yyyy-mm"))</f>
        <v/>
      </c>
      <c r="H829" s="22" t="str">
        <f aca="false">IF(A829="","",N(H828)+IF(B829="Masuk",N(D829),-N(D829)))</f>
        <v/>
      </c>
    </row>
    <row r="830" customFormat="false" ht="15" hidden="false" customHeight="false" outlineLevel="0" collapsed="false">
      <c r="A830" s="20"/>
      <c r="B830" s="19"/>
      <c r="C830" s="19"/>
      <c r="D830" s="21"/>
      <c r="E830" s="19"/>
      <c r="F830" s="19"/>
      <c r="G830" s="23" t="str">
        <f aca="false">IF(A830="","",TEXT(A830,"yyyy-mm"))</f>
        <v/>
      </c>
      <c r="H830" s="22" t="str">
        <f aca="false">IF(A830="","",N(H829)+IF(B830="Masuk",N(D830),-N(D830)))</f>
        <v/>
      </c>
    </row>
    <row r="831" customFormat="false" ht="15" hidden="false" customHeight="false" outlineLevel="0" collapsed="false">
      <c r="A831" s="20"/>
      <c r="B831" s="19"/>
      <c r="C831" s="19"/>
      <c r="D831" s="21"/>
      <c r="E831" s="19"/>
      <c r="F831" s="19"/>
      <c r="G831" s="23" t="str">
        <f aca="false">IF(A831="","",TEXT(A831,"yyyy-mm"))</f>
        <v/>
      </c>
      <c r="H831" s="22" t="str">
        <f aca="false">IF(A831="","",N(H830)+IF(B831="Masuk",N(D831),-N(D831)))</f>
        <v/>
      </c>
    </row>
    <row r="832" customFormat="false" ht="15" hidden="false" customHeight="false" outlineLevel="0" collapsed="false">
      <c r="A832" s="20"/>
      <c r="B832" s="19"/>
      <c r="C832" s="19"/>
      <c r="D832" s="21"/>
      <c r="E832" s="19"/>
      <c r="F832" s="19"/>
      <c r="G832" s="23" t="str">
        <f aca="false">IF(A832="","",TEXT(A832,"yyyy-mm"))</f>
        <v/>
      </c>
      <c r="H832" s="22" t="str">
        <f aca="false">IF(A832="","",N(H831)+IF(B832="Masuk",N(D832),-N(D832)))</f>
        <v/>
      </c>
    </row>
    <row r="833" customFormat="false" ht="15" hidden="false" customHeight="false" outlineLevel="0" collapsed="false">
      <c r="A833" s="20"/>
      <c r="B833" s="19"/>
      <c r="C833" s="19"/>
      <c r="D833" s="21"/>
      <c r="E833" s="19"/>
      <c r="F833" s="19"/>
      <c r="G833" s="23" t="str">
        <f aca="false">IF(A833="","",TEXT(A833,"yyyy-mm"))</f>
        <v/>
      </c>
      <c r="H833" s="22" t="str">
        <f aca="false">IF(A833="","",N(H832)+IF(B833="Masuk",N(D833),-N(D833)))</f>
        <v/>
      </c>
    </row>
    <row r="834" customFormat="false" ht="15" hidden="false" customHeight="false" outlineLevel="0" collapsed="false">
      <c r="A834" s="20"/>
      <c r="B834" s="19"/>
      <c r="C834" s="19"/>
      <c r="D834" s="21"/>
      <c r="E834" s="19"/>
      <c r="F834" s="19"/>
      <c r="G834" s="23" t="str">
        <f aca="false">IF(A834="","",TEXT(A834,"yyyy-mm"))</f>
        <v/>
      </c>
      <c r="H834" s="22" t="str">
        <f aca="false">IF(A834="","",N(H833)+IF(B834="Masuk",N(D834),-N(D834)))</f>
        <v/>
      </c>
    </row>
    <row r="835" customFormat="false" ht="15" hidden="false" customHeight="false" outlineLevel="0" collapsed="false">
      <c r="A835" s="20"/>
      <c r="B835" s="19"/>
      <c r="C835" s="19"/>
      <c r="D835" s="21"/>
      <c r="E835" s="19"/>
      <c r="F835" s="19"/>
      <c r="G835" s="23" t="str">
        <f aca="false">IF(A835="","",TEXT(A835,"yyyy-mm"))</f>
        <v/>
      </c>
      <c r="H835" s="22" t="str">
        <f aca="false">IF(A835="","",N(H834)+IF(B835="Masuk",N(D835),-N(D835)))</f>
        <v/>
      </c>
    </row>
    <row r="836" customFormat="false" ht="15" hidden="false" customHeight="false" outlineLevel="0" collapsed="false">
      <c r="A836" s="20"/>
      <c r="B836" s="19"/>
      <c r="C836" s="19"/>
      <c r="D836" s="21"/>
      <c r="E836" s="19"/>
      <c r="F836" s="19"/>
      <c r="G836" s="23" t="str">
        <f aca="false">IF(A836="","",TEXT(A836,"yyyy-mm"))</f>
        <v/>
      </c>
      <c r="H836" s="22" t="str">
        <f aca="false">IF(A836="","",N(H835)+IF(B836="Masuk",N(D836),-N(D836)))</f>
        <v/>
      </c>
    </row>
    <row r="837" customFormat="false" ht="15" hidden="false" customHeight="false" outlineLevel="0" collapsed="false">
      <c r="A837" s="20"/>
      <c r="B837" s="19"/>
      <c r="C837" s="19"/>
      <c r="D837" s="21"/>
      <c r="E837" s="19"/>
      <c r="F837" s="19"/>
      <c r="G837" s="23" t="str">
        <f aca="false">IF(A837="","",TEXT(A837,"yyyy-mm"))</f>
        <v/>
      </c>
      <c r="H837" s="22" t="str">
        <f aca="false">IF(A837="","",N(H836)+IF(B837="Masuk",N(D837),-N(D837)))</f>
        <v/>
      </c>
    </row>
    <row r="838" customFormat="false" ht="15" hidden="false" customHeight="false" outlineLevel="0" collapsed="false">
      <c r="A838" s="20"/>
      <c r="B838" s="19"/>
      <c r="C838" s="19"/>
      <c r="D838" s="21"/>
      <c r="E838" s="19"/>
      <c r="F838" s="19"/>
      <c r="G838" s="23" t="str">
        <f aca="false">IF(A838="","",TEXT(A838,"yyyy-mm"))</f>
        <v/>
      </c>
      <c r="H838" s="22" t="str">
        <f aca="false">IF(A838="","",N(H837)+IF(B838="Masuk",N(D838),-N(D838)))</f>
        <v/>
      </c>
    </row>
    <row r="839" customFormat="false" ht="15" hidden="false" customHeight="false" outlineLevel="0" collapsed="false">
      <c r="A839" s="20"/>
      <c r="B839" s="19"/>
      <c r="C839" s="19"/>
      <c r="D839" s="21"/>
      <c r="E839" s="19"/>
      <c r="F839" s="19"/>
      <c r="G839" s="23" t="str">
        <f aca="false">IF(A839="","",TEXT(A839,"yyyy-mm"))</f>
        <v/>
      </c>
      <c r="H839" s="22" t="str">
        <f aca="false">IF(A839="","",N(H838)+IF(B839="Masuk",N(D839),-N(D839)))</f>
        <v/>
      </c>
    </row>
    <row r="840" customFormat="false" ht="15" hidden="false" customHeight="false" outlineLevel="0" collapsed="false">
      <c r="A840" s="20"/>
      <c r="B840" s="19"/>
      <c r="C840" s="19"/>
      <c r="D840" s="21"/>
      <c r="E840" s="19"/>
      <c r="F840" s="19"/>
      <c r="G840" s="23" t="str">
        <f aca="false">IF(A840="","",TEXT(A840,"yyyy-mm"))</f>
        <v/>
      </c>
      <c r="H840" s="22" t="str">
        <f aca="false">IF(A840="","",N(H839)+IF(B840="Masuk",N(D840),-N(D840)))</f>
        <v/>
      </c>
    </row>
    <row r="841" customFormat="false" ht="15" hidden="false" customHeight="false" outlineLevel="0" collapsed="false">
      <c r="A841" s="20"/>
      <c r="B841" s="19"/>
      <c r="C841" s="19"/>
      <c r="D841" s="21"/>
      <c r="E841" s="19"/>
      <c r="F841" s="19"/>
      <c r="G841" s="23" t="str">
        <f aca="false">IF(A841="","",TEXT(A841,"yyyy-mm"))</f>
        <v/>
      </c>
      <c r="H841" s="22" t="str">
        <f aca="false">IF(A841="","",N(H840)+IF(B841="Masuk",N(D841),-N(D841)))</f>
        <v/>
      </c>
    </row>
    <row r="842" customFormat="false" ht="15" hidden="false" customHeight="false" outlineLevel="0" collapsed="false">
      <c r="A842" s="20"/>
      <c r="B842" s="19"/>
      <c r="C842" s="19"/>
      <c r="D842" s="21"/>
      <c r="E842" s="19"/>
      <c r="F842" s="19"/>
      <c r="G842" s="23" t="str">
        <f aca="false">IF(A842="","",TEXT(A842,"yyyy-mm"))</f>
        <v/>
      </c>
      <c r="H842" s="22" t="str">
        <f aca="false">IF(A842="","",N(H841)+IF(B842="Masuk",N(D842),-N(D842)))</f>
        <v/>
      </c>
    </row>
    <row r="843" customFormat="false" ht="15" hidden="false" customHeight="false" outlineLevel="0" collapsed="false">
      <c r="A843" s="20"/>
      <c r="B843" s="19"/>
      <c r="C843" s="19"/>
      <c r="D843" s="21"/>
      <c r="E843" s="19"/>
      <c r="F843" s="19"/>
      <c r="G843" s="23" t="str">
        <f aca="false">IF(A843="","",TEXT(A843,"yyyy-mm"))</f>
        <v/>
      </c>
      <c r="H843" s="22" t="str">
        <f aca="false">IF(A843="","",N(H842)+IF(B843="Masuk",N(D843),-N(D843)))</f>
        <v/>
      </c>
    </row>
    <row r="844" customFormat="false" ht="15" hidden="false" customHeight="false" outlineLevel="0" collapsed="false">
      <c r="A844" s="20"/>
      <c r="B844" s="19"/>
      <c r="C844" s="19"/>
      <c r="D844" s="21"/>
      <c r="E844" s="19"/>
      <c r="F844" s="19"/>
      <c r="G844" s="23" t="str">
        <f aca="false">IF(A844="","",TEXT(A844,"yyyy-mm"))</f>
        <v/>
      </c>
      <c r="H844" s="22" t="str">
        <f aca="false">IF(A844="","",N(H843)+IF(B844="Masuk",N(D844),-N(D844)))</f>
        <v/>
      </c>
    </row>
    <row r="845" customFormat="false" ht="15" hidden="false" customHeight="false" outlineLevel="0" collapsed="false">
      <c r="A845" s="20"/>
      <c r="B845" s="19"/>
      <c r="C845" s="19"/>
      <c r="D845" s="21"/>
      <c r="E845" s="19"/>
      <c r="F845" s="19"/>
      <c r="G845" s="23" t="str">
        <f aca="false">IF(A845="","",TEXT(A845,"yyyy-mm"))</f>
        <v/>
      </c>
      <c r="H845" s="22" t="str">
        <f aca="false">IF(A845="","",N(H844)+IF(B845="Masuk",N(D845),-N(D845)))</f>
        <v/>
      </c>
    </row>
    <row r="846" customFormat="false" ht="15" hidden="false" customHeight="false" outlineLevel="0" collapsed="false">
      <c r="A846" s="20"/>
      <c r="B846" s="19"/>
      <c r="C846" s="19"/>
      <c r="D846" s="21"/>
      <c r="E846" s="19"/>
      <c r="F846" s="19"/>
      <c r="G846" s="23" t="str">
        <f aca="false">IF(A846="","",TEXT(A846,"yyyy-mm"))</f>
        <v/>
      </c>
      <c r="H846" s="22" t="str">
        <f aca="false">IF(A846="","",N(H845)+IF(B846="Masuk",N(D846),-N(D846)))</f>
        <v/>
      </c>
    </row>
    <row r="847" customFormat="false" ht="15" hidden="false" customHeight="false" outlineLevel="0" collapsed="false">
      <c r="A847" s="20"/>
      <c r="B847" s="19"/>
      <c r="C847" s="19"/>
      <c r="D847" s="21"/>
      <c r="E847" s="19"/>
      <c r="F847" s="19"/>
      <c r="G847" s="23" t="str">
        <f aca="false">IF(A847="","",TEXT(A847,"yyyy-mm"))</f>
        <v/>
      </c>
      <c r="H847" s="22" t="str">
        <f aca="false">IF(A847="","",N(H846)+IF(B847="Masuk",N(D847),-N(D847)))</f>
        <v/>
      </c>
    </row>
    <row r="848" customFormat="false" ht="15" hidden="false" customHeight="false" outlineLevel="0" collapsed="false">
      <c r="A848" s="20"/>
      <c r="B848" s="19"/>
      <c r="C848" s="19"/>
      <c r="D848" s="21"/>
      <c r="E848" s="19"/>
      <c r="F848" s="19"/>
      <c r="G848" s="23" t="str">
        <f aca="false">IF(A848="","",TEXT(A848,"yyyy-mm"))</f>
        <v/>
      </c>
      <c r="H848" s="22" t="str">
        <f aca="false">IF(A848="","",N(H847)+IF(B848="Masuk",N(D848),-N(D848)))</f>
        <v/>
      </c>
    </row>
    <row r="849" customFormat="false" ht="15" hidden="false" customHeight="false" outlineLevel="0" collapsed="false">
      <c r="A849" s="20"/>
      <c r="B849" s="19"/>
      <c r="C849" s="19"/>
      <c r="D849" s="21"/>
      <c r="E849" s="19"/>
      <c r="F849" s="19"/>
      <c r="G849" s="23" t="str">
        <f aca="false">IF(A849="","",TEXT(A849,"yyyy-mm"))</f>
        <v/>
      </c>
      <c r="H849" s="22" t="str">
        <f aca="false">IF(A849="","",N(H848)+IF(B849="Masuk",N(D849),-N(D849)))</f>
        <v/>
      </c>
    </row>
    <row r="850" customFormat="false" ht="15" hidden="false" customHeight="false" outlineLevel="0" collapsed="false">
      <c r="A850" s="20"/>
      <c r="B850" s="19"/>
      <c r="C850" s="19"/>
      <c r="D850" s="21"/>
      <c r="E850" s="19"/>
      <c r="F850" s="19"/>
      <c r="G850" s="23" t="str">
        <f aca="false">IF(A850="","",TEXT(A850,"yyyy-mm"))</f>
        <v/>
      </c>
      <c r="H850" s="22" t="str">
        <f aca="false">IF(A850="","",N(H849)+IF(B850="Masuk",N(D850),-N(D850)))</f>
        <v/>
      </c>
    </row>
    <row r="851" customFormat="false" ht="15" hidden="false" customHeight="false" outlineLevel="0" collapsed="false">
      <c r="A851" s="20"/>
      <c r="B851" s="19"/>
      <c r="C851" s="19"/>
      <c r="D851" s="21"/>
      <c r="E851" s="19"/>
      <c r="F851" s="19"/>
      <c r="G851" s="23" t="str">
        <f aca="false">IF(A851="","",TEXT(A851,"yyyy-mm"))</f>
        <v/>
      </c>
      <c r="H851" s="22" t="str">
        <f aca="false">IF(A851="","",N(H850)+IF(B851="Masuk",N(D851),-N(D851)))</f>
        <v/>
      </c>
    </row>
    <row r="852" customFormat="false" ht="15" hidden="false" customHeight="false" outlineLevel="0" collapsed="false">
      <c r="A852" s="20"/>
      <c r="B852" s="19"/>
      <c r="C852" s="19"/>
      <c r="D852" s="21"/>
      <c r="E852" s="19"/>
      <c r="F852" s="19"/>
      <c r="G852" s="23" t="str">
        <f aca="false">IF(A852="","",TEXT(A852,"yyyy-mm"))</f>
        <v/>
      </c>
      <c r="H852" s="22" t="str">
        <f aca="false">IF(A852="","",N(H851)+IF(B852="Masuk",N(D852),-N(D852)))</f>
        <v/>
      </c>
    </row>
    <row r="853" customFormat="false" ht="15" hidden="false" customHeight="false" outlineLevel="0" collapsed="false">
      <c r="A853" s="20"/>
      <c r="B853" s="19"/>
      <c r="C853" s="19"/>
      <c r="D853" s="21"/>
      <c r="E853" s="19"/>
      <c r="F853" s="19"/>
      <c r="G853" s="23" t="str">
        <f aca="false">IF(A853="","",TEXT(A853,"yyyy-mm"))</f>
        <v/>
      </c>
      <c r="H853" s="22" t="str">
        <f aca="false">IF(A853="","",N(H852)+IF(B853="Masuk",N(D853),-N(D853)))</f>
        <v/>
      </c>
    </row>
    <row r="854" customFormat="false" ht="15" hidden="false" customHeight="false" outlineLevel="0" collapsed="false">
      <c r="A854" s="20"/>
      <c r="B854" s="19"/>
      <c r="C854" s="19"/>
      <c r="D854" s="21"/>
      <c r="E854" s="19"/>
      <c r="F854" s="19"/>
      <c r="G854" s="23" t="str">
        <f aca="false">IF(A854="","",TEXT(A854,"yyyy-mm"))</f>
        <v/>
      </c>
      <c r="H854" s="22" t="str">
        <f aca="false">IF(A854="","",N(H853)+IF(B854="Masuk",N(D854),-N(D854)))</f>
        <v/>
      </c>
    </row>
    <row r="855" customFormat="false" ht="15" hidden="false" customHeight="false" outlineLevel="0" collapsed="false">
      <c r="A855" s="20"/>
      <c r="B855" s="19"/>
      <c r="C855" s="19"/>
      <c r="D855" s="21"/>
      <c r="E855" s="19"/>
      <c r="F855" s="19"/>
      <c r="G855" s="23" t="str">
        <f aca="false">IF(A855="","",TEXT(A855,"yyyy-mm"))</f>
        <v/>
      </c>
      <c r="H855" s="22" t="str">
        <f aca="false">IF(A855="","",N(H854)+IF(B855="Masuk",N(D855),-N(D855)))</f>
        <v/>
      </c>
    </row>
    <row r="856" customFormat="false" ht="15" hidden="false" customHeight="false" outlineLevel="0" collapsed="false">
      <c r="A856" s="20"/>
      <c r="B856" s="19"/>
      <c r="C856" s="19"/>
      <c r="D856" s="21"/>
      <c r="E856" s="19"/>
      <c r="F856" s="19"/>
      <c r="G856" s="23" t="str">
        <f aca="false">IF(A856="","",TEXT(A856,"yyyy-mm"))</f>
        <v/>
      </c>
      <c r="H856" s="22" t="str">
        <f aca="false">IF(A856="","",N(H855)+IF(B856="Masuk",N(D856),-N(D856)))</f>
        <v/>
      </c>
    </row>
    <row r="857" customFormat="false" ht="15" hidden="false" customHeight="false" outlineLevel="0" collapsed="false">
      <c r="A857" s="20"/>
      <c r="B857" s="19"/>
      <c r="C857" s="19"/>
      <c r="D857" s="21"/>
      <c r="E857" s="19"/>
      <c r="F857" s="19"/>
      <c r="G857" s="23" t="str">
        <f aca="false">IF(A857="","",TEXT(A857,"yyyy-mm"))</f>
        <v/>
      </c>
      <c r="H857" s="22" t="str">
        <f aca="false">IF(A857="","",N(H856)+IF(B857="Masuk",N(D857),-N(D857)))</f>
        <v/>
      </c>
    </row>
    <row r="858" customFormat="false" ht="15" hidden="false" customHeight="false" outlineLevel="0" collapsed="false">
      <c r="A858" s="20"/>
      <c r="B858" s="19"/>
      <c r="C858" s="19"/>
      <c r="D858" s="21"/>
      <c r="E858" s="19"/>
      <c r="F858" s="19"/>
      <c r="G858" s="23" t="str">
        <f aca="false">IF(A858="","",TEXT(A858,"yyyy-mm"))</f>
        <v/>
      </c>
      <c r="H858" s="22" t="str">
        <f aca="false">IF(A858="","",N(H857)+IF(B858="Masuk",N(D858),-N(D858)))</f>
        <v/>
      </c>
    </row>
    <row r="859" customFormat="false" ht="15" hidden="false" customHeight="false" outlineLevel="0" collapsed="false">
      <c r="A859" s="20"/>
      <c r="B859" s="19"/>
      <c r="C859" s="19"/>
      <c r="D859" s="21"/>
      <c r="E859" s="19"/>
      <c r="F859" s="19"/>
      <c r="G859" s="23" t="str">
        <f aca="false">IF(A859="","",TEXT(A859,"yyyy-mm"))</f>
        <v/>
      </c>
      <c r="H859" s="22" t="str">
        <f aca="false">IF(A859="","",N(H858)+IF(B859="Masuk",N(D859),-N(D859)))</f>
        <v/>
      </c>
    </row>
    <row r="860" customFormat="false" ht="15" hidden="false" customHeight="false" outlineLevel="0" collapsed="false">
      <c r="A860" s="20"/>
      <c r="B860" s="19"/>
      <c r="C860" s="19"/>
      <c r="D860" s="21"/>
      <c r="E860" s="19"/>
      <c r="F860" s="19"/>
      <c r="G860" s="23" t="str">
        <f aca="false">IF(A860="","",TEXT(A860,"yyyy-mm"))</f>
        <v/>
      </c>
      <c r="H860" s="22" t="str">
        <f aca="false">IF(A860="","",N(H859)+IF(B860="Masuk",N(D860),-N(D860)))</f>
        <v/>
      </c>
    </row>
    <row r="861" customFormat="false" ht="15" hidden="false" customHeight="false" outlineLevel="0" collapsed="false">
      <c r="A861" s="20"/>
      <c r="B861" s="19"/>
      <c r="C861" s="19"/>
      <c r="D861" s="21"/>
      <c r="E861" s="19"/>
      <c r="F861" s="19"/>
      <c r="G861" s="23" t="str">
        <f aca="false">IF(A861="","",TEXT(A861,"yyyy-mm"))</f>
        <v/>
      </c>
      <c r="H861" s="22" t="str">
        <f aca="false">IF(A861="","",N(H860)+IF(B861="Masuk",N(D861),-N(D861)))</f>
        <v/>
      </c>
    </row>
    <row r="862" customFormat="false" ht="15" hidden="false" customHeight="false" outlineLevel="0" collapsed="false">
      <c r="A862" s="20"/>
      <c r="B862" s="19"/>
      <c r="C862" s="19"/>
      <c r="D862" s="21"/>
      <c r="E862" s="19"/>
      <c r="F862" s="19"/>
      <c r="G862" s="23" t="str">
        <f aca="false">IF(A862="","",TEXT(A862,"yyyy-mm"))</f>
        <v/>
      </c>
      <c r="H862" s="22" t="str">
        <f aca="false">IF(A862="","",N(H861)+IF(B862="Masuk",N(D862),-N(D862)))</f>
        <v/>
      </c>
    </row>
    <row r="863" customFormat="false" ht="15" hidden="false" customHeight="false" outlineLevel="0" collapsed="false">
      <c r="A863" s="20"/>
      <c r="B863" s="19"/>
      <c r="C863" s="19"/>
      <c r="D863" s="21"/>
      <c r="E863" s="19"/>
      <c r="F863" s="19"/>
      <c r="G863" s="23" t="str">
        <f aca="false">IF(A863="","",TEXT(A863,"yyyy-mm"))</f>
        <v/>
      </c>
      <c r="H863" s="22" t="str">
        <f aca="false">IF(A863="","",N(H862)+IF(B863="Masuk",N(D863),-N(D863)))</f>
        <v/>
      </c>
    </row>
    <row r="864" customFormat="false" ht="15" hidden="false" customHeight="false" outlineLevel="0" collapsed="false">
      <c r="A864" s="20"/>
      <c r="B864" s="19"/>
      <c r="C864" s="19"/>
      <c r="D864" s="21"/>
      <c r="E864" s="19"/>
      <c r="F864" s="19"/>
      <c r="G864" s="23" t="str">
        <f aca="false">IF(A864="","",TEXT(A864,"yyyy-mm"))</f>
        <v/>
      </c>
      <c r="H864" s="22" t="str">
        <f aca="false">IF(A864="","",N(H863)+IF(B864="Masuk",N(D864),-N(D864)))</f>
        <v/>
      </c>
    </row>
    <row r="865" customFormat="false" ht="15" hidden="false" customHeight="false" outlineLevel="0" collapsed="false">
      <c r="A865" s="20"/>
      <c r="B865" s="19"/>
      <c r="C865" s="19"/>
      <c r="D865" s="21"/>
      <c r="E865" s="19"/>
      <c r="F865" s="19"/>
      <c r="G865" s="23" t="str">
        <f aca="false">IF(A865="","",TEXT(A865,"yyyy-mm"))</f>
        <v/>
      </c>
      <c r="H865" s="22" t="str">
        <f aca="false">IF(A865="","",N(H864)+IF(B865="Masuk",N(D865),-N(D865)))</f>
        <v/>
      </c>
    </row>
    <row r="866" customFormat="false" ht="15" hidden="false" customHeight="false" outlineLevel="0" collapsed="false">
      <c r="A866" s="20"/>
      <c r="B866" s="19"/>
      <c r="C866" s="19"/>
      <c r="D866" s="21"/>
      <c r="E866" s="19"/>
      <c r="F866" s="19"/>
      <c r="G866" s="23" t="str">
        <f aca="false">IF(A866="","",TEXT(A866,"yyyy-mm"))</f>
        <v/>
      </c>
      <c r="H866" s="22" t="str">
        <f aca="false">IF(A866="","",N(H865)+IF(B866="Masuk",N(D866),-N(D866)))</f>
        <v/>
      </c>
    </row>
    <row r="867" customFormat="false" ht="15" hidden="false" customHeight="false" outlineLevel="0" collapsed="false">
      <c r="A867" s="20"/>
      <c r="B867" s="19"/>
      <c r="C867" s="19"/>
      <c r="D867" s="21"/>
      <c r="E867" s="19"/>
      <c r="F867" s="19"/>
      <c r="G867" s="23" t="str">
        <f aca="false">IF(A867="","",TEXT(A867,"yyyy-mm"))</f>
        <v/>
      </c>
      <c r="H867" s="22" t="str">
        <f aca="false">IF(A867="","",N(H866)+IF(B867="Masuk",N(D867),-N(D867)))</f>
        <v/>
      </c>
    </row>
    <row r="868" customFormat="false" ht="15" hidden="false" customHeight="false" outlineLevel="0" collapsed="false">
      <c r="A868" s="20"/>
      <c r="B868" s="19"/>
      <c r="C868" s="19"/>
      <c r="D868" s="21"/>
      <c r="E868" s="19"/>
      <c r="F868" s="19"/>
      <c r="G868" s="23" t="str">
        <f aca="false">IF(A868="","",TEXT(A868,"yyyy-mm"))</f>
        <v/>
      </c>
      <c r="H868" s="22" t="str">
        <f aca="false">IF(A868="","",N(H867)+IF(B868="Masuk",N(D868),-N(D868)))</f>
        <v/>
      </c>
    </row>
    <row r="869" customFormat="false" ht="15" hidden="false" customHeight="false" outlineLevel="0" collapsed="false">
      <c r="A869" s="20"/>
      <c r="B869" s="19"/>
      <c r="C869" s="19"/>
      <c r="D869" s="21"/>
      <c r="E869" s="19"/>
      <c r="F869" s="19"/>
      <c r="G869" s="23" t="str">
        <f aca="false">IF(A869="","",TEXT(A869,"yyyy-mm"))</f>
        <v/>
      </c>
      <c r="H869" s="22" t="str">
        <f aca="false">IF(A869="","",N(H868)+IF(B869="Masuk",N(D869),-N(D869)))</f>
        <v/>
      </c>
    </row>
    <row r="870" customFormat="false" ht="15" hidden="false" customHeight="false" outlineLevel="0" collapsed="false">
      <c r="A870" s="20"/>
      <c r="B870" s="19"/>
      <c r="C870" s="19"/>
      <c r="D870" s="21"/>
      <c r="E870" s="19"/>
      <c r="F870" s="19"/>
      <c r="G870" s="23" t="str">
        <f aca="false">IF(A870="","",TEXT(A870,"yyyy-mm"))</f>
        <v/>
      </c>
      <c r="H870" s="22" t="str">
        <f aca="false">IF(A870="","",N(H869)+IF(B870="Masuk",N(D870),-N(D870)))</f>
        <v/>
      </c>
    </row>
    <row r="871" customFormat="false" ht="15" hidden="false" customHeight="false" outlineLevel="0" collapsed="false">
      <c r="A871" s="20"/>
      <c r="B871" s="19"/>
      <c r="C871" s="19"/>
      <c r="D871" s="21"/>
      <c r="E871" s="19"/>
      <c r="F871" s="19"/>
      <c r="G871" s="23" t="str">
        <f aca="false">IF(A871="","",TEXT(A871,"yyyy-mm"))</f>
        <v/>
      </c>
      <c r="H871" s="22" t="str">
        <f aca="false">IF(A871="","",N(H870)+IF(B871="Masuk",N(D871),-N(D871)))</f>
        <v/>
      </c>
    </row>
    <row r="872" customFormat="false" ht="15" hidden="false" customHeight="false" outlineLevel="0" collapsed="false">
      <c r="A872" s="20"/>
      <c r="B872" s="19"/>
      <c r="C872" s="19"/>
      <c r="D872" s="21"/>
      <c r="E872" s="19"/>
      <c r="F872" s="19"/>
      <c r="G872" s="23" t="str">
        <f aca="false">IF(A872="","",TEXT(A872,"yyyy-mm"))</f>
        <v/>
      </c>
      <c r="H872" s="22" t="str">
        <f aca="false">IF(A872="","",N(H871)+IF(B872="Masuk",N(D872),-N(D872)))</f>
        <v/>
      </c>
    </row>
    <row r="873" customFormat="false" ht="15" hidden="false" customHeight="false" outlineLevel="0" collapsed="false">
      <c r="A873" s="20"/>
      <c r="B873" s="19"/>
      <c r="C873" s="19"/>
      <c r="D873" s="21"/>
      <c r="E873" s="19"/>
      <c r="F873" s="19"/>
      <c r="G873" s="23" t="str">
        <f aca="false">IF(A873="","",TEXT(A873,"yyyy-mm"))</f>
        <v/>
      </c>
      <c r="H873" s="22" t="str">
        <f aca="false">IF(A873="","",N(H872)+IF(B873="Masuk",N(D873),-N(D873)))</f>
        <v/>
      </c>
    </row>
    <row r="874" customFormat="false" ht="15" hidden="false" customHeight="false" outlineLevel="0" collapsed="false">
      <c r="A874" s="20"/>
      <c r="B874" s="19"/>
      <c r="C874" s="19"/>
      <c r="D874" s="21"/>
      <c r="E874" s="19"/>
      <c r="F874" s="19"/>
      <c r="G874" s="23" t="str">
        <f aca="false">IF(A874="","",TEXT(A874,"yyyy-mm"))</f>
        <v/>
      </c>
      <c r="H874" s="22" t="str">
        <f aca="false">IF(A874="","",N(H873)+IF(B874="Masuk",N(D874),-N(D874)))</f>
        <v/>
      </c>
    </row>
    <row r="875" customFormat="false" ht="15" hidden="false" customHeight="false" outlineLevel="0" collapsed="false">
      <c r="A875" s="20"/>
      <c r="B875" s="19"/>
      <c r="C875" s="19"/>
      <c r="D875" s="21"/>
      <c r="E875" s="19"/>
      <c r="F875" s="19"/>
      <c r="G875" s="23" t="str">
        <f aca="false">IF(A875="","",TEXT(A875,"yyyy-mm"))</f>
        <v/>
      </c>
      <c r="H875" s="22" t="str">
        <f aca="false">IF(A875="","",N(H874)+IF(B875="Masuk",N(D875),-N(D875)))</f>
        <v/>
      </c>
    </row>
    <row r="876" customFormat="false" ht="15" hidden="false" customHeight="false" outlineLevel="0" collapsed="false">
      <c r="A876" s="20"/>
      <c r="B876" s="19"/>
      <c r="C876" s="19"/>
      <c r="D876" s="21"/>
      <c r="E876" s="19"/>
      <c r="F876" s="19"/>
      <c r="G876" s="23" t="str">
        <f aca="false">IF(A876="","",TEXT(A876,"yyyy-mm"))</f>
        <v/>
      </c>
      <c r="H876" s="22" t="str">
        <f aca="false">IF(A876="","",N(H875)+IF(B876="Masuk",N(D876),-N(D876)))</f>
        <v/>
      </c>
    </row>
    <row r="877" customFormat="false" ht="15" hidden="false" customHeight="false" outlineLevel="0" collapsed="false">
      <c r="A877" s="20"/>
      <c r="B877" s="19"/>
      <c r="C877" s="19"/>
      <c r="D877" s="21"/>
      <c r="E877" s="19"/>
      <c r="F877" s="19"/>
      <c r="G877" s="23" t="str">
        <f aca="false">IF(A877="","",TEXT(A877,"yyyy-mm"))</f>
        <v/>
      </c>
      <c r="H877" s="22" t="str">
        <f aca="false">IF(A877="","",N(H876)+IF(B877="Masuk",N(D877),-N(D877)))</f>
        <v/>
      </c>
    </row>
    <row r="878" customFormat="false" ht="15" hidden="false" customHeight="false" outlineLevel="0" collapsed="false">
      <c r="A878" s="20"/>
      <c r="B878" s="19"/>
      <c r="C878" s="19"/>
      <c r="D878" s="21"/>
      <c r="E878" s="19"/>
      <c r="F878" s="19"/>
      <c r="G878" s="23" t="str">
        <f aca="false">IF(A878="","",TEXT(A878,"yyyy-mm"))</f>
        <v/>
      </c>
      <c r="H878" s="22" t="str">
        <f aca="false">IF(A878="","",N(H877)+IF(B878="Masuk",N(D878),-N(D878)))</f>
        <v/>
      </c>
    </row>
    <row r="879" customFormat="false" ht="15" hidden="false" customHeight="false" outlineLevel="0" collapsed="false">
      <c r="A879" s="20"/>
      <c r="B879" s="19"/>
      <c r="C879" s="19"/>
      <c r="D879" s="21"/>
      <c r="E879" s="19"/>
      <c r="F879" s="19"/>
      <c r="G879" s="23" t="str">
        <f aca="false">IF(A879="","",TEXT(A879,"yyyy-mm"))</f>
        <v/>
      </c>
      <c r="H879" s="22" t="str">
        <f aca="false">IF(A879="","",N(H878)+IF(B879="Masuk",N(D879),-N(D879)))</f>
        <v/>
      </c>
    </row>
    <row r="880" customFormat="false" ht="15" hidden="false" customHeight="false" outlineLevel="0" collapsed="false">
      <c r="A880" s="20"/>
      <c r="B880" s="19"/>
      <c r="C880" s="19"/>
      <c r="D880" s="21"/>
      <c r="E880" s="19"/>
      <c r="F880" s="19"/>
      <c r="G880" s="23" t="str">
        <f aca="false">IF(A880="","",TEXT(A880,"yyyy-mm"))</f>
        <v/>
      </c>
      <c r="H880" s="22" t="str">
        <f aca="false">IF(A880="","",N(H879)+IF(B880="Masuk",N(D880),-N(D880)))</f>
        <v/>
      </c>
    </row>
    <row r="881" customFormat="false" ht="15" hidden="false" customHeight="false" outlineLevel="0" collapsed="false">
      <c r="A881" s="20"/>
      <c r="B881" s="19"/>
      <c r="C881" s="19"/>
      <c r="D881" s="21"/>
      <c r="E881" s="19"/>
      <c r="F881" s="19"/>
      <c r="G881" s="23" t="str">
        <f aca="false">IF(A881="","",TEXT(A881,"yyyy-mm"))</f>
        <v/>
      </c>
      <c r="H881" s="22" t="str">
        <f aca="false">IF(A881="","",N(H880)+IF(B881="Masuk",N(D881),-N(D881)))</f>
        <v/>
      </c>
    </row>
    <row r="882" customFormat="false" ht="15" hidden="false" customHeight="false" outlineLevel="0" collapsed="false">
      <c r="A882" s="20"/>
      <c r="B882" s="19"/>
      <c r="C882" s="19"/>
      <c r="D882" s="21"/>
      <c r="E882" s="19"/>
      <c r="F882" s="19"/>
      <c r="G882" s="23" t="str">
        <f aca="false">IF(A882="","",TEXT(A882,"yyyy-mm"))</f>
        <v/>
      </c>
      <c r="H882" s="22" t="str">
        <f aca="false">IF(A882="","",N(H881)+IF(B882="Masuk",N(D882),-N(D882)))</f>
        <v/>
      </c>
    </row>
    <row r="883" customFormat="false" ht="15" hidden="false" customHeight="false" outlineLevel="0" collapsed="false">
      <c r="A883" s="20"/>
      <c r="B883" s="19"/>
      <c r="C883" s="19"/>
      <c r="D883" s="21"/>
      <c r="E883" s="19"/>
      <c r="F883" s="19"/>
      <c r="G883" s="23" t="str">
        <f aca="false">IF(A883="","",TEXT(A883,"yyyy-mm"))</f>
        <v/>
      </c>
      <c r="H883" s="22" t="str">
        <f aca="false">IF(A883="","",N(H882)+IF(B883="Masuk",N(D883),-N(D883)))</f>
        <v/>
      </c>
    </row>
    <row r="884" customFormat="false" ht="15" hidden="false" customHeight="false" outlineLevel="0" collapsed="false">
      <c r="A884" s="20"/>
      <c r="B884" s="19"/>
      <c r="C884" s="19"/>
      <c r="D884" s="21"/>
      <c r="E884" s="19"/>
      <c r="F884" s="19"/>
      <c r="G884" s="23" t="str">
        <f aca="false">IF(A884="","",TEXT(A884,"yyyy-mm"))</f>
        <v/>
      </c>
      <c r="H884" s="22" t="str">
        <f aca="false">IF(A884="","",N(H883)+IF(B884="Masuk",N(D884),-N(D884)))</f>
        <v/>
      </c>
    </row>
    <row r="885" customFormat="false" ht="15" hidden="false" customHeight="false" outlineLevel="0" collapsed="false">
      <c r="A885" s="20"/>
      <c r="B885" s="19"/>
      <c r="C885" s="19"/>
      <c r="D885" s="21"/>
      <c r="E885" s="19"/>
      <c r="F885" s="19"/>
      <c r="G885" s="23" t="str">
        <f aca="false">IF(A885="","",TEXT(A885,"yyyy-mm"))</f>
        <v/>
      </c>
      <c r="H885" s="22" t="str">
        <f aca="false">IF(A885="","",N(H884)+IF(B885="Masuk",N(D885),-N(D885)))</f>
        <v/>
      </c>
    </row>
    <row r="886" customFormat="false" ht="15" hidden="false" customHeight="false" outlineLevel="0" collapsed="false">
      <c r="A886" s="20"/>
      <c r="B886" s="19"/>
      <c r="C886" s="19"/>
      <c r="D886" s="21"/>
      <c r="E886" s="19"/>
      <c r="F886" s="19"/>
      <c r="G886" s="23" t="str">
        <f aca="false">IF(A886="","",TEXT(A886,"yyyy-mm"))</f>
        <v/>
      </c>
      <c r="H886" s="22" t="str">
        <f aca="false">IF(A886="","",N(H885)+IF(B886="Masuk",N(D886),-N(D886)))</f>
        <v/>
      </c>
    </row>
    <row r="887" customFormat="false" ht="15" hidden="false" customHeight="false" outlineLevel="0" collapsed="false">
      <c r="A887" s="20"/>
      <c r="B887" s="19"/>
      <c r="C887" s="19"/>
      <c r="D887" s="21"/>
      <c r="E887" s="19"/>
      <c r="F887" s="19"/>
      <c r="G887" s="23" t="str">
        <f aca="false">IF(A887="","",TEXT(A887,"yyyy-mm"))</f>
        <v/>
      </c>
      <c r="H887" s="22" t="str">
        <f aca="false">IF(A887="","",N(H886)+IF(B887="Masuk",N(D887),-N(D887)))</f>
        <v/>
      </c>
    </row>
    <row r="888" customFormat="false" ht="15" hidden="false" customHeight="false" outlineLevel="0" collapsed="false">
      <c r="A888" s="20"/>
      <c r="B888" s="19"/>
      <c r="C888" s="19"/>
      <c r="D888" s="21"/>
      <c r="E888" s="19"/>
      <c r="F888" s="19"/>
      <c r="G888" s="23" t="str">
        <f aca="false">IF(A888="","",TEXT(A888,"yyyy-mm"))</f>
        <v/>
      </c>
      <c r="H888" s="22" t="str">
        <f aca="false">IF(A888="","",N(H887)+IF(B888="Masuk",N(D888),-N(D888)))</f>
        <v/>
      </c>
    </row>
    <row r="889" customFormat="false" ht="15" hidden="false" customHeight="false" outlineLevel="0" collapsed="false">
      <c r="A889" s="20"/>
      <c r="B889" s="19"/>
      <c r="C889" s="19"/>
      <c r="D889" s="21"/>
      <c r="E889" s="19"/>
      <c r="F889" s="19"/>
      <c r="G889" s="23" t="str">
        <f aca="false">IF(A889="","",TEXT(A889,"yyyy-mm"))</f>
        <v/>
      </c>
      <c r="H889" s="22" t="str">
        <f aca="false">IF(A889="","",N(H888)+IF(B889="Masuk",N(D889),-N(D889)))</f>
        <v/>
      </c>
    </row>
    <row r="890" customFormat="false" ht="15" hidden="false" customHeight="false" outlineLevel="0" collapsed="false">
      <c r="A890" s="20"/>
      <c r="B890" s="19"/>
      <c r="C890" s="19"/>
      <c r="D890" s="21"/>
      <c r="E890" s="19"/>
      <c r="F890" s="19"/>
      <c r="G890" s="23" t="str">
        <f aca="false">IF(A890="","",TEXT(A890,"yyyy-mm"))</f>
        <v/>
      </c>
      <c r="H890" s="22" t="str">
        <f aca="false">IF(A890="","",N(H889)+IF(B890="Masuk",N(D890),-N(D890)))</f>
        <v/>
      </c>
    </row>
    <row r="891" customFormat="false" ht="15" hidden="false" customHeight="false" outlineLevel="0" collapsed="false">
      <c r="A891" s="20"/>
      <c r="B891" s="19"/>
      <c r="C891" s="19"/>
      <c r="D891" s="21"/>
      <c r="E891" s="19"/>
      <c r="F891" s="19"/>
      <c r="G891" s="23" t="str">
        <f aca="false">IF(A891="","",TEXT(A891,"yyyy-mm"))</f>
        <v/>
      </c>
      <c r="H891" s="22" t="str">
        <f aca="false">IF(A891="","",N(H890)+IF(B891="Masuk",N(D891),-N(D891)))</f>
        <v/>
      </c>
    </row>
    <row r="892" customFormat="false" ht="15" hidden="false" customHeight="false" outlineLevel="0" collapsed="false">
      <c r="A892" s="20"/>
      <c r="B892" s="19"/>
      <c r="C892" s="19"/>
      <c r="D892" s="21"/>
      <c r="E892" s="19"/>
      <c r="F892" s="19"/>
      <c r="G892" s="23" t="str">
        <f aca="false">IF(A892="","",TEXT(A892,"yyyy-mm"))</f>
        <v/>
      </c>
      <c r="H892" s="22" t="str">
        <f aca="false">IF(A892="","",N(H891)+IF(B892="Masuk",N(D892),-N(D892)))</f>
        <v/>
      </c>
    </row>
    <row r="893" customFormat="false" ht="15" hidden="false" customHeight="false" outlineLevel="0" collapsed="false">
      <c r="A893" s="20"/>
      <c r="B893" s="19"/>
      <c r="C893" s="19"/>
      <c r="D893" s="21"/>
      <c r="E893" s="19"/>
      <c r="F893" s="19"/>
      <c r="G893" s="23" t="str">
        <f aca="false">IF(A893="","",TEXT(A893,"yyyy-mm"))</f>
        <v/>
      </c>
      <c r="H893" s="22" t="str">
        <f aca="false">IF(A893="","",N(H892)+IF(B893="Masuk",N(D893),-N(D893)))</f>
        <v/>
      </c>
    </row>
    <row r="894" customFormat="false" ht="15" hidden="false" customHeight="false" outlineLevel="0" collapsed="false">
      <c r="A894" s="20"/>
      <c r="B894" s="19"/>
      <c r="C894" s="19"/>
      <c r="D894" s="21"/>
      <c r="E894" s="19"/>
      <c r="F894" s="19"/>
      <c r="G894" s="23" t="str">
        <f aca="false">IF(A894="","",TEXT(A894,"yyyy-mm"))</f>
        <v/>
      </c>
      <c r="H894" s="22" t="str">
        <f aca="false">IF(A894="","",N(H893)+IF(B894="Masuk",N(D894),-N(D894)))</f>
        <v/>
      </c>
    </row>
    <row r="895" customFormat="false" ht="15" hidden="false" customHeight="false" outlineLevel="0" collapsed="false">
      <c r="A895" s="20"/>
      <c r="B895" s="19"/>
      <c r="C895" s="19"/>
      <c r="D895" s="21"/>
      <c r="E895" s="19"/>
      <c r="F895" s="19"/>
      <c r="G895" s="23" t="str">
        <f aca="false">IF(A895="","",TEXT(A895,"yyyy-mm"))</f>
        <v/>
      </c>
      <c r="H895" s="22" t="str">
        <f aca="false">IF(A895="","",N(H894)+IF(B895="Masuk",N(D895),-N(D895)))</f>
        <v/>
      </c>
    </row>
    <row r="896" customFormat="false" ht="15" hidden="false" customHeight="false" outlineLevel="0" collapsed="false">
      <c r="A896" s="20"/>
      <c r="B896" s="19"/>
      <c r="C896" s="19"/>
      <c r="D896" s="21"/>
      <c r="E896" s="19"/>
      <c r="F896" s="19"/>
      <c r="G896" s="23" t="str">
        <f aca="false">IF(A896="","",TEXT(A896,"yyyy-mm"))</f>
        <v/>
      </c>
      <c r="H896" s="22" t="str">
        <f aca="false">IF(A896="","",N(H895)+IF(B896="Masuk",N(D896),-N(D896)))</f>
        <v/>
      </c>
    </row>
    <row r="897" customFormat="false" ht="15" hidden="false" customHeight="false" outlineLevel="0" collapsed="false">
      <c r="A897" s="20"/>
      <c r="B897" s="19"/>
      <c r="C897" s="19"/>
      <c r="D897" s="21"/>
      <c r="E897" s="19"/>
      <c r="F897" s="19"/>
      <c r="G897" s="23" t="str">
        <f aca="false">IF(A897="","",TEXT(A897,"yyyy-mm"))</f>
        <v/>
      </c>
      <c r="H897" s="22" t="str">
        <f aca="false">IF(A897="","",N(H896)+IF(B897="Masuk",N(D897),-N(D897)))</f>
        <v/>
      </c>
    </row>
    <row r="898" customFormat="false" ht="15" hidden="false" customHeight="false" outlineLevel="0" collapsed="false">
      <c r="A898" s="20"/>
      <c r="B898" s="19"/>
      <c r="C898" s="19"/>
      <c r="D898" s="21"/>
      <c r="E898" s="19"/>
      <c r="F898" s="19"/>
      <c r="G898" s="23" t="str">
        <f aca="false">IF(A898="","",TEXT(A898,"yyyy-mm"))</f>
        <v/>
      </c>
      <c r="H898" s="22" t="str">
        <f aca="false">IF(A898="","",N(H897)+IF(B898="Masuk",N(D898),-N(D898)))</f>
        <v/>
      </c>
    </row>
    <row r="899" customFormat="false" ht="15" hidden="false" customHeight="false" outlineLevel="0" collapsed="false">
      <c r="A899" s="20"/>
      <c r="B899" s="19"/>
      <c r="C899" s="19"/>
      <c r="D899" s="21"/>
      <c r="E899" s="19"/>
      <c r="F899" s="19"/>
      <c r="G899" s="23" t="str">
        <f aca="false">IF(A899="","",TEXT(A899,"yyyy-mm"))</f>
        <v/>
      </c>
      <c r="H899" s="22" t="str">
        <f aca="false">IF(A899="","",N(H898)+IF(B899="Masuk",N(D899),-N(D899)))</f>
        <v/>
      </c>
    </row>
    <row r="900" customFormat="false" ht="15" hidden="false" customHeight="false" outlineLevel="0" collapsed="false">
      <c r="A900" s="20"/>
      <c r="B900" s="19"/>
      <c r="C900" s="19"/>
      <c r="D900" s="21"/>
      <c r="E900" s="19"/>
      <c r="F900" s="19"/>
      <c r="G900" s="23" t="str">
        <f aca="false">IF(A900="","",TEXT(A900,"yyyy-mm"))</f>
        <v/>
      </c>
      <c r="H900" s="22" t="str">
        <f aca="false">IF(A900="","",N(H899)+IF(B900="Masuk",N(D900),-N(D900)))</f>
        <v/>
      </c>
    </row>
    <row r="901" customFormat="false" ht="15" hidden="false" customHeight="false" outlineLevel="0" collapsed="false">
      <c r="A901" s="20"/>
      <c r="B901" s="19"/>
      <c r="C901" s="19"/>
      <c r="D901" s="21"/>
      <c r="E901" s="19"/>
      <c r="F901" s="19"/>
      <c r="G901" s="23" t="str">
        <f aca="false">IF(A901="","",TEXT(A901,"yyyy-mm"))</f>
        <v/>
      </c>
      <c r="H901" s="22" t="str">
        <f aca="false">IF(A901="","",N(H900)+IF(B901="Masuk",N(D901),-N(D901)))</f>
        <v/>
      </c>
    </row>
    <row r="902" customFormat="false" ht="15" hidden="false" customHeight="false" outlineLevel="0" collapsed="false">
      <c r="A902" s="20"/>
      <c r="B902" s="19"/>
      <c r="C902" s="19"/>
      <c r="D902" s="21"/>
      <c r="E902" s="19"/>
      <c r="F902" s="19"/>
      <c r="G902" s="23" t="str">
        <f aca="false">IF(A902="","",TEXT(A902,"yyyy-mm"))</f>
        <v/>
      </c>
      <c r="H902" s="22" t="str">
        <f aca="false">IF(A902="","",N(H901)+IF(B902="Masuk",N(D902),-N(D902)))</f>
        <v/>
      </c>
    </row>
    <row r="903" customFormat="false" ht="15" hidden="false" customHeight="false" outlineLevel="0" collapsed="false">
      <c r="A903" s="20"/>
      <c r="B903" s="19"/>
      <c r="C903" s="19"/>
      <c r="D903" s="21"/>
      <c r="E903" s="19"/>
      <c r="F903" s="19"/>
      <c r="G903" s="23" t="str">
        <f aca="false">IF(A903="","",TEXT(A903,"yyyy-mm"))</f>
        <v/>
      </c>
      <c r="H903" s="22" t="str">
        <f aca="false">IF(A903="","",N(H902)+IF(B903="Masuk",N(D903),-N(D903)))</f>
        <v/>
      </c>
    </row>
    <row r="904" customFormat="false" ht="15" hidden="false" customHeight="false" outlineLevel="0" collapsed="false">
      <c r="A904" s="20"/>
      <c r="B904" s="19"/>
      <c r="C904" s="19"/>
      <c r="D904" s="21"/>
      <c r="E904" s="19"/>
      <c r="F904" s="19"/>
      <c r="G904" s="23" t="str">
        <f aca="false">IF(A904="","",TEXT(A904,"yyyy-mm"))</f>
        <v/>
      </c>
      <c r="H904" s="22" t="str">
        <f aca="false">IF(A904="","",N(H903)+IF(B904="Masuk",N(D904),-N(D904)))</f>
        <v/>
      </c>
    </row>
    <row r="905" customFormat="false" ht="15" hidden="false" customHeight="false" outlineLevel="0" collapsed="false">
      <c r="A905" s="20"/>
      <c r="B905" s="19"/>
      <c r="C905" s="19"/>
      <c r="D905" s="21"/>
      <c r="E905" s="19"/>
      <c r="F905" s="19"/>
      <c r="G905" s="23" t="str">
        <f aca="false">IF(A905="","",TEXT(A905,"yyyy-mm"))</f>
        <v/>
      </c>
      <c r="H905" s="22" t="str">
        <f aca="false">IF(A905="","",N(H904)+IF(B905="Masuk",N(D905),-N(D905)))</f>
        <v/>
      </c>
    </row>
    <row r="906" customFormat="false" ht="15" hidden="false" customHeight="false" outlineLevel="0" collapsed="false">
      <c r="A906" s="20"/>
      <c r="B906" s="19"/>
      <c r="C906" s="19"/>
      <c r="D906" s="21"/>
      <c r="E906" s="19"/>
      <c r="F906" s="19"/>
      <c r="G906" s="23" t="str">
        <f aca="false">IF(A906="","",TEXT(A906,"yyyy-mm"))</f>
        <v/>
      </c>
      <c r="H906" s="22" t="str">
        <f aca="false">IF(A906="","",N(H905)+IF(B906="Masuk",N(D906),-N(D906)))</f>
        <v/>
      </c>
    </row>
    <row r="907" customFormat="false" ht="15" hidden="false" customHeight="false" outlineLevel="0" collapsed="false">
      <c r="A907" s="20"/>
      <c r="B907" s="19"/>
      <c r="C907" s="19"/>
      <c r="D907" s="21"/>
      <c r="E907" s="19"/>
      <c r="F907" s="19"/>
      <c r="G907" s="23" t="str">
        <f aca="false">IF(A907="","",TEXT(A907,"yyyy-mm"))</f>
        <v/>
      </c>
      <c r="H907" s="22" t="str">
        <f aca="false">IF(A907="","",N(H906)+IF(B907="Masuk",N(D907),-N(D907)))</f>
        <v/>
      </c>
    </row>
    <row r="908" customFormat="false" ht="15" hidden="false" customHeight="false" outlineLevel="0" collapsed="false">
      <c r="A908" s="20"/>
      <c r="B908" s="19"/>
      <c r="C908" s="19"/>
      <c r="D908" s="21"/>
      <c r="E908" s="19"/>
      <c r="F908" s="19"/>
      <c r="G908" s="23" t="str">
        <f aca="false">IF(A908="","",TEXT(A908,"yyyy-mm"))</f>
        <v/>
      </c>
      <c r="H908" s="22" t="str">
        <f aca="false">IF(A908="","",N(H907)+IF(B908="Masuk",N(D908),-N(D908)))</f>
        <v/>
      </c>
    </row>
    <row r="909" customFormat="false" ht="15" hidden="false" customHeight="false" outlineLevel="0" collapsed="false">
      <c r="A909" s="20"/>
      <c r="B909" s="19"/>
      <c r="C909" s="19"/>
      <c r="D909" s="21"/>
      <c r="E909" s="19"/>
      <c r="F909" s="19"/>
      <c r="G909" s="23" t="str">
        <f aca="false">IF(A909="","",TEXT(A909,"yyyy-mm"))</f>
        <v/>
      </c>
      <c r="H909" s="22" t="str">
        <f aca="false">IF(A909="","",N(H908)+IF(B909="Masuk",N(D909),-N(D909)))</f>
        <v/>
      </c>
    </row>
    <row r="910" customFormat="false" ht="15" hidden="false" customHeight="false" outlineLevel="0" collapsed="false">
      <c r="A910" s="20"/>
      <c r="B910" s="19"/>
      <c r="C910" s="19"/>
      <c r="D910" s="21"/>
      <c r="E910" s="19"/>
      <c r="F910" s="19"/>
      <c r="G910" s="23" t="str">
        <f aca="false">IF(A910="","",TEXT(A910,"yyyy-mm"))</f>
        <v/>
      </c>
      <c r="H910" s="22" t="str">
        <f aca="false">IF(A910="","",N(H909)+IF(B910="Masuk",N(D910),-N(D910)))</f>
        <v/>
      </c>
    </row>
    <row r="911" customFormat="false" ht="15" hidden="false" customHeight="false" outlineLevel="0" collapsed="false">
      <c r="A911" s="20"/>
      <c r="B911" s="19"/>
      <c r="C911" s="19"/>
      <c r="D911" s="21"/>
      <c r="E911" s="19"/>
      <c r="F911" s="19"/>
      <c r="G911" s="23" t="str">
        <f aca="false">IF(A911="","",TEXT(A911,"yyyy-mm"))</f>
        <v/>
      </c>
      <c r="H911" s="22" t="str">
        <f aca="false">IF(A911="","",N(H910)+IF(B911="Masuk",N(D911),-N(D911)))</f>
        <v/>
      </c>
    </row>
    <row r="912" customFormat="false" ht="15" hidden="false" customHeight="false" outlineLevel="0" collapsed="false">
      <c r="A912" s="20"/>
      <c r="B912" s="19"/>
      <c r="C912" s="19"/>
      <c r="D912" s="21"/>
      <c r="E912" s="19"/>
      <c r="F912" s="19"/>
      <c r="G912" s="23" t="str">
        <f aca="false">IF(A912="","",TEXT(A912,"yyyy-mm"))</f>
        <v/>
      </c>
      <c r="H912" s="22" t="str">
        <f aca="false">IF(A912="","",N(H911)+IF(B912="Masuk",N(D912),-N(D912)))</f>
        <v/>
      </c>
    </row>
    <row r="913" customFormat="false" ht="15" hidden="false" customHeight="false" outlineLevel="0" collapsed="false">
      <c r="A913" s="20"/>
      <c r="B913" s="19"/>
      <c r="C913" s="19"/>
      <c r="D913" s="21"/>
      <c r="E913" s="19"/>
      <c r="F913" s="19"/>
      <c r="G913" s="23" t="str">
        <f aca="false">IF(A913="","",TEXT(A913,"yyyy-mm"))</f>
        <v/>
      </c>
      <c r="H913" s="22" t="str">
        <f aca="false">IF(A913="","",N(H912)+IF(B913="Masuk",N(D913),-N(D913)))</f>
        <v/>
      </c>
    </row>
    <row r="914" customFormat="false" ht="15" hidden="false" customHeight="false" outlineLevel="0" collapsed="false">
      <c r="A914" s="20"/>
      <c r="B914" s="19"/>
      <c r="C914" s="19"/>
      <c r="D914" s="21"/>
      <c r="E914" s="19"/>
      <c r="F914" s="19"/>
      <c r="G914" s="23" t="str">
        <f aca="false">IF(A914="","",TEXT(A914,"yyyy-mm"))</f>
        <v/>
      </c>
      <c r="H914" s="22" t="str">
        <f aca="false">IF(A914="","",N(H913)+IF(B914="Masuk",N(D914),-N(D914)))</f>
        <v/>
      </c>
    </row>
    <row r="915" customFormat="false" ht="15" hidden="false" customHeight="false" outlineLevel="0" collapsed="false">
      <c r="A915" s="20"/>
      <c r="B915" s="19"/>
      <c r="C915" s="19"/>
      <c r="D915" s="21"/>
      <c r="E915" s="19"/>
      <c r="F915" s="19"/>
      <c r="G915" s="23" t="str">
        <f aca="false">IF(A915="","",TEXT(A915,"yyyy-mm"))</f>
        <v/>
      </c>
      <c r="H915" s="22" t="str">
        <f aca="false">IF(A915="","",N(H914)+IF(B915="Masuk",N(D915),-N(D915)))</f>
        <v/>
      </c>
    </row>
    <row r="916" customFormat="false" ht="15" hidden="false" customHeight="false" outlineLevel="0" collapsed="false">
      <c r="A916" s="20"/>
      <c r="B916" s="19"/>
      <c r="C916" s="19"/>
      <c r="D916" s="21"/>
      <c r="E916" s="19"/>
      <c r="F916" s="19"/>
      <c r="G916" s="23" t="str">
        <f aca="false">IF(A916="","",TEXT(A916,"yyyy-mm"))</f>
        <v/>
      </c>
      <c r="H916" s="22" t="str">
        <f aca="false">IF(A916="","",N(H915)+IF(B916="Masuk",N(D916),-N(D916)))</f>
        <v/>
      </c>
    </row>
    <row r="917" customFormat="false" ht="15" hidden="false" customHeight="false" outlineLevel="0" collapsed="false">
      <c r="A917" s="20"/>
      <c r="B917" s="19"/>
      <c r="C917" s="19"/>
      <c r="D917" s="21"/>
      <c r="E917" s="19"/>
      <c r="F917" s="19"/>
      <c r="G917" s="23" t="str">
        <f aca="false">IF(A917="","",TEXT(A917,"yyyy-mm"))</f>
        <v/>
      </c>
      <c r="H917" s="22" t="str">
        <f aca="false">IF(A917="","",N(H916)+IF(B917="Masuk",N(D917),-N(D917)))</f>
        <v/>
      </c>
    </row>
    <row r="918" customFormat="false" ht="15" hidden="false" customHeight="false" outlineLevel="0" collapsed="false">
      <c r="A918" s="20"/>
      <c r="B918" s="19"/>
      <c r="C918" s="19"/>
      <c r="D918" s="21"/>
      <c r="E918" s="19"/>
      <c r="F918" s="19"/>
      <c r="G918" s="23" t="str">
        <f aca="false">IF(A918="","",TEXT(A918,"yyyy-mm"))</f>
        <v/>
      </c>
      <c r="H918" s="22" t="str">
        <f aca="false">IF(A918="","",N(H917)+IF(B918="Masuk",N(D918),-N(D918)))</f>
        <v/>
      </c>
    </row>
    <row r="919" customFormat="false" ht="15" hidden="false" customHeight="false" outlineLevel="0" collapsed="false">
      <c r="A919" s="20"/>
      <c r="B919" s="19"/>
      <c r="C919" s="19"/>
      <c r="D919" s="21"/>
      <c r="E919" s="19"/>
      <c r="F919" s="19"/>
      <c r="G919" s="23" t="str">
        <f aca="false">IF(A919="","",TEXT(A919,"yyyy-mm"))</f>
        <v/>
      </c>
      <c r="H919" s="22" t="str">
        <f aca="false">IF(A919="","",N(H918)+IF(B919="Masuk",N(D919),-N(D919)))</f>
        <v/>
      </c>
    </row>
    <row r="920" customFormat="false" ht="15" hidden="false" customHeight="false" outlineLevel="0" collapsed="false">
      <c r="A920" s="20"/>
      <c r="B920" s="19"/>
      <c r="C920" s="19"/>
      <c r="D920" s="21"/>
      <c r="E920" s="19"/>
      <c r="F920" s="19"/>
      <c r="G920" s="23" t="str">
        <f aca="false">IF(A920="","",TEXT(A920,"yyyy-mm"))</f>
        <v/>
      </c>
      <c r="H920" s="22" t="str">
        <f aca="false">IF(A920="","",N(H919)+IF(B920="Masuk",N(D920),-N(D920)))</f>
        <v/>
      </c>
    </row>
    <row r="921" customFormat="false" ht="15" hidden="false" customHeight="false" outlineLevel="0" collapsed="false">
      <c r="A921" s="20"/>
      <c r="B921" s="19"/>
      <c r="C921" s="19"/>
      <c r="D921" s="21"/>
      <c r="E921" s="19"/>
      <c r="F921" s="19"/>
      <c r="G921" s="23" t="str">
        <f aca="false">IF(A921="","",TEXT(A921,"yyyy-mm"))</f>
        <v/>
      </c>
      <c r="H921" s="22" t="str">
        <f aca="false">IF(A921="","",N(H920)+IF(B921="Masuk",N(D921),-N(D921)))</f>
        <v/>
      </c>
    </row>
    <row r="922" customFormat="false" ht="15" hidden="false" customHeight="false" outlineLevel="0" collapsed="false">
      <c r="A922" s="20"/>
      <c r="B922" s="19"/>
      <c r="C922" s="19"/>
      <c r="D922" s="21"/>
      <c r="E922" s="19"/>
      <c r="F922" s="19"/>
      <c r="G922" s="23" t="str">
        <f aca="false">IF(A922="","",TEXT(A922,"yyyy-mm"))</f>
        <v/>
      </c>
      <c r="H922" s="22" t="str">
        <f aca="false">IF(A922="","",N(H921)+IF(B922="Masuk",N(D922),-N(D922)))</f>
        <v/>
      </c>
    </row>
    <row r="923" customFormat="false" ht="15" hidden="false" customHeight="false" outlineLevel="0" collapsed="false">
      <c r="A923" s="20"/>
      <c r="B923" s="19"/>
      <c r="C923" s="19"/>
      <c r="D923" s="21"/>
      <c r="E923" s="19"/>
      <c r="F923" s="19"/>
      <c r="G923" s="23" t="str">
        <f aca="false">IF(A923="","",TEXT(A923,"yyyy-mm"))</f>
        <v/>
      </c>
      <c r="H923" s="22" t="str">
        <f aca="false">IF(A923="","",N(H922)+IF(B923="Masuk",N(D923),-N(D923)))</f>
        <v/>
      </c>
    </row>
    <row r="924" customFormat="false" ht="15" hidden="false" customHeight="false" outlineLevel="0" collapsed="false">
      <c r="A924" s="20"/>
      <c r="B924" s="19"/>
      <c r="C924" s="19"/>
      <c r="D924" s="21"/>
      <c r="E924" s="19"/>
      <c r="F924" s="19"/>
      <c r="G924" s="23" t="str">
        <f aca="false">IF(A924="","",TEXT(A924,"yyyy-mm"))</f>
        <v/>
      </c>
      <c r="H924" s="22" t="str">
        <f aca="false">IF(A924="","",N(H923)+IF(B924="Masuk",N(D924),-N(D924)))</f>
        <v/>
      </c>
    </row>
    <row r="925" customFormat="false" ht="15" hidden="false" customHeight="false" outlineLevel="0" collapsed="false">
      <c r="A925" s="20"/>
      <c r="B925" s="19"/>
      <c r="C925" s="19"/>
      <c r="D925" s="21"/>
      <c r="E925" s="19"/>
      <c r="F925" s="19"/>
      <c r="G925" s="23" t="str">
        <f aca="false">IF(A925="","",TEXT(A925,"yyyy-mm"))</f>
        <v/>
      </c>
      <c r="H925" s="22" t="str">
        <f aca="false">IF(A925="","",N(H924)+IF(B925="Masuk",N(D925),-N(D925)))</f>
        <v/>
      </c>
    </row>
    <row r="926" customFormat="false" ht="15" hidden="false" customHeight="false" outlineLevel="0" collapsed="false">
      <c r="A926" s="20"/>
      <c r="B926" s="19"/>
      <c r="C926" s="19"/>
      <c r="D926" s="21"/>
      <c r="E926" s="19"/>
      <c r="F926" s="19"/>
      <c r="G926" s="23" t="str">
        <f aca="false">IF(A926="","",TEXT(A926,"yyyy-mm"))</f>
        <v/>
      </c>
      <c r="H926" s="22" t="str">
        <f aca="false">IF(A926="","",N(H925)+IF(B926="Masuk",N(D926),-N(D926)))</f>
        <v/>
      </c>
    </row>
    <row r="927" customFormat="false" ht="15" hidden="false" customHeight="false" outlineLevel="0" collapsed="false">
      <c r="A927" s="20"/>
      <c r="B927" s="19"/>
      <c r="C927" s="19"/>
      <c r="D927" s="21"/>
      <c r="E927" s="19"/>
      <c r="F927" s="19"/>
      <c r="G927" s="23" t="str">
        <f aca="false">IF(A927="","",TEXT(A927,"yyyy-mm"))</f>
        <v/>
      </c>
      <c r="H927" s="22" t="str">
        <f aca="false">IF(A927="","",N(H926)+IF(B927="Masuk",N(D927),-N(D927)))</f>
        <v/>
      </c>
    </row>
    <row r="928" customFormat="false" ht="15" hidden="false" customHeight="false" outlineLevel="0" collapsed="false">
      <c r="A928" s="20"/>
      <c r="B928" s="19"/>
      <c r="C928" s="19"/>
      <c r="D928" s="21"/>
      <c r="E928" s="19"/>
      <c r="F928" s="19"/>
      <c r="G928" s="23" t="str">
        <f aca="false">IF(A928="","",TEXT(A928,"yyyy-mm"))</f>
        <v/>
      </c>
      <c r="H928" s="22" t="str">
        <f aca="false">IF(A928="","",N(H927)+IF(B928="Masuk",N(D928),-N(D928)))</f>
        <v/>
      </c>
    </row>
    <row r="929" customFormat="false" ht="15" hidden="false" customHeight="false" outlineLevel="0" collapsed="false">
      <c r="A929" s="20"/>
      <c r="B929" s="19"/>
      <c r="C929" s="19"/>
      <c r="D929" s="21"/>
      <c r="E929" s="19"/>
      <c r="F929" s="19"/>
      <c r="G929" s="23" t="str">
        <f aca="false">IF(A929="","",TEXT(A929,"yyyy-mm"))</f>
        <v/>
      </c>
      <c r="H929" s="22" t="str">
        <f aca="false">IF(A929="","",N(H928)+IF(B929="Masuk",N(D929),-N(D929)))</f>
        <v/>
      </c>
    </row>
    <row r="930" customFormat="false" ht="15" hidden="false" customHeight="false" outlineLevel="0" collapsed="false">
      <c r="A930" s="20"/>
      <c r="B930" s="19"/>
      <c r="C930" s="19"/>
      <c r="D930" s="21"/>
      <c r="E930" s="19"/>
      <c r="F930" s="19"/>
      <c r="G930" s="23" t="str">
        <f aca="false">IF(A930="","",TEXT(A930,"yyyy-mm"))</f>
        <v/>
      </c>
      <c r="H930" s="22" t="str">
        <f aca="false">IF(A930="","",N(H929)+IF(B930="Masuk",N(D930),-N(D930)))</f>
        <v/>
      </c>
    </row>
    <row r="931" customFormat="false" ht="15" hidden="false" customHeight="false" outlineLevel="0" collapsed="false">
      <c r="A931" s="20"/>
      <c r="B931" s="19"/>
      <c r="C931" s="19"/>
      <c r="D931" s="21"/>
      <c r="E931" s="19"/>
      <c r="F931" s="19"/>
      <c r="G931" s="23" t="str">
        <f aca="false">IF(A931="","",TEXT(A931,"yyyy-mm"))</f>
        <v/>
      </c>
      <c r="H931" s="22" t="str">
        <f aca="false">IF(A931="","",N(H930)+IF(B931="Masuk",N(D931),-N(D931)))</f>
        <v/>
      </c>
    </row>
    <row r="932" customFormat="false" ht="15" hidden="false" customHeight="false" outlineLevel="0" collapsed="false">
      <c r="A932" s="20"/>
      <c r="B932" s="19"/>
      <c r="C932" s="19"/>
      <c r="D932" s="21"/>
      <c r="E932" s="19"/>
      <c r="F932" s="19"/>
      <c r="G932" s="23" t="str">
        <f aca="false">IF(A932="","",TEXT(A932,"yyyy-mm"))</f>
        <v/>
      </c>
      <c r="H932" s="22" t="str">
        <f aca="false">IF(A932="","",N(H931)+IF(B932="Masuk",N(D932),-N(D932)))</f>
        <v/>
      </c>
    </row>
    <row r="933" customFormat="false" ht="15" hidden="false" customHeight="false" outlineLevel="0" collapsed="false">
      <c r="A933" s="20"/>
      <c r="B933" s="19"/>
      <c r="C933" s="19"/>
      <c r="D933" s="21"/>
      <c r="E933" s="19"/>
      <c r="F933" s="19"/>
      <c r="G933" s="23" t="str">
        <f aca="false">IF(A933="","",TEXT(A933,"yyyy-mm"))</f>
        <v/>
      </c>
      <c r="H933" s="22" t="str">
        <f aca="false">IF(A933="","",N(H932)+IF(B933="Masuk",N(D933),-N(D933)))</f>
        <v/>
      </c>
    </row>
    <row r="934" customFormat="false" ht="15" hidden="false" customHeight="false" outlineLevel="0" collapsed="false">
      <c r="A934" s="20"/>
      <c r="B934" s="19"/>
      <c r="C934" s="19"/>
      <c r="D934" s="21"/>
      <c r="E934" s="19"/>
      <c r="F934" s="19"/>
      <c r="G934" s="23" t="str">
        <f aca="false">IF(A934="","",TEXT(A934,"yyyy-mm"))</f>
        <v/>
      </c>
      <c r="H934" s="22" t="str">
        <f aca="false">IF(A934="","",N(H933)+IF(B934="Masuk",N(D934),-N(D934)))</f>
        <v/>
      </c>
    </row>
    <row r="935" customFormat="false" ht="15" hidden="false" customHeight="false" outlineLevel="0" collapsed="false">
      <c r="A935" s="20"/>
      <c r="B935" s="19"/>
      <c r="C935" s="19"/>
      <c r="D935" s="21"/>
      <c r="E935" s="19"/>
      <c r="F935" s="19"/>
      <c r="G935" s="23" t="str">
        <f aca="false">IF(A935="","",TEXT(A935,"yyyy-mm"))</f>
        <v/>
      </c>
      <c r="H935" s="22" t="str">
        <f aca="false">IF(A935="","",N(H934)+IF(B935="Masuk",N(D935),-N(D935)))</f>
        <v/>
      </c>
    </row>
    <row r="936" customFormat="false" ht="15" hidden="false" customHeight="false" outlineLevel="0" collapsed="false">
      <c r="A936" s="20"/>
      <c r="B936" s="19"/>
      <c r="C936" s="19"/>
      <c r="D936" s="21"/>
      <c r="E936" s="19"/>
      <c r="F936" s="19"/>
      <c r="G936" s="23" t="str">
        <f aca="false">IF(A936="","",TEXT(A936,"yyyy-mm"))</f>
        <v/>
      </c>
      <c r="H936" s="22" t="str">
        <f aca="false">IF(A936="","",N(H935)+IF(B936="Masuk",N(D936),-N(D936)))</f>
        <v/>
      </c>
    </row>
    <row r="937" customFormat="false" ht="15" hidden="false" customHeight="false" outlineLevel="0" collapsed="false">
      <c r="A937" s="20"/>
      <c r="B937" s="19"/>
      <c r="C937" s="19"/>
      <c r="D937" s="21"/>
      <c r="E937" s="19"/>
      <c r="F937" s="19"/>
      <c r="G937" s="23" t="str">
        <f aca="false">IF(A937="","",TEXT(A937,"yyyy-mm"))</f>
        <v/>
      </c>
      <c r="H937" s="22" t="str">
        <f aca="false">IF(A937="","",N(H936)+IF(B937="Masuk",N(D937),-N(D937)))</f>
        <v/>
      </c>
    </row>
    <row r="938" customFormat="false" ht="15" hidden="false" customHeight="false" outlineLevel="0" collapsed="false">
      <c r="A938" s="20"/>
      <c r="B938" s="19"/>
      <c r="C938" s="19"/>
      <c r="D938" s="21"/>
      <c r="E938" s="19"/>
      <c r="F938" s="19"/>
      <c r="G938" s="23" t="str">
        <f aca="false">IF(A938="","",TEXT(A938,"yyyy-mm"))</f>
        <v/>
      </c>
      <c r="H938" s="22" t="str">
        <f aca="false">IF(A938="","",N(H937)+IF(B938="Masuk",N(D938),-N(D938)))</f>
        <v/>
      </c>
    </row>
    <row r="939" customFormat="false" ht="15" hidden="false" customHeight="false" outlineLevel="0" collapsed="false">
      <c r="A939" s="20"/>
      <c r="B939" s="19"/>
      <c r="C939" s="19"/>
      <c r="D939" s="21"/>
      <c r="E939" s="19"/>
      <c r="F939" s="19"/>
      <c r="G939" s="23" t="str">
        <f aca="false">IF(A939="","",TEXT(A939,"yyyy-mm"))</f>
        <v/>
      </c>
      <c r="H939" s="22" t="str">
        <f aca="false">IF(A939="","",N(H938)+IF(B939="Masuk",N(D939),-N(D939)))</f>
        <v/>
      </c>
    </row>
    <row r="940" customFormat="false" ht="15" hidden="false" customHeight="false" outlineLevel="0" collapsed="false">
      <c r="A940" s="20"/>
      <c r="B940" s="19"/>
      <c r="C940" s="19"/>
      <c r="D940" s="21"/>
      <c r="E940" s="19"/>
      <c r="F940" s="19"/>
      <c r="G940" s="23" t="str">
        <f aca="false">IF(A940="","",TEXT(A940,"yyyy-mm"))</f>
        <v/>
      </c>
      <c r="H940" s="22" t="str">
        <f aca="false">IF(A940="","",N(H939)+IF(B940="Masuk",N(D940),-N(D940)))</f>
        <v/>
      </c>
    </row>
    <row r="941" customFormat="false" ht="15" hidden="false" customHeight="false" outlineLevel="0" collapsed="false">
      <c r="A941" s="20"/>
      <c r="B941" s="19"/>
      <c r="C941" s="19"/>
      <c r="D941" s="21"/>
      <c r="E941" s="19"/>
      <c r="F941" s="19"/>
      <c r="G941" s="23" t="str">
        <f aca="false">IF(A941="","",TEXT(A941,"yyyy-mm"))</f>
        <v/>
      </c>
      <c r="H941" s="22" t="str">
        <f aca="false">IF(A941="","",N(H940)+IF(B941="Masuk",N(D941),-N(D941)))</f>
        <v/>
      </c>
    </row>
    <row r="942" customFormat="false" ht="15" hidden="false" customHeight="false" outlineLevel="0" collapsed="false">
      <c r="A942" s="20"/>
      <c r="B942" s="19"/>
      <c r="C942" s="19"/>
      <c r="D942" s="21"/>
      <c r="E942" s="19"/>
      <c r="F942" s="19"/>
      <c r="G942" s="23" t="str">
        <f aca="false">IF(A942="","",TEXT(A942,"yyyy-mm"))</f>
        <v/>
      </c>
      <c r="H942" s="22" t="str">
        <f aca="false">IF(A942="","",N(H941)+IF(B942="Masuk",N(D942),-N(D942)))</f>
        <v/>
      </c>
    </row>
    <row r="943" customFormat="false" ht="15" hidden="false" customHeight="false" outlineLevel="0" collapsed="false">
      <c r="A943" s="20"/>
      <c r="B943" s="19"/>
      <c r="C943" s="19"/>
      <c r="D943" s="21"/>
      <c r="E943" s="19"/>
      <c r="F943" s="19"/>
      <c r="G943" s="23" t="str">
        <f aca="false">IF(A943="","",TEXT(A943,"yyyy-mm"))</f>
        <v/>
      </c>
      <c r="H943" s="22" t="str">
        <f aca="false">IF(A943="","",N(H942)+IF(B943="Masuk",N(D943),-N(D943)))</f>
        <v/>
      </c>
    </row>
    <row r="944" customFormat="false" ht="15" hidden="false" customHeight="false" outlineLevel="0" collapsed="false">
      <c r="A944" s="20"/>
      <c r="B944" s="19"/>
      <c r="C944" s="19"/>
      <c r="D944" s="21"/>
      <c r="E944" s="19"/>
      <c r="F944" s="19"/>
      <c r="G944" s="23" t="str">
        <f aca="false">IF(A944="","",TEXT(A944,"yyyy-mm"))</f>
        <v/>
      </c>
      <c r="H944" s="22" t="str">
        <f aca="false">IF(A944="","",N(H943)+IF(B944="Masuk",N(D944),-N(D944)))</f>
        <v/>
      </c>
    </row>
    <row r="945" customFormat="false" ht="15" hidden="false" customHeight="false" outlineLevel="0" collapsed="false">
      <c r="A945" s="20"/>
      <c r="B945" s="19"/>
      <c r="C945" s="19"/>
      <c r="D945" s="21"/>
      <c r="E945" s="19"/>
      <c r="F945" s="19"/>
      <c r="G945" s="23" t="str">
        <f aca="false">IF(A945="","",TEXT(A945,"yyyy-mm"))</f>
        <v/>
      </c>
      <c r="H945" s="22" t="str">
        <f aca="false">IF(A945="","",N(H944)+IF(B945="Masuk",N(D945),-N(D945)))</f>
        <v/>
      </c>
    </row>
    <row r="946" customFormat="false" ht="15" hidden="false" customHeight="false" outlineLevel="0" collapsed="false">
      <c r="A946" s="20"/>
      <c r="B946" s="19"/>
      <c r="C946" s="19"/>
      <c r="D946" s="21"/>
      <c r="E946" s="19"/>
      <c r="F946" s="19"/>
      <c r="G946" s="23" t="str">
        <f aca="false">IF(A946="","",TEXT(A946,"yyyy-mm"))</f>
        <v/>
      </c>
      <c r="H946" s="22" t="str">
        <f aca="false">IF(A946="","",N(H945)+IF(B946="Masuk",N(D946),-N(D946)))</f>
        <v/>
      </c>
    </row>
    <row r="947" customFormat="false" ht="15" hidden="false" customHeight="false" outlineLevel="0" collapsed="false">
      <c r="A947" s="20"/>
      <c r="B947" s="19"/>
      <c r="C947" s="19"/>
      <c r="D947" s="21"/>
      <c r="E947" s="19"/>
      <c r="F947" s="19"/>
      <c r="G947" s="23" t="str">
        <f aca="false">IF(A947="","",TEXT(A947,"yyyy-mm"))</f>
        <v/>
      </c>
      <c r="H947" s="22" t="str">
        <f aca="false">IF(A947="","",N(H946)+IF(B947="Masuk",N(D947),-N(D947)))</f>
        <v/>
      </c>
    </row>
    <row r="948" customFormat="false" ht="15" hidden="false" customHeight="false" outlineLevel="0" collapsed="false">
      <c r="A948" s="20"/>
      <c r="B948" s="19"/>
      <c r="C948" s="19"/>
      <c r="D948" s="21"/>
      <c r="E948" s="19"/>
      <c r="F948" s="19"/>
      <c r="G948" s="23" t="str">
        <f aca="false">IF(A948="","",TEXT(A948,"yyyy-mm"))</f>
        <v/>
      </c>
      <c r="H948" s="22" t="str">
        <f aca="false">IF(A948="","",N(H947)+IF(B948="Masuk",N(D948),-N(D948)))</f>
        <v/>
      </c>
    </row>
    <row r="949" customFormat="false" ht="15" hidden="false" customHeight="false" outlineLevel="0" collapsed="false">
      <c r="A949" s="20"/>
      <c r="B949" s="19"/>
      <c r="C949" s="19"/>
      <c r="D949" s="21"/>
      <c r="E949" s="19"/>
      <c r="F949" s="19"/>
      <c r="G949" s="23" t="str">
        <f aca="false">IF(A949="","",TEXT(A949,"yyyy-mm"))</f>
        <v/>
      </c>
      <c r="H949" s="22" t="str">
        <f aca="false">IF(A949="","",N(H948)+IF(B949="Masuk",N(D949),-N(D949)))</f>
        <v/>
      </c>
    </row>
    <row r="950" customFormat="false" ht="15" hidden="false" customHeight="false" outlineLevel="0" collapsed="false">
      <c r="A950" s="20"/>
      <c r="B950" s="19"/>
      <c r="C950" s="19"/>
      <c r="D950" s="21"/>
      <c r="E950" s="19"/>
      <c r="F950" s="19"/>
      <c r="G950" s="23" t="str">
        <f aca="false">IF(A950="","",TEXT(A950,"yyyy-mm"))</f>
        <v/>
      </c>
      <c r="H950" s="22" t="str">
        <f aca="false">IF(A950="","",N(H949)+IF(B950="Masuk",N(D950),-N(D950)))</f>
        <v/>
      </c>
    </row>
    <row r="951" customFormat="false" ht="15" hidden="false" customHeight="false" outlineLevel="0" collapsed="false">
      <c r="A951" s="20"/>
      <c r="B951" s="19"/>
      <c r="C951" s="19"/>
      <c r="D951" s="21"/>
      <c r="E951" s="19"/>
      <c r="F951" s="19"/>
      <c r="G951" s="23" t="str">
        <f aca="false">IF(A951="","",TEXT(A951,"yyyy-mm"))</f>
        <v/>
      </c>
      <c r="H951" s="22" t="str">
        <f aca="false">IF(A951="","",N(H950)+IF(B951="Masuk",N(D951),-N(D951)))</f>
        <v/>
      </c>
    </row>
    <row r="952" customFormat="false" ht="15" hidden="false" customHeight="false" outlineLevel="0" collapsed="false">
      <c r="A952" s="20"/>
      <c r="B952" s="19"/>
      <c r="C952" s="19"/>
      <c r="D952" s="21"/>
      <c r="E952" s="19"/>
      <c r="F952" s="19"/>
      <c r="G952" s="23" t="str">
        <f aca="false">IF(A952="","",TEXT(A952,"yyyy-mm"))</f>
        <v/>
      </c>
      <c r="H952" s="22" t="str">
        <f aca="false">IF(A952="","",N(H951)+IF(B952="Masuk",N(D952),-N(D952)))</f>
        <v/>
      </c>
    </row>
    <row r="953" customFormat="false" ht="15" hidden="false" customHeight="false" outlineLevel="0" collapsed="false">
      <c r="A953" s="20"/>
      <c r="B953" s="19"/>
      <c r="C953" s="19"/>
      <c r="D953" s="21"/>
      <c r="E953" s="19"/>
      <c r="F953" s="19"/>
      <c r="G953" s="23" t="str">
        <f aca="false">IF(A953="","",TEXT(A953,"yyyy-mm"))</f>
        <v/>
      </c>
      <c r="H953" s="22" t="str">
        <f aca="false">IF(A953="","",N(H952)+IF(B953="Masuk",N(D953),-N(D953)))</f>
        <v/>
      </c>
    </row>
    <row r="954" customFormat="false" ht="15" hidden="false" customHeight="false" outlineLevel="0" collapsed="false">
      <c r="A954" s="20"/>
      <c r="B954" s="19"/>
      <c r="C954" s="19"/>
      <c r="D954" s="21"/>
      <c r="E954" s="19"/>
      <c r="F954" s="19"/>
      <c r="G954" s="23" t="str">
        <f aca="false">IF(A954="","",TEXT(A954,"yyyy-mm"))</f>
        <v/>
      </c>
      <c r="H954" s="22" t="str">
        <f aca="false">IF(A954="","",N(H953)+IF(B954="Masuk",N(D954),-N(D954)))</f>
        <v/>
      </c>
    </row>
    <row r="955" customFormat="false" ht="15" hidden="false" customHeight="false" outlineLevel="0" collapsed="false">
      <c r="A955" s="20"/>
      <c r="B955" s="19"/>
      <c r="C955" s="19"/>
      <c r="D955" s="21"/>
      <c r="E955" s="19"/>
      <c r="F955" s="19"/>
      <c r="G955" s="23" t="str">
        <f aca="false">IF(A955="","",TEXT(A955,"yyyy-mm"))</f>
        <v/>
      </c>
      <c r="H955" s="22" t="str">
        <f aca="false">IF(A955="","",N(H954)+IF(B955="Masuk",N(D955),-N(D955)))</f>
        <v/>
      </c>
    </row>
    <row r="956" customFormat="false" ht="15" hidden="false" customHeight="false" outlineLevel="0" collapsed="false">
      <c r="A956" s="20"/>
      <c r="B956" s="19"/>
      <c r="C956" s="19"/>
      <c r="D956" s="21"/>
      <c r="E956" s="19"/>
      <c r="F956" s="19"/>
      <c r="G956" s="23" t="str">
        <f aca="false">IF(A956="","",TEXT(A956,"yyyy-mm"))</f>
        <v/>
      </c>
      <c r="H956" s="22" t="str">
        <f aca="false">IF(A956="","",N(H955)+IF(B956="Masuk",N(D956),-N(D956)))</f>
        <v/>
      </c>
    </row>
    <row r="957" customFormat="false" ht="15" hidden="false" customHeight="false" outlineLevel="0" collapsed="false">
      <c r="A957" s="20"/>
      <c r="B957" s="19"/>
      <c r="C957" s="19"/>
      <c r="D957" s="21"/>
      <c r="E957" s="19"/>
      <c r="F957" s="19"/>
      <c r="G957" s="23" t="str">
        <f aca="false">IF(A957="","",TEXT(A957,"yyyy-mm"))</f>
        <v/>
      </c>
      <c r="H957" s="22" t="str">
        <f aca="false">IF(A957="","",N(H956)+IF(B957="Masuk",N(D957),-N(D957)))</f>
        <v/>
      </c>
    </row>
    <row r="958" customFormat="false" ht="15" hidden="false" customHeight="false" outlineLevel="0" collapsed="false">
      <c r="A958" s="20"/>
      <c r="B958" s="19"/>
      <c r="C958" s="19"/>
      <c r="D958" s="21"/>
      <c r="E958" s="19"/>
      <c r="F958" s="19"/>
      <c r="G958" s="23" t="str">
        <f aca="false">IF(A958="","",TEXT(A958,"yyyy-mm"))</f>
        <v/>
      </c>
      <c r="H958" s="22" t="str">
        <f aca="false">IF(A958="","",N(H957)+IF(B958="Masuk",N(D958),-N(D958)))</f>
        <v/>
      </c>
    </row>
    <row r="959" customFormat="false" ht="15" hidden="false" customHeight="false" outlineLevel="0" collapsed="false">
      <c r="A959" s="20"/>
      <c r="B959" s="19"/>
      <c r="C959" s="19"/>
      <c r="D959" s="21"/>
      <c r="E959" s="19"/>
      <c r="F959" s="19"/>
      <c r="G959" s="23" t="str">
        <f aca="false">IF(A959="","",TEXT(A959,"yyyy-mm"))</f>
        <v/>
      </c>
      <c r="H959" s="22" t="str">
        <f aca="false">IF(A959="","",N(H958)+IF(B959="Masuk",N(D959),-N(D959)))</f>
        <v/>
      </c>
    </row>
    <row r="960" customFormat="false" ht="15" hidden="false" customHeight="false" outlineLevel="0" collapsed="false">
      <c r="A960" s="20"/>
      <c r="B960" s="19"/>
      <c r="C960" s="19"/>
      <c r="D960" s="21"/>
      <c r="E960" s="19"/>
      <c r="F960" s="19"/>
      <c r="G960" s="23" t="str">
        <f aca="false">IF(A960="","",TEXT(A960,"yyyy-mm"))</f>
        <v/>
      </c>
      <c r="H960" s="22" t="str">
        <f aca="false">IF(A960="","",N(H959)+IF(B960="Masuk",N(D960),-N(D960)))</f>
        <v/>
      </c>
    </row>
    <row r="961" customFormat="false" ht="15" hidden="false" customHeight="false" outlineLevel="0" collapsed="false">
      <c r="A961" s="20"/>
      <c r="B961" s="19"/>
      <c r="C961" s="19"/>
      <c r="D961" s="21"/>
      <c r="E961" s="19"/>
      <c r="F961" s="19"/>
      <c r="G961" s="23" t="str">
        <f aca="false">IF(A961="","",TEXT(A961,"yyyy-mm"))</f>
        <v/>
      </c>
      <c r="H961" s="22" t="str">
        <f aca="false">IF(A961="","",N(H960)+IF(B961="Masuk",N(D961),-N(D961)))</f>
        <v/>
      </c>
    </row>
    <row r="962" customFormat="false" ht="15" hidden="false" customHeight="false" outlineLevel="0" collapsed="false">
      <c r="A962" s="20"/>
      <c r="B962" s="19"/>
      <c r="C962" s="19"/>
      <c r="D962" s="21"/>
      <c r="E962" s="19"/>
      <c r="F962" s="19"/>
      <c r="G962" s="23" t="str">
        <f aca="false">IF(A962="","",TEXT(A962,"yyyy-mm"))</f>
        <v/>
      </c>
      <c r="H962" s="22" t="str">
        <f aca="false">IF(A962="","",N(H961)+IF(B962="Masuk",N(D962),-N(D962)))</f>
        <v/>
      </c>
    </row>
    <row r="963" customFormat="false" ht="15" hidden="false" customHeight="false" outlineLevel="0" collapsed="false">
      <c r="A963" s="20"/>
      <c r="B963" s="19"/>
      <c r="C963" s="19"/>
      <c r="D963" s="21"/>
      <c r="E963" s="19"/>
      <c r="F963" s="19"/>
      <c r="G963" s="23" t="str">
        <f aca="false">IF(A963="","",TEXT(A963,"yyyy-mm"))</f>
        <v/>
      </c>
      <c r="H963" s="22" t="str">
        <f aca="false">IF(A963="","",N(H962)+IF(B963="Masuk",N(D963),-N(D963)))</f>
        <v/>
      </c>
    </row>
    <row r="964" customFormat="false" ht="15" hidden="false" customHeight="false" outlineLevel="0" collapsed="false">
      <c r="A964" s="20"/>
      <c r="B964" s="19"/>
      <c r="C964" s="19"/>
      <c r="D964" s="21"/>
      <c r="E964" s="19"/>
      <c r="F964" s="19"/>
      <c r="G964" s="23" t="str">
        <f aca="false">IF(A964="","",TEXT(A964,"yyyy-mm"))</f>
        <v/>
      </c>
      <c r="H964" s="22" t="str">
        <f aca="false">IF(A964="","",N(H963)+IF(B964="Masuk",N(D964),-N(D964)))</f>
        <v/>
      </c>
    </row>
    <row r="965" customFormat="false" ht="15" hidden="false" customHeight="false" outlineLevel="0" collapsed="false">
      <c r="A965" s="20"/>
      <c r="B965" s="19"/>
      <c r="C965" s="19"/>
      <c r="D965" s="21"/>
      <c r="E965" s="19"/>
      <c r="F965" s="19"/>
      <c r="G965" s="23" t="str">
        <f aca="false">IF(A965="","",TEXT(A965,"yyyy-mm"))</f>
        <v/>
      </c>
      <c r="H965" s="22" t="str">
        <f aca="false">IF(A965="","",N(H964)+IF(B965="Masuk",N(D965),-N(D965)))</f>
        <v/>
      </c>
    </row>
    <row r="966" customFormat="false" ht="15" hidden="false" customHeight="false" outlineLevel="0" collapsed="false">
      <c r="A966" s="20"/>
      <c r="B966" s="19"/>
      <c r="C966" s="19"/>
      <c r="D966" s="21"/>
      <c r="E966" s="19"/>
      <c r="F966" s="19"/>
      <c r="G966" s="23" t="str">
        <f aca="false">IF(A966="","",TEXT(A966,"yyyy-mm"))</f>
        <v/>
      </c>
      <c r="H966" s="22" t="str">
        <f aca="false">IF(A966="","",N(H965)+IF(B966="Masuk",N(D966),-N(D966)))</f>
        <v/>
      </c>
    </row>
    <row r="967" customFormat="false" ht="15" hidden="false" customHeight="false" outlineLevel="0" collapsed="false">
      <c r="A967" s="20"/>
      <c r="B967" s="19"/>
      <c r="C967" s="19"/>
      <c r="D967" s="21"/>
      <c r="E967" s="19"/>
      <c r="F967" s="19"/>
      <c r="G967" s="23" t="str">
        <f aca="false">IF(A967="","",TEXT(A967,"yyyy-mm"))</f>
        <v/>
      </c>
      <c r="H967" s="22" t="str">
        <f aca="false">IF(A967="","",N(H966)+IF(B967="Masuk",N(D967),-N(D967)))</f>
        <v/>
      </c>
    </row>
    <row r="968" customFormat="false" ht="15" hidden="false" customHeight="false" outlineLevel="0" collapsed="false">
      <c r="A968" s="20"/>
      <c r="B968" s="19"/>
      <c r="C968" s="19"/>
      <c r="D968" s="21"/>
      <c r="E968" s="19"/>
      <c r="F968" s="19"/>
      <c r="G968" s="23" t="str">
        <f aca="false">IF(A968="","",TEXT(A968,"yyyy-mm"))</f>
        <v/>
      </c>
      <c r="H968" s="22" t="str">
        <f aca="false">IF(A968="","",N(H967)+IF(B968="Masuk",N(D968),-N(D968)))</f>
        <v/>
      </c>
    </row>
    <row r="969" customFormat="false" ht="15" hidden="false" customHeight="false" outlineLevel="0" collapsed="false">
      <c r="A969" s="20"/>
      <c r="B969" s="19"/>
      <c r="C969" s="19"/>
      <c r="D969" s="21"/>
      <c r="E969" s="19"/>
      <c r="F969" s="19"/>
      <c r="G969" s="23" t="str">
        <f aca="false">IF(A969="","",TEXT(A969,"yyyy-mm"))</f>
        <v/>
      </c>
      <c r="H969" s="22" t="str">
        <f aca="false">IF(A969="","",N(H968)+IF(B969="Masuk",N(D969),-N(D969)))</f>
        <v/>
      </c>
    </row>
    <row r="970" customFormat="false" ht="15" hidden="false" customHeight="false" outlineLevel="0" collapsed="false">
      <c r="A970" s="20"/>
      <c r="B970" s="19"/>
      <c r="C970" s="19"/>
      <c r="D970" s="21"/>
      <c r="E970" s="19"/>
      <c r="F970" s="19"/>
      <c r="G970" s="23" t="str">
        <f aca="false">IF(A970="","",TEXT(A970,"yyyy-mm"))</f>
        <v/>
      </c>
      <c r="H970" s="22" t="str">
        <f aca="false">IF(A970="","",N(H969)+IF(B970="Masuk",N(D970),-N(D970)))</f>
        <v/>
      </c>
    </row>
    <row r="971" customFormat="false" ht="15" hidden="false" customHeight="false" outlineLevel="0" collapsed="false">
      <c r="A971" s="20"/>
      <c r="B971" s="19"/>
      <c r="C971" s="19"/>
      <c r="D971" s="21"/>
      <c r="E971" s="19"/>
      <c r="F971" s="19"/>
      <c r="G971" s="23" t="str">
        <f aca="false">IF(A971="","",TEXT(A971,"yyyy-mm"))</f>
        <v/>
      </c>
      <c r="H971" s="22" t="str">
        <f aca="false">IF(A971="","",N(H970)+IF(B971="Masuk",N(D971),-N(D971)))</f>
        <v/>
      </c>
    </row>
    <row r="972" customFormat="false" ht="15" hidden="false" customHeight="false" outlineLevel="0" collapsed="false">
      <c r="A972" s="20"/>
      <c r="B972" s="19"/>
      <c r="C972" s="19"/>
      <c r="D972" s="21"/>
      <c r="E972" s="19"/>
      <c r="F972" s="19"/>
      <c r="G972" s="23" t="str">
        <f aca="false">IF(A972="","",TEXT(A972,"yyyy-mm"))</f>
        <v/>
      </c>
      <c r="H972" s="22" t="str">
        <f aca="false">IF(A972="","",N(H971)+IF(B972="Masuk",N(D972),-N(D972)))</f>
        <v/>
      </c>
    </row>
    <row r="973" customFormat="false" ht="15" hidden="false" customHeight="false" outlineLevel="0" collapsed="false">
      <c r="A973" s="20"/>
      <c r="B973" s="19"/>
      <c r="C973" s="19"/>
      <c r="D973" s="21"/>
      <c r="E973" s="19"/>
      <c r="F973" s="19"/>
      <c r="G973" s="23" t="str">
        <f aca="false">IF(A973="","",TEXT(A973,"yyyy-mm"))</f>
        <v/>
      </c>
      <c r="H973" s="22" t="str">
        <f aca="false">IF(A973="","",N(H972)+IF(B973="Masuk",N(D973),-N(D973)))</f>
        <v/>
      </c>
    </row>
    <row r="974" customFormat="false" ht="15" hidden="false" customHeight="false" outlineLevel="0" collapsed="false">
      <c r="A974" s="20"/>
      <c r="B974" s="19"/>
      <c r="C974" s="19"/>
      <c r="D974" s="21"/>
      <c r="E974" s="19"/>
      <c r="F974" s="19"/>
      <c r="G974" s="23" t="str">
        <f aca="false">IF(A974="","",TEXT(A974,"yyyy-mm"))</f>
        <v/>
      </c>
      <c r="H974" s="22" t="str">
        <f aca="false">IF(A974="","",N(H973)+IF(B974="Masuk",N(D974),-N(D974)))</f>
        <v/>
      </c>
    </row>
    <row r="975" customFormat="false" ht="15" hidden="false" customHeight="false" outlineLevel="0" collapsed="false">
      <c r="A975" s="20"/>
      <c r="B975" s="19"/>
      <c r="C975" s="19"/>
      <c r="D975" s="21"/>
      <c r="E975" s="19"/>
      <c r="F975" s="19"/>
      <c r="G975" s="23" t="str">
        <f aca="false">IF(A975="","",TEXT(A975,"yyyy-mm"))</f>
        <v/>
      </c>
      <c r="H975" s="22" t="str">
        <f aca="false">IF(A975="","",N(H974)+IF(B975="Masuk",N(D975),-N(D975)))</f>
        <v/>
      </c>
    </row>
    <row r="976" customFormat="false" ht="15" hidden="false" customHeight="false" outlineLevel="0" collapsed="false">
      <c r="A976" s="20"/>
      <c r="B976" s="19"/>
      <c r="C976" s="19"/>
      <c r="D976" s="21"/>
      <c r="E976" s="19"/>
      <c r="F976" s="19"/>
      <c r="G976" s="23" t="str">
        <f aca="false">IF(A976="","",TEXT(A976,"yyyy-mm"))</f>
        <v/>
      </c>
      <c r="H976" s="22" t="str">
        <f aca="false">IF(A976="","",N(H975)+IF(B976="Masuk",N(D976),-N(D976)))</f>
        <v/>
      </c>
    </row>
    <row r="977" customFormat="false" ht="15" hidden="false" customHeight="false" outlineLevel="0" collapsed="false">
      <c r="A977" s="20"/>
      <c r="B977" s="19"/>
      <c r="C977" s="19"/>
      <c r="D977" s="21"/>
      <c r="E977" s="19"/>
      <c r="F977" s="19"/>
      <c r="G977" s="23" t="str">
        <f aca="false">IF(A977="","",TEXT(A977,"yyyy-mm"))</f>
        <v/>
      </c>
      <c r="H977" s="22" t="str">
        <f aca="false">IF(A977="","",N(H976)+IF(B977="Masuk",N(D977),-N(D977)))</f>
        <v/>
      </c>
    </row>
    <row r="978" customFormat="false" ht="15" hidden="false" customHeight="false" outlineLevel="0" collapsed="false">
      <c r="A978" s="20"/>
      <c r="B978" s="19"/>
      <c r="C978" s="19"/>
      <c r="D978" s="21"/>
      <c r="E978" s="19"/>
      <c r="F978" s="19"/>
      <c r="G978" s="23" t="str">
        <f aca="false">IF(A978="","",TEXT(A978,"yyyy-mm"))</f>
        <v/>
      </c>
      <c r="H978" s="22" t="str">
        <f aca="false">IF(A978="","",N(H977)+IF(B978="Masuk",N(D978),-N(D978)))</f>
        <v/>
      </c>
    </row>
    <row r="979" customFormat="false" ht="15" hidden="false" customHeight="false" outlineLevel="0" collapsed="false">
      <c r="A979" s="20"/>
      <c r="B979" s="19"/>
      <c r="C979" s="19"/>
      <c r="D979" s="21"/>
      <c r="E979" s="19"/>
      <c r="F979" s="19"/>
      <c r="G979" s="23" t="str">
        <f aca="false">IF(A979="","",TEXT(A979,"yyyy-mm"))</f>
        <v/>
      </c>
      <c r="H979" s="22" t="str">
        <f aca="false">IF(A979="","",N(H978)+IF(B979="Masuk",N(D979),-N(D979)))</f>
        <v/>
      </c>
    </row>
    <row r="980" customFormat="false" ht="15" hidden="false" customHeight="false" outlineLevel="0" collapsed="false">
      <c r="A980" s="20"/>
      <c r="B980" s="19"/>
      <c r="C980" s="19"/>
      <c r="D980" s="21"/>
      <c r="E980" s="19"/>
      <c r="F980" s="19"/>
      <c r="G980" s="23" t="str">
        <f aca="false">IF(A980="","",TEXT(A980,"yyyy-mm"))</f>
        <v/>
      </c>
      <c r="H980" s="22" t="str">
        <f aca="false">IF(A980="","",N(H979)+IF(B980="Masuk",N(D980),-N(D980)))</f>
        <v/>
      </c>
    </row>
    <row r="981" customFormat="false" ht="15" hidden="false" customHeight="false" outlineLevel="0" collapsed="false">
      <c r="A981" s="20"/>
      <c r="B981" s="19"/>
      <c r="C981" s="19"/>
      <c r="D981" s="21"/>
      <c r="E981" s="19"/>
      <c r="F981" s="19"/>
      <c r="G981" s="23" t="str">
        <f aca="false">IF(A981="","",TEXT(A981,"yyyy-mm"))</f>
        <v/>
      </c>
      <c r="H981" s="22" t="str">
        <f aca="false">IF(A981="","",N(H980)+IF(B981="Masuk",N(D981),-N(D981)))</f>
        <v/>
      </c>
    </row>
    <row r="982" customFormat="false" ht="15" hidden="false" customHeight="false" outlineLevel="0" collapsed="false">
      <c r="A982" s="20"/>
      <c r="B982" s="19"/>
      <c r="C982" s="19"/>
      <c r="D982" s="21"/>
      <c r="E982" s="19"/>
      <c r="F982" s="19"/>
      <c r="G982" s="23" t="str">
        <f aca="false">IF(A982="","",TEXT(A982,"yyyy-mm"))</f>
        <v/>
      </c>
      <c r="H982" s="22" t="str">
        <f aca="false">IF(A982="","",N(H981)+IF(B982="Masuk",N(D982),-N(D982)))</f>
        <v/>
      </c>
    </row>
    <row r="983" customFormat="false" ht="15" hidden="false" customHeight="false" outlineLevel="0" collapsed="false">
      <c r="A983" s="20"/>
      <c r="B983" s="19"/>
      <c r="C983" s="19"/>
      <c r="D983" s="21"/>
      <c r="E983" s="19"/>
      <c r="F983" s="19"/>
      <c r="G983" s="23" t="str">
        <f aca="false">IF(A983="","",TEXT(A983,"yyyy-mm"))</f>
        <v/>
      </c>
      <c r="H983" s="22" t="str">
        <f aca="false">IF(A983="","",N(H982)+IF(B983="Masuk",N(D983),-N(D983)))</f>
        <v/>
      </c>
    </row>
    <row r="984" customFormat="false" ht="15" hidden="false" customHeight="false" outlineLevel="0" collapsed="false">
      <c r="A984" s="20"/>
      <c r="B984" s="19"/>
      <c r="C984" s="19"/>
      <c r="D984" s="21"/>
      <c r="E984" s="19"/>
      <c r="F984" s="19"/>
      <c r="G984" s="23" t="str">
        <f aca="false">IF(A984="","",TEXT(A984,"yyyy-mm"))</f>
        <v/>
      </c>
      <c r="H984" s="22" t="str">
        <f aca="false">IF(A984="","",N(H983)+IF(B984="Masuk",N(D984),-N(D984)))</f>
        <v/>
      </c>
    </row>
    <row r="985" customFormat="false" ht="15" hidden="false" customHeight="false" outlineLevel="0" collapsed="false">
      <c r="A985" s="20"/>
      <c r="B985" s="19"/>
      <c r="C985" s="19"/>
      <c r="D985" s="21"/>
      <c r="E985" s="19"/>
      <c r="F985" s="19"/>
      <c r="G985" s="23" t="str">
        <f aca="false">IF(A985="","",TEXT(A985,"yyyy-mm"))</f>
        <v/>
      </c>
      <c r="H985" s="22" t="str">
        <f aca="false">IF(A985="","",N(H984)+IF(B985="Masuk",N(D985),-N(D985)))</f>
        <v/>
      </c>
    </row>
    <row r="986" customFormat="false" ht="15" hidden="false" customHeight="false" outlineLevel="0" collapsed="false">
      <c r="A986" s="20"/>
      <c r="B986" s="19"/>
      <c r="C986" s="19"/>
      <c r="D986" s="21"/>
      <c r="E986" s="19"/>
      <c r="F986" s="19"/>
      <c r="G986" s="23" t="str">
        <f aca="false">IF(A986="","",TEXT(A986,"yyyy-mm"))</f>
        <v/>
      </c>
      <c r="H986" s="22" t="str">
        <f aca="false">IF(A986="","",N(H985)+IF(B986="Masuk",N(D986),-N(D986)))</f>
        <v/>
      </c>
    </row>
    <row r="987" customFormat="false" ht="15" hidden="false" customHeight="false" outlineLevel="0" collapsed="false">
      <c r="A987" s="20"/>
      <c r="B987" s="19"/>
      <c r="C987" s="19"/>
      <c r="D987" s="21"/>
      <c r="E987" s="19"/>
      <c r="F987" s="19"/>
      <c r="G987" s="23" t="str">
        <f aca="false">IF(A987="","",TEXT(A987,"yyyy-mm"))</f>
        <v/>
      </c>
      <c r="H987" s="22" t="str">
        <f aca="false">IF(A987="","",N(H986)+IF(B987="Masuk",N(D987),-N(D987)))</f>
        <v/>
      </c>
    </row>
    <row r="988" customFormat="false" ht="15" hidden="false" customHeight="false" outlineLevel="0" collapsed="false">
      <c r="A988" s="20"/>
      <c r="B988" s="19"/>
      <c r="C988" s="19"/>
      <c r="D988" s="21"/>
      <c r="E988" s="19"/>
      <c r="F988" s="19"/>
      <c r="G988" s="23" t="str">
        <f aca="false">IF(A988="","",TEXT(A988,"yyyy-mm"))</f>
        <v/>
      </c>
      <c r="H988" s="22" t="str">
        <f aca="false">IF(A988="","",N(H987)+IF(B988="Masuk",N(D988),-N(D988)))</f>
        <v/>
      </c>
    </row>
    <row r="989" customFormat="false" ht="15" hidden="false" customHeight="false" outlineLevel="0" collapsed="false">
      <c r="A989" s="20"/>
      <c r="B989" s="19"/>
      <c r="C989" s="19"/>
      <c r="D989" s="21"/>
      <c r="E989" s="19"/>
      <c r="F989" s="19"/>
      <c r="G989" s="23" t="str">
        <f aca="false">IF(A989="","",TEXT(A989,"yyyy-mm"))</f>
        <v/>
      </c>
      <c r="H989" s="22" t="str">
        <f aca="false">IF(A989="","",N(H988)+IF(B989="Masuk",N(D989),-N(D989)))</f>
        <v/>
      </c>
    </row>
    <row r="990" customFormat="false" ht="15" hidden="false" customHeight="false" outlineLevel="0" collapsed="false">
      <c r="A990" s="20"/>
      <c r="B990" s="19"/>
      <c r="C990" s="19"/>
      <c r="D990" s="21"/>
      <c r="E990" s="19"/>
      <c r="F990" s="19"/>
      <c r="G990" s="23" t="str">
        <f aca="false">IF(A990="","",TEXT(A990,"yyyy-mm"))</f>
        <v/>
      </c>
      <c r="H990" s="22" t="str">
        <f aca="false">IF(A990="","",N(H989)+IF(B990="Masuk",N(D990),-N(D990)))</f>
        <v/>
      </c>
    </row>
    <row r="991" customFormat="false" ht="15" hidden="false" customHeight="false" outlineLevel="0" collapsed="false">
      <c r="A991" s="20"/>
      <c r="B991" s="19"/>
      <c r="C991" s="19"/>
      <c r="D991" s="21"/>
      <c r="E991" s="19"/>
      <c r="F991" s="19"/>
      <c r="G991" s="23" t="str">
        <f aca="false">IF(A991="","",TEXT(A991,"yyyy-mm"))</f>
        <v/>
      </c>
      <c r="H991" s="22" t="str">
        <f aca="false">IF(A991="","",N(H990)+IF(B991="Masuk",N(D991),-N(D991)))</f>
        <v/>
      </c>
    </row>
    <row r="992" customFormat="false" ht="15" hidden="false" customHeight="false" outlineLevel="0" collapsed="false">
      <c r="A992" s="20"/>
      <c r="B992" s="19"/>
      <c r="C992" s="19"/>
      <c r="D992" s="21"/>
      <c r="E992" s="19"/>
      <c r="F992" s="19"/>
      <c r="G992" s="23" t="str">
        <f aca="false">IF(A992="","",TEXT(A992,"yyyy-mm"))</f>
        <v/>
      </c>
      <c r="H992" s="22" t="str">
        <f aca="false">IF(A992="","",N(H991)+IF(B992="Masuk",N(D992),-N(D992)))</f>
        <v/>
      </c>
    </row>
    <row r="993" customFormat="false" ht="15" hidden="false" customHeight="false" outlineLevel="0" collapsed="false">
      <c r="A993" s="20"/>
      <c r="B993" s="19"/>
      <c r="C993" s="19"/>
      <c r="D993" s="21"/>
      <c r="E993" s="19"/>
      <c r="F993" s="19"/>
      <c r="G993" s="23" t="str">
        <f aca="false">IF(A993="","",TEXT(A993,"yyyy-mm"))</f>
        <v/>
      </c>
      <c r="H993" s="22" t="str">
        <f aca="false">IF(A993="","",N(H992)+IF(B993="Masuk",N(D993),-N(D993)))</f>
        <v/>
      </c>
    </row>
    <row r="994" customFormat="false" ht="15" hidden="false" customHeight="false" outlineLevel="0" collapsed="false">
      <c r="A994" s="20"/>
      <c r="B994" s="19"/>
      <c r="C994" s="19"/>
      <c r="D994" s="21"/>
      <c r="E994" s="19"/>
      <c r="F994" s="19"/>
      <c r="G994" s="23" t="str">
        <f aca="false">IF(A994="","",TEXT(A994,"yyyy-mm"))</f>
        <v/>
      </c>
      <c r="H994" s="22" t="str">
        <f aca="false">IF(A994="","",N(H993)+IF(B994="Masuk",N(D994),-N(D994)))</f>
        <v/>
      </c>
    </row>
    <row r="995" customFormat="false" ht="15" hidden="false" customHeight="false" outlineLevel="0" collapsed="false">
      <c r="A995" s="20"/>
      <c r="B995" s="19"/>
      <c r="C995" s="19"/>
      <c r="D995" s="21"/>
      <c r="E995" s="19"/>
      <c r="F995" s="19"/>
      <c r="G995" s="23" t="str">
        <f aca="false">IF(A995="","",TEXT(A995,"yyyy-mm"))</f>
        <v/>
      </c>
      <c r="H995" s="22" t="str">
        <f aca="false">IF(A995="","",N(H994)+IF(B995="Masuk",N(D995),-N(D995)))</f>
        <v/>
      </c>
    </row>
    <row r="996" customFormat="false" ht="15" hidden="false" customHeight="false" outlineLevel="0" collapsed="false">
      <c r="A996" s="20"/>
      <c r="B996" s="19"/>
      <c r="C996" s="19"/>
      <c r="D996" s="21"/>
      <c r="E996" s="19"/>
      <c r="F996" s="19"/>
      <c r="G996" s="23" t="str">
        <f aca="false">IF(A996="","",TEXT(A996,"yyyy-mm"))</f>
        <v/>
      </c>
      <c r="H996" s="22" t="str">
        <f aca="false">IF(A996="","",N(H995)+IF(B996="Masuk",N(D996),-N(D996)))</f>
        <v/>
      </c>
    </row>
    <row r="997" customFormat="false" ht="15" hidden="false" customHeight="false" outlineLevel="0" collapsed="false">
      <c r="A997" s="20"/>
      <c r="B997" s="19"/>
      <c r="C997" s="19"/>
      <c r="D997" s="21"/>
      <c r="E997" s="19"/>
      <c r="F997" s="19"/>
      <c r="G997" s="23" t="str">
        <f aca="false">IF(A997="","",TEXT(A997,"yyyy-mm"))</f>
        <v/>
      </c>
      <c r="H997" s="22" t="str">
        <f aca="false">IF(A997="","",N(H996)+IF(B997="Masuk",N(D997),-N(D997)))</f>
        <v/>
      </c>
    </row>
    <row r="998" customFormat="false" ht="15" hidden="false" customHeight="false" outlineLevel="0" collapsed="false">
      <c r="A998" s="20"/>
      <c r="B998" s="19"/>
      <c r="C998" s="19"/>
      <c r="D998" s="21"/>
      <c r="E998" s="19"/>
      <c r="F998" s="19"/>
      <c r="G998" s="23" t="str">
        <f aca="false">IF(A998="","",TEXT(A998,"yyyy-mm"))</f>
        <v/>
      </c>
      <c r="H998" s="22" t="str">
        <f aca="false">IF(A998="","",N(H997)+IF(B998="Masuk",N(D998),-N(D998)))</f>
        <v/>
      </c>
    </row>
    <row r="999" customFormat="false" ht="15" hidden="false" customHeight="false" outlineLevel="0" collapsed="false">
      <c r="A999" s="20"/>
      <c r="B999" s="19"/>
      <c r="C999" s="19"/>
      <c r="D999" s="21"/>
      <c r="E999" s="19"/>
      <c r="F999" s="19"/>
      <c r="G999" s="23" t="str">
        <f aca="false">IF(A999="","",TEXT(A999,"yyyy-mm"))</f>
        <v/>
      </c>
      <c r="H999" s="22" t="str">
        <f aca="false">IF(A999="","",N(H998)+IF(B999="Masuk",N(D999),-N(D999)))</f>
        <v/>
      </c>
    </row>
    <row r="1000" customFormat="false" ht="15" hidden="false" customHeight="false" outlineLevel="0" collapsed="false">
      <c r="A1000" s="20"/>
      <c r="B1000" s="19"/>
      <c r="C1000" s="19"/>
      <c r="D1000" s="21"/>
      <c r="E1000" s="19"/>
      <c r="F1000" s="19"/>
      <c r="G1000" s="23" t="str">
        <f aca="false">IF(A1000="","",TEXT(A1000,"yyyy-mm"))</f>
        <v/>
      </c>
      <c r="H1000" s="22" t="str">
        <f aca="false">IF(A1000="","",N(H999)+IF(B1000="Masuk",N(D1000),-N(D1000)))</f>
        <v/>
      </c>
    </row>
    <row r="1001" customFormat="false" ht="15" hidden="false" customHeight="false" outlineLevel="0" collapsed="false">
      <c r="A1001" s="20"/>
      <c r="B1001" s="19"/>
      <c r="C1001" s="19"/>
      <c r="D1001" s="21"/>
      <c r="E1001" s="19"/>
      <c r="F1001" s="19"/>
      <c r="G1001" s="23" t="str">
        <f aca="false">IF(A1001="","",TEXT(A1001,"yyyy-mm"))</f>
        <v/>
      </c>
      <c r="H1001" s="22" t="str">
        <f aca="false">IF(A1001="","",N(H1000)+IF(B1001="Masuk",N(D1001),-N(D1001)))</f>
        <v/>
      </c>
    </row>
    <row r="1002" customFormat="false" ht="15" hidden="false" customHeight="false" outlineLevel="0" collapsed="false">
      <c r="A1002" s="20"/>
      <c r="B1002" s="19"/>
      <c r="C1002" s="19"/>
      <c r="D1002" s="21"/>
      <c r="E1002" s="19"/>
      <c r="F1002" s="19"/>
      <c r="G1002" s="23" t="str">
        <f aca="false">IF(A1002="","",TEXT(A1002,"yyyy-mm"))</f>
        <v/>
      </c>
      <c r="H1002" s="22" t="str">
        <f aca="false">IF(A1002="","",N(H1001)+IF(B1002="Masuk",N(D1002),-N(D1002)))</f>
        <v/>
      </c>
    </row>
    <row r="1003" customFormat="false" ht="15" hidden="false" customHeight="false" outlineLevel="0" collapsed="false">
      <c r="A1003" s="20"/>
      <c r="B1003" s="19"/>
      <c r="C1003" s="19"/>
      <c r="D1003" s="21"/>
      <c r="E1003" s="19"/>
      <c r="F1003" s="19"/>
      <c r="G1003" s="23" t="str">
        <f aca="false">IF(A1003="","",TEXT(A1003,"yyyy-mm"))</f>
        <v/>
      </c>
      <c r="H1003" s="22" t="str">
        <f aca="false">IF(A1003="","",N(H1002)+IF(B1003="Masuk",N(D1003),-N(D1003)))</f>
        <v/>
      </c>
    </row>
    <row r="1004" customFormat="false" ht="15" hidden="false" customHeight="false" outlineLevel="0" collapsed="false">
      <c r="A1004" s="20"/>
      <c r="B1004" s="19"/>
      <c r="C1004" s="19"/>
      <c r="D1004" s="21"/>
      <c r="E1004" s="19"/>
      <c r="F1004" s="19"/>
      <c r="G1004" s="23" t="str">
        <f aca="false">IF(A1004="","",TEXT(A1004,"yyyy-mm"))</f>
        <v/>
      </c>
      <c r="H1004" s="22" t="str">
        <f aca="false">IF(A1004="","",N(H1003)+IF(B1004="Masuk",N(D1004),-N(D1004)))</f>
        <v/>
      </c>
    </row>
    <row r="1005" customFormat="false" ht="15" hidden="false" customHeight="false" outlineLevel="0" collapsed="false">
      <c r="A1005" s="20"/>
      <c r="B1005" s="19"/>
      <c r="C1005" s="19"/>
      <c r="D1005" s="21"/>
      <c r="E1005" s="19"/>
      <c r="F1005" s="19"/>
      <c r="G1005" s="23" t="str">
        <f aca="false">IF(A1005="","",TEXT(A1005,"yyyy-mm"))</f>
        <v/>
      </c>
      <c r="H1005" s="22" t="str">
        <f aca="false">IF(A1005="","",N(H1004)+IF(B1005="Masuk",N(D1005),-N(D1005)))</f>
        <v/>
      </c>
    </row>
    <row r="1006" customFormat="false" ht="15" hidden="false" customHeight="false" outlineLevel="0" collapsed="false">
      <c r="A1006" s="20"/>
      <c r="B1006" s="19"/>
      <c r="C1006" s="19"/>
      <c r="D1006" s="21"/>
      <c r="E1006" s="19"/>
      <c r="F1006" s="19"/>
      <c r="G1006" s="23" t="str">
        <f aca="false">IF(A1006="","",TEXT(A1006,"yyyy-mm"))</f>
        <v/>
      </c>
      <c r="H1006" s="22" t="str">
        <f aca="false">IF(A1006="","",N(H1005)+IF(B1006="Masuk",N(D1006),-N(D1006)))</f>
        <v/>
      </c>
    </row>
    <row r="1007" customFormat="false" ht="15" hidden="false" customHeight="false" outlineLevel="0" collapsed="false">
      <c r="A1007" s="20"/>
      <c r="B1007" s="19"/>
      <c r="C1007" s="19"/>
      <c r="D1007" s="21"/>
      <c r="E1007" s="19"/>
      <c r="F1007" s="19"/>
      <c r="G1007" s="23" t="str">
        <f aca="false">IF(A1007="","",TEXT(A1007,"yyyy-mm"))</f>
        <v/>
      </c>
      <c r="H1007" s="22" t="str">
        <f aca="false">IF(A1007="","",N(H1006)+IF(B1007="Masuk",N(D1007),-N(D1007)))</f>
        <v/>
      </c>
    </row>
    <row r="1008" customFormat="false" ht="15" hidden="false" customHeight="false" outlineLevel="0" collapsed="false">
      <c r="A1008" s="20"/>
      <c r="B1008" s="19"/>
      <c r="C1008" s="19"/>
      <c r="D1008" s="21"/>
      <c r="E1008" s="19"/>
      <c r="F1008" s="19"/>
      <c r="G1008" s="23" t="str">
        <f aca="false">IF(A1008="","",TEXT(A1008,"yyyy-mm"))</f>
        <v/>
      </c>
      <c r="H1008" s="22" t="str">
        <f aca="false">IF(A1008="","",N(H1007)+IF(B1008="Masuk",N(D1008),-N(D1008)))</f>
        <v/>
      </c>
    </row>
    <row r="1009" customFormat="false" ht="15" hidden="false" customHeight="false" outlineLevel="0" collapsed="false">
      <c r="A1009" s="20"/>
      <c r="B1009" s="19"/>
      <c r="C1009" s="19"/>
      <c r="D1009" s="21"/>
      <c r="E1009" s="19"/>
      <c r="F1009" s="19"/>
      <c r="G1009" s="23" t="str">
        <f aca="false">IF(A1009="","",TEXT(A1009,"yyyy-mm"))</f>
        <v/>
      </c>
      <c r="H1009" s="22" t="str">
        <f aca="false">IF(A1009="","",N(H1008)+IF(B1009="Masuk",N(D1009),-N(D1009)))</f>
        <v/>
      </c>
    </row>
    <row r="1010" customFormat="false" ht="15" hidden="false" customHeight="false" outlineLevel="0" collapsed="false">
      <c r="A1010" s="20"/>
      <c r="B1010" s="19"/>
      <c r="C1010" s="19"/>
      <c r="D1010" s="21"/>
      <c r="E1010" s="19"/>
      <c r="F1010" s="19"/>
      <c r="G1010" s="23" t="str">
        <f aca="false">IF(A1010="","",TEXT(A1010,"yyyy-mm"))</f>
        <v/>
      </c>
      <c r="H1010" s="22" t="str">
        <f aca="false">IF(A1010="","",N(H1009)+IF(B1010="Masuk",N(D1010),-N(D1010)))</f>
        <v/>
      </c>
    </row>
    <row r="1011" customFormat="false" ht="15" hidden="false" customHeight="false" outlineLevel="0" collapsed="false">
      <c r="A1011" s="20"/>
      <c r="B1011" s="19"/>
      <c r="C1011" s="19"/>
      <c r="D1011" s="21"/>
      <c r="E1011" s="19"/>
      <c r="F1011" s="19"/>
      <c r="G1011" s="23" t="str">
        <f aca="false">IF(A1011="","",TEXT(A1011,"yyyy-mm"))</f>
        <v/>
      </c>
      <c r="H1011" s="22" t="str">
        <f aca="false">IF(A1011="","",N(H1010)+IF(B1011="Masuk",N(D1011),-N(D1011)))</f>
        <v/>
      </c>
    </row>
    <row r="1012" customFormat="false" ht="15" hidden="false" customHeight="false" outlineLevel="0" collapsed="false">
      <c r="A1012" s="20"/>
      <c r="B1012" s="19"/>
      <c r="C1012" s="19"/>
      <c r="D1012" s="21"/>
      <c r="E1012" s="19"/>
      <c r="F1012" s="19"/>
      <c r="G1012" s="23" t="str">
        <f aca="false">IF(A1012="","",TEXT(A1012,"yyyy-mm"))</f>
        <v/>
      </c>
      <c r="H1012" s="22" t="str">
        <f aca="false">IF(A1012="","",N(H1011)+IF(B1012="Masuk",N(D1012),-N(D1012)))</f>
        <v/>
      </c>
    </row>
    <row r="1013" customFormat="false" ht="15" hidden="false" customHeight="false" outlineLevel="0" collapsed="false">
      <c r="A1013" s="20"/>
      <c r="B1013" s="19"/>
      <c r="C1013" s="19"/>
      <c r="D1013" s="21"/>
      <c r="E1013" s="19"/>
      <c r="F1013" s="19"/>
      <c r="G1013" s="23" t="str">
        <f aca="false">IF(A1013="","",TEXT(A1013,"yyyy-mm"))</f>
        <v/>
      </c>
      <c r="H1013" s="22" t="str">
        <f aca="false">IF(A1013="","",N(H1012)+IF(B1013="Masuk",N(D1013),-N(D1013)))</f>
        <v/>
      </c>
    </row>
    <row r="1014" customFormat="false" ht="15" hidden="false" customHeight="false" outlineLevel="0" collapsed="false">
      <c r="A1014" s="20"/>
      <c r="B1014" s="19"/>
      <c r="C1014" s="19"/>
      <c r="D1014" s="21"/>
      <c r="E1014" s="19"/>
      <c r="F1014" s="19"/>
      <c r="G1014" s="23" t="str">
        <f aca="false">IF(A1014="","",TEXT(A1014,"yyyy-mm"))</f>
        <v/>
      </c>
      <c r="H1014" s="22" t="str">
        <f aca="false">IF(A1014="","",N(H1013)+IF(B1014="Masuk",N(D1014),-N(D1014)))</f>
        <v/>
      </c>
    </row>
    <row r="1015" customFormat="false" ht="15" hidden="false" customHeight="false" outlineLevel="0" collapsed="false">
      <c r="A1015" s="20"/>
      <c r="B1015" s="19"/>
      <c r="C1015" s="19"/>
      <c r="D1015" s="21"/>
      <c r="E1015" s="19"/>
      <c r="F1015" s="19"/>
      <c r="G1015" s="23" t="str">
        <f aca="false">IF(A1015="","",TEXT(A1015,"yyyy-mm"))</f>
        <v/>
      </c>
      <c r="H1015" s="22" t="str">
        <f aca="false">IF(A1015="","",N(H1014)+IF(B1015="Masuk",N(D1015),-N(D1015)))</f>
        <v/>
      </c>
    </row>
    <row r="1016" customFormat="false" ht="15" hidden="false" customHeight="false" outlineLevel="0" collapsed="false">
      <c r="A1016" s="20"/>
      <c r="B1016" s="19"/>
      <c r="C1016" s="19"/>
      <c r="D1016" s="21"/>
      <c r="E1016" s="19"/>
      <c r="F1016" s="19"/>
      <c r="G1016" s="23" t="str">
        <f aca="false">IF(A1016="","",TEXT(A1016,"yyyy-mm"))</f>
        <v/>
      </c>
      <c r="H1016" s="22" t="str">
        <f aca="false">IF(A1016="","",N(H1015)+IF(B1016="Masuk",N(D1016),-N(D1016)))</f>
        <v/>
      </c>
    </row>
    <row r="1017" customFormat="false" ht="15" hidden="false" customHeight="false" outlineLevel="0" collapsed="false">
      <c r="A1017" s="20"/>
      <c r="B1017" s="19"/>
      <c r="C1017" s="19"/>
      <c r="D1017" s="21"/>
      <c r="E1017" s="19"/>
      <c r="F1017" s="19"/>
      <c r="G1017" s="23" t="str">
        <f aca="false">IF(A1017="","",TEXT(A1017,"yyyy-mm"))</f>
        <v/>
      </c>
      <c r="H1017" s="22" t="str">
        <f aca="false">IF(A1017="","",N(H1016)+IF(B1017="Masuk",N(D1017),-N(D1017)))</f>
        <v/>
      </c>
    </row>
    <row r="1018" customFormat="false" ht="15" hidden="false" customHeight="false" outlineLevel="0" collapsed="false">
      <c r="A1018" s="20"/>
      <c r="B1018" s="19"/>
      <c r="C1018" s="19"/>
      <c r="D1018" s="21"/>
      <c r="E1018" s="19"/>
      <c r="F1018" s="19"/>
      <c r="G1018" s="23" t="str">
        <f aca="false">IF(A1018="","",TEXT(A1018,"yyyy-mm"))</f>
        <v/>
      </c>
      <c r="H1018" s="22" t="str">
        <f aca="false">IF(A1018="","",N(H1017)+IF(B1018="Masuk",N(D1018),-N(D1018)))</f>
        <v/>
      </c>
    </row>
    <row r="1019" customFormat="false" ht="15" hidden="false" customHeight="false" outlineLevel="0" collapsed="false">
      <c r="A1019" s="20"/>
      <c r="B1019" s="19"/>
      <c r="C1019" s="19"/>
      <c r="D1019" s="21"/>
      <c r="E1019" s="19"/>
      <c r="F1019" s="19"/>
      <c r="G1019" s="23" t="str">
        <f aca="false">IF(A1019="","",TEXT(A1019,"yyyy-mm"))</f>
        <v/>
      </c>
      <c r="H1019" s="22" t="str">
        <f aca="false">IF(A1019="","",N(H1018)+IF(B1019="Masuk",N(D1019),-N(D1019)))</f>
        <v/>
      </c>
    </row>
    <row r="1020" customFormat="false" ht="15" hidden="false" customHeight="false" outlineLevel="0" collapsed="false">
      <c r="A1020" s="20"/>
      <c r="B1020" s="19"/>
      <c r="C1020" s="19"/>
      <c r="D1020" s="21"/>
      <c r="E1020" s="19"/>
      <c r="F1020" s="19"/>
      <c r="G1020" s="23" t="str">
        <f aca="false">IF(A1020="","",TEXT(A1020,"yyyy-mm"))</f>
        <v/>
      </c>
      <c r="H1020" s="22" t="str">
        <f aca="false">IF(A1020="","",N(H1019)+IF(B1020="Masuk",N(D1020),-N(D1020)))</f>
        <v/>
      </c>
    </row>
    <row r="1021" customFormat="false" ht="15" hidden="false" customHeight="false" outlineLevel="0" collapsed="false">
      <c r="A1021" s="20"/>
      <c r="B1021" s="19"/>
      <c r="C1021" s="19"/>
      <c r="D1021" s="21"/>
      <c r="E1021" s="19"/>
      <c r="F1021" s="19"/>
      <c r="G1021" s="23" t="str">
        <f aca="false">IF(A1021="","",TEXT(A1021,"yyyy-mm"))</f>
        <v/>
      </c>
      <c r="H1021" s="22" t="str">
        <f aca="false">IF(A1021="","",N(H1020)+IF(B1021="Masuk",N(D1021),-N(D1021)))</f>
        <v/>
      </c>
    </row>
    <row r="1022" customFormat="false" ht="15" hidden="false" customHeight="false" outlineLevel="0" collapsed="false">
      <c r="A1022" s="20"/>
      <c r="B1022" s="19"/>
      <c r="C1022" s="19"/>
      <c r="D1022" s="21"/>
      <c r="E1022" s="19"/>
      <c r="F1022" s="19"/>
      <c r="G1022" s="23" t="str">
        <f aca="false">IF(A1022="","",TEXT(A1022,"yyyy-mm"))</f>
        <v/>
      </c>
      <c r="H1022" s="22" t="str">
        <f aca="false">IF(A1022="","",N(H1021)+IF(B1022="Masuk",N(D1022),-N(D1022)))</f>
        <v/>
      </c>
    </row>
    <row r="1023" customFormat="false" ht="15" hidden="false" customHeight="false" outlineLevel="0" collapsed="false">
      <c r="A1023" s="20"/>
      <c r="B1023" s="19"/>
      <c r="C1023" s="19"/>
      <c r="D1023" s="21"/>
      <c r="E1023" s="19"/>
      <c r="F1023" s="19"/>
      <c r="G1023" s="23" t="str">
        <f aca="false">IF(A1023="","",TEXT(A1023,"yyyy-mm"))</f>
        <v/>
      </c>
      <c r="H1023" s="22" t="str">
        <f aca="false">IF(A1023="","",N(H1022)+IF(B1023="Masuk",N(D1023),-N(D1023)))</f>
        <v/>
      </c>
    </row>
    <row r="1024" customFormat="false" ht="15" hidden="false" customHeight="false" outlineLevel="0" collapsed="false">
      <c r="A1024" s="20"/>
      <c r="B1024" s="19"/>
      <c r="C1024" s="19"/>
      <c r="D1024" s="21"/>
      <c r="E1024" s="19"/>
      <c r="F1024" s="19"/>
      <c r="G1024" s="23" t="str">
        <f aca="false">IF(A1024="","",TEXT(A1024,"yyyy-mm"))</f>
        <v/>
      </c>
      <c r="H1024" s="22" t="str">
        <f aca="false">IF(A1024="","",N(H1023)+IF(B1024="Masuk",N(D1024),-N(D1024)))</f>
        <v/>
      </c>
    </row>
    <row r="1025" customFormat="false" ht="15" hidden="false" customHeight="false" outlineLevel="0" collapsed="false">
      <c r="A1025" s="20"/>
      <c r="B1025" s="19"/>
      <c r="C1025" s="19"/>
      <c r="D1025" s="21"/>
      <c r="E1025" s="19"/>
      <c r="F1025" s="19"/>
      <c r="G1025" s="23" t="str">
        <f aca="false">IF(A1025="","",TEXT(A1025,"yyyy-mm"))</f>
        <v/>
      </c>
      <c r="H1025" s="22" t="str">
        <f aca="false">IF(A1025="","",N(H1024)+IF(B1025="Masuk",N(D1025),-N(D1025)))</f>
        <v/>
      </c>
    </row>
    <row r="1026" customFormat="false" ht="15" hidden="false" customHeight="false" outlineLevel="0" collapsed="false">
      <c r="A1026" s="20"/>
      <c r="B1026" s="19"/>
      <c r="C1026" s="19"/>
      <c r="D1026" s="21"/>
      <c r="E1026" s="19"/>
      <c r="F1026" s="19"/>
      <c r="G1026" s="23" t="str">
        <f aca="false">IF(A1026="","",TEXT(A1026,"yyyy-mm"))</f>
        <v/>
      </c>
      <c r="H1026" s="22" t="str">
        <f aca="false">IF(A1026="","",N(H1025)+IF(B1026="Masuk",N(D1026),-N(D1026)))</f>
        <v/>
      </c>
    </row>
    <row r="1027" customFormat="false" ht="15" hidden="false" customHeight="false" outlineLevel="0" collapsed="false">
      <c r="A1027" s="20"/>
      <c r="B1027" s="19"/>
      <c r="C1027" s="19"/>
      <c r="D1027" s="21"/>
      <c r="E1027" s="19"/>
      <c r="F1027" s="19"/>
      <c r="G1027" s="23" t="str">
        <f aca="false">IF(A1027="","",TEXT(A1027,"yyyy-mm"))</f>
        <v/>
      </c>
      <c r="H1027" s="22" t="str">
        <f aca="false">IF(A1027="","",N(H1026)+IF(B1027="Masuk",N(D1027),-N(D1027)))</f>
        <v/>
      </c>
    </row>
    <row r="1028" customFormat="false" ht="15" hidden="false" customHeight="false" outlineLevel="0" collapsed="false">
      <c r="A1028" s="20"/>
      <c r="B1028" s="19"/>
      <c r="C1028" s="19"/>
      <c r="D1028" s="21"/>
      <c r="E1028" s="19"/>
      <c r="F1028" s="19"/>
      <c r="G1028" s="23" t="str">
        <f aca="false">IF(A1028="","",TEXT(A1028,"yyyy-mm"))</f>
        <v/>
      </c>
      <c r="H1028" s="22" t="str">
        <f aca="false">IF(A1028="","",N(H1027)+IF(B1028="Masuk",N(D1028),-N(D1028)))</f>
        <v/>
      </c>
    </row>
    <row r="1029" customFormat="false" ht="15" hidden="false" customHeight="false" outlineLevel="0" collapsed="false">
      <c r="A1029" s="20"/>
      <c r="B1029" s="19"/>
      <c r="C1029" s="19"/>
      <c r="D1029" s="21"/>
      <c r="E1029" s="19"/>
      <c r="F1029" s="19"/>
      <c r="G1029" s="23" t="str">
        <f aca="false">IF(A1029="","",TEXT(A1029,"yyyy-mm"))</f>
        <v/>
      </c>
      <c r="H1029" s="22" t="str">
        <f aca="false">IF(A1029="","",N(H1028)+IF(B1029="Masuk",N(D1029),-N(D1029)))</f>
        <v/>
      </c>
    </row>
    <row r="1030" customFormat="false" ht="15" hidden="false" customHeight="false" outlineLevel="0" collapsed="false">
      <c r="A1030" s="20"/>
      <c r="B1030" s="19"/>
      <c r="C1030" s="19"/>
      <c r="D1030" s="21"/>
      <c r="E1030" s="19"/>
      <c r="F1030" s="19"/>
      <c r="G1030" s="23" t="str">
        <f aca="false">IF(A1030="","",TEXT(A1030,"yyyy-mm"))</f>
        <v/>
      </c>
      <c r="H1030" s="22" t="str">
        <f aca="false">IF(A1030="","",N(H1029)+IF(B1030="Masuk",N(D1030),-N(D1030)))</f>
        <v/>
      </c>
    </row>
    <row r="1031" customFormat="false" ht="15" hidden="false" customHeight="false" outlineLevel="0" collapsed="false">
      <c r="A1031" s="20"/>
      <c r="B1031" s="19"/>
      <c r="C1031" s="19"/>
      <c r="D1031" s="21"/>
      <c r="E1031" s="19"/>
      <c r="F1031" s="19"/>
      <c r="G1031" s="23" t="str">
        <f aca="false">IF(A1031="","",TEXT(A1031,"yyyy-mm"))</f>
        <v/>
      </c>
      <c r="H1031" s="22" t="str">
        <f aca="false">IF(A1031="","",N(H1030)+IF(B1031="Masuk",N(D1031),-N(D1031)))</f>
        <v/>
      </c>
    </row>
    <row r="1032" customFormat="false" ht="15" hidden="false" customHeight="false" outlineLevel="0" collapsed="false">
      <c r="A1032" s="20"/>
      <c r="B1032" s="19"/>
      <c r="C1032" s="19"/>
      <c r="D1032" s="21"/>
      <c r="E1032" s="19"/>
      <c r="F1032" s="19"/>
      <c r="G1032" s="23" t="str">
        <f aca="false">IF(A1032="","",TEXT(A1032,"yyyy-mm"))</f>
        <v/>
      </c>
      <c r="H1032" s="22" t="str">
        <f aca="false">IF(A1032="","",N(H1031)+IF(B1032="Masuk",N(D1032),-N(D1032)))</f>
        <v/>
      </c>
    </row>
    <row r="1033" customFormat="false" ht="15" hidden="false" customHeight="false" outlineLevel="0" collapsed="false">
      <c r="A1033" s="20"/>
      <c r="B1033" s="19"/>
      <c r="C1033" s="19"/>
      <c r="D1033" s="21"/>
      <c r="E1033" s="19"/>
      <c r="F1033" s="19"/>
      <c r="G1033" s="23" t="str">
        <f aca="false">IF(A1033="","",TEXT(A1033,"yyyy-mm"))</f>
        <v/>
      </c>
      <c r="H1033" s="22" t="str">
        <f aca="false">IF(A1033="","",N(H1032)+IF(B1033="Masuk",N(D1033),-N(D1033)))</f>
        <v/>
      </c>
    </row>
    <row r="1034" customFormat="false" ht="15" hidden="false" customHeight="false" outlineLevel="0" collapsed="false">
      <c r="A1034" s="20"/>
      <c r="B1034" s="19"/>
      <c r="C1034" s="19"/>
      <c r="D1034" s="21"/>
      <c r="E1034" s="19"/>
      <c r="F1034" s="19"/>
      <c r="G1034" s="23" t="str">
        <f aca="false">IF(A1034="","",TEXT(A1034,"yyyy-mm"))</f>
        <v/>
      </c>
      <c r="H1034" s="22" t="str">
        <f aca="false">IF(A1034="","",N(H1033)+IF(B1034="Masuk",N(D1034),-N(D1034)))</f>
        <v/>
      </c>
    </row>
    <row r="1035" customFormat="false" ht="15" hidden="false" customHeight="false" outlineLevel="0" collapsed="false">
      <c r="A1035" s="20"/>
      <c r="B1035" s="19"/>
      <c r="C1035" s="19"/>
      <c r="D1035" s="21"/>
      <c r="E1035" s="19"/>
      <c r="F1035" s="19"/>
      <c r="G1035" s="23" t="str">
        <f aca="false">IF(A1035="","",TEXT(A1035,"yyyy-mm"))</f>
        <v/>
      </c>
      <c r="H1035" s="22" t="str">
        <f aca="false">IF(A1035="","",N(H1034)+IF(B1035="Masuk",N(D1035),-N(D1035)))</f>
        <v/>
      </c>
    </row>
    <row r="1036" customFormat="false" ht="15" hidden="false" customHeight="false" outlineLevel="0" collapsed="false">
      <c r="A1036" s="20"/>
      <c r="B1036" s="19"/>
      <c r="C1036" s="19"/>
      <c r="D1036" s="21"/>
      <c r="E1036" s="19"/>
      <c r="F1036" s="19"/>
      <c r="G1036" s="23" t="str">
        <f aca="false">IF(A1036="","",TEXT(A1036,"yyyy-mm"))</f>
        <v/>
      </c>
      <c r="H1036" s="22" t="str">
        <f aca="false">IF(A1036="","",N(H1035)+IF(B1036="Masuk",N(D1036),-N(D1036)))</f>
        <v/>
      </c>
    </row>
    <row r="1037" customFormat="false" ht="15" hidden="false" customHeight="false" outlineLevel="0" collapsed="false">
      <c r="A1037" s="20"/>
      <c r="B1037" s="19"/>
      <c r="C1037" s="19"/>
      <c r="D1037" s="21"/>
      <c r="E1037" s="19"/>
      <c r="F1037" s="19"/>
      <c r="G1037" s="23" t="str">
        <f aca="false">IF(A1037="","",TEXT(A1037,"yyyy-mm"))</f>
        <v/>
      </c>
      <c r="H1037" s="22" t="str">
        <f aca="false">IF(A1037="","",N(H1036)+IF(B1037="Masuk",N(D1037),-N(D1037)))</f>
        <v/>
      </c>
    </row>
    <row r="1038" customFormat="false" ht="15" hidden="false" customHeight="false" outlineLevel="0" collapsed="false">
      <c r="A1038" s="20"/>
      <c r="B1038" s="19"/>
      <c r="C1038" s="19"/>
      <c r="D1038" s="21"/>
      <c r="E1038" s="19"/>
      <c r="F1038" s="19"/>
      <c r="G1038" s="23" t="str">
        <f aca="false">IF(A1038="","",TEXT(A1038,"yyyy-mm"))</f>
        <v/>
      </c>
      <c r="H1038" s="22" t="str">
        <f aca="false">IF(A1038="","",N(H1037)+IF(B1038="Masuk",N(D1038),-N(D1038)))</f>
        <v/>
      </c>
    </row>
    <row r="1039" customFormat="false" ht="15" hidden="false" customHeight="false" outlineLevel="0" collapsed="false">
      <c r="A1039" s="20"/>
      <c r="B1039" s="19"/>
      <c r="C1039" s="19"/>
      <c r="D1039" s="21"/>
      <c r="E1039" s="19"/>
      <c r="F1039" s="19"/>
      <c r="G1039" s="23" t="str">
        <f aca="false">IF(A1039="","",TEXT(A1039,"yyyy-mm"))</f>
        <v/>
      </c>
      <c r="H1039" s="22" t="str">
        <f aca="false">IF(A1039="","",N(H1038)+IF(B1039="Masuk",N(D1039),-N(D1039)))</f>
        <v/>
      </c>
    </row>
    <row r="1040" customFormat="false" ht="15" hidden="false" customHeight="false" outlineLevel="0" collapsed="false">
      <c r="A1040" s="20"/>
      <c r="B1040" s="19"/>
      <c r="C1040" s="19"/>
      <c r="D1040" s="21"/>
      <c r="E1040" s="19"/>
      <c r="F1040" s="19"/>
      <c r="G1040" s="23" t="str">
        <f aca="false">IF(A1040="","",TEXT(A1040,"yyyy-mm"))</f>
        <v/>
      </c>
      <c r="H1040" s="22" t="str">
        <f aca="false">IF(A1040="","",N(H1039)+IF(B1040="Masuk",N(D1040),-N(D1040)))</f>
        <v/>
      </c>
    </row>
    <row r="1041" customFormat="false" ht="15" hidden="false" customHeight="false" outlineLevel="0" collapsed="false">
      <c r="A1041" s="20"/>
      <c r="B1041" s="19"/>
      <c r="C1041" s="19"/>
      <c r="D1041" s="21"/>
      <c r="E1041" s="19"/>
      <c r="F1041" s="19"/>
      <c r="G1041" s="23" t="str">
        <f aca="false">IF(A1041="","",TEXT(A1041,"yyyy-mm"))</f>
        <v/>
      </c>
      <c r="H1041" s="22" t="str">
        <f aca="false">IF(A1041="","",N(H1040)+IF(B1041="Masuk",N(D1041),-N(D1041)))</f>
        <v/>
      </c>
    </row>
    <row r="1042" customFormat="false" ht="15" hidden="false" customHeight="false" outlineLevel="0" collapsed="false">
      <c r="A1042" s="20"/>
      <c r="B1042" s="19"/>
      <c r="C1042" s="19"/>
      <c r="D1042" s="21"/>
      <c r="E1042" s="19"/>
      <c r="F1042" s="19"/>
      <c r="G1042" s="23" t="str">
        <f aca="false">IF(A1042="","",TEXT(A1042,"yyyy-mm"))</f>
        <v/>
      </c>
      <c r="H1042" s="22" t="str">
        <f aca="false">IF(A1042="","",N(H1041)+IF(B1042="Masuk",N(D1042),-N(D1042)))</f>
        <v/>
      </c>
    </row>
    <row r="1043" customFormat="false" ht="15" hidden="false" customHeight="false" outlineLevel="0" collapsed="false">
      <c r="A1043" s="20"/>
      <c r="B1043" s="19"/>
      <c r="C1043" s="19"/>
      <c r="D1043" s="21"/>
      <c r="E1043" s="19"/>
      <c r="F1043" s="19"/>
      <c r="G1043" s="23" t="str">
        <f aca="false">IF(A1043="","",TEXT(A1043,"yyyy-mm"))</f>
        <v/>
      </c>
      <c r="H1043" s="22" t="str">
        <f aca="false">IF(A1043="","",N(H1042)+IF(B1043="Masuk",N(D1043),-N(D1043)))</f>
        <v/>
      </c>
    </row>
    <row r="1044" customFormat="false" ht="15" hidden="false" customHeight="false" outlineLevel="0" collapsed="false">
      <c r="A1044" s="20"/>
      <c r="B1044" s="19"/>
      <c r="C1044" s="19"/>
      <c r="D1044" s="21"/>
      <c r="E1044" s="19"/>
      <c r="F1044" s="19"/>
      <c r="G1044" s="23" t="str">
        <f aca="false">IF(A1044="","",TEXT(A1044,"yyyy-mm"))</f>
        <v/>
      </c>
      <c r="H1044" s="22" t="str">
        <f aca="false">IF(A1044="","",N(H1043)+IF(B1044="Masuk",N(D1044),-N(D1044)))</f>
        <v/>
      </c>
    </row>
    <row r="1045" customFormat="false" ht="15" hidden="false" customHeight="false" outlineLevel="0" collapsed="false">
      <c r="A1045" s="20"/>
      <c r="B1045" s="19"/>
      <c r="C1045" s="19"/>
      <c r="D1045" s="21"/>
      <c r="E1045" s="19"/>
      <c r="F1045" s="19"/>
      <c r="G1045" s="23" t="str">
        <f aca="false">IF(A1045="","",TEXT(A1045,"yyyy-mm"))</f>
        <v/>
      </c>
      <c r="H1045" s="22" t="str">
        <f aca="false">IF(A1045="","",N(H1044)+IF(B1045="Masuk",N(D1045),-N(D1045)))</f>
        <v/>
      </c>
    </row>
    <row r="1046" customFormat="false" ht="15" hidden="false" customHeight="false" outlineLevel="0" collapsed="false">
      <c r="A1046" s="20"/>
      <c r="B1046" s="19"/>
      <c r="C1046" s="19"/>
      <c r="D1046" s="21"/>
      <c r="E1046" s="19"/>
      <c r="F1046" s="19"/>
      <c r="G1046" s="23" t="str">
        <f aca="false">IF(A1046="","",TEXT(A1046,"yyyy-mm"))</f>
        <v/>
      </c>
      <c r="H1046" s="22" t="str">
        <f aca="false">IF(A1046="","",N(H1045)+IF(B1046="Masuk",N(D1046),-N(D1046)))</f>
        <v/>
      </c>
    </row>
    <row r="1047" customFormat="false" ht="15" hidden="false" customHeight="false" outlineLevel="0" collapsed="false">
      <c r="A1047" s="20"/>
      <c r="B1047" s="19"/>
      <c r="C1047" s="19"/>
      <c r="D1047" s="21"/>
      <c r="E1047" s="19"/>
      <c r="F1047" s="19"/>
      <c r="G1047" s="23" t="str">
        <f aca="false">IF(A1047="","",TEXT(A1047,"yyyy-mm"))</f>
        <v/>
      </c>
      <c r="H1047" s="22" t="str">
        <f aca="false">IF(A1047="","",N(H1046)+IF(B1047="Masuk",N(D1047),-N(D1047)))</f>
        <v/>
      </c>
    </row>
    <row r="1048" customFormat="false" ht="15" hidden="false" customHeight="false" outlineLevel="0" collapsed="false">
      <c r="A1048" s="20"/>
      <c r="B1048" s="19"/>
      <c r="C1048" s="19"/>
      <c r="D1048" s="21"/>
      <c r="E1048" s="19"/>
      <c r="F1048" s="19"/>
      <c r="G1048" s="23" t="str">
        <f aca="false">IF(A1048="","",TEXT(A1048,"yyyy-mm"))</f>
        <v/>
      </c>
      <c r="H1048" s="22" t="str">
        <f aca="false">IF(A1048="","",N(H1047)+IF(B1048="Masuk",N(D1048),-N(D1048)))</f>
        <v/>
      </c>
    </row>
    <row r="1049" customFormat="false" ht="15" hidden="false" customHeight="false" outlineLevel="0" collapsed="false">
      <c r="A1049" s="20"/>
      <c r="B1049" s="19"/>
      <c r="C1049" s="19"/>
      <c r="D1049" s="21"/>
      <c r="E1049" s="19"/>
      <c r="F1049" s="19"/>
      <c r="G1049" s="23" t="str">
        <f aca="false">IF(A1049="","",TEXT(A1049,"yyyy-mm"))</f>
        <v/>
      </c>
      <c r="H1049" s="22" t="str">
        <f aca="false">IF(A1049="","",N(H1048)+IF(B1049="Masuk",N(D1049),-N(D1049)))</f>
        <v/>
      </c>
    </row>
    <row r="1050" customFormat="false" ht="15" hidden="false" customHeight="false" outlineLevel="0" collapsed="false">
      <c r="A1050" s="20"/>
      <c r="B1050" s="19"/>
      <c r="C1050" s="19"/>
      <c r="D1050" s="21"/>
      <c r="E1050" s="19"/>
      <c r="F1050" s="19"/>
      <c r="G1050" s="23" t="str">
        <f aca="false">IF(A1050="","",TEXT(A1050,"yyyy-mm"))</f>
        <v/>
      </c>
      <c r="H1050" s="22" t="str">
        <f aca="false">IF(A1050="","",N(H1049)+IF(B1050="Masuk",N(D1050),-N(D1050)))</f>
        <v/>
      </c>
    </row>
    <row r="1051" customFormat="false" ht="15" hidden="false" customHeight="false" outlineLevel="0" collapsed="false">
      <c r="A1051" s="20"/>
      <c r="B1051" s="19"/>
      <c r="C1051" s="19"/>
      <c r="D1051" s="21"/>
      <c r="E1051" s="19"/>
      <c r="F1051" s="19"/>
      <c r="G1051" s="23" t="str">
        <f aca="false">IF(A1051="","",TEXT(A1051,"yyyy-mm"))</f>
        <v/>
      </c>
      <c r="H1051" s="22" t="str">
        <f aca="false">IF(A1051="","",N(H1050)+IF(B1051="Masuk",N(D1051),-N(D1051)))</f>
        <v/>
      </c>
    </row>
    <row r="1052" customFormat="false" ht="15" hidden="false" customHeight="false" outlineLevel="0" collapsed="false">
      <c r="A1052" s="20"/>
      <c r="B1052" s="19"/>
      <c r="C1052" s="19"/>
      <c r="D1052" s="21"/>
      <c r="E1052" s="19"/>
      <c r="F1052" s="19"/>
      <c r="G1052" s="23" t="str">
        <f aca="false">IF(A1052="","",TEXT(A1052,"yyyy-mm"))</f>
        <v/>
      </c>
      <c r="H1052" s="22" t="str">
        <f aca="false">IF(A1052="","",N(H1051)+IF(B1052="Masuk",N(D1052),-N(D1052)))</f>
        <v/>
      </c>
    </row>
    <row r="1053" customFormat="false" ht="15" hidden="false" customHeight="false" outlineLevel="0" collapsed="false">
      <c r="A1053" s="20"/>
      <c r="B1053" s="19"/>
      <c r="C1053" s="19"/>
      <c r="D1053" s="21"/>
      <c r="E1053" s="19"/>
      <c r="F1053" s="19"/>
      <c r="G1053" s="23" t="str">
        <f aca="false">IF(A1053="","",TEXT(A1053,"yyyy-mm"))</f>
        <v/>
      </c>
      <c r="H1053" s="22" t="str">
        <f aca="false">IF(A1053="","",N(H1052)+IF(B1053="Masuk",N(D1053),-N(D1053)))</f>
        <v/>
      </c>
    </row>
    <row r="1054" customFormat="false" ht="15" hidden="false" customHeight="false" outlineLevel="0" collapsed="false">
      <c r="A1054" s="20"/>
      <c r="B1054" s="19"/>
      <c r="C1054" s="19"/>
      <c r="D1054" s="21"/>
      <c r="E1054" s="19"/>
      <c r="F1054" s="19"/>
      <c r="G1054" s="23" t="str">
        <f aca="false">IF(A1054="","",TEXT(A1054,"yyyy-mm"))</f>
        <v/>
      </c>
      <c r="H1054" s="22" t="str">
        <f aca="false">IF(A1054="","",N(H1053)+IF(B1054="Masuk",N(D1054),-N(D1054)))</f>
        <v/>
      </c>
    </row>
    <row r="1055" customFormat="false" ht="15" hidden="false" customHeight="false" outlineLevel="0" collapsed="false">
      <c r="A1055" s="20"/>
      <c r="B1055" s="19"/>
      <c r="C1055" s="19"/>
      <c r="D1055" s="21"/>
      <c r="E1055" s="19"/>
      <c r="F1055" s="19"/>
      <c r="G1055" s="23" t="str">
        <f aca="false">IF(A1055="","",TEXT(A1055,"yyyy-mm"))</f>
        <v/>
      </c>
      <c r="H1055" s="22" t="str">
        <f aca="false">IF(A1055="","",N(H1054)+IF(B1055="Masuk",N(D1055),-N(D1055)))</f>
        <v/>
      </c>
    </row>
    <row r="1056" customFormat="false" ht="15" hidden="false" customHeight="false" outlineLevel="0" collapsed="false">
      <c r="A1056" s="20"/>
      <c r="B1056" s="19"/>
      <c r="C1056" s="19"/>
      <c r="D1056" s="21"/>
      <c r="E1056" s="19"/>
      <c r="F1056" s="19"/>
      <c r="G1056" s="23" t="str">
        <f aca="false">IF(A1056="","",TEXT(A1056,"yyyy-mm"))</f>
        <v/>
      </c>
      <c r="H1056" s="22" t="str">
        <f aca="false">IF(A1056="","",N(H1055)+IF(B1056="Masuk",N(D1056),-N(D1056)))</f>
        <v/>
      </c>
    </row>
    <row r="1057" customFormat="false" ht="15" hidden="false" customHeight="false" outlineLevel="0" collapsed="false">
      <c r="A1057" s="20"/>
      <c r="B1057" s="19"/>
      <c r="C1057" s="19"/>
      <c r="D1057" s="21"/>
      <c r="E1057" s="19"/>
      <c r="F1057" s="19"/>
      <c r="G1057" s="23" t="str">
        <f aca="false">IF(A1057="","",TEXT(A1057,"yyyy-mm"))</f>
        <v/>
      </c>
      <c r="H1057" s="22" t="str">
        <f aca="false">IF(A1057="","",N(H1056)+IF(B1057="Masuk",N(D1057),-N(D1057)))</f>
        <v/>
      </c>
    </row>
    <row r="1058" customFormat="false" ht="15" hidden="false" customHeight="false" outlineLevel="0" collapsed="false">
      <c r="A1058" s="20"/>
      <c r="B1058" s="19"/>
      <c r="C1058" s="19"/>
      <c r="D1058" s="21"/>
      <c r="E1058" s="19"/>
      <c r="F1058" s="19"/>
      <c r="G1058" s="23" t="str">
        <f aca="false">IF(A1058="","",TEXT(A1058,"yyyy-mm"))</f>
        <v/>
      </c>
      <c r="H1058" s="22" t="str">
        <f aca="false">IF(A1058="","",N(H1057)+IF(B1058="Masuk",N(D1058),-N(D1058)))</f>
        <v/>
      </c>
    </row>
    <row r="1059" customFormat="false" ht="15" hidden="false" customHeight="false" outlineLevel="0" collapsed="false">
      <c r="A1059" s="20"/>
      <c r="B1059" s="19"/>
      <c r="C1059" s="19"/>
      <c r="D1059" s="21"/>
      <c r="E1059" s="19"/>
      <c r="F1059" s="19"/>
      <c r="G1059" s="23" t="str">
        <f aca="false">IF(A1059="","",TEXT(A1059,"yyyy-mm"))</f>
        <v/>
      </c>
      <c r="H1059" s="22" t="str">
        <f aca="false">IF(A1059="","",N(H1058)+IF(B1059="Masuk",N(D1059),-N(D1059)))</f>
        <v/>
      </c>
    </row>
    <row r="1060" customFormat="false" ht="15" hidden="false" customHeight="false" outlineLevel="0" collapsed="false">
      <c r="A1060" s="20"/>
      <c r="B1060" s="19"/>
      <c r="C1060" s="19"/>
      <c r="D1060" s="21"/>
      <c r="E1060" s="19"/>
      <c r="F1060" s="19"/>
      <c r="G1060" s="23" t="str">
        <f aca="false">IF(A1060="","",TEXT(A1060,"yyyy-mm"))</f>
        <v/>
      </c>
      <c r="H1060" s="22" t="str">
        <f aca="false">IF(A1060="","",N(H1059)+IF(B1060="Masuk",N(D1060),-N(D1060)))</f>
        <v/>
      </c>
    </row>
    <row r="1061" customFormat="false" ht="15" hidden="false" customHeight="false" outlineLevel="0" collapsed="false">
      <c r="A1061" s="20"/>
      <c r="B1061" s="19"/>
      <c r="C1061" s="19"/>
      <c r="D1061" s="21"/>
      <c r="E1061" s="19"/>
      <c r="F1061" s="19"/>
      <c r="G1061" s="23" t="str">
        <f aca="false">IF(A1061="","",TEXT(A1061,"yyyy-mm"))</f>
        <v/>
      </c>
      <c r="H1061" s="22" t="str">
        <f aca="false">IF(A1061="","",N(H1060)+IF(B1061="Masuk",N(D1061),-N(D1061)))</f>
        <v/>
      </c>
    </row>
    <row r="1062" customFormat="false" ht="15" hidden="false" customHeight="false" outlineLevel="0" collapsed="false">
      <c r="A1062" s="20"/>
      <c r="B1062" s="19"/>
      <c r="C1062" s="19"/>
      <c r="D1062" s="21"/>
      <c r="E1062" s="19"/>
      <c r="F1062" s="19"/>
      <c r="G1062" s="23" t="str">
        <f aca="false">IF(A1062="","",TEXT(A1062,"yyyy-mm"))</f>
        <v/>
      </c>
      <c r="H1062" s="22" t="str">
        <f aca="false">IF(A1062="","",N(H1061)+IF(B1062="Masuk",N(D1062),-N(D1062)))</f>
        <v/>
      </c>
    </row>
    <row r="1063" customFormat="false" ht="15" hidden="false" customHeight="false" outlineLevel="0" collapsed="false">
      <c r="A1063" s="20"/>
      <c r="B1063" s="19"/>
      <c r="C1063" s="19"/>
      <c r="D1063" s="21"/>
      <c r="E1063" s="19"/>
      <c r="F1063" s="19"/>
      <c r="G1063" s="23" t="str">
        <f aca="false">IF(A1063="","",TEXT(A1063,"yyyy-mm"))</f>
        <v/>
      </c>
      <c r="H1063" s="22" t="str">
        <f aca="false">IF(A1063="","",N(H1062)+IF(B1063="Masuk",N(D1063),-N(D1063)))</f>
        <v/>
      </c>
    </row>
    <row r="1064" customFormat="false" ht="15" hidden="false" customHeight="false" outlineLevel="0" collapsed="false">
      <c r="A1064" s="20"/>
      <c r="B1064" s="19"/>
      <c r="C1064" s="19"/>
      <c r="D1064" s="21"/>
      <c r="E1064" s="19"/>
      <c r="F1064" s="19"/>
      <c r="G1064" s="23" t="str">
        <f aca="false">IF(A1064="","",TEXT(A1064,"yyyy-mm"))</f>
        <v/>
      </c>
      <c r="H1064" s="22" t="str">
        <f aca="false">IF(A1064="","",N(H1063)+IF(B1064="Masuk",N(D1064),-N(D1064)))</f>
        <v/>
      </c>
    </row>
    <row r="1065" customFormat="false" ht="15" hidden="false" customHeight="false" outlineLevel="0" collapsed="false">
      <c r="A1065" s="20"/>
      <c r="B1065" s="19"/>
      <c r="C1065" s="19"/>
      <c r="D1065" s="21"/>
      <c r="E1065" s="19"/>
      <c r="F1065" s="19"/>
      <c r="G1065" s="23" t="str">
        <f aca="false">IF(A1065="","",TEXT(A1065,"yyyy-mm"))</f>
        <v/>
      </c>
      <c r="H1065" s="22" t="str">
        <f aca="false">IF(A1065="","",N(H1064)+IF(B1065="Masuk",N(D1065),-N(D1065)))</f>
        <v/>
      </c>
    </row>
    <row r="1066" customFormat="false" ht="15" hidden="false" customHeight="false" outlineLevel="0" collapsed="false">
      <c r="A1066" s="20"/>
      <c r="B1066" s="19"/>
      <c r="C1066" s="19"/>
      <c r="D1066" s="21"/>
      <c r="E1066" s="19"/>
      <c r="F1066" s="19"/>
      <c r="G1066" s="23" t="str">
        <f aca="false">IF(A1066="","",TEXT(A1066,"yyyy-mm"))</f>
        <v/>
      </c>
      <c r="H1066" s="22" t="str">
        <f aca="false">IF(A1066="","",N(H1065)+IF(B1066="Masuk",N(D1066),-N(D1066)))</f>
        <v/>
      </c>
    </row>
    <row r="1067" customFormat="false" ht="15" hidden="false" customHeight="false" outlineLevel="0" collapsed="false">
      <c r="A1067" s="20"/>
      <c r="B1067" s="19"/>
      <c r="C1067" s="19"/>
      <c r="D1067" s="21"/>
      <c r="E1067" s="19"/>
      <c r="F1067" s="19"/>
      <c r="G1067" s="23" t="str">
        <f aca="false">IF(A1067="","",TEXT(A1067,"yyyy-mm"))</f>
        <v/>
      </c>
      <c r="H1067" s="22" t="str">
        <f aca="false">IF(A1067="","",N(H1066)+IF(B1067="Masuk",N(D1067),-N(D1067)))</f>
        <v/>
      </c>
    </row>
    <row r="1068" customFormat="false" ht="15" hidden="false" customHeight="false" outlineLevel="0" collapsed="false">
      <c r="A1068" s="20"/>
      <c r="B1068" s="19"/>
      <c r="C1068" s="19"/>
      <c r="D1068" s="21"/>
      <c r="E1068" s="19"/>
      <c r="F1068" s="19"/>
      <c r="G1068" s="23" t="str">
        <f aca="false">IF(A1068="","",TEXT(A1068,"yyyy-mm"))</f>
        <v/>
      </c>
      <c r="H1068" s="22" t="str">
        <f aca="false">IF(A1068="","",N(H1067)+IF(B1068="Masuk",N(D1068),-N(D1068)))</f>
        <v/>
      </c>
    </row>
    <row r="1069" customFormat="false" ht="15" hidden="false" customHeight="false" outlineLevel="0" collapsed="false">
      <c r="A1069" s="20"/>
      <c r="B1069" s="19"/>
      <c r="C1069" s="19"/>
      <c r="D1069" s="21"/>
      <c r="E1069" s="19"/>
      <c r="F1069" s="19"/>
      <c r="G1069" s="23" t="str">
        <f aca="false">IF(A1069="","",TEXT(A1069,"yyyy-mm"))</f>
        <v/>
      </c>
      <c r="H1069" s="22" t="str">
        <f aca="false">IF(A1069="","",N(H1068)+IF(B1069="Masuk",N(D1069),-N(D1069)))</f>
        <v/>
      </c>
    </row>
    <row r="1070" customFormat="false" ht="15" hidden="false" customHeight="false" outlineLevel="0" collapsed="false">
      <c r="A1070" s="20"/>
      <c r="B1070" s="19"/>
      <c r="C1070" s="19"/>
      <c r="D1070" s="21"/>
      <c r="E1070" s="19"/>
      <c r="F1070" s="19"/>
      <c r="G1070" s="23" t="str">
        <f aca="false">IF(A1070="","",TEXT(A1070,"yyyy-mm"))</f>
        <v/>
      </c>
      <c r="H1070" s="22" t="str">
        <f aca="false">IF(A1070="","",N(H1069)+IF(B1070="Masuk",N(D1070),-N(D1070)))</f>
        <v/>
      </c>
    </row>
    <row r="1071" customFormat="false" ht="15" hidden="false" customHeight="false" outlineLevel="0" collapsed="false">
      <c r="A1071" s="20"/>
      <c r="B1071" s="19"/>
      <c r="C1071" s="19"/>
      <c r="D1071" s="21"/>
      <c r="E1071" s="19"/>
      <c r="F1071" s="19"/>
      <c r="G1071" s="23" t="str">
        <f aca="false">IF(A1071="","",TEXT(A1071,"yyyy-mm"))</f>
        <v/>
      </c>
      <c r="H1071" s="22" t="str">
        <f aca="false">IF(A1071="","",N(H1070)+IF(B1071="Masuk",N(D1071),-N(D1071)))</f>
        <v/>
      </c>
    </row>
    <row r="1072" customFormat="false" ht="15" hidden="false" customHeight="false" outlineLevel="0" collapsed="false">
      <c r="A1072" s="20"/>
      <c r="B1072" s="19"/>
      <c r="C1072" s="19"/>
      <c r="D1072" s="21"/>
      <c r="E1072" s="19"/>
      <c r="F1072" s="19"/>
      <c r="G1072" s="23" t="str">
        <f aca="false">IF(A1072="","",TEXT(A1072,"yyyy-mm"))</f>
        <v/>
      </c>
      <c r="H1072" s="22" t="str">
        <f aca="false">IF(A1072="","",N(H1071)+IF(B1072="Masuk",N(D1072),-N(D1072)))</f>
        <v/>
      </c>
    </row>
    <row r="1073" customFormat="false" ht="15" hidden="false" customHeight="false" outlineLevel="0" collapsed="false">
      <c r="A1073" s="20"/>
      <c r="B1073" s="19"/>
      <c r="C1073" s="19"/>
      <c r="D1073" s="21"/>
      <c r="E1073" s="19"/>
      <c r="F1073" s="19"/>
      <c r="G1073" s="23" t="str">
        <f aca="false">IF(A1073="","",TEXT(A1073,"yyyy-mm"))</f>
        <v/>
      </c>
      <c r="H1073" s="22" t="str">
        <f aca="false">IF(A1073="","",N(H1072)+IF(B1073="Masuk",N(D1073),-N(D1073)))</f>
        <v/>
      </c>
    </row>
    <row r="1074" customFormat="false" ht="15" hidden="false" customHeight="false" outlineLevel="0" collapsed="false">
      <c r="A1074" s="20"/>
      <c r="B1074" s="19"/>
      <c r="C1074" s="19"/>
      <c r="D1074" s="21"/>
      <c r="E1074" s="19"/>
      <c r="F1074" s="19"/>
      <c r="G1074" s="23" t="str">
        <f aca="false">IF(A1074="","",TEXT(A1074,"yyyy-mm"))</f>
        <v/>
      </c>
      <c r="H1074" s="22" t="str">
        <f aca="false">IF(A1074="","",N(H1073)+IF(B1074="Masuk",N(D1074),-N(D1074)))</f>
        <v/>
      </c>
    </row>
    <row r="1075" customFormat="false" ht="15" hidden="false" customHeight="false" outlineLevel="0" collapsed="false">
      <c r="A1075" s="20"/>
      <c r="B1075" s="19"/>
      <c r="C1075" s="19"/>
      <c r="D1075" s="21"/>
      <c r="E1075" s="19"/>
      <c r="F1075" s="19"/>
      <c r="G1075" s="23" t="str">
        <f aca="false">IF(A1075="","",TEXT(A1075,"yyyy-mm"))</f>
        <v/>
      </c>
      <c r="H1075" s="22" t="str">
        <f aca="false">IF(A1075="","",N(H1074)+IF(B1075="Masuk",N(D1075),-N(D1075)))</f>
        <v/>
      </c>
    </row>
    <row r="1076" customFormat="false" ht="15" hidden="false" customHeight="false" outlineLevel="0" collapsed="false">
      <c r="A1076" s="20"/>
      <c r="B1076" s="19"/>
      <c r="C1076" s="19"/>
      <c r="D1076" s="21"/>
      <c r="E1076" s="19"/>
      <c r="F1076" s="19"/>
      <c r="G1076" s="23" t="str">
        <f aca="false">IF(A1076="","",TEXT(A1076,"yyyy-mm"))</f>
        <v/>
      </c>
      <c r="H1076" s="22" t="str">
        <f aca="false">IF(A1076="","",N(H1075)+IF(B1076="Masuk",N(D1076),-N(D1076)))</f>
        <v/>
      </c>
    </row>
    <row r="1077" customFormat="false" ht="15" hidden="false" customHeight="false" outlineLevel="0" collapsed="false">
      <c r="A1077" s="20"/>
      <c r="B1077" s="19"/>
      <c r="C1077" s="19"/>
      <c r="D1077" s="21"/>
      <c r="E1077" s="19"/>
      <c r="F1077" s="19"/>
      <c r="G1077" s="23" t="str">
        <f aca="false">IF(A1077="","",TEXT(A1077,"yyyy-mm"))</f>
        <v/>
      </c>
      <c r="H1077" s="22" t="str">
        <f aca="false">IF(A1077="","",N(H1076)+IF(B1077="Masuk",N(D1077),-N(D1077)))</f>
        <v/>
      </c>
    </row>
    <row r="1078" customFormat="false" ht="15" hidden="false" customHeight="false" outlineLevel="0" collapsed="false">
      <c r="A1078" s="20"/>
      <c r="B1078" s="19"/>
      <c r="C1078" s="19"/>
      <c r="D1078" s="21"/>
      <c r="E1078" s="19"/>
      <c r="F1078" s="19"/>
      <c r="G1078" s="23" t="str">
        <f aca="false">IF(A1078="","",TEXT(A1078,"yyyy-mm"))</f>
        <v/>
      </c>
      <c r="H1078" s="22" t="str">
        <f aca="false">IF(A1078="","",N(H1077)+IF(B1078="Masuk",N(D1078),-N(D1078)))</f>
        <v/>
      </c>
    </row>
    <row r="1079" customFormat="false" ht="15" hidden="false" customHeight="false" outlineLevel="0" collapsed="false">
      <c r="A1079" s="20"/>
      <c r="B1079" s="19"/>
      <c r="C1079" s="19"/>
      <c r="D1079" s="21"/>
      <c r="E1079" s="19"/>
      <c r="F1079" s="19"/>
      <c r="G1079" s="23" t="str">
        <f aca="false">IF(A1079="","",TEXT(A1079,"yyyy-mm"))</f>
        <v/>
      </c>
      <c r="H1079" s="22" t="str">
        <f aca="false">IF(A1079="","",N(H1078)+IF(B1079="Masuk",N(D1079),-N(D1079)))</f>
        <v/>
      </c>
    </row>
    <row r="1080" customFormat="false" ht="15" hidden="false" customHeight="false" outlineLevel="0" collapsed="false">
      <c r="A1080" s="20"/>
      <c r="B1080" s="19"/>
      <c r="C1080" s="19"/>
      <c r="D1080" s="21"/>
      <c r="E1080" s="19"/>
      <c r="F1080" s="19"/>
      <c r="G1080" s="23" t="str">
        <f aca="false">IF(A1080="","",TEXT(A1080,"yyyy-mm"))</f>
        <v/>
      </c>
      <c r="H1080" s="22" t="str">
        <f aca="false">IF(A1080="","",N(H1079)+IF(B1080="Masuk",N(D1080),-N(D1080)))</f>
        <v/>
      </c>
    </row>
    <row r="1081" customFormat="false" ht="15" hidden="false" customHeight="false" outlineLevel="0" collapsed="false">
      <c r="A1081" s="20"/>
      <c r="B1081" s="19"/>
      <c r="C1081" s="19"/>
      <c r="D1081" s="21"/>
      <c r="E1081" s="19"/>
      <c r="F1081" s="19"/>
      <c r="G1081" s="23" t="str">
        <f aca="false">IF(A1081="","",TEXT(A1081,"yyyy-mm"))</f>
        <v/>
      </c>
      <c r="H1081" s="22" t="str">
        <f aca="false">IF(A1081="","",N(H1080)+IF(B1081="Masuk",N(D1081),-N(D1081)))</f>
        <v/>
      </c>
    </row>
    <row r="1082" customFormat="false" ht="15" hidden="false" customHeight="false" outlineLevel="0" collapsed="false">
      <c r="A1082" s="20"/>
      <c r="B1082" s="19"/>
      <c r="C1082" s="19"/>
      <c r="D1082" s="21"/>
      <c r="E1082" s="19"/>
      <c r="F1082" s="19"/>
      <c r="G1082" s="23" t="str">
        <f aca="false">IF(A1082="","",TEXT(A1082,"yyyy-mm"))</f>
        <v/>
      </c>
      <c r="H1082" s="22" t="str">
        <f aca="false">IF(A1082="","",N(H1081)+IF(B1082="Masuk",N(D1082),-N(D1082)))</f>
        <v/>
      </c>
    </row>
    <row r="1083" customFormat="false" ht="15" hidden="false" customHeight="false" outlineLevel="0" collapsed="false">
      <c r="A1083" s="20"/>
      <c r="B1083" s="19"/>
      <c r="C1083" s="19"/>
      <c r="D1083" s="21"/>
      <c r="E1083" s="19"/>
      <c r="F1083" s="19"/>
      <c r="G1083" s="23" t="str">
        <f aca="false">IF(A1083="","",TEXT(A1083,"yyyy-mm"))</f>
        <v/>
      </c>
      <c r="H1083" s="22" t="str">
        <f aca="false">IF(A1083="","",N(H1082)+IF(B1083="Masuk",N(D1083),-N(D1083)))</f>
        <v/>
      </c>
    </row>
    <row r="1084" customFormat="false" ht="15" hidden="false" customHeight="false" outlineLevel="0" collapsed="false">
      <c r="A1084" s="20"/>
      <c r="B1084" s="19"/>
      <c r="C1084" s="19"/>
      <c r="D1084" s="21"/>
      <c r="E1084" s="19"/>
      <c r="F1084" s="19"/>
      <c r="G1084" s="23" t="str">
        <f aca="false">IF(A1084="","",TEXT(A1084,"yyyy-mm"))</f>
        <v/>
      </c>
      <c r="H1084" s="22" t="str">
        <f aca="false">IF(A1084="","",N(H1083)+IF(B1084="Masuk",N(D1084),-N(D1084)))</f>
        <v/>
      </c>
    </row>
    <row r="1085" customFormat="false" ht="15" hidden="false" customHeight="false" outlineLevel="0" collapsed="false">
      <c r="A1085" s="20"/>
      <c r="B1085" s="19"/>
      <c r="C1085" s="19"/>
      <c r="D1085" s="21"/>
      <c r="E1085" s="19"/>
      <c r="F1085" s="19"/>
      <c r="G1085" s="23" t="str">
        <f aca="false">IF(A1085="","",TEXT(A1085,"yyyy-mm"))</f>
        <v/>
      </c>
      <c r="H1085" s="22" t="str">
        <f aca="false">IF(A1085="","",N(H1084)+IF(B1085="Masuk",N(D1085),-N(D1085)))</f>
        <v/>
      </c>
    </row>
    <row r="1086" customFormat="false" ht="15" hidden="false" customHeight="false" outlineLevel="0" collapsed="false">
      <c r="A1086" s="20"/>
      <c r="B1086" s="19"/>
      <c r="C1086" s="19"/>
      <c r="D1086" s="21"/>
      <c r="E1086" s="19"/>
      <c r="F1086" s="19"/>
      <c r="G1086" s="23" t="str">
        <f aca="false">IF(A1086="","",TEXT(A1086,"yyyy-mm"))</f>
        <v/>
      </c>
      <c r="H1086" s="22" t="str">
        <f aca="false">IF(A1086="","",N(H1085)+IF(B1086="Masuk",N(D1086),-N(D1086)))</f>
        <v/>
      </c>
    </row>
    <row r="1087" customFormat="false" ht="15" hidden="false" customHeight="false" outlineLevel="0" collapsed="false">
      <c r="A1087" s="20"/>
      <c r="B1087" s="19"/>
      <c r="C1087" s="19"/>
      <c r="D1087" s="21"/>
      <c r="E1087" s="19"/>
      <c r="F1087" s="19"/>
      <c r="G1087" s="23" t="str">
        <f aca="false">IF(A1087="","",TEXT(A1087,"yyyy-mm"))</f>
        <v/>
      </c>
      <c r="H1087" s="22" t="str">
        <f aca="false">IF(A1087="","",N(H1086)+IF(B1087="Masuk",N(D1087),-N(D1087)))</f>
        <v/>
      </c>
    </row>
    <row r="1088" customFormat="false" ht="15" hidden="false" customHeight="false" outlineLevel="0" collapsed="false">
      <c r="A1088" s="20"/>
      <c r="B1088" s="19"/>
      <c r="C1088" s="19"/>
      <c r="D1088" s="21"/>
      <c r="E1088" s="19"/>
      <c r="F1088" s="19"/>
      <c r="G1088" s="23" t="str">
        <f aca="false">IF(A1088="","",TEXT(A1088,"yyyy-mm"))</f>
        <v/>
      </c>
      <c r="H1088" s="22" t="str">
        <f aca="false">IF(A1088="","",N(H1087)+IF(B1088="Masuk",N(D1088),-N(D1088)))</f>
        <v/>
      </c>
    </row>
    <row r="1089" customFormat="false" ht="15" hidden="false" customHeight="false" outlineLevel="0" collapsed="false">
      <c r="A1089" s="20"/>
      <c r="B1089" s="19"/>
      <c r="C1089" s="19"/>
      <c r="D1089" s="21"/>
      <c r="E1089" s="19"/>
      <c r="F1089" s="19"/>
      <c r="G1089" s="23" t="str">
        <f aca="false">IF(A1089="","",TEXT(A1089,"yyyy-mm"))</f>
        <v/>
      </c>
      <c r="H1089" s="22" t="str">
        <f aca="false">IF(A1089="","",N(H1088)+IF(B1089="Masuk",N(D1089),-N(D1089)))</f>
        <v/>
      </c>
    </row>
    <row r="1090" customFormat="false" ht="15" hidden="false" customHeight="false" outlineLevel="0" collapsed="false">
      <c r="A1090" s="20"/>
      <c r="B1090" s="19"/>
      <c r="C1090" s="19"/>
      <c r="D1090" s="21"/>
      <c r="E1090" s="19"/>
      <c r="F1090" s="19"/>
      <c r="G1090" s="23" t="str">
        <f aca="false">IF(A1090="","",TEXT(A1090,"yyyy-mm"))</f>
        <v/>
      </c>
      <c r="H1090" s="22" t="str">
        <f aca="false">IF(A1090="","",N(H1089)+IF(B1090="Masuk",N(D1090),-N(D1090)))</f>
        <v/>
      </c>
    </row>
    <row r="1091" customFormat="false" ht="15" hidden="false" customHeight="false" outlineLevel="0" collapsed="false">
      <c r="A1091" s="20"/>
      <c r="B1091" s="19"/>
      <c r="C1091" s="19"/>
      <c r="D1091" s="21"/>
      <c r="E1091" s="19"/>
      <c r="F1091" s="19"/>
      <c r="G1091" s="23" t="str">
        <f aca="false">IF(A1091="","",TEXT(A1091,"yyyy-mm"))</f>
        <v/>
      </c>
      <c r="H1091" s="22" t="str">
        <f aca="false">IF(A1091="","",N(H1090)+IF(B1091="Masuk",N(D1091),-N(D1091)))</f>
        <v/>
      </c>
    </row>
    <row r="1092" customFormat="false" ht="15" hidden="false" customHeight="false" outlineLevel="0" collapsed="false">
      <c r="A1092" s="20"/>
      <c r="B1092" s="19"/>
      <c r="C1092" s="19"/>
      <c r="D1092" s="21"/>
      <c r="E1092" s="19"/>
      <c r="F1092" s="19"/>
      <c r="G1092" s="23" t="str">
        <f aca="false">IF(A1092="","",TEXT(A1092,"yyyy-mm"))</f>
        <v/>
      </c>
      <c r="H1092" s="22" t="str">
        <f aca="false">IF(A1092="","",N(H1091)+IF(B1092="Masuk",N(D1092),-N(D1092)))</f>
        <v/>
      </c>
    </row>
    <row r="1093" customFormat="false" ht="15" hidden="false" customHeight="false" outlineLevel="0" collapsed="false">
      <c r="A1093" s="20"/>
      <c r="B1093" s="19"/>
      <c r="C1093" s="19"/>
      <c r="D1093" s="21"/>
      <c r="E1093" s="19"/>
      <c r="F1093" s="19"/>
      <c r="G1093" s="23" t="str">
        <f aca="false">IF(A1093="","",TEXT(A1093,"yyyy-mm"))</f>
        <v/>
      </c>
      <c r="H1093" s="22" t="str">
        <f aca="false">IF(A1093="","",N(H1092)+IF(B1093="Masuk",N(D1093),-N(D1093)))</f>
        <v/>
      </c>
    </row>
    <row r="1094" customFormat="false" ht="15" hidden="false" customHeight="false" outlineLevel="0" collapsed="false">
      <c r="A1094" s="20"/>
      <c r="B1094" s="19"/>
      <c r="C1094" s="19"/>
      <c r="D1094" s="21"/>
      <c r="E1094" s="19"/>
      <c r="F1094" s="19"/>
      <c r="G1094" s="23" t="str">
        <f aca="false">IF(A1094="","",TEXT(A1094,"yyyy-mm"))</f>
        <v/>
      </c>
      <c r="H1094" s="22" t="str">
        <f aca="false">IF(A1094="","",N(H1093)+IF(B1094="Masuk",N(D1094),-N(D1094)))</f>
        <v/>
      </c>
    </row>
    <row r="1095" customFormat="false" ht="15" hidden="false" customHeight="false" outlineLevel="0" collapsed="false">
      <c r="A1095" s="20"/>
      <c r="B1095" s="19"/>
      <c r="C1095" s="19"/>
      <c r="D1095" s="21"/>
      <c r="E1095" s="19"/>
      <c r="F1095" s="19"/>
      <c r="G1095" s="23" t="str">
        <f aca="false">IF(A1095="","",TEXT(A1095,"yyyy-mm"))</f>
        <v/>
      </c>
      <c r="H1095" s="22" t="str">
        <f aca="false">IF(A1095="","",N(H1094)+IF(B1095="Masuk",N(D1095),-N(D1095)))</f>
        <v/>
      </c>
    </row>
    <row r="1096" customFormat="false" ht="15" hidden="false" customHeight="false" outlineLevel="0" collapsed="false">
      <c r="A1096" s="20"/>
      <c r="B1096" s="19"/>
      <c r="C1096" s="19"/>
      <c r="D1096" s="21"/>
      <c r="E1096" s="19"/>
      <c r="F1096" s="19"/>
      <c r="G1096" s="23" t="str">
        <f aca="false">IF(A1096="","",TEXT(A1096,"yyyy-mm"))</f>
        <v/>
      </c>
      <c r="H1096" s="22" t="str">
        <f aca="false">IF(A1096="","",N(H1095)+IF(B1096="Masuk",N(D1096),-N(D1096)))</f>
        <v/>
      </c>
    </row>
    <row r="1097" customFormat="false" ht="15" hidden="false" customHeight="false" outlineLevel="0" collapsed="false">
      <c r="A1097" s="20"/>
      <c r="B1097" s="19"/>
      <c r="C1097" s="19"/>
      <c r="D1097" s="21"/>
      <c r="E1097" s="19"/>
      <c r="F1097" s="19"/>
      <c r="G1097" s="23" t="str">
        <f aca="false">IF(A1097="","",TEXT(A1097,"yyyy-mm"))</f>
        <v/>
      </c>
      <c r="H1097" s="22" t="str">
        <f aca="false">IF(A1097="","",N(H1096)+IF(B1097="Masuk",N(D1097),-N(D1097)))</f>
        <v/>
      </c>
    </row>
    <row r="1098" customFormat="false" ht="15" hidden="false" customHeight="false" outlineLevel="0" collapsed="false">
      <c r="A1098" s="20"/>
      <c r="B1098" s="19"/>
      <c r="C1098" s="19"/>
      <c r="D1098" s="21"/>
      <c r="E1098" s="19"/>
      <c r="F1098" s="19"/>
      <c r="G1098" s="23" t="str">
        <f aca="false">IF(A1098="","",TEXT(A1098,"yyyy-mm"))</f>
        <v/>
      </c>
      <c r="H1098" s="22" t="str">
        <f aca="false">IF(A1098="","",N(H1097)+IF(B1098="Masuk",N(D1098),-N(D1098)))</f>
        <v/>
      </c>
    </row>
    <row r="1099" customFormat="false" ht="15" hidden="false" customHeight="false" outlineLevel="0" collapsed="false">
      <c r="A1099" s="20"/>
      <c r="B1099" s="19"/>
      <c r="C1099" s="19"/>
      <c r="D1099" s="21"/>
      <c r="E1099" s="19"/>
      <c r="F1099" s="19"/>
      <c r="G1099" s="23" t="str">
        <f aca="false">IF(A1099="","",TEXT(A1099,"yyyy-mm"))</f>
        <v/>
      </c>
      <c r="H1099" s="22" t="str">
        <f aca="false">IF(A1099="","",N(H1098)+IF(B1099="Masuk",N(D1099),-N(D1099)))</f>
        <v/>
      </c>
    </row>
    <row r="1100" customFormat="false" ht="15" hidden="false" customHeight="false" outlineLevel="0" collapsed="false">
      <c r="A1100" s="20"/>
      <c r="B1100" s="19"/>
      <c r="C1100" s="19"/>
      <c r="D1100" s="21"/>
      <c r="E1100" s="19"/>
      <c r="F1100" s="19"/>
      <c r="G1100" s="23" t="str">
        <f aca="false">IF(A1100="","",TEXT(A1100,"yyyy-mm"))</f>
        <v/>
      </c>
      <c r="H1100" s="22" t="str">
        <f aca="false">IF(A1100="","",N(H1099)+IF(B1100="Masuk",N(D1100),-N(D1100)))</f>
        <v/>
      </c>
    </row>
    <row r="1101" customFormat="false" ht="15" hidden="false" customHeight="false" outlineLevel="0" collapsed="false">
      <c r="A1101" s="20"/>
      <c r="B1101" s="19"/>
      <c r="C1101" s="19"/>
      <c r="D1101" s="21"/>
      <c r="E1101" s="19"/>
      <c r="F1101" s="19"/>
      <c r="G1101" s="23" t="str">
        <f aca="false">IF(A1101="","",TEXT(A1101,"yyyy-mm"))</f>
        <v/>
      </c>
      <c r="H1101" s="22" t="str">
        <f aca="false">IF(A1101="","",N(H1100)+IF(B1101="Masuk",N(D1101),-N(D1101)))</f>
        <v/>
      </c>
    </row>
    <row r="1102" customFormat="false" ht="15" hidden="false" customHeight="false" outlineLevel="0" collapsed="false">
      <c r="A1102" s="20"/>
      <c r="B1102" s="19"/>
      <c r="C1102" s="19"/>
      <c r="D1102" s="21"/>
      <c r="E1102" s="19"/>
      <c r="F1102" s="19"/>
      <c r="G1102" s="23" t="str">
        <f aca="false">IF(A1102="","",TEXT(A1102,"yyyy-mm"))</f>
        <v/>
      </c>
      <c r="H1102" s="22" t="str">
        <f aca="false">IF(A1102="","",N(H1101)+IF(B1102="Masuk",N(D1102),-N(D1102)))</f>
        <v/>
      </c>
    </row>
    <row r="1103" customFormat="false" ht="15" hidden="false" customHeight="false" outlineLevel="0" collapsed="false">
      <c r="A1103" s="20"/>
      <c r="B1103" s="19"/>
      <c r="C1103" s="19"/>
      <c r="D1103" s="21"/>
      <c r="E1103" s="19"/>
      <c r="F1103" s="19"/>
      <c r="G1103" s="23" t="str">
        <f aca="false">IF(A1103="","",TEXT(A1103,"yyyy-mm"))</f>
        <v/>
      </c>
      <c r="H1103" s="22" t="str">
        <f aca="false">IF(A1103="","",N(H1102)+IF(B1103="Masuk",N(D1103),-N(D1103)))</f>
        <v/>
      </c>
    </row>
    <row r="1104" customFormat="false" ht="15" hidden="false" customHeight="false" outlineLevel="0" collapsed="false">
      <c r="A1104" s="20"/>
      <c r="B1104" s="19"/>
      <c r="C1104" s="19"/>
      <c r="D1104" s="21"/>
      <c r="E1104" s="19"/>
      <c r="F1104" s="19"/>
      <c r="G1104" s="23" t="str">
        <f aca="false">IF(A1104="","",TEXT(A1104,"yyyy-mm"))</f>
        <v/>
      </c>
      <c r="H1104" s="22" t="str">
        <f aca="false">IF(A1104="","",N(H1103)+IF(B1104="Masuk",N(D1104),-N(D1104)))</f>
        <v/>
      </c>
    </row>
    <row r="1105" customFormat="false" ht="15" hidden="false" customHeight="false" outlineLevel="0" collapsed="false">
      <c r="A1105" s="20"/>
      <c r="B1105" s="19"/>
      <c r="C1105" s="19"/>
      <c r="D1105" s="21"/>
      <c r="E1105" s="19"/>
      <c r="F1105" s="19"/>
      <c r="G1105" s="23" t="str">
        <f aca="false">IF(A1105="","",TEXT(A1105,"yyyy-mm"))</f>
        <v/>
      </c>
      <c r="H1105" s="22" t="str">
        <f aca="false">IF(A1105="","",N(H1104)+IF(B1105="Masuk",N(D1105),-N(D1105)))</f>
        <v/>
      </c>
    </row>
    <row r="1106" customFormat="false" ht="15" hidden="false" customHeight="false" outlineLevel="0" collapsed="false">
      <c r="A1106" s="20"/>
      <c r="B1106" s="19"/>
      <c r="C1106" s="19"/>
      <c r="D1106" s="21"/>
      <c r="E1106" s="19"/>
      <c r="F1106" s="19"/>
      <c r="G1106" s="23" t="str">
        <f aca="false">IF(A1106="","",TEXT(A1106,"yyyy-mm"))</f>
        <v/>
      </c>
      <c r="H1106" s="22" t="str">
        <f aca="false">IF(A1106="","",N(H1105)+IF(B1106="Masuk",N(D1106),-N(D1106)))</f>
        <v/>
      </c>
    </row>
    <row r="1107" customFormat="false" ht="15" hidden="false" customHeight="false" outlineLevel="0" collapsed="false">
      <c r="A1107" s="20"/>
      <c r="B1107" s="19"/>
      <c r="C1107" s="19"/>
      <c r="D1107" s="21"/>
      <c r="E1107" s="19"/>
      <c r="F1107" s="19"/>
      <c r="G1107" s="23" t="str">
        <f aca="false">IF(A1107="","",TEXT(A1107,"yyyy-mm"))</f>
        <v/>
      </c>
      <c r="H1107" s="22" t="str">
        <f aca="false">IF(A1107="","",N(H1106)+IF(B1107="Masuk",N(D1107),-N(D1107)))</f>
        <v/>
      </c>
    </row>
    <row r="1108" customFormat="false" ht="15" hidden="false" customHeight="false" outlineLevel="0" collapsed="false">
      <c r="A1108" s="20"/>
      <c r="B1108" s="19"/>
      <c r="C1108" s="19"/>
      <c r="D1108" s="21"/>
      <c r="E1108" s="19"/>
      <c r="F1108" s="19"/>
      <c r="G1108" s="23" t="str">
        <f aca="false">IF(A1108="","",TEXT(A1108,"yyyy-mm"))</f>
        <v/>
      </c>
      <c r="H1108" s="22" t="str">
        <f aca="false">IF(A1108="","",N(H1107)+IF(B1108="Masuk",N(D1108),-N(D1108)))</f>
        <v/>
      </c>
    </row>
    <row r="1109" customFormat="false" ht="15" hidden="false" customHeight="false" outlineLevel="0" collapsed="false">
      <c r="A1109" s="20"/>
      <c r="B1109" s="19"/>
      <c r="C1109" s="19"/>
      <c r="D1109" s="21"/>
      <c r="E1109" s="19"/>
      <c r="F1109" s="19"/>
      <c r="G1109" s="23" t="str">
        <f aca="false">IF(A1109="","",TEXT(A1109,"yyyy-mm"))</f>
        <v/>
      </c>
      <c r="H1109" s="22" t="str">
        <f aca="false">IF(A1109="","",N(H1108)+IF(B1109="Masuk",N(D1109),-N(D1109)))</f>
        <v/>
      </c>
    </row>
    <row r="1110" customFormat="false" ht="15" hidden="false" customHeight="false" outlineLevel="0" collapsed="false">
      <c r="A1110" s="20"/>
      <c r="B1110" s="19"/>
      <c r="C1110" s="19"/>
      <c r="D1110" s="21"/>
      <c r="E1110" s="19"/>
      <c r="F1110" s="19"/>
      <c r="G1110" s="23" t="str">
        <f aca="false">IF(A1110="","",TEXT(A1110,"yyyy-mm"))</f>
        <v/>
      </c>
      <c r="H1110" s="22" t="str">
        <f aca="false">IF(A1110="","",N(H1109)+IF(B1110="Masuk",N(D1110),-N(D1110)))</f>
        <v/>
      </c>
    </row>
    <row r="1111" customFormat="false" ht="15" hidden="false" customHeight="false" outlineLevel="0" collapsed="false">
      <c r="A1111" s="20"/>
      <c r="B1111" s="19"/>
      <c r="C1111" s="19"/>
      <c r="D1111" s="21"/>
      <c r="E1111" s="19"/>
      <c r="F1111" s="19"/>
      <c r="G1111" s="23" t="str">
        <f aca="false">IF(A1111="","",TEXT(A1111,"yyyy-mm"))</f>
        <v/>
      </c>
      <c r="H1111" s="22" t="str">
        <f aca="false">IF(A1111="","",N(H1110)+IF(B1111="Masuk",N(D1111),-N(D1111)))</f>
        <v/>
      </c>
    </row>
    <row r="1112" customFormat="false" ht="15" hidden="false" customHeight="false" outlineLevel="0" collapsed="false">
      <c r="A1112" s="20"/>
      <c r="B1112" s="19"/>
      <c r="C1112" s="19"/>
      <c r="D1112" s="21"/>
      <c r="E1112" s="19"/>
      <c r="F1112" s="19"/>
      <c r="G1112" s="23" t="str">
        <f aca="false">IF(A1112="","",TEXT(A1112,"yyyy-mm"))</f>
        <v/>
      </c>
      <c r="H1112" s="22" t="str">
        <f aca="false">IF(A1112="","",N(H1111)+IF(B1112="Masuk",N(D1112),-N(D1112)))</f>
        <v/>
      </c>
    </row>
    <row r="1113" customFormat="false" ht="15" hidden="false" customHeight="false" outlineLevel="0" collapsed="false">
      <c r="A1113" s="20"/>
      <c r="B1113" s="19"/>
      <c r="C1113" s="19"/>
      <c r="D1113" s="21"/>
      <c r="E1113" s="19"/>
      <c r="F1113" s="19"/>
      <c r="G1113" s="23" t="str">
        <f aca="false">IF(A1113="","",TEXT(A1113,"yyyy-mm"))</f>
        <v/>
      </c>
      <c r="H1113" s="22" t="str">
        <f aca="false">IF(A1113="","",N(H1112)+IF(B1113="Masuk",N(D1113),-N(D1113)))</f>
        <v/>
      </c>
    </row>
    <row r="1114" customFormat="false" ht="15" hidden="false" customHeight="false" outlineLevel="0" collapsed="false">
      <c r="A1114" s="20"/>
      <c r="B1114" s="19"/>
      <c r="C1114" s="19"/>
      <c r="D1114" s="21"/>
      <c r="E1114" s="19"/>
      <c r="F1114" s="19"/>
      <c r="G1114" s="23" t="str">
        <f aca="false">IF(A1114="","",TEXT(A1114,"yyyy-mm"))</f>
        <v/>
      </c>
      <c r="H1114" s="22" t="str">
        <f aca="false">IF(A1114="","",N(H1113)+IF(B1114="Masuk",N(D1114),-N(D1114)))</f>
        <v/>
      </c>
    </row>
    <row r="1115" customFormat="false" ht="15" hidden="false" customHeight="false" outlineLevel="0" collapsed="false">
      <c r="A1115" s="20"/>
      <c r="B1115" s="19"/>
      <c r="C1115" s="19"/>
      <c r="D1115" s="21"/>
      <c r="E1115" s="19"/>
      <c r="F1115" s="19"/>
      <c r="G1115" s="23" t="str">
        <f aca="false">IF(A1115="","",TEXT(A1115,"yyyy-mm"))</f>
        <v/>
      </c>
      <c r="H1115" s="22" t="str">
        <f aca="false">IF(A1115="","",N(H1114)+IF(B1115="Masuk",N(D1115),-N(D1115)))</f>
        <v/>
      </c>
    </row>
    <row r="1116" customFormat="false" ht="15" hidden="false" customHeight="false" outlineLevel="0" collapsed="false">
      <c r="A1116" s="20"/>
      <c r="B1116" s="19"/>
      <c r="C1116" s="19"/>
      <c r="D1116" s="21"/>
      <c r="E1116" s="19"/>
      <c r="F1116" s="19"/>
      <c r="G1116" s="23" t="str">
        <f aca="false">IF(A1116="","",TEXT(A1116,"yyyy-mm"))</f>
        <v/>
      </c>
      <c r="H1116" s="22" t="str">
        <f aca="false">IF(A1116="","",N(H1115)+IF(B1116="Masuk",N(D1116),-N(D1116)))</f>
        <v/>
      </c>
    </row>
    <row r="1117" customFormat="false" ht="15" hidden="false" customHeight="false" outlineLevel="0" collapsed="false">
      <c r="A1117" s="20"/>
      <c r="B1117" s="19"/>
      <c r="C1117" s="19"/>
      <c r="D1117" s="21"/>
      <c r="E1117" s="19"/>
      <c r="F1117" s="19"/>
      <c r="G1117" s="23" t="str">
        <f aca="false">IF(A1117="","",TEXT(A1117,"yyyy-mm"))</f>
        <v/>
      </c>
      <c r="H1117" s="22" t="str">
        <f aca="false">IF(A1117="","",N(H1116)+IF(B1117="Masuk",N(D1117),-N(D1117)))</f>
        <v/>
      </c>
    </row>
    <row r="1118" customFormat="false" ht="15" hidden="false" customHeight="false" outlineLevel="0" collapsed="false">
      <c r="A1118" s="20"/>
      <c r="B1118" s="19"/>
      <c r="C1118" s="19"/>
      <c r="D1118" s="21"/>
      <c r="E1118" s="19"/>
      <c r="F1118" s="19"/>
      <c r="G1118" s="23" t="str">
        <f aca="false">IF(A1118="","",TEXT(A1118,"yyyy-mm"))</f>
        <v/>
      </c>
      <c r="H1118" s="22" t="str">
        <f aca="false">IF(A1118="","",N(H1117)+IF(B1118="Masuk",N(D1118),-N(D1118)))</f>
        <v/>
      </c>
    </row>
    <row r="1119" customFormat="false" ht="15" hidden="false" customHeight="false" outlineLevel="0" collapsed="false">
      <c r="A1119" s="20"/>
      <c r="B1119" s="19"/>
      <c r="C1119" s="19"/>
      <c r="D1119" s="21"/>
      <c r="E1119" s="19"/>
      <c r="F1119" s="19"/>
      <c r="G1119" s="23" t="str">
        <f aca="false">IF(A1119="","",TEXT(A1119,"yyyy-mm"))</f>
        <v/>
      </c>
      <c r="H1119" s="22" t="str">
        <f aca="false">IF(A1119="","",N(H1118)+IF(B1119="Masuk",N(D1119),-N(D1119)))</f>
        <v/>
      </c>
    </row>
    <row r="1120" customFormat="false" ht="15" hidden="false" customHeight="false" outlineLevel="0" collapsed="false">
      <c r="A1120" s="20"/>
      <c r="B1120" s="19"/>
      <c r="C1120" s="19"/>
      <c r="D1120" s="21"/>
      <c r="E1120" s="19"/>
      <c r="F1120" s="19"/>
      <c r="G1120" s="23" t="str">
        <f aca="false">IF(A1120="","",TEXT(A1120,"yyyy-mm"))</f>
        <v/>
      </c>
      <c r="H1120" s="22" t="str">
        <f aca="false">IF(A1120="","",N(H1119)+IF(B1120="Masuk",N(D1120),-N(D1120)))</f>
        <v/>
      </c>
    </row>
    <row r="1121" customFormat="false" ht="15" hidden="false" customHeight="false" outlineLevel="0" collapsed="false">
      <c r="A1121" s="20"/>
      <c r="B1121" s="19"/>
      <c r="C1121" s="19"/>
      <c r="D1121" s="21"/>
      <c r="E1121" s="19"/>
      <c r="F1121" s="19"/>
      <c r="G1121" s="23" t="str">
        <f aca="false">IF(A1121="","",TEXT(A1121,"yyyy-mm"))</f>
        <v/>
      </c>
      <c r="H1121" s="22" t="str">
        <f aca="false">IF(A1121="","",N(H1120)+IF(B1121="Masuk",N(D1121),-N(D1121)))</f>
        <v/>
      </c>
    </row>
    <row r="1122" customFormat="false" ht="15" hidden="false" customHeight="false" outlineLevel="0" collapsed="false">
      <c r="A1122" s="20"/>
      <c r="B1122" s="19"/>
      <c r="C1122" s="19"/>
      <c r="D1122" s="21"/>
      <c r="E1122" s="19"/>
      <c r="F1122" s="19"/>
      <c r="G1122" s="23" t="str">
        <f aca="false">IF(A1122="","",TEXT(A1122,"yyyy-mm"))</f>
        <v/>
      </c>
      <c r="H1122" s="22" t="str">
        <f aca="false">IF(A1122="","",N(H1121)+IF(B1122="Masuk",N(D1122),-N(D1122)))</f>
        <v/>
      </c>
    </row>
    <row r="1123" customFormat="false" ht="15" hidden="false" customHeight="false" outlineLevel="0" collapsed="false">
      <c r="A1123" s="20"/>
      <c r="B1123" s="19"/>
      <c r="C1123" s="19"/>
      <c r="D1123" s="21"/>
      <c r="E1123" s="19"/>
      <c r="F1123" s="19"/>
      <c r="G1123" s="23" t="str">
        <f aca="false">IF(A1123="","",TEXT(A1123,"yyyy-mm"))</f>
        <v/>
      </c>
      <c r="H1123" s="22" t="str">
        <f aca="false">IF(A1123="","",N(H1122)+IF(B1123="Masuk",N(D1123),-N(D1123)))</f>
        <v/>
      </c>
    </row>
    <row r="1124" customFormat="false" ht="15" hidden="false" customHeight="false" outlineLevel="0" collapsed="false">
      <c r="A1124" s="20"/>
      <c r="B1124" s="19"/>
      <c r="C1124" s="19"/>
      <c r="D1124" s="21"/>
      <c r="E1124" s="19"/>
      <c r="F1124" s="19"/>
      <c r="G1124" s="23" t="str">
        <f aca="false">IF(A1124="","",TEXT(A1124,"yyyy-mm"))</f>
        <v/>
      </c>
      <c r="H1124" s="22" t="str">
        <f aca="false">IF(A1124="","",N(H1123)+IF(B1124="Masuk",N(D1124),-N(D1124)))</f>
        <v/>
      </c>
    </row>
    <row r="1125" customFormat="false" ht="15" hidden="false" customHeight="false" outlineLevel="0" collapsed="false">
      <c r="A1125" s="20"/>
      <c r="B1125" s="19"/>
      <c r="C1125" s="19"/>
      <c r="D1125" s="21"/>
      <c r="E1125" s="19"/>
      <c r="F1125" s="19"/>
      <c r="G1125" s="23" t="str">
        <f aca="false">IF(A1125="","",TEXT(A1125,"yyyy-mm"))</f>
        <v/>
      </c>
      <c r="H1125" s="22" t="str">
        <f aca="false">IF(A1125="","",N(H1124)+IF(B1125="Masuk",N(D1125),-N(D1125)))</f>
        <v/>
      </c>
    </row>
    <row r="1126" customFormat="false" ht="15" hidden="false" customHeight="false" outlineLevel="0" collapsed="false">
      <c r="A1126" s="20"/>
      <c r="B1126" s="19"/>
      <c r="C1126" s="19"/>
      <c r="D1126" s="21"/>
      <c r="E1126" s="19"/>
      <c r="F1126" s="19"/>
      <c r="G1126" s="23" t="str">
        <f aca="false">IF(A1126="","",TEXT(A1126,"yyyy-mm"))</f>
        <v/>
      </c>
      <c r="H1126" s="22" t="str">
        <f aca="false">IF(A1126="","",N(H1125)+IF(B1126="Masuk",N(D1126),-N(D1126)))</f>
        <v/>
      </c>
    </row>
    <row r="1127" customFormat="false" ht="15" hidden="false" customHeight="false" outlineLevel="0" collapsed="false">
      <c r="A1127" s="20"/>
      <c r="B1127" s="19"/>
      <c r="C1127" s="19"/>
      <c r="D1127" s="21"/>
      <c r="E1127" s="19"/>
      <c r="F1127" s="19"/>
      <c r="G1127" s="23" t="str">
        <f aca="false">IF(A1127="","",TEXT(A1127,"yyyy-mm"))</f>
        <v/>
      </c>
      <c r="H1127" s="22" t="str">
        <f aca="false">IF(A1127="","",N(H1126)+IF(B1127="Masuk",N(D1127),-N(D1127)))</f>
        <v/>
      </c>
    </row>
    <row r="1128" customFormat="false" ht="15" hidden="false" customHeight="false" outlineLevel="0" collapsed="false">
      <c r="A1128" s="20"/>
      <c r="B1128" s="19"/>
      <c r="C1128" s="19"/>
      <c r="D1128" s="21"/>
      <c r="E1128" s="19"/>
      <c r="F1128" s="19"/>
      <c r="G1128" s="23" t="str">
        <f aca="false">IF(A1128="","",TEXT(A1128,"yyyy-mm"))</f>
        <v/>
      </c>
      <c r="H1128" s="22" t="str">
        <f aca="false">IF(A1128="","",N(H1127)+IF(B1128="Masuk",N(D1128),-N(D1128)))</f>
        <v/>
      </c>
    </row>
    <row r="1129" customFormat="false" ht="15" hidden="false" customHeight="false" outlineLevel="0" collapsed="false">
      <c r="A1129" s="20"/>
      <c r="B1129" s="19"/>
      <c r="C1129" s="19"/>
      <c r="D1129" s="21"/>
      <c r="E1129" s="19"/>
      <c r="F1129" s="19"/>
      <c r="G1129" s="23" t="str">
        <f aca="false">IF(A1129="","",TEXT(A1129,"yyyy-mm"))</f>
        <v/>
      </c>
      <c r="H1129" s="22" t="str">
        <f aca="false">IF(A1129="","",N(H1128)+IF(B1129="Masuk",N(D1129),-N(D1129)))</f>
        <v/>
      </c>
    </row>
    <row r="1130" customFormat="false" ht="15" hidden="false" customHeight="false" outlineLevel="0" collapsed="false">
      <c r="A1130" s="20"/>
      <c r="B1130" s="19"/>
      <c r="C1130" s="19"/>
      <c r="D1130" s="21"/>
      <c r="E1130" s="19"/>
      <c r="F1130" s="19"/>
      <c r="G1130" s="23" t="str">
        <f aca="false">IF(A1130="","",TEXT(A1130,"yyyy-mm"))</f>
        <v/>
      </c>
      <c r="H1130" s="22" t="str">
        <f aca="false">IF(A1130="","",N(H1129)+IF(B1130="Masuk",N(D1130),-N(D1130)))</f>
        <v/>
      </c>
    </row>
    <row r="1131" customFormat="false" ht="15" hidden="false" customHeight="false" outlineLevel="0" collapsed="false">
      <c r="A1131" s="20"/>
      <c r="B1131" s="19"/>
      <c r="C1131" s="19"/>
      <c r="D1131" s="21"/>
      <c r="E1131" s="19"/>
      <c r="F1131" s="19"/>
      <c r="G1131" s="23" t="str">
        <f aca="false">IF(A1131="","",TEXT(A1131,"yyyy-mm"))</f>
        <v/>
      </c>
      <c r="H1131" s="22" t="str">
        <f aca="false">IF(A1131="","",N(H1130)+IF(B1131="Masuk",N(D1131),-N(D1131)))</f>
        <v/>
      </c>
    </row>
    <row r="1132" customFormat="false" ht="15" hidden="false" customHeight="false" outlineLevel="0" collapsed="false">
      <c r="A1132" s="20"/>
      <c r="B1132" s="19"/>
      <c r="C1132" s="19"/>
      <c r="D1132" s="21"/>
      <c r="E1132" s="19"/>
      <c r="F1132" s="19"/>
      <c r="G1132" s="23" t="str">
        <f aca="false">IF(A1132="","",TEXT(A1132,"yyyy-mm"))</f>
        <v/>
      </c>
      <c r="H1132" s="22" t="str">
        <f aca="false">IF(A1132="","",N(H1131)+IF(B1132="Masuk",N(D1132),-N(D1132)))</f>
        <v/>
      </c>
    </row>
    <row r="1133" customFormat="false" ht="15" hidden="false" customHeight="false" outlineLevel="0" collapsed="false">
      <c r="A1133" s="20"/>
      <c r="B1133" s="19"/>
      <c r="C1133" s="19"/>
      <c r="D1133" s="21"/>
      <c r="E1133" s="19"/>
      <c r="F1133" s="19"/>
      <c r="G1133" s="23" t="str">
        <f aca="false">IF(A1133="","",TEXT(A1133,"yyyy-mm"))</f>
        <v/>
      </c>
      <c r="H1133" s="22" t="str">
        <f aca="false">IF(A1133="","",N(H1132)+IF(B1133="Masuk",N(D1133),-N(D1133)))</f>
        <v/>
      </c>
    </row>
    <row r="1134" customFormat="false" ht="15" hidden="false" customHeight="false" outlineLevel="0" collapsed="false">
      <c r="A1134" s="20"/>
      <c r="B1134" s="19"/>
      <c r="C1134" s="19"/>
      <c r="D1134" s="21"/>
      <c r="E1134" s="19"/>
      <c r="F1134" s="19"/>
      <c r="G1134" s="23" t="str">
        <f aca="false">IF(A1134="","",TEXT(A1134,"yyyy-mm"))</f>
        <v/>
      </c>
      <c r="H1134" s="22" t="str">
        <f aca="false">IF(A1134="","",N(H1133)+IF(B1134="Masuk",N(D1134),-N(D1134)))</f>
        <v/>
      </c>
    </row>
    <row r="1135" customFormat="false" ht="15" hidden="false" customHeight="false" outlineLevel="0" collapsed="false">
      <c r="A1135" s="20"/>
      <c r="B1135" s="19"/>
      <c r="C1135" s="19"/>
      <c r="D1135" s="21"/>
      <c r="E1135" s="19"/>
      <c r="F1135" s="19"/>
      <c r="G1135" s="23" t="str">
        <f aca="false">IF(A1135="","",TEXT(A1135,"yyyy-mm"))</f>
        <v/>
      </c>
      <c r="H1135" s="22" t="str">
        <f aca="false">IF(A1135="","",N(H1134)+IF(B1135="Masuk",N(D1135),-N(D1135)))</f>
        <v/>
      </c>
    </row>
    <row r="1136" customFormat="false" ht="15" hidden="false" customHeight="false" outlineLevel="0" collapsed="false">
      <c r="A1136" s="20"/>
      <c r="B1136" s="19"/>
      <c r="C1136" s="19"/>
      <c r="D1136" s="21"/>
      <c r="E1136" s="19"/>
      <c r="F1136" s="19"/>
      <c r="G1136" s="23" t="str">
        <f aca="false">IF(A1136="","",TEXT(A1136,"yyyy-mm"))</f>
        <v/>
      </c>
      <c r="H1136" s="22" t="str">
        <f aca="false">IF(A1136="","",N(H1135)+IF(B1136="Masuk",N(D1136),-N(D1136)))</f>
        <v/>
      </c>
    </row>
    <row r="1137" customFormat="false" ht="15" hidden="false" customHeight="false" outlineLevel="0" collapsed="false">
      <c r="A1137" s="20"/>
      <c r="B1137" s="19"/>
      <c r="C1137" s="19"/>
      <c r="D1137" s="21"/>
      <c r="E1137" s="19"/>
      <c r="F1137" s="19"/>
      <c r="G1137" s="23" t="str">
        <f aca="false">IF(A1137="","",TEXT(A1137,"yyyy-mm"))</f>
        <v/>
      </c>
      <c r="H1137" s="22" t="str">
        <f aca="false">IF(A1137="","",N(H1136)+IF(B1137="Masuk",N(D1137),-N(D1137)))</f>
        <v/>
      </c>
    </row>
    <row r="1138" customFormat="false" ht="15" hidden="false" customHeight="false" outlineLevel="0" collapsed="false">
      <c r="A1138" s="20"/>
      <c r="B1138" s="19"/>
      <c r="C1138" s="19"/>
      <c r="D1138" s="21"/>
      <c r="E1138" s="19"/>
      <c r="F1138" s="19"/>
      <c r="G1138" s="23" t="str">
        <f aca="false">IF(A1138="","",TEXT(A1138,"yyyy-mm"))</f>
        <v/>
      </c>
      <c r="H1138" s="22" t="str">
        <f aca="false">IF(A1138="","",N(H1137)+IF(B1138="Masuk",N(D1138),-N(D1138)))</f>
        <v/>
      </c>
    </row>
    <row r="1139" customFormat="false" ht="15" hidden="false" customHeight="false" outlineLevel="0" collapsed="false">
      <c r="A1139" s="20"/>
      <c r="B1139" s="19"/>
      <c r="C1139" s="19"/>
      <c r="D1139" s="21"/>
      <c r="E1139" s="19"/>
      <c r="F1139" s="19"/>
      <c r="G1139" s="23" t="str">
        <f aca="false">IF(A1139="","",TEXT(A1139,"yyyy-mm"))</f>
        <v/>
      </c>
      <c r="H1139" s="22" t="str">
        <f aca="false">IF(A1139="","",N(H1138)+IF(B1139="Masuk",N(D1139),-N(D1139)))</f>
        <v/>
      </c>
    </row>
    <row r="1140" customFormat="false" ht="15" hidden="false" customHeight="false" outlineLevel="0" collapsed="false">
      <c r="A1140" s="20"/>
      <c r="B1140" s="19"/>
      <c r="C1140" s="19"/>
      <c r="D1140" s="21"/>
      <c r="E1140" s="19"/>
      <c r="F1140" s="19"/>
      <c r="G1140" s="23" t="str">
        <f aca="false">IF(A1140="","",TEXT(A1140,"yyyy-mm"))</f>
        <v/>
      </c>
      <c r="H1140" s="22" t="str">
        <f aca="false">IF(A1140="","",N(H1139)+IF(B1140="Masuk",N(D1140),-N(D1140)))</f>
        <v/>
      </c>
    </row>
    <row r="1141" customFormat="false" ht="15" hidden="false" customHeight="false" outlineLevel="0" collapsed="false">
      <c r="A1141" s="20"/>
      <c r="B1141" s="19"/>
      <c r="C1141" s="19"/>
      <c r="D1141" s="21"/>
      <c r="E1141" s="19"/>
      <c r="F1141" s="19"/>
      <c r="G1141" s="23" t="str">
        <f aca="false">IF(A1141="","",TEXT(A1141,"yyyy-mm"))</f>
        <v/>
      </c>
      <c r="H1141" s="22" t="str">
        <f aca="false">IF(A1141="","",N(H1140)+IF(B1141="Masuk",N(D1141),-N(D1141)))</f>
        <v/>
      </c>
    </row>
    <row r="1142" customFormat="false" ht="15" hidden="false" customHeight="false" outlineLevel="0" collapsed="false">
      <c r="A1142" s="20"/>
      <c r="B1142" s="19"/>
      <c r="C1142" s="19"/>
      <c r="D1142" s="21"/>
      <c r="E1142" s="19"/>
      <c r="F1142" s="19"/>
      <c r="G1142" s="23" t="str">
        <f aca="false">IF(A1142="","",TEXT(A1142,"yyyy-mm"))</f>
        <v/>
      </c>
      <c r="H1142" s="22" t="str">
        <f aca="false">IF(A1142="","",N(H1141)+IF(B1142="Masuk",N(D1142),-N(D1142)))</f>
        <v/>
      </c>
    </row>
    <row r="1143" customFormat="false" ht="15" hidden="false" customHeight="false" outlineLevel="0" collapsed="false">
      <c r="A1143" s="20"/>
      <c r="B1143" s="19"/>
      <c r="C1143" s="19"/>
      <c r="D1143" s="21"/>
      <c r="E1143" s="19"/>
      <c r="F1143" s="19"/>
      <c r="G1143" s="23" t="str">
        <f aca="false">IF(A1143="","",TEXT(A1143,"yyyy-mm"))</f>
        <v/>
      </c>
      <c r="H1143" s="22" t="str">
        <f aca="false">IF(A1143="","",N(H1142)+IF(B1143="Masuk",N(D1143),-N(D1143)))</f>
        <v/>
      </c>
    </row>
    <row r="1144" customFormat="false" ht="15" hidden="false" customHeight="false" outlineLevel="0" collapsed="false">
      <c r="A1144" s="20"/>
      <c r="B1144" s="19"/>
      <c r="C1144" s="19"/>
      <c r="D1144" s="21"/>
      <c r="E1144" s="19"/>
      <c r="F1144" s="19"/>
      <c r="G1144" s="23" t="str">
        <f aca="false">IF(A1144="","",TEXT(A1144,"yyyy-mm"))</f>
        <v/>
      </c>
      <c r="H1144" s="22" t="str">
        <f aca="false">IF(A1144="","",N(H1143)+IF(B1144="Masuk",N(D1144),-N(D1144)))</f>
        <v/>
      </c>
    </row>
    <row r="1145" customFormat="false" ht="15" hidden="false" customHeight="false" outlineLevel="0" collapsed="false">
      <c r="A1145" s="20"/>
      <c r="B1145" s="19"/>
      <c r="C1145" s="19"/>
      <c r="D1145" s="21"/>
      <c r="E1145" s="19"/>
      <c r="F1145" s="19"/>
      <c r="G1145" s="23" t="str">
        <f aca="false">IF(A1145="","",TEXT(A1145,"yyyy-mm"))</f>
        <v/>
      </c>
      <c r="H1145" s="22" t="str">
        <f aca="false">IF(A1145="","",N(H1144)+IF(B1145="Masuk",N(D1145),-N(D1145)))</f>
        <v/>
      </c>
    </row>
    <row r="1146" customFormat="false" ht="15" hidden="false" customHeight="false" outlineLevel="0" collapsed="false">
      <c r="A1146" s="20"/>
      <c r="B1146" s="19"/>
      <c r="C1146" s="19"/>
      <c r="D1146" s="21"/>
      <c r="E1146" s="19"/>
      <c r="F1146" s="19"/>
      <c r="G1146" s="23" t="str">
        <f aca="false">IF(A1146="","",TEXT(A1146,"yyyy-mm"))</f>
        <v/>
      </c>
      <c r="H1146" s="22" t="str">
        <f aca="false">IF(A1146="","",N(H1145)+IF(B1146="Masuk",N(D1146),-N(D1146)))</f>
        <v/>
      </c>
    </row>
    <row r="1147" customFormat="false" ht="15" hidden="false" customHeight="false" outlineLevel="0" collapsed="false">
      <c r="A1147" s="20"/>
      <c r="B1147" s="19"/>
      <c r="C1147" s="19"/>
      <c r="D1147" s="21"/>
      <c r="E1147" s="19"/>
      <c r="F1147" s="19"/>
      <c r="G1147" s="23" t="str">
        <f aca="false">IF(A1147="","",TEXT(A1147,"yyyy-mm"))</f>
        <v/>
      </c>
      <c r="H1147" s="22" t="str">
        <f aca="false">IF(A1147="","",N(H1146)+IF(B1147="Masuk",N(D1147),-N(D1147)))</f>
        <v/>
      </c>
    </row>
    <row r="1148" customFormat="false" ht="15" hidden="false" customHeight="false" outlineLevel="0" collapsed="false">
      <c r="A1148" s="20"/>
      <c r="B1148" s="19"/>
      <c r="C1148" s="19"/>
      <c r="D1148" s="21"/>
      <c r="E1148" s="19"/>
      <c r="F1148" s="19"/>
      <c r="G1148" s="23" t="str">
        <f aca="false">IF(A1148="","",TEXT(A1148,"yyyy-mm"))</f>
        <v/>
      </c>
      <c r="H1148" s="22" t="str">
        <f aca="false">IF(A1148="","",N(H1147)+IF(B1148="Masuk",N(D1148),-N(D1148)))</f>
        <v/>
      </c>
    </row>
    <row r="1149" customFormat="false" ht="15" hidden="false" customHeight="false" outlineLevel="0" collapsed="false">
      <c r="A1149" s="20"/>
      <c r="B1149" s="19"/>
      <c r="C1149" s="19"/>
      <c r="D1149" s="21"/>
      <c r="E1149" s="19"/>
      <c r="F1149" s="19"/>
      <c r="G1149" s="23" t="str">
        <f aca="false">IF(A1149="","",TEXT(A1149,"yyyy-mm"))</f>
        <v/>
      </c>
      <c r="H1149" s="22" t="str">
        <f aca="false">IF(A1149="","",N(H1148)+IF(B1149="Masuk",N(D1149),-N(D1149)))</f>
        <v/>
      </c>
    </row>
    <row r="1150" customFormat="false" ht="15" hidden="false" customHeight="false" outlineLevel="0" collapsed="false">
      <c r="A1150" s="20"/>
      <c r="B1150" s="19"/>
      <c r="C1150" s="19"/>
      <c r="D1150" s="21"/>
      <c r="E1150" s="19"/>
      <c r="F1150" s="19"/>
      <c r="G1150" s="23" t="str">
        <f aca="false">IF(A1150="","",TEXT(A1150,"yyyy-mm"))</f>
        <v/>
      </c>
      <c r="H1150" s="22" t="str">
        <f aca="false">IF(A1150="","",N(H1149)+IF(B1150="Masuk",N(D1150),-N(D1150)))</f>
        <v/>
      </c>
    </row>
    <row r="1151" customFormat="false" ht="15" hidden="false" customHeight="false" outlineLevel="0" collapsed="false">
      <c r="A1151" s="20"/>
      <c r="B1151" s="19"/>
      <c r="C1151" s="19"/>
      <c r="D1151" s="21"/>
      <c r="E1151" s="19"/>
      <c r="F1151" s="19"/>
      <c r="G1151" s="23" t="str">
        <f aca="false">IF(A1151="","",TEXT(A1151,"yyyy-mm"))</f>
        <v/>
      </c>
      <c r="H1151" s="22" t="str">
        <f aca="false">IF(A1151="","",N(H1150)+IF(B1151="Masuk",N(D1151),-N(D1151)))</f>
        <v/>
      </c>
    </row>
    <row r="1152" customFormat="false" ht="15" hidden="false" customHeight="false" outlineLevel="0" collapsed="false">
      <c r="A1152" s="20"/>
      <c r="B1152" s="19"/>
      <c r="C1152" s="19"/>
      <c r="D1152" s="21"/>
      <c r="E1152" s="19"/>
      <c r="F1152" s="19"/>
      <c r="G1152" s="23" t="str">
        <f aca="false">IF(A1152="","",TEXT(A1152,"yyyy-mm"))</f>
        <v/>
      </c>
      <c r="H1152" s="22" t="str">
        <f aca="false">IF(A1152="","",N(H1151)+IF(B1152="Masuk",N(D1152),-N(D1152)))</f>
        <v/>
      </c>
    </row>
    <row r="1153" customFormat="false" ht="15" hidden="false" customHeight="false" outlineLevel="0" collapsed="false">
      <c r="A1153" s="20"/>
      <c r="B1153" s="19"/>
      <c r="C1153" s="19"/>
      <c r="D1153" s="21"/>
      <c r="E1153" s="19"/>
      <c r="F1153" s="19"/>
      <c r="G1153" s="23" t="str">
        <f aca="false">IF(A1153="","",TEXT(A1153,"yyyy-mm"))</f>
        <v/>
      </c>
      <c r="H1153" s="22" t="str">
        <f aca="false">IF(A1153="","",N(H1152)+IF(B1153="Masuk",N(D1153),-N(D1153)))</f>
        <v/>
      </c>
    </row>
    <row r="1154" customFormat="false" ht="15" hidden="false" customHeight="false" outlineLevel="0" collapsed="false">
      <c r="A1154" s="20"/>
      <c r="B1154" s="19"/>
      <c r="C1154" s="19"/>
      <c r="D1154" s="21"/>
      <c r="E1154" s="19"/>
      <c r="F1154" s="19"/>
      <c r="G1154" s="23" t="str">
        <f aca="false">IF(A1154="","",TEXT(A1154,"yyyy-mm"))</f>
        <v/>
      </c>
      <c r="H1154" s="22" t="str">
        <f aca="false">IF(A1154="","",N(H1153)+IF(B1154="Masuk",N(D1154),-N(D1154)))</f>
        <v/>
      </c>
    </row>
    <row r="1155" customFormat="false" ht="15" hidden="false" customHeight="false" outlineLevel="0" collapsed="false">
      <c r="A1155" s="20"/>
      <c r="B1155" s="19"/>
      <c r="C1155" s="19"/>
      <c r="D1155" s="21"/>
      <c r="E1155" s="19"/>
      <c r="F1155" s="19"/>
      <c r="G1155" s="23" t="str">
        <f aca="false">IF(A1155="","",TEXT(A1155,"yyyy-mm"))</f>
        <v/>
      </c>
      <c r="H1155" s="22" t="str">
        <f aca="false">IF(A1155="","",N(H1154)+IF(B1155="Masuk",N(D1155),-N(D1155)))</f>
        <v/>
      </c>
    </row>
    <row r="1156" customFormat="false" ht="15" hidden="false" customHeight="false" outlineLevel="0" collapsed="false">
      <c r="A1156" s="20"/>
      <c r="B1156" s="19"/>
      <c r="C1156" s="19"/>
      <c r="D1156" s="21"/>
      <c r="E1156" s="19"/>
      <c r="F1156" s="19"/>
      <c r="G1156" s="23" t="str">
        <f aca="false">IF(A1156="","",TEXT(A1156,"yyyy-mm"))</f>
        <v/>
      </c>
      <c r="H1156" s="22" t="str">
        <f aca="false">IF(A1156="","",N(H1155)+IF(B1156="Masuk",N(D1156),-N(D1156)))</f>
        <v/>
      </c>
    </row>
    <row r="1157" customFormat="false" ht="15" hidden="false" customHeight="false" outlineLevel="0" collapsed="false">
      <c r="A1157" s="20"/>
      <c r="B1157" s="19"/>
      <c r="C1157" s="19"/>
      <c r="D1157" s="21"/>
      <c r="E1157" s="19"/>
      <c r="F1157" s="19"/>
      <c r="G1157" s="23" t="str">
        <f aca="false">IF(A1157="","",TEXT(A1157,"yyyy-mm"))</f>
        <v/>
      </c>
      <c r="H1157" s="22" t="str">
        <f aca="false">IF(A1157="","",N(H1156)+IF(B1157="Masuk",N(D1157),-N(D1157)))</f>
        <v/>
      </c>
    </row>
    <row r="1158" customFormat="false" ht="15" hidden="false" customHeight="false" outlineLevel="0" collapsed="false">
      <c r="A1158" s="20"/>
      <c r="B1158" s="19"/>
      <c r="C1158" s="19"/>
      <c r="D1158" s="21"/>
      <c r="E1158" s="19"/>
      <c r="F1158" s="19"/>
      <c r="G1158" s="23" t="str">
        <f aca="false">IF(A1158="","",TEXT(A1158,"yyyy-mm"))</f>
        <v/>
      </c>
      <c r="H1158" s="22" t="str">
        <f aca="false">IF(A1158="","",N(H1157)+IF(B1158="Masuk",N(D1158),-N(D1158)))</f>
        <v/>
      </c>
    </row>
    <row r="1159" customFormat="false" ht="15" hidden="false" customHeight="false" outlineLevel="0" collapsed="false">
      <c r="A1159" s="20"/>
      <c r="B1159" s="19"/>
      <c r="C1159" s="19"/>
      <c r="D1159" s="21"/>
      <c r="E1159" s="19"/>
      <c r="F1159" s="19"/>
      <c r="G1159" s="23" t="str">
        <f aca="false">IF(A1159="","",TEXT(A1159,"yyyy-mm"))</f>
        <v/>
      </c>
      <c r="H1159" s="22" t="str">
        <f aca="false">IF(A1159="","",N(H1158)+IF(B1159="Masuk",N(D1159),-N(D1159)))</f>
        <v/>
      </c>
    </row>
    <row r="1160" customFormat="false" ht="15" hidden="false" customHeight="false" outlineLevel="0" collapsed="false">
      <c r="A1160" s="20"/>
      <c r="B1160" s="19"/>
      <c r="C1160" s="19"/>
      <c r="D1160" s="21"/>
      <c r="E1160" s="19"/>
      <c r="F1160" s="19"/>
      <c r="G1160" s="23" t="str">
        <f aca="false">IF(A1160="","",TEXT(A1160,"yyyy-mm"))</f>
        <v/>
      </c>
      <c r="H1160" s="22" t="str">
        <f aca="false">IF(A1160="","",N(H1159)+IF(B1160="Masuk",N(D1160),-N(D1160)))</f>
        <v/>
      </c>
    </row>
    <row r="1161" customFormat="false" ht="15" hidden="false" customHeight="false" outlineLevel="0" collapsed="false">
      <c r="A1161" s="20"/>
      <c r="B1161" s="19"/>
      <c r="C1161" s="19"/>
      <c r="D1161" s="21"/>
      <c r="E1161" s="19"/>
      <c r="F1161" s="19"/>
      <c r="G1161" s="23" t="str">
        <f aca="false">IF(A1161="","",TEXT(A1161,"yyyy-mm"))</f>
        <v/>
      </c>
      <c r="H1161" s="22" t="str">
        <f aca="false">IF(A1161="","",N(H1160)+IF(B1161="Masuk",N(D1161),-N(D1161)))</f>
        <v/>
      </c>
    </row>
    <row r="1162" customFormat="false" ht="15" hidden="false" customHeight="false" outlineLevel="0" collapsed="false">
      <c r="A1162" s="20"/>
      <c r="B1162" s="19"/>
      <c r="C1162" s="19"/>
      <c r="D1162" s="21"/>
      <c r="E1162" s="19"/>
      <c r="F1162" s="19"/>
      <c r="G1162" s="23" t="str">
        <f aca="false">IF(A1162="","",TEXT(A1162,"yyyy-mm"))</f>
        <v/>
      </c>
      <c r="H1162" s="22" t="str">
        <f aca="false">IF(A1162="","",N(H1161)+IF(B1162="Masuk",N(D1162),-N(D1162)))</f>
        <v/>
      </c>
    </row>
    <row r="1163" customFormat="false" ht="15" hidden="false" customHeight="false" outlineLevel="0" collapsed="false">
      <c r="A1163" s="20"/>
      <c r="B1163" s="19"/>
      <c r="C1163" s="19"/>
      <c r="D1163" s="21"/>
      <c r="E1163" s="19"/>
      <c r="F1163" s="19"/>
      <c r="G1163" s="23" t="str">
        <f aca="false">IF(A1163="","",TEXT(A1163,"yyyy-mm"))</f>
        <v/>
      </c>
      <c r="H1163" s="22" t="str">
        <f aca="false">IF(A1163="","",N(H1162)+IF(B1163="Masuk",N(D1163),-N(D1163)))</f>
        <v/>
      </c>
    </row>
    <row r="1164" customFormat="false" ht="15" hidden="false" customHeight="false" outlineLevel="0" collapsed="false">
      <c r="A1164" s="20"/>
      <c r="B1164" s="19"/>
      <c r="C1164" s="19"/>
      <c r="D1164" s="21"/>
      <c r="E1164" s="19"/>
      <c r="F1164" s="19"/>
      <c r="G1164" s="23" t="str">
        <f aca="false">IF(A1164="","",TEXT(A1164,"yyyy-mm"))</f>
        <v/>
      </c>
      <c r="H1164" s="22" t="str">
        <f aca="false">IF(A1164="","",N(H1163)+IF(B1164="Masuk",N(D1164),-N(D1164)))</f>
        <v/>
      </c>
    </row>
    <row r="1165" customFormat="false" ht="15" hidden="false" customHeight="false" outlineLevel="0" collapsed="false">
      <c r="A1165" s="20"/>
      <c r="B1165" s="19"/>
      <c r="C1165" s="19"/>
      <c r="D1165" s="21"/>
      <c r="E1165" s="19"/>
      <c r="F1165" s="19"/>
      <c r="G1165" s="23" t="str">
        <f aca="false">IF(A1165="","",TEXT(A1165,"yyyy-mm"))</f>
        <v/>
      </c>
      <c r="H1165" s="22" t="str">
        <f aca="false">IF(A1165="","",N(H1164)+IF(B1165="Masuk",N(D1165),-N(D1165)))</f>
        <v/>
      </c>
    </row>
    <row r="1166" customFormat="false" ht="15" hidden="false" customHeight="false" outlineLevel="0" collapsed="false">
      <c r="A1166" s="20"/>
      <c r="B1166" s="19"/>
      <c r="C1166" s="19"/>
      <c r="D1166" s="21"/>
      <c r="E1166" s="19"/>
      <c r="F1166" s="19"/>
      <c r="G1166" s="23" t="str">
        <f aca="false">IF(A1166="","",TEXT(A1166,"yyyy-mm"))</f>
        <v/>
      </c>
      <c r="H1166" s="22" t="str">
        <f aca="false">IF(A1166="","",N(H1165)+IF(B1166="Masuk",N(D1166),-N(D1166)))</f>
        <v/>
      </c>
    </row>
    <row r="1167" customFormat="false" ht="15" hidden="false" customHeight="false" outlineLevel="0" collapsed="false">
      <c r="A1167" s="20"/>
      <c r="B1167" s="19"/>
      <c r="C1167" s="19"/>
      <c r="D1167" s="21"/>
      <c r="E1167" s="19"/>
      <c r="F1167" s="19"/>
      <c r="G1167" s="23" t="str">
        <f aca="false">IF(A1167="","",TEXT(A1167,"yyyy-mm"))</f>
        <v/>
      </c>
      <c r="H1167" s="22" t="str">
        <f aca="false">IF(A1167="","",N(H1166)+IF(B1167="Masuk",N(D1167),-N(D1167)))</f>
        <v/>
      </c>
    </row>
    <row r="1168" customFormat="false" ht="15" hidden="false" customHeight="false" outlineLevel="0" collapsed="false">
      <c r="A1168" s="20"/>
      <c r="B1168" s="19"/>
      <c r="C1168" s="19"/>
      <c r="D1168" s="21"/>
      <c r="E1168" s="19"/>
      <c r="F1168" s="19"/>
      <c r="G1168" s="23" t="str">
        <f aca="false">IF(A1168="","",TEXT(A1168,"yyyy-mm"))</f>
        <v/>
      </c>
      <c r="H1168" s="22" t="str">
        <f aca="false">IF(A1168="","",N(H1167)+IF(B1168="Masuk",N(D1168),-N(D1168)))</f>
        <v/>
      </c>
    </row>
    <row r="1169" customFormat="false" ht="15" hidden="false" customHeight="false" outlineLevel="0" collapsed="false">
      <c r="A1169" s="20"/>
      <c r="B1169" s="19"/>
      <c r="C1169" s="19"/>
      <c r="D1169" s="21"/>
      <c r="E1169" s="19"/>
      <c r="F1169" s="19"/>
      <c r="G1169" s="23" t="str">
        <f aca="false">IF(A1169="","",TEXT(A1169,"yyyy-mm"))</f>
        <v/>
      </c>
      <c r="H1169" s="22" t="str">
        <f aca="false">IF(A1169="","",N(H1168)+IF(B1169="Masuk",N(D1169),-N(D1169)))</f>
        <v/>
      </c>
    </row>
    <row r="1170" customFormat="false" ht="15" hidden="false" customHeight="false" outlineLevel="0" collapsed="false">
      <c r="A1170" s="20"/>
      <c r="B1170" s="19"/>
      <c r="C1170" s="19"/>
      <c r="D1170" s="21"/>
      <c r="E1170" s="19"/>
      <c r="F1170" s="19"/>
      <c r="G1170" s="23" t="str">
        <f aca="false">IF(A1170="","",TEXT(A1170,"yyyy-mm"))</f>
        <v/>
      </c>
      <c r="H1170" s="22" t="str">
        <f aca="false">IF(A1170="","",N(H1169)+IF(B1170="Masuk",N(D1170),-N(D1170)))</f>
        <v/>
      </c>
    </row>
    <row r="1171" customFormat="false" ht="15" hidden="false" customHeight="false" outlineLevel="0" collapsed="false">
      <c r="A1171" s="20"/>
      <c r="B1171" s="19"/>
      <c r="C1171" s="19"/>
      <c r="D1171" s="21"/>
      <c r="E1171" s="19"/>
      <c r="F1171" s="19"/>
      <c r="G1171" s="23" t="str">
        <f aca="false">IF(A1171="","",TEXT(A1171,"yyyy-mm"))</f>
        <v/>
      </c>
      <c r="H1171" s="22" t="str">
        <f aca="false">IF(A1171="","",N(H1170)+IF(B1171="Masuk",N(D1171),-N(D1171)))</f>
        <v/>
      </c>
    </row>
    <row r="1172" customFormat="false" ht="15" hidden="false" customHeight="false" outlineLevel="0" collapsed="false">
      <c r="A1172" s="20"/>
      <c r="B1172" s="19"/>
      <c r="C1172" s="19"/>
      <c r="D1172" s="21"/>
      <c r="E1172" s="19"/>
      <c r="F1172" s="19"/>
      <c r="G1172" s="23" t="str">
        <f aca="false">IF(A1172="","",TEXT(A1172,"yyyy-mm"))</f>
        <v/>
      </c>
      <c r="H1172" s="22" t="str">
        <f aca="false">IF(A1172="","",N(H1171)+IF(B1172="Masuk",N(D1172),-N(D1172)))</f>
        <v/>
      </c>
    </row>
    <row r="1173" customFormat="false" ht="15" hidden="false" customHeight="false" outlineLevel="0" collapsed="false">
      <c r="A1173" s="20"/>
      <c r="B1173" s="19"/>
      <c r="C1173" s="19"/>
      <c r="D1173" s="21"/>
      <c r="E1173" s="19"/>
      <c r="F1173" s="19"/>
      <c r="G1173" s="23" t="str">
        <f aca="false">IF(A1173="","",TEXT(A1173,"yyyy-mm"))</f>
        <v/>
      </c>
      <c r="H1173" s="22" t="str">
        <f aca="false">IF(A1173="","",N(H1172)+IF(B1173="Masuk",N(D1173),-N(D1173)))</f>
        <v/>
      </c>
    </row>
    <row r="1174" customFormat="false" ht="15" hidden="false" customHeight="false" outlineLevel="0" collapsed="false">
      <c r="A1174" s="20"/>
      <c r="B1174" s="19"/>
      <c r="C1174" s="19"/>
      <c r="D1174" s="21"/>
      <c r="E1174" s="19"/>
      <c r="F1174" s="19"/>
      <c r="G1174" s="23" t="str">
        <f aca="false">IF(A1174="","",TEXT(A1174,"yyyy-mm"))</f>
        <v/>
      </c>
      <c r="H1174" s="22" t="str">
        <f aca="false">IF(A1174="","",N(H1173)+IF(B1174="Masuk",N(D1174),-N(D1174)))</f>
        <v/>
      </c>
    </row>
    <row r="1175" customFormat="false" ht="15" hidden="false" customHeight="false" outlineLevel="0" collapsed="false">
      <c r="A1175" s="20"/>
      <c r="B1175" s="19"/>
      <c r="C1175" s="19"/>
      <c r="D1175" s="21"/>
      <c r="E1175" s="19"/>
      <c r="F1175" s="19"/>
      <c r="G1175" s="23" t="str">
        <f aca="false">IF(A1175="","",TEXT(A1175,"yyyy-mm"))</f>
        <v/>
      </c>
      <c r="H1175" s="22" t="str">
        <f aca="false">IF(A1175="","",N(H1174)+IF(B1175="Masuk",N(D1175),-N(D1175)))</f>
        <v/>
      </c>
    </row>
    <row r="1176" customFormat="false" ht="15" hidden="false" customHeight="false" outlineLevel="0" collapsed="false">
      <c r="A1176" s="20"/>
      <c r="B1176" s="19"/>
      <c r="C1176" s="19"/>
      <c r="D1176" s="21"/>
      <c r="E1176" s="19"/>
      <c r="F1176" s="19"/>
      <c r="G1176" s="23" t="str">
        <f aca="false">IF(A1176="","",TEXT(A1176,"yyyy-mm"))</f>
        <v/>
      </c>
      <c r="H1176" s="22" t="str">
        <f aca="false">IF(A1176="","",N(H1175)+IF(B1176="Masuk",N(D1176),-N(D1176)))</f>
        <v/>
      </c>
    </row>
    <row r="1177" customFormat="false" ht="15" hidden="false" customHeight="false" outlineLevel="0" collapsed="false">
      <c r="A1177" s="20"/>
      <c r="B1177" s="19"/>
      <c r="C1177" s="19"/>
      <c r="D1177" s="21"/>
      <c r="E1177" s="19"/>
      <c r="F1177" s="19"/>
      <c r="G1177" s="23" t="str">
        <f aca="false">IF(A1177="","",TEXT(A1177,"yyyy-mm"))</f>
        <v/>
      </c>
      <c r="H1177" s="22" t="str">
        <f aca="false">IF(A1177="","",N(H1176)+IF(B1177="Masuk",N(D1177),-N(D1177)))</f>
        <v/>
      </c>
    </row>
    <row r="1178" customFormat="false" ht="15" hidden="false" customHeight="false" outlineLevel="0" collapsed="false">
      <c r="A1178" s="20"/>
      <c r="B1178" s="19"/>
      <c r="C1178" s="19"/>
      <c r="D1178" s="21"/>
      <c r="E1178" s="19"/>
      <c r="F1178" s="19"/>
      <c r="G1178" s="23" t="str">
        <f aca="false">IF(A1178="","",TEXT(A1178,"yyyy-mm"))</f>
        <v/>
      </c>
      <c r="H1178" s="22" t="str">
        <f aca="false">IF(A1178="","",N(H1177)+IF(B1178="Masuk",N(D1178),-N(D1178)))</f>
        <v/>
      </c>
    </row>
    <row r="1179" customFormat="false" ht="15" hidden="false" customHeight="false" outlineLevel="0" collapsed="false">
      <c r="A1179" s="20"/>
      <c r="B1179" s="19"/>
      <c r="C1179" s="19"/>
      <c r="D1179" s="21"/>
      <c r="E1179" s="19"/>
      <c r="F1179" s="19"/>
      <c r="G1179" s="23" t="str">
        <f aca="false">IF(A1179="","",TEXT(A1179,"yyyy-mm"))</f>
        <v/>
      </c>
      <c r="H1179" s="22" t="str">
        <f aca="false">IF(A1179="","",N(H1178)+IF(B1179="Masuk",N(D1179),-N(D1179)))</f>
        <v/>
      </c>
    </row>
    <row r="1180" customFormat="false" ht="15" hidden="false" customHeight="false" outlineLevel="0" collapsed="false">
      <c r="A1180" s="20"/>
      <c r="B1180" s="19"/>
      <c r="C1180" s="19"/>
      <c r="D1180" s="21"/>
      <c r="E1180" s="19"/>
      <c r="F1180" s="19"/>
      <c r="G1180" s="23" t="str">
        <f aca="false">IF(A1180="","",TEXT(A1180,"yyyy-mm"))</f>
        <v/>
      </c>
      <c r="H1180" s="22" t="str">
        <f aca="false">IF(A1180="","",N(H1179)+IF(B1180="Masuk",N(D1180),-N(D1180)))</f>
        <v/>
      </c>
    </row>
    <row r="1181" customFormat="false" ht="15" hidden="false" customHeight="false" outlineLevel="0" collapsed="false">
      <c r="A1181" s="20"/>
      <c r="B1181" s="19"/>
      <c r="C1181" s="19"/>
      <c r="D1181" s="21"/>
      <c r="E1181" s="19"/>
      <c r="F1181" s="19"/>
      <c r="G1181" s="23" t="str">
        <f aca="false">IF(A1181="","",TEXT(A1181,"yyyy-mm"))</f>
        <v/>
      </c>
      <c r="H1181" s="22" t="str">
        <f aca="false">IF(A1181="","",N(H1180)+IF(B1181="Masuk",N(D1181),-N(D1181)))</f>
        <v/>
      </c>
    </row>
    <row r="1182" customFormat="false" ht="15" hidden="false" customHeight="false" outlineLevel="0" collapsed="false">
      <c r="A1182" s="20"/>
      <c r="B1182" s="19"/>
      <c r="C1182" s="19"/>
      <c r="D1182" s="21"/>
      <c r="E1182" s="19"/>
      <c r="F1182" s="19"/>
      <c r="G1182" s="23" t="str">
        <f aca="false">IF(A1182="","",TEXT(A1182,"yyyy-mm"))</f>
        <v/>
      </c>
      <c r="H1182" s="22" t="str">
        <f aca="false">IF(A1182="","",N(H1181)+IF(B1182="Masuk",N(D1182),-N(D1182)))</f>
        <v/>
      </c>
    </row>
    <row r="1183" customFormat="false" ht="15" hidden="false" customHeight="false" outlineLevel="0" collapsed="false">
      <c r="A1183" s="20"/>
      <c r="B1183" s="19"/>
      <c r="C1183" s="19"/>
      <c r="D1183" s="21"/>
      <c r="E1183" s="19"/>
      <c r="F1183" s="19"/>
      <c r="G1183" s="23" t="str">
        <f aca="false">IF(A1183="","",TEXT(A1183,"yyyy-mm"))</f>
        <v/>
      </c>
      <c r="H1183" s="22" t="str">
        <f aca="false">IF(A1183="","",N(H1182)+IF(B1183="Masuk",N(D1183),-N(D1183)))</f>
        <v/>
      </c>
    </row>
    <row r="1184" customFormat="false" ht="15" hidden="false" customHeight="false" outlineLevel="0" collapsed="false">
      <c r="A1184" s="20"/>
      <c r="B1184" s="19"/>
      <c r="C1184" s="19"/>
      <c r="D1184" s="21"/>
      <c r="E1184" s="19"/>
      <c r="F1184" s="19"/>
      <c r="G1184" s="23" t="str">
        <f aca="false">IF(A1184="","",TEXT(A1184,"yyyy-mm"))</f>
        <v/>
      </c>
      <c r="H1184" s="22" t="str">
        <f aca="false">IF(A1184="","",N(H1183)+IF(B1184="Masuk",N(D1184),-N(D1184)))</f>
        <v/>
      </c>
    </row>
    <row r="1185" customFormat="false" ht="15" hidden="false" customHeight="false" outlineLevel="0" collapsed="false">
      <c r="A1185" s="20"/>
      <c r="B1185" s="19"/>
      <c r="C1185" s="19"/>
      <c r="D1185" s="21"/>
      <c r="E1185" s="19"/>
      <c r="F1185" s="19"/>
      <c r="G1185" s="23" t="str">
        <f aca="false">IF(A1185="","",TEXT(A1185,"yyyy-mm"))</f>
        <v/>
      </c>
      <c r="H1185" s="22" t="str">
        <f aca="false">IF(A1185="","",N(H1184)+IF(B1185="Masuk",N(D1185),-N(D1185)))</f>
        <v/>
      </c>
    </row>
    <row r="1186" customFormat="false" ht="15" hidden="false" customHeight="false" outlineLevel="0" collapsed="false">
      <c r="A1186" s="20"/>
      <c r="B1186" s="19"/>
      <c r="C1186" s="19"/>
      <c r="D1186" s="21"/>
      <c r="E1186" s="19"/>
      <c r="F1186" s="19"/>
      <c r="G1186" s="23" t="str">
        <f aca="false">IF(A1186="","",TEXT(A1186,"yyyy-mm"))</f>
        <v/>
      </c>
      <c r="H1186" s="22" t="str">
        <f aca="false">IF(A1186="","",N(H1185)+IF(B1186="Masuk",N(D1186),-N(D1186)))</f>
        <v/>
      </c>
    </row>
    <row r="1187" customFormat="false" ht="15" hidden="false" customHeight="false" outlineLevel="0" collapsed="false">
      <c r="A1187" s="20"/>
      <c r="B1187" s="19"/>
      <c r="C1187" s="19"/>
      <c r="D1187" s="21"/>
      <c r="E1187" s="19"/>
      <c r="F1187" s="19"/>
      <c r="G1187" s="23" t="str">
        <f aca="false">IF(A1187="","",TEXT(A1187,"yyyy-mm"))</f>
        <v/>
      </c>
      <c r="H1187" s="22" t="str">
        <f aca="false">IF(A1187="","",N(H1186)+IF(B1187="Masuk",N(D1187),-N(D1187)))</f>
        <v/>
      </c>
    </row>
    <row r="1188" customFormat="false" ht="15" hidden="false" customHeight="false" outlineLevel="0" collapsed="false">
      <c r="A1188" s="20"/>
      <c r="B1188" s="19"/>
      <c r="C1188" s="19"/>
      <c r="D1188" s="21"/>
      <c r="E1188" s="19"/>
      <c r="F1188" s="19"/>
      <c r="G1188" s="23" t="str">
        <f aca="false">IF(A1188="","",TEXT(A1188,"yyyy-mm"))</f>
        <v/>
      </c>
      <c r="H1188" s="22" t="str">
        <f aca="false">IF(A1188="","",N(H1187)+IF(B1188="Masuk",N(D1188),-N(D1188)))</f>
        <v/>
      </c>
    </row>
    <row r="1189" customFormat="false" ht="15" hidden="false" customHeight="false" outlineLevel="0" collapsed="false">
      <c r="A1189" s="20"/>
      <c r="B1189" s="19"/>
      <c r="C1189" s="19"/>
      <c r="D1189" s="21"/>
      <c r="E1189" s="19"/>
      <c r="F1189" s="19"/>
      <c r="G1189" s="23" t="str">
        <f aca="false">IF(A1189="","",TEXT(A1189,"yyyy-mm"))</f>
        <v/>
      </c>
      <c r="H1189" s="22" t="str">
        <f aca="false">IF(A1189="","",N(H1188)+IF(B1189="Masuk",N(D1189),-N(D1189)))</f>
        <v/>
      </c>
    </row>
    <row r="1190" customFormat="false" ht="15" hidden="false" customHeight="false" outlineLevel="0" collapsed="false">
      <c r="A1190" s="20"/>
      <c r="B1190" s="19"/>
      <c r="C1190" s="19"/>
      <c r="D1190" s="21"/>
      <c r="E1190" s="19"/>
      <c r="F1190" s="19"/>
      <c r="G1190" s="23" t="str">
        <f aca="false">IF(A1190="","",TEXT(A1190,"yyyy-mm"))</f>
        <v/>
      </c>
      <c r="H1190" s="22" t="str">
        <f aca="false">IF(A1190="","",N(H1189)+IF(B1190="Masuk",N(D1190),-N(D1190)))</f>
        <v/>
      </c>
    </row>
    <row r="1191" customFormat="false" ht="15" hidden="false" customHeight="false" outlineLevel="0" collapsed="false">
      <c r="A1191" s="20"/>
      <c r="B1191" s="19"/>
      <c r="C1191" s="19"/>
      <c r="D1191" s="21"/>
      <c r="E1191" s="19"/>
      <c r="F1191" s="19"/>
      <c r="G1191" s="23" t="str">
        <f aca="false">IF(A1191="","",TEXT(A1191,"yyyy-mm"))</f>
        <v/>
      </c>
      <c r="H1191" s="22" t="str">
        <f aca="false">IF(A1191="","",N(H1190)+IF(B1191="Masuk",N(D1191),-N(D1191)))</f>
        <v/>
      </c>
    </row>
    <row r="1192" customFormat="false" ht="15" hidden="false" customHeight="false" outlineLevel="0" collapsed="false">
      <c r="A1192" s="20"/>
      <c r="B1192" s="19"/>
      <c r="C1192" s="19"/>
      <c r="D1192" s="21"/>
      <c r="E1192" s="19"/>
      <c r="F1192" s="19"/>
      <c r="G1192" s="23" t="str">
        <f aca="false">IF(A1192="","",TEXT(A1192,"yyyy-mm"))</f>
        <v/>
      </c>
      <c r="H1192" s="22" t="str">
        <f aca="false">IF(A1192="","",N(H1191)+IF(B1192="Masuk",N(D1192),-N(D1192)))</f>
        <v/>
      </c>
    </row>
    <row r="1193" customFormat="false" ht="15" hidden="false" customHeight="false" outlineLevel="0" collapsed="false">
      <c r="A1193" s="20"/>
      <c r="B1193" s="19"/>
      <c r="C1193" s="19"/>
      <c r="D1193" s="21"/>
      <c r="E1193" s="19"/>
      <c r="F1193" s="19"/>
      <c r="G1193" s="23" t="str">
        <f aca="false">IF(A1193="","",TEXT(A1193,"yyyy-mm"))</f>
        <v/>
      </c>
      <c r="H1193" s="22" t="str">
        <f aca="false">IF(A1193="","",N(H1192)+IF(B1193="Masuk",N(D1193),-N(D1193)))</f>
        <v/>
      </c>
    </row>
    <row r="1194" customFormat="false" ht="15" hidden="false" customHeight="false" outlineLevel="0" collapsed="false">
      <c r="A1194" s="20"/>
      <c r="B1194" s="19"/>
      <c r="C1194" s="19"/>
      <c r="D1194" s="21"/>
      <c r="E1194" s="19"/>
      <c r="F1194" s="19"/>
      <c r="G1194" s="23" t="str">
        <f aca="false">IF(A1194="","",TEXT(A1194,"yyyy-mm"))</f>
        <v/>
      </c>
      <c r="H1194" s="22" t="str">
        <f aca="false">IF(A1194="","",N(H1193)+IF(B1194="Masuk",N(D1194),-N(D1194)))</f>
        <v/>
      </c>
    </row>
    <row r="1195" customFormat="false" ht="15" hidden="false" customHeight="false" outlineLevel="0" collapsed="false">
      <c r="A1195" s="20"/>
      <c r="B1195" s="19"/>
      <c r="C1195" s="19"/>
      <c r="D1195" s="21"/>
      <c r="E1195" s="19"/>
      <c r="F1195" s="19"/>
      <c r="G1195" s="23" t="str">
        <f aca="false">IF(A1195="","",TEXT(A1195,"yyyy-mm"))</f>
        <v/>
      </c>
      <c r="H1195" s="22" t="str">
        <f aca="false">IF(A1195="","",N(H1194)+IF(B1195="Masuk",N(D1195),-N(D1195)))</f>
        <v/>
      </c>
    </row>
    <row r="1196" customFormat="false" ht="15" hidden="false" customHeight="false" outlineLevel="0" collapsed="false">
      <c r="A1196" s="20"/>
      <c r="B1196" s="19"/>
      <c r="C1196" s="19"/>
      <c r="D1196" s="21"/>
      <c r="E1196" s="19"/>
      <c r="F1196" s="19"/>
      <c r="G1196" s="23" t="str">
        <f aca="false">IF(A1196="","",TEXT(A1196,"yyyy-mm"))</f>
        <v/>
      </c>
      <c r="H1196" s="22" t="str">
        <f aca="false">IF(A1196="","",N(H1195)+IF(B1196="Masuk",N(D1196),-N(D1196)))</f>
        <v/>
      </c>
    </row>
    <row r="1197" customFormat="false" ht="15" hidden="false" customHeight="false" outlineLevel="0" collapsed="false">
      <c r="A1197" s="20"/>
      <c r="B1197" s="19"/>
      <c r="C1197" s="19"/>
      <c r="D1197" s="21"/>
      <c r="E1197" s="19"/>
      <c r="F1197" s="19"/>
      <c r="G1197" s="23" t="str">
        <f aca="false">IF(A1197="","",TEXT(A1197,"yyyy-mm"))</f>
        <v/>
      </c>
      <c r="H1197" s="22" t="str">
        <f aca="false">IF(A1197="","",N(H1196)+IF(B1197="Masuk",N(D1197),-N(D1197)))</f>
        <v/>
      </c>
    </row>
    <row r="1198" customFormat="false" ht="15" hidden="false" customHeight="false" outlineLevel="0" collapsed="false">
      <c r="A1198" s="20"/>
      <c r="B1198" s="19"/>
      <c r="C1198" s="19"/>
      <c r="D1198" s="21"/>
      <c r="E1198" s="19"/>
      <c r="F1198" s="19"/>
      <c r="G1198" s="23" t="str">
        <f aca="false">IF(A1198="","",TEXT(A1198,"yyyy-mm"))</f>
        <v/>
      </c>
      <c r="H1198" s="22" t="str">
        <f aca="false">IF(A1198="","",N(H1197)+IF(B1198="Masuk",N(D1198),-N(D1198)))</f>
        <v/>
      </c>
    </row>
    <row r="1199" customFormat="false" ht="15" hidden="false" customHeight="false" outlineLevel="0" collapsed="false">
      <c r="A1199" s="20"/>
      <c r="B1199" s="19"/>
      <c r="C1199" s="19"/>
      <c r="D1199" s="21"/>
      <c r="E1199" s="19"/>
      <c r="F1199" s="19"/>
      <c r="G1199" s="23" t="str">
        <f aca="false">IF(A1199="","",TEXT(A1199,"yyyy-mm"))</f>
        <v/>
      </c>
      <c r="H1199" s="22" t="str">
        <f aca="false">IF(A1199="","",N(H1198)+IF(B1199="Masuk",N(D1199),-N(D1199)))</f>
        <v/>
      </c>
    </row>
    <row r="1200" customFormat="false" ht="15" hidden="false" customHeight="false" outlineLevel="0" collapsed="false">
      <c r="A1200" s="20"/>
      <c r="B1200" s="19"/>
      <c r="C1200" s="19"/>
      <c r="D1200" s="21"/>
      <c r="E1200" s="19"/>
      <c r="F1200" s="19"/>
      <c r="G1200" s="23" t="str">
        <f aca="false">IF(A1200="","",TEXT(A1200,"yyyy-mm"))</f>
        <v/>
      </c>
      <c r="H1200" s="22" t="str">
        <f aca="false">IF(A1200="","",N(H1199)+IF(B1200="Masuk",N(D1200),-N(D1200)))</f>
        <v/>
      </c>
    </row>
    <row r="1201" customFormat="false" ht="15" hidden="false" customHeight="false" outlineLevel="0" collapsed="false">
      <c r="A1201" s="20"/>
      <c r="B1201" s="19"/>
      <c r="C1201" s="19"/>
      <c r="D1201" s="21"/>
      <c r="E1201" s="19"/>
      <c r="F1201" s="19"/>
      <c r="G1201" s="23" t="str">
        <f aca="false">IF(A1201="","",TEXT(A1201,"yyyy-mm"))</f>
        <v/>
      </c>
      <c r="H1201" s="22" t="str">
        <f aca="false">IF(A1201="","",N(H1200)+IF(B1201="Masuk",N(D1201),-N(D1201)))</f>
        <v/>
      </c>
    </row>
    <row r="1202" customFormat="false" ht="15" hidden="false" customHeight="false" outlineLevel="0" collapsed="false">
      <c r="A1202" s="20"/>
      <c r="B1202" s="19"/>
      <c r="C1202" s="19"/>
      <c r="D1202" s="21"/>
      <c r="E1202" s="19"/>
      <c r="F1202" s="19"/>
      <c r="G1202" s="23" t="str">
        <f aca="false">IF(A1202="","",TEXT(A1202,"yyyy-mm"))</f>
        <v/>
      </c>
      <c r="H1202" s="22" t="str">
        <f aca="false">IF(A1202="","",N(H1201)+IF(B1202="Masuk",N(D1202),-N(D1202)))</f>
        <v/>
      </c>
    </row>
    <row r="1203" customFormat="false" ht="15" hidden="false" customHeight="false" outlineLevel="0" collapsed="false">
      <c r="A1203" s="20"/>
      <c r="B1203" s="19"/>
      <c r="C1203" s="19"/>
      <c r="D1203" s="21"/>
      <c r="E1203" s="19"/>
      <c r="F1203" s="19"/>
      <c r="G1203" s="23" t="str">
        <f aca="false">IF(A1203="","",TEXT(A1203,"yyyy-mm"))</f>
        <v/>
      </c>
      <c r="H1203" s="22" t="str">
        <f aca="false">IF(A1203="","",N(H1202)+IF(B1203="Masuk",N(D1203),-N(D1203)))</f>
        <v/>
      </c>
    </row>
    <row r="1204" customFormat="false" ht="15" hidden="false" customHeight="false" outlineLevel="0" collapsed="false">
      <c r="A1204" s="20"/>
      <c r="B1204" s="19"/>
      <c r="C1204" s="19"/>
      <c r="D1204" s="21"/>
      <c r="E1204" s="19"/>
      <c r="F1204" s="19"/>
      <c r="G1204" s="23" t="str">
        <f aca="false">IF(A1204="","",TEXT(A1204,"yyyy-mm"))</f>
        <v/>
      </c>
      <c r="H1204" s="22" t="str">
        <f aca="false">IF(A1204="","",N(H1203)+IF(B1204="Masuk",N(D1204),-N(D1204)))</f>
        <v/>
      </c>
    </row>
    <row r="1205" customFormat="false" ht="15" hidden="false" customHeight="false" outlineLevel="0" collapsed="false">
      <c r="A1205" s="20"/>
      <c r="B1205" s="19"/>
      <c r="C1205" s="19"/>
      <c r="D1205" s="21"/>
      <c r="E1205" s="19"/>
      <c r="F1205" s="19"/>
      <c r="G1205" s="23" t="str">
        <f aca="false">IF(A1205="","",TEXT(A1205,"yyyy-mm"))</f>
        <v/>
      </c>
      <c r="H1205" s="22" t="str">
        <f aca="false">IF(A1205="","",N(H1204)+IF(B1205="Masuk",N(D1205),-N(D1205)))</f>
        <v/>
      </c>
    </row>
    <row r="1206" customFormat="false" ht="15" hidden="false" customHeight="false" outlineLevel="0" collapsed="false">
      <c r="A1206" s="20"/>
      <c r="B1206" s="19"/>
      <c r="C1206" s="19"/>
      <c r="D1206" s="21"/>
      <c r="E1206" s="19"/>
      <c r="F1206" s="19"/>
      <c r="G1206" s="23" t="str">
        <f aca="false">IF(A1206="","",TEXT(A1206,"yyyy-mm"))</f>
        <v/>
      </c>
      <c r="H1206" s="22" t="str">
        <f aca="false">IF(A1206="","",N(H1205)+IF(B1206="Masuk",N(D1206),-N(D1206)))</f>
        <v/>
      </c>
    </row>
    <row r="1207" customFormat="false" ht="15" hidden="false" customHeight="false" outlineLevel="0" collapsed="false">
      <c r="A1207" s="20"/>
      <c r="B1207" s="19"/>
      <c r="C1207" s="19"/>
      <c r="D1207" s="21"/>
      <c r="E1207" s="19"/>
      <c r="F1207" s="19"/>
      <c r="G1207" s="23" t="str">
        <f aca="false">IF(A1207="","",TEXT(A1207,"yyyy-mm"))</f>
        <v/>
      </c>
      <c r="H1207" s="22" t="str">
        <f aca="false">IF(A1207="","",N(H1206)+IF(B1207="Masuk",N(D1207),-N(D1207)))</f>
        <v/>
      </c>
    </row>
    <row r="1208" customFormat="false" ht="15" hidden="false" customHeight="false" outlineLevel="0" collapsed="false">
      <c r="A1208" s="20"/>
      <c r="B1208" s="19"/>
      <c r="C1208" s="19"/>
      <c r="D1208" s="21"/>
      <c r="E1208" s="19"/>
      <c r="F1208" s="19"/>
      <c r="G1208" s="23" t="str">
        <f aca="false">IF(A1208="","",TEXT(A1208,"yyyy-mm"))</f>
        <v/>
      </c>
      <c r="H1208" s="22" t="str">
        <f aca="false">IF(A1208="","",N(H1207)+IF(B1208="Masuk",N(D1208),-N(D1208)))</f>
        <v/>
      </c>
    </row>
    <row r="1209" customFormat="false" ht="15" hidden="false" customHeight="false" outlineLevel="0" collapsed="false">
      <c r="A1209" s="20"/>
      <c r="B1209" s="19"/>
      <c r="C1209" s="19"/>
      <c r="D1209" s="21"/>
      <c r="E1209" s="19"/>
      <c r="F1209" s="19"/>
      <c r="G1209" s="23" t="str">
        <f aca="false">IF(A1209="","",TEXT(A1209,"yyyy-mm"))</f>
        <v/>
      </c>
      <c r="H1209" s="22" t="str">
        <f aca="false">IF(A1209="","",N(H1208)+IF(B1209="Masuk",N(D1209),-N(D1209)))</f>
        <v/>
      </c>
    </row>
    <row r="1210" customFormat="false" ht="15" hidden="false" customHeight="false" outlineLevel="0" collapsed="false">
      <c r="A1210" s="20"/>
      <c r="B1210" s="19"/>
      <c r="C1210" s="19"/>
      <c r="D1210" s="21"/>
      <c r="E1210" s="19"/>
      <c r="F1210" s="19"/>
      <c r="G1210" s="23" t="str">
        <f aca="false">IF(A1210="","",TEXT(A1210,"yyyy-mm"))</f>
        <v/>
      </c>
      <c r="H1210" s="22" t="str">
        <f aca="false">IF(A1210="","",N(H1209)+IF(B1210="Masuk",N(D1210),-N(D1210)))</f>
        <v/>
      </c>
    </row>
    <row r="1211" customFormat="false" ht="15" hidden="false" customHeight="false" outlineLevel="0" collapsed="false">
      <c r="A1211" s="20"/>
      <c r="B1211" s="19"/>
      <c r="C1211" s="19"/>
      <c r="D1211" s="21"/>
      <c r="E1211" s="19"/>
      <c r="F1211" s="19"/>
      <c r="G1211" s="23" t="str">
        <f aca="false">IF(A1211="","",TEXT(A1211,"yyyy-mm"))</f>
        <v/>
      </c>
      <c r="H1211" s="22" t="str">
        <f aca="false">IF(A1211="","",N(H1210)+IF(B1211="Masuk",N(D1211),-N(D1211)))</f>
        <v/>
      </c>
    </row>
    <row r="1212" customFormat="false" ht="15" hidden="false" customHeight="false" outlineLevel="0" collapsed="false">
      <c r="A1212" s="20"/>
      <c r="B1212" s="19"/>
      <c r="C1212" s="19"/>
      <c r="D1212" s="21"/>
      <c r="E1212" s="19"/>
      <c r="F1212" s="19"/>
      <c r="G1212" s="23" t="str">
        <f aca="false">IF(A1212="","",TEXT(A1212,"yyyy-mm"))</f>
        <v/>
      </c>
      <c r="H1212" s="22" t="str">
        <f aca="false">IF(A1212="","",N(H1211)+IF(B1212="Masuk",N(D1212),-N(D1212)))</f>
        <v/>
      </c>
    </row>
    <row r="1213" customFormat="false" ht="15" hidden="false" customHeight="false" outlineLevel="0" collapsed="false">
      <c r="A1213" s="20"/>
      <c r="B1213" s="19"/>
      <c r="C1213" s="19"/>
      <c r="D1213" s="21"/>
      <c r="E1213" s="19"/>
      <c r="F1213" s="19"/>
      <c r="G1213" s="23" t="str">
        <f aca="false">IF(A1213="","",TEXT(A1213,"yyyy-mm"))</f>
        <v/>
      </c>
      <c r="H1213" s="22" t="str">
        <f aca="false">IF(A1213="","",N(H1212)+IF(B1213="Masuk",N(D1213),-N(D1213)))</f>
        <v/>
      </c>
    </row>
    <row r="1214" customFormat="false" ht="15" hidden="false" customHeight="false" outlineLevel="0" collapsed="false">
      <c r="A1214" s="20"/>
      <c r="B1214" s="19"/>
      <c r="C1214" s="19"/>
      <c r="D1214" s="21"/>
      <c r="E1214" s="19"/>
      <c r="F1214" s="19"/>
      <c r="G1214" s="23" t="str">
        <f aca="false">IF(A1214="","",TEXT(A1214,"yyyy-mm"))</f>
        <v/>
      </c>
      <c r="H1214" s="22" t="str">
        <f aca="false">IF(A1214="","",N(H1213)+IF(B1214="Masuk",N(D1214),-N(D1214)))</f>
        <v/>
      </c>
    </row>
    <row r="1215" customFormat="false" ht="15" hidden="false" customHeight="false" outlineLevel="0" collapsed="false">
      <c r="A1215" s="20"/>
      <c r="B1215" s="19"/>
      <c r="C1215" s="19"/>
      <c r="D1215" s="21"/>
      <c r="E1215" s="19"/>
      <c r="F1215" s="19"/>
      <c r="G1215" s="23" t="str">
        <f aca="false">IF(A1215="","",TEXT(A1215,"yyyy-mm"))</f>
        <v/>
      </c>
      <c r="H1215" s="22" t="str">
        <f aca="false">IF(A1215="","",N(H1214)+IF(B1215="Masuk",N(D1215),-N(D1215)))</f>
        <v/>
      </c>
    </row>
    <row r="1216" customFormat="false" ht="15" hidden="false" customHeight="false" outlineLevel="0" collapsed="false">
      <c r="A1216" s="20"/>
      <c r="B1216" s="19"/>
      <c r="C1216" s="19"/>
      <c r="D1216" s="21"/>
      <c r="E1216" s="19"/>
      <c r="F1216" s="19"/>
      <c r="G1216" s="23" t="str">
        <f aca="false">IF(A1216="","",TEXT(A1216,"yyyy-mm"))</f>
        <v/>
      </c>
      <c r="H1216" s="22" t="str">
        <f aca="false">IF(A1216="","",N(H1215)+IF(B1216="Masuk",N(D1216),-N(D1216)))</f>
        <v/>
      </c>
    </row>
    <row r="1217" customFormat="false" ht="15" hidden="false" customHeight="false" outlineLevel="0" collapsed="false">
      <c r="A1217" s="20"/>
      <c r="B1217" s="19"/>
      <c r="C1217" s="19"/>
      <c r="D1217" s="21"/>
      <c r="E1217" s="19"/>
      <c r="F1217" s="19"/>
      <c r="G1217" s="23" t="str">
        <f aca="false">IF(A1217="","",TEXT(A1217,"yyyy-mm"))</f>
        <v/>
      </c>
      <c r="H1217" s="22" t="str">
        <f aca="false">IF(A1217="","",N(H1216)+IF(B1217="Masuk",N(D1217),-N(D1217)))</f>
        <v/>
      </c>
    </row>
    <row r="1218" customFormat="false" ht="15" hidden="false" customHeight="false" outlineLevel="0" collapsed="false">
      <c r="A1218" s="20"/>
      <c r="B1218" s="19"/>
      <c r="C1218" s="19"/>
      <c r="D1218" s="21"/>
      <c r="E1218" s="19"/>
      <c r="F1218" s="19"/>
      <c r="G1218" s="23" t="str">
        <f aca="false">IF(A1218="","",TEXT(A1218,"yyyy-mm"))</f>
        <v/>
      </c>
      <c r="H1218" s="22" t="str">
        <f aca="false">IF(A1218="","",N(H1217)+IF(B1218="Masuk",N(D1218),-N(D1218)))</f>
        <v/>
      </c>
    </row>
    <row r="1219" customFormat="false" ht="15" hidden="false" customHeight="false" outlineLevel="0" collapsed="false">
      <c r="A1219" s="20"/>
      <c r="B1219" s="19"/>
      <c r="C1219" s="19"/>
      <c r="D1219" s="21"/>
      <c r="E1219" s="19"/>
      <c r="F1219" s="19"/>
      <c r="G1219" s="23" t="str">
        <f aca="false">IF(A1219="","",TEXT(A1219,"yyyy-mm"))</f>
        <v/>
      </c>
      <c r="H1219" s="22" t="str">
        <f aca="false">IF(A1219="","",N(H1218)+IF(B1219="Masuk",N(D1219),-N(D1219)))</f>
        <v/>
      </c>
    </row>
    <row r="1220" customFormat="false" ht="15" hidden="false" customHeight="false" outlineLevel="0" collapsed="false">
      <c r="A1220" s="20"/>
      <c r="B1220" s="19"/>
      <c r="C1220" s="19"/>
      <c r="D1220" s="21"/>
      <c r="E1220" s="19"/>
      <c r="F1220" s="19"/>
      <c r="G1220" s="23" t="str">
        <f aca="false">IF(A1220="","",TEXT(A1220,"yyyy-mm"))</f>
        <v/>
      </c>
      <c r="H1220" s="22" t="str">
        <f aca="false">IF(A1220="","",N(H1219)+IF(B1220="Masuk",N(D1220),-N(D1220)))</f>
        <v/>
      </c>
    </row>
    <row r="1221" customFormat="false" ht="15" hidden="false" customHeight="false" outlineLevel="0" collapsed="false">
      <c r="A1221" s="20"/>
      <c r="B1221" s="19"/>
      <c r="C1221" s="19"/>
      <c r="D1221" s="21"/>
      <c r="E1221" s="19"/>
      <c r="F1221" s="19"/>
      <c r="G1221" s="23" t="str">
        <f aca="false">IF(A1221="","",TEXT(A1221,"yyyy-mm"))</f>
        <v/>
      </c>
      <c r="H1221" s="22" t="str">
        <f aca="false">IF(A1221="","",N(H1220)+IF(B1221="Masuk",N(D1221),-N(D1221)))</f>
        <v/>
      </c>
    </row>
    <row r="1222" customFormat="false" ht="15" hidden="false" customHeight="false" outlineLevel="0" collapsed="false">
      <c r="A1222" s="20"/>
      <c r="B1222" s="19"/>
      <c r="C1222" s="19"/>
      <c r="D1222" s="21"/>
      <c r="E1222" s="19"/>
      <c r="F1222" s="19"/>
      <c r="G1222" s="23" t="str">
        <f aca="false">IF(A1222="","",TEXT(A1222,"yyyy-mm"))</f>
        <v/>
      </c>
      <c r="H1222" s="22" t="str">
        <f aca="false">IF(A1222="","",N(H1221)+IF(B1222="Masuk",N(D1222),-N(D1222)))</f>
        <v/>
      </c>
    </row>
    <row r="1223" customFormat="false" ht="15" hidden="false" customHeight="false" outlineLevel="0" collapsed="false">
      <c r="A1223" s="20"/>
      <c r="B1223" s="19"/>
      <c r="C1223" s="19"/>
      <c r="D1223" s="21"/>
      <c r="E1223" s="19"/>
      <c r="F1223" s="19"/>
      <c r="G1223" s="23" t="str">
        <f aca="false">IF(A1223="","",TEXT(A1223,"yyyy-mm"))</f>
        <v/>
      </c>
      <c r="H1223" s="22" t="str">
        <f aca="false">IF(A1223="","",N(H1222)+IF(B1223="Masuk",N(D1223),-N(D1223)))</f>
        <v/>
      </c>
    </row>
    <row r="1224" customFormat="false" ht="15" hidden="false" customHeight="false" outlineLevel="0" collapsed="false">
      <c r="A1224" s="20"/>
      <c r="B1224" s="19"/>
      <c r="C1224" s="19"/>
      <c r="D1224" s="21"/>
      <c r="E1224" s="19"/>
      <c r="F1224" s="19"/>
      <c r="G1224" s="23" t="str">
        <f aca="false">IF(A1224="","",TEXT(A1224,"yyyy-mm"))</f>
        <v/>
      </c>
      <c r="H1224" s="22" t="str">
        <f aca="false">IF(A1224="","",N(H1223)+IF(B1224="Masuk",N(D1224),-N(D1224)))</f>
        <v/>
      </c>
    </row>
    <row r="1225" customFormat="false" ht="15" hidden="false" customHeight="false" outlineLevel="0" collapsed="false">
      <c r="A1225" s="20"/>
      <c r="B1225" s="19"/>
      <c r="C1225" s="19"/>
      <c r="D1225" s="21"/>
      <c r="E1225" s="19"/>
      <c r="F1225" s="19"/>
      <c r="G1225" s="23" t="str">
        <f aca="false">IF(A1225="","",TEXT(A1225,"yyyy-mm"))</f>
        <v/>
      </c>
      <c r="H1225" s="22" t="str">
        <f aca="false">IF(A1225="","",N(H1224)+IF(B1225="Masuk",N(D1225),-N(D1225)))</f>
        <v/>
      </c>
    </row>
    <row r="1226" customFormat="false" ht="15" hidden="false" customHeight="false" outlineLevel="0" collapsed="false">
      <c r="A1226" s="20"/>
      <c r="B1226" s="19"/>
      <c r="C1226" s="19"/>
      <c r="D1226" s="21"/>
      <c r="E1226" s="19"/>
      <c r="F1226" s="19"/>
      <c r="G1226" s="23" t="str">
        <f aca="false">IF(A1226="","",TEXT(A1226,"yyyy-mm"))</f>
        <v/>
      </c>
      <c r="H1226" s="22" t="str">
        <f aca="false">IF(A1226="","",N(H1225)+IF(B1226="Masuk",N(D1226),-N(D1226)))</f>
        <v/>
      </c>
    </row>
    <row r="1227" customFormat="false" ht="15" hidden="false" customHeight="false" outlineLevel="0" collapsed="false">
      <c r="A1227" s="20"/>
      <c r="B1227" s="19"/>
      <c r="C1227" s="19"/>
      <c r="D1227" s="21"/>
      <c r="E1227" s="19"/>
      <c r="F1227" s="19"/>
      <c r="G1227" s="23" t="str">
        <f aca="false">IF(A1227="","",TEXT(A1227,"yyyy-mm"))</f>
        <v/>
      </c>
      <c r="H1227" s="22" t="str">
        <f aca="false">IF(A1227="","",N(H1226)+IF(B1227="Masuk",N(D1227),-N(D1227)))</f>
        <v/>
      </c>
    </row>
    <row r="1228" customFormat="false" ht="15" hidden="false" customHeight="false" outlineLevel="0" collapsed="false">
      <c r="A1228" s="20"/>
      <c r="B1228" s="19"/>
      <c r="C1228" s="19"/>
      <c r="D1228" s="21"/>
      <c r="E1228" s="19"/>
      <c r="F1228" s="19"/>
      <c r="G1228" s="23" t="str">
        <f aca="false">IF(A1228="","",TEXT(A1228,"yyyy-mm"))</f>
        <v/>
      </c>
      <c r="H1228" s="22" t="str">
        <f aca="false">IF(A1228="","",N(H1227)+IF(B1228="Masuk",N(D1228),-N(D1228)))</f>
        <v/>
      </c>
    </row>
    <row r="1229" customFormat="false" ht="15" hidden="false" customHeight="false" outlineLevel="0" collapsed="false">
      <c r="A1229" s="20"/>
      <c r="B1229" s="19"/>
      <c r="C1229" s="19"/>
      <c r="D1229" s="21"/>
      <c r="E1229" s="19"/>
      <c r="F1229" s="19"/>
      <c r="G1229" s="23" t="str">
        <f aca="false">IF(A1229="","",TEXT(A1229,"yyyy-mm"))</f>
        <v/>
      </c>
      <c r="H1229" s="22" t="str">
        <f aca="false">IF(A1229="","",N(H1228)+IF(B1229="Masuk",N(D1229),-N(D1229)))</f>
        <v/>
      </c>
    </row>
    <row r="1230" customFormat="false" ht="15" hidden="false" customHeight="false" outlineLevel="0" collapsed="false">
      <c r="A1230" s="20"/>
      <c r="B1230" s="19"/>
      <c r="C1230" s="19"/>
      <c r="D1230" s="21"/>
      <c r="E1230" s="19"/>
      <c r="F1230" s="19"/>
      <c r="G1230" s="23" t="str">
        <f aca="false">IF(A1230="","",TEXT(A1230,"yyyy-mm"))</f>
        <v/>
      </c>
      <c r="H1230" s="22" t="str">
        <f aca="false">IF(A1230="","",N(H1229)+IF(B1230="Masuk",N(D1230),-N(D1230)))</f>
        <v/>
      </c>
    </row>
    <row r="1231" customFormat="false" ht="15" hidden="false" customHeight="false" outlineLevel="0" collapsed="false">
      <c r="A1231" s="20"/>
      <c r="B1231" s="19"/>
      <c r="C1231" s="19"/>
      <c r="D1231" s="21"/>
      <c r="E1231" s="19"/>
      <c r="F1231" s="19"/>
      <c r="G1231" s="23" t="str">
        <f aca="false">IF(A1231="","",TEXT(A1231,"yyyy-mm"))</f>
        <v/>
      </c>
      <c r="H1231" s="22" t="str">
        <f aca="false">IF(A1231="","",N(H1230)+IF(B1231="Masuk",N(D1231),-N(D1231)))</f>
        <v/>
      </c>
    </row>
    <row r="1232" customFormat="false" ht="15" hidden="false" customHeight="false" outlineLevel="0" collapsed="false">
      <c r="A1232" s="20"/>
      <c r="B1232" s="19"/>
      <c r="C1232" s="19"/>
      <c r="D1232" s="21"/>
      <c r="E1232" s="19"/>
      <c r="F1232" s="19"/>
      <c r="G1232" s="23" t="str">
        <f aca="false">IF(A1232="","",TEXT(A1232,"yyyy-mm"))</f>
        <v/>
      </c>
      <c r="H1232" s="22" t="str">
        <f aca="false">IF(A1232="","",N(H1231)+IF(B1232="Masuk",N(D1232),-N(D1232)))</f>
        <v/>
      </c>
    </row>
    <row r="1233" customFormat="false" ht="15" hidden="false" customHeight="false" outlineLevel="0" collapsed="false">
      <c r="A1233" s="20"/>
      <c r="B1233" s="19"/>
      <c r="C1233" s="19"/>
      <c r="D1233" s="21"/>
      <c r="E1233" s="19"/>
      <c r="F1233" s="19"/>
      <c r="G1233" s="23" t="str">
        <f aca="false">IF(A1233="","",TEXT(A1233,"yyyy-mm"))</f>
        <v/>
      </c>
      <c r="H1233" s="22" t="str">
        <f aca="false">IF(A1233="","",N(H1232)+IF(B1233="Masuk",N(D1233),-N(D1233)))</f>
        <v/>
      </c>
    </row>
    <row r="1234" customFormat="false" ht="15" hidden="false" customHeight="false" outlineLevel="0" collapsed="false">
      <c r="A1234" s="20"/>
      <c r="B1234" s="19"/>
      <c r="C1234" s="19"/>
      <c r="D1234" s="21"/>
      <c r="E1234" s="19"/>
      <c r="F1234" s="19"/>
      <c r="G1234" s="23" t="str">
        <f aca="false">IF(A1234="","",TEXT(A1234,"yyyy-mm"))</f>
        <v/>
      </c>
      <c r="H1234" s="22" t="str">
        <f aca="false">IF(A1234="","",N(H1233)+IF(B1234="Masuk",N(D1234),-N(D1234)))</f>
        <v/>
      </c>
    </row>
    <row r="1235" customFormat="false" ht="15" hidden="false" customHeight="false" outlineLevel="0" collapsed="false">
      <c r="A1235" s="20"/>
      <c r="B1235" s="19"/>
      <c r="C1235" s="19"/>
      <c r="D1235" s="21"/>
      <c r="E1235" s="19"/>
      <c r="F1235" s="19"/>
      <c r="G1235" s="23" t="str">
        <f aca="false">IF(A1235="","",TEXT(A1235,"yyyy-mm"))</f>
        <v/>
      </c>
      <c r="H1235" s="22" t="str">
        <f aca="false">IF(A1235="","",N(H1234)+IF(B1235="Masuk",N(D1235),-N(D1235)))</f>
        <v/>
      </c>
    </row>
    <row r="1236" customFormat="false" ht="15" hidden="false" customHeight="false" outlineLevel="0" collapsed="false">
      <c r="A1236" s="20"/>
      <c r="B1236" s="19"/>
      <c r="C1236" s="19"/>
      <c r="D1236" s="21"/>
      <c r="E1236" s="19"/>
      <c r="F1236" s="19"/>
      <c r="G1236" s="23" t="str">
        <f aca="false">IF(A1236="","",TEXT(A1236,"yyyy-mm"))</f>
        <v/>
      </c>
      <c r="H1236" s="22" t="str">
        <f aca="false">IF(A1236="","",N(H1235)+IF(B1236="Masuk",N(D1236),-N(D1236)))</f>
        <v/>
      </c>
    </row>
    <row r="1237" customFormat="false" ht="15" hidden="false" customHeight="false" outlineLevel="0" collapsed="false">
      <c r="A1237" s="20"/>
      <c r="B1237" s="19"/>
      <c r="C1237" s="19"/>
      <c r="D1237" s="21"/>
      <c r="E1237" s="19"/>
      <c r="F1237" s="19"/>
      <c r="G1237" s="23" t="str">
        <f aca="false">IF(A1237="","",TEXT(A1237,"yyyy-mm"))</f>
        <v/>
      </c>
      <c r="H1237" s="22" t="str">
        <f aca="false">IF(A1237="","",N(H1236)+IF(B1237="Masuk",N(D1237),-N(D1237)))</f>
        <v/>
      </c>
    </row>
    <row r="1238" customFormat="false" ht="15" hidden="false" customHeight="false" outlineLevel="0" collapsed="false">
      <c r="A1238" s="20"/>
      <c r="B1238" s="19"/>
      <c r="C1238" s="19"/>
      <c r="D1238" s="21"/>
      <c r="E1238" s="19"/>
      <c r="F1238" s="19"/>
      <c r="G1238" s="23" t="str">
        <f aca="false">IF(A1238="","",TEXT(A1238,"yyyy-mm"))</f>
        <v/>
      </c>
      <c r="H1238" s="22" t="str">
        <f aca="false">IF(A1238="","",N(H1237)+IF(B1238="Masuk",N(D1238),-N(D1238)))</f>
        <v/>
      </c>
    </row>
    <row r="1239" customFormat="false" ht="15" hidden="false" customHeight="false" outlineLevel="0" collapsed="false">
      <c r="A1239" s="20"/>
      <c r="B1239" s="19"/>
      <c r="C1239" s="19"/>
      <c r="D1239" s="21"/>
      <c r="E1239" s="19"/>
      <c r="F1239" s="19"/>
      <c r="G1239" s="23" t="str">
        <f aca="false">IF(A1239="","",TEXT(A1239,"yyyy-mm"))</f>
        <v/>
      </c>
      <c r="H1239" s="22" t="str">
        <f aca="false">IF(A1239="","",N(H1238)+IF(B1239="Masuk",N(D1239),-N(D1239)))</f>
        <v/>
      </c>
    </row>
    <row r="1240" customFormat="false" ht="15" hidden="false" customHeight="false" outlineLevel="0" collapsed="false">
      <c r="A1240" s="20"/>
      <c r="B1240" s="19"/>
      <c r="C1240" s="19"/>
      <c r="D1240" s="21"/>
      <c r="E1240" s="19"/>
      <c r="F1240" s="19"/>
      <c r="G1240" s="23" t="str">
        <f aca="false">IF(A1240="","",TEXT(A1240,"yyyy-mm"))</f>
        <v/>
      </c>
      <c r="H1240" s="22" t="str">
        <f aca="false">IF(A1240="","",N(H1239)+IF(B1240="Masuk",N(D1240),-N(D1240)))</f>
        <v/>
      </c>
    </row>
    <row r="1241" customFormat="false" ht="15" hidden="false" customHeight="false" outlineLevel="0" collapsed="false">
      <c r="A1241" s="20"/>
      <c r="B1241" s="19"/>
      <c r="C1241" s="19"/>
      <c r="D1241" s="21"/>
      <c r="E1241" s="19"/>
      <c r="F1241" s="19"/>
      <c r="G1241" s="23" t="str">
        <f aca="false">IF(A1241="","",TEXT(A1241,"yyyy-mm"))</f>
        <v/>
      </c>
      <c r="H1241" s="22" t="str">
        <f aca="false">IF(A1241="","",N(H1240)+IF(B1241="Masuk",N(D1241),-N(D1241)))</f>
        <v/>
      </c>
    </row>
    <row r="1242" customFormat="false" ht="15" hidden="false" customHeight="false" outlineLevel="0" collapsed="false">
      <c r="A1242" s="20"/>
      <c r="B1242" s="19"/>
      <c r="C1242" s="19"/>
      <c r="D1242" s="21"/>
      <c r="E1242" s="19"/>
      <c r="F1242" s="19"/>
      <c r="G1242" s="23" t="str">
        <f aca="false">IF(A1242="","",TEXT(A1242,"yyyy-mm"))</f>
        <v/>
      </c>
      <c r="H1242" s="22" t="str">
        <f aca="false">IF(A1242="","",N(H1241)+IF(B1242="Masuk",N(D1242),-N(D1242)))</f>
        <v/>
      </c>
    </row>
    <row r="1243" customFormat="false" ht="15" hidden="false" customHeight="false" outlineLevel="0" collapsed="false">
      <c r="A1243" s="20"/>
      <c r="B1243" s="19"/>
      <c r="C1243" s="19"/>
      <c r="D1243" s="21"/>
      <c r="E1243" s="19"/>
      <c r="F1243" s="19"/>
      <c r="G1243" s="23" t="str">
        <f aca="false">IF(A1243="","",TEXT(A1243,"yyyy-mm"))</f>
        <v/>
      </c>
      <c r="H1243" s="22" t="str">
        <f aca="false">IF(A1243="","",N(H1242)+IF(B1243="Masuk",N(D1243),-N(D1243)))</f>
        <v/>
      </c>
    </row>
    <row r="1244" customFormat="false" ht="15" hidden="false" customHeight="false" outlineLevel="0" collapsed="false">
      <c r="A1244" s="20"/>
      <c r="B1244" s="19"/>
      <c r="C1244" s="19"/>
      <c r="D1244" s="21"/>
      <c r="E1244" s="19"/>
      <c r="F1244" s="19"/>
      <c r="G1244" s="23" t="str">
        <f aca="false">IF(A1244="","",TEXT(A1244,"yyyy-mm"))</f>
        <v/>
      </c>
      <c r="H1244" s="22" t="str">
        <f aca="false">IF(A1244="","",N(H1243)+IF(B1244="Masuk",N(D1244),-N(D1244)))</f>
        <v/>
      </c>
    </row>
    <row r="1245" customFormat="false" ht="15" hidden="false" customHeight="false" outlineLevel="0" collapsed="false">
      <c r="A1245" s="20"/>
      <c r="B1245" s="19"/>
      <c r="C1245" s="19"/>
      <c r="D1245" s="21"/>
      <c r="E1245" s="19"/>
      <c r="F1245" s="19"/>
      <c r="G1245" s="23" t="str">
        <f aca="false">IF(A1245="","",TEXT(A1245,"yyyy-mm"))</f>
        <v/>
      </c>
      <c r="H1245" s="22" t="str">
        <f aca="false">IF(A1245="","",N(H1244)+IF(B1245="Masuk",N(D1245),-N(D1245)))</f>
        <v/>
      </c>
    </row>
    <row r="1246" customFormat="false" ht="15" hidden="false" customHeight="false" outlineLevel="0" collapsed="false">
      <c r="A1246" s="20"/>
      <c r="B1246" s="19"/>
      <c r="C1246" s="19"/>
      <c r="D1246" s="21"/>
      <c r="E1246" s="19"/>
      <c r="F1246" s="19"/>
      <c r="G1246" s="23" t="str">
        <f aca="false">IF(A1246="","",TEXT(A1246,"yyyy-mm"))</f>
        <v/>
      </c>
      <c r="H1246" s="22" t="str">
        <f aca="false">IF(A1246="","",N(H1245)+IF(B1246="Masuk",N(D1246),-N(D1246)))</f>
        <v/>
      </c>
    </row>
    <row r="1247" customFormat="false" ht="15" hidden="false" customHeight="false" outlineLevel="0" collapsed="false">
      <c r="A1247" s="20"/>
      <c r="B1247" s="19"/>
      <c r="C1247" s="19"/>
      <c r="D1247" s="21"/>
      <c r="E1247" s="19"/>
      <c r="F1247" s="19"/>
      <c r="G1247" s="23" t="str">
        <f aca="false">IF(A1247="","",TEXT(A1247,"yyyy-mm"))</f>
        <v/>
      </c>
      <c r="H1247" s="22" t="str">
        <f aca="false">IF(A1247="","",N(H1246)+IF(B1247="Masuk",N(D1247),-N(D1247)))</f>
        <v/>
      </c>
    </row>
    <row r="1248" customFormat="false" ht="15" hidden="false" customHeight="false" outlineLevel="0" collapsed="false">
      <c r="A1248" s="20"/>
      <c r="B1248" s="19"/>
      <c r="C1248" s="19"/>
      <c r="D1248" s="21"/>
      <c r="E1248" s="19"/>
      <c r="F1248" s="19"/>
      <c r="G1248" s="23" t="str">
        <f aca="false">IF(A1248="","",TEXT(A1248,"yyyy-mm"))</f>
        <v/>
      </c>
      <c r="H1248" s="22" t="str">
        <f aca="false">IF(A1248="","",N(H1247)+IF(B1248="Masuk",N(D1248),-N(D1248)))</f>
        <v/>
      </c>
    </row>
    <row r="1249" customFormat="false" ht="15" hidden="false" customHeight="false" outlineLevel="0" collapsed="false">
      <c r="A1249" s="20"/>
      <c r="B1249" s="19"/>
      <c r="C1249" s="19"/>
      <c r="D1249" s="21"/>
      <c r="E1249" s="19"/>
      <c r="F1249" s="19"/>
      <c r="G1249" s="23" t="str">
        <f aca="false">IF(A1249="","",TEXT(A1249,"yyyy-mm"))</f>
        <v/>
      </c>
      <c r="H1249" s="22" t="str">
        <f aca="false">IF(A1249="","",N(H1248)+IF(B1249="Masuk",N(D1249),-N(D1249)))</f>
        <v/>
      </c>
    </row>
    <row r="1250" customFormat="false" ht="15" hidden="false" customHeight="false" outlineLevel="0" collapsed="false">
      <c r="A1250" s="20"/>
      <c r="B1250" s="19"/>
      <c r="C1250" s="19"/>
      <c r="D1250" s="21"/>
      <c r="E1250" s="19"/>
      <c r="F1250" s="19"/>
      <c r="G1250" s="23" t="str">
        <f aca="false">IF(A1250="","",TEXT(A1250,"yyyy-mm"))</f>
        <v/>
      </c>
      <c r="H1250" s="22" t="str">
        <f aca="false">IF(A1250="","",N(H1249)+IF(B1250="Masuk",N(D1250),-N(D1250)))</f>
        <v/>
      </c>
    </row>
    <row r="1251" customFormat="false" ht="15" hidden="false" customHeight="false" outlineLevel="0" collapsed="false">
      <c r="A1251" s="20"/>
      <c r="B1251" s="19"/>
      <c r="C1251" s="19"/>
      <c r="D1251" s="21"/>
      <c r="E1251" s="19"/>
      <c r="F1251" s="19"/>
      <c r="G1251" s="23" t="str">
        <f aca="false">IF(A1251="","",TEXT(A1251,"yyyy-mm"))</f>
        <v/>
      </c>
      <c r="H1251" s="22" t="str">
        <f aca="false">IF(A1251="","",N(H1250)+IF(B1251="Masuk",N(D1251),-N(D1251)))</f>
        <v/>
      </c>
    </row>
    <row r="1252" customFormat="false" ht="15" hidden="false" customHeight="false" outlineLevel="0" collapsed="false">
      <c r="A1252" s="20"/>
      <c r="B1252" s="19"/>
      <c r="C1252" s="19"/>
      <c r="D1252" s="21"/>
      <c r="E1252" s="19"/>
      <c r="F1252" s="19"/>
      <c r="G1252" s="23" t="str">
        <f aca="false">IF(A1252="","",TEXT(A1252,"yyyy-mm"))</f>
        <v/>
      </c>
      <c r="H1252" s="22" t="str">
        <f aca="false">IF(A1252="","",N(H1251)+IF(B1252="Masuk",N(D1252),-N(D1252)))</f>
        <v/>
      </c>
    </row>
    <row r="1253" customFormat="false" ht="15" hidden="false" customHeight="false" outlineLevel="0" collapsed="false">
      <c r="A1253" s="20"/>
      <c r="B1253" s="19"/>
      <c r="C1253" s="19"/>
      <c r="D1253" s="21"/>
      <c r="E1253" s="19"/>
      <c r="F1253" s="19"/>
      <c r="G1253" s="23" t="str">
        <f aca="false">IF(A1253="","",TEXT(A1253,"yyyy-mm"))</f>
        <v/>
      </c>
      <c r="H1253" s="22" t="str">
        <f aca="false">IF(A1253="","",N(H1252)+IF(B1253="Masuk",N(D1253),-N(D1253)))</f>
        <v/>
      </c>
    </row>
    <row r="1254" customFormat="false" ht="15" hidden="false" customHeight="false" outlineLevel="0" collapsed="false">
      <c r="A1254" s="20"/>
      <c r="B1254" s="19"/>
      <c r="C1254" s="19"/>
      <c r="D1254" s="21"/>
      <c r="E1254" s="19"/>
      <c r="F1254" s="19"/>
      <c r="G1254" s="23" t="str">
        <f aca="false">IF(A1254="","",TEXT(A1254,"yyyy-mm"))</f>
        <v/>
      </c>
      <c r="H1254" s="22" t="str">
        <f aca="false">IF(A1254="","",N(H1253)+IF(B1254="Masuk",N(D1254),-N(D1254)))</f>
        <v/>
      </c>
    </row>
    <row r="1255" customFormat="false" ht="15" hidden="false" customHeight="false" outlineLevel="0" collapsed="false">
      <c r="A1255" s="20"/>
      <c r="B1255" s="19"/>
      <c r="C1255" s="19"/>
      <c r="D1255" s="21"/>
      <c r="E1255" s="19"/>
      <c r="F1255" s="19"/>
      <c r="G1255" s="23" t="str">
        <f aca="false">IF(A1255="","",TEXT(A1255,"yyyy-mm"))</f>
        <v/>
      </c>
      <c r="H1255" s="22" t="str">
        <f aca="false">IF(A1255="","",N(H1254)+IF(B1255="Masuk",N(D1255),-N(D1255)))</f>
        <v/>
      </c>
    </row>
    <row r="1256" customFormat="false" ht="15" hidden="false" customHeight="false" outlineLevel="0" collapsed="false">
      <c r="A1256" s="20"/>
      <c r="B1256" s="19"/>
      <c r="C1256" s="19"/>
      <c r="D1256" s="21"/>
      <c r="E1256" s="19"/>
      <c r="F1256" s="19"/>
      <c r="G1256" s="23" t="str">
        <f aca="false">IF(A1256="","",TEXT(A1256,"yyyy-mm"))</f>
        <v/>
      </c>
      <c r="H1256" s="22" t="str">
        <f aca="false">IF(A1256="","",N(H1255)+IF(B1256="Masuk",N(D1256),-N(D1256)))</f>
        <v/>
      </c>
    </row>
    <row r="1257" customFormat="false" ht="15" hidden="false" customHeight="false" outlineLevel="0" collapsed="false">
      <c r="A1257" s="20"/>
      <c r="B1257" s="19"/>
      <c r="C1257" s="19"/>
      <c r="D1257" s="21"/>
      <c r="E1257" s="19"/>
      <c r="F1257" s="19"/>
      <c r="G1257" s="23" t="str">
        <f aca="false">IF(A1257="","",TEXT(A1257,"yyyy-mm"))</f>
        <v/>
      </c>
      <c r="H1257" s="22" t="str">
        <f aca="false">IF(A1257="","",N(H1256)+IF(B1257="Masuk",N(D1257),-N(D1257)))</f>
        <v/>
      </c>
    </row>
    <row r="1258" customFormat="false" ht="15" hidden="false" customHeight="false" outlineLevel="0" collapsed="false">
      <c r="A1258" s="20"/>
      <c r="B1258" s="19"/>
      <c r="C1258" s="19"/>
      <c r="D1258" s="21"/>
      <c r="E1258" s="19"/>
      <c r="F1258" s="19"/>
      <c r="G1258" s="23" t="str">
        <f aca="false">IF(A1258="","",TEXT(A1258,"yyyy-mm"))</f>
        <v/>
      </c>
      <c r="H1258" s="22" t="str">
        <f aca="false">IF(A1258="","",N(H1257)+IF(B1258="Masuk",N(D1258),-N(D1258)))</f>
        <v/>
      </c>
    </row>
    <row r="1259" customFormat="false" ht="15" hidden="false" customHeight="false" outlineLevel="0" collapsed="false">
      <c r="A1259" s="20"/>
      <c r="B1259" s="19"/>
      <c r="C1259" s="19"/>
      <c r="D1259" s="21"/>
      <c r="E1259" s="19"/>
      <c r="F1259" s="19"/>
      <c r="G1259" s="23" t="str">
        <f aca="false">IF(A1259="","",TEXT(A1259,"yyyy-mm"))</f>
        <v/>
      </c>
      <c r="H1259" s="22" t="str">
        <f aca="false">IF(A1259="","",N(H1258)+IF(B1259="Masuk",N(D1259),-N(D1259)))</f>
        <v/>
      </c>
    </row>
    <row r="1260" customFormat="false" ht="15" hidden="false" customHeight="false" outlineLevel="0" collapsed="false">
      <c r="A1260" s="20"/>
      <c r="B1260" s="19"/>
      <c r="C1260" s="19"/>
      <c r="D1260" s="21"/>
      <c r="E1260" s="19"/>
      <c r="F1260" s="19"/>
      <c r="G1260" s="23" t="str">
        <f aca="false">IF(A1260="","",TEXT(A1260,"yyyy-mm"))</f>
        <v/>
      </c>
      <c r="H1260" s="22" t="str">
        <f aca="false">IF(A1260="","",N(H1259)+IF(B1260="Masuk",N(D1260),-N(D1260)))</f>
        <v/>
      </c>
    </row>
    <row r="1261" customFormat="false" ht="15" hidden="false" customHeight="false" outlineLevel="0" collapsed="false">
      <c r="A1261" s="20"/>
      <c r="B1261" s="19"/>
      <c r="C1261" s="19"/>
      <c r="D1261" s="21"/>
      <c r="E1261" s="19"/>
      <c r="F1261" s="19"/>
      <c r="G1261" s="23" t="str">
        <f aca="false">IF(A1261="","",TEXT(A1261,"yyyy-mm"))</f>
        <v/>
      </c>
      <c r="H1261" s="22" t="str">
        <f aca="false">IF(A1261="","",N(H1260)+IF(B1261="Masuk",N(D1261),-N(D1261)))</f>
        <v/>
      </c>
    </row>
    <row r="1262" customFormat="false" ht="15" hidden="false" customHeight="false" outlineLevel="0" collapsed="false">
      <c r="A1262" s="20"/>
      <c r="B1262" s="19"/>
      <c r="C1262" s="19"/>
      <c r="D1262" s="21"/>
      <c r="E1262" s="19"/>
      <c r="F1262" s="19"/>
      <c r="G1262" s="23" t="str">
        <f aca="false">IF(A1262="","",TEXT(A1262,"yyyy-mm"))</f>
        <v/>
      </c>
      <c r="H1262" s="22" t="str">
        <f aca="false">IF(A1262="","",N(H1261)+IF(B1262="Masuk",N(D1262),-N(D1262)))</f>
        <v/>
      </c>
    </row>
    <row r="1263" customFormat="false" ht="15" hidden="false" customHeight="false" outlineLevel="0" collapsed="false">
      <c r="A1263" s="20"/>
      <c r="B1263" s="19"/>
      <c r="C1263" s="19"/>
      <c r="D1263" s="21"/>
      <c r="E1263" s="19"/>
      <c r="F1263" s="19"/>
      <c r="G1263" s="23" t="str">
        <f aca="false">IF(A1263="","",TEXT(A1263,"yyyy-mm"))</f>
        <v/>
      </c>
      <c r="H1263" s="22" t="str">
        <f aca="false">IF(A1263="","",N(H1262)+IF(B1263="Masuk",N(D1263),-N(D1263)))</f>
        <v/>
      </c>
    </row>
    <row r="1264" customFormat="false" ht="15" hidden="false" customHeight="false" outlineLevel="0" collapsed="false">
      <c r="A1264" s="20"/>
      <c r="B1264" s="19"/>
      <c r="C1264" s="19"/>
      <c r="D1264" s="21"/>
      <c r="E1264" s="19"/>
      <c r="F1264" s="19"/>
      <c r="G1264" s="23" t="str">
        <f aca="false">IF(A1264="","",TEXT(A1264,"yyyy-mm"))</f>
        <v/>
      </c>
      <c r="H1264" s="22" t="str">
        <f aca="false">IF(A1264="","",N(H1263)+IF(B1264="Masuk",N(D1264),-N(D1264)))</f>
        <v/>
      </c>
    </row>
    <row r="1265" customFormat="false" ht="15" hidden="false" customHeight="false" outlineLevel="0" collapsed="false">
      <c r="A1265" s="20"/>
      <c r="B1265" s="19"/>
      <c r="C1265" s="19"/>
      <c r="D1265" s="21"/>
      <c r="E1265" s="19"/>
      <c r="F1265" s="19"/>
      <c r="G1265" s="23" t="str">
        <f aca="false">IF(A1265="","",TEXT(A1265,"yyyy-mm"))</f>
        <v/>
      </c>
      <c r="H1265" s="22" t="str">
        <f aca="false">IF(A1265="","",N(H1264)+IF(B1265="Masuk",N(D1265),-N(D1265)))</f>
        <v/>
      </c>
    </row>
    <row r="1266" customFormat="false" ht="15" hidden="false" customHeight="false" outlineLevel="0" collapsed="false">
      <c r="A1266" s="20"/>
      <c r="B1266" s="19"/>
      <c r="C1266" s="19"/>
      <c r="D1266" s="21"/>
      <c r="E1266" s="19"/>
      <c r="F1266" s="19"/>
      <c r="G1266" s="23" t="str">
        <f aca="false">IF(A1266="","",TEXT(A1266,"yyyy-mm"))</f>
        <v/>
      </c>
      <c r="H1266" s="22" t="str">
        <f aca="false">IF(A1266="","",N(H1265)+IF(B1266="Masuk",N(D1266),-N(D1266)))</f>
        <v/>
      </c>
    </row>
    <row r="1267" customFormat="false" ht="15" hidden="false" customHeight="false" outlineLevel="0" collapsed="false">
      <c r="A1267" s="20"/>
      <c r="B1267" s="19"/>
      <c r="C1267" s="19"/>
      <c r="D1267" s="21"/>
      <c r="E1267" s="19"/>
      <c r="F1267" s="19"/>
      <c r="G1267" s="23" t="str">
        <f aca="false">IF(A1267="","",TEXT(A1267,"yyyy-mm"))</f>
        <v/>
      </c>
      <c r="H1267" s="22" t="str">
        <f aca="false">IF(A1267="","",N(H1266)+IF(B1267="Masuk",N(D1267),-N(D1267)))</f>
        <v/>
      </c>
    </row>
    <row r="1268" customFormat="false" ht="15" hidden="false" customHeight="false" outlineLevel="0" collapsed="false">
      <c r="A1268" s="20"/>
      <c r="B1268" s="19"/>
      <c r="C1268" s="19"/>
      <c r="D1268" s="21"/>
      <c r="E1268" s="19"/>
      <c r="F1268" s="19"/>
      <c r="G1268" s="23" t="str">
        <f aca="false">IF(A1268="","",TEXT(A1268,"yyyy-mm"))</f>
        <v/>
      </c>
      <c r="H1268" s="22" t="str">
        <f aca="false">IF(A1268="","",N(H1267)+IF(B1268="Masuk",N(D1268),-N(D1268)))</f>
        <v/>
      </c>
    </row>
    <row r="1269" customFormat="false" ht="15" hidden="false" customHeight="false" outlineLevel="0" collapsed="false">
      <c r="A1269" s="20"/>
      <c r="B1269" s="19"/>
      <c r="C1269" s="19"/>
      <c r="D1269" s="21"/>
      <c r="E1269" s="19"/>
      <c r="F1269" s="19"/>
      <c r="G1269" s="23" t="str">
        <f aca="false">IF(A1269="","",TEXT(A1269,"yyyy-mm"))</f>
        <v/>
      </c>
      <c r="H1269" s="22" t="str">
        <f aca="false">IF(A1269="","",N(H1268)+IF(B1269="Masuk",N(D1269),-N(D1269)))</f>
        <v/>
      </c>
    </row>
    <row r="1270" customFormat="false" ht="15" hidden="false" customHeight="false" outlineLevel="0" collapsed="false">
      <c r="A1270" s="20"/>
      <c r="B1270" s="19"/>
      <c r="C1270" s="19"/>
      <c r="D1270" s="21"/>
      <c r="E1270" s="19"/>
      <c r="F1270" s="19"/>
      <c r="G1270" s="23" t="str">
        <f aca="false">IF(A1270="","",TEXT(A1270,"yyyy-mm"))</f>
        <v/>
      </c>
      <c r="H1270" s="22" t="str">
        <f aca="false">IF(A1270="","",N(H1269)+IF(B1270="Masuk",N(D1270),-N(D1270)))</f>
        <v/>
      </c>
    </row>
    <row r="1271" customFormat="false" ht="15" hidden="false" customHeight="false" outlineLevel="0" collapsed="false">
      <c r="A1271" s="20"/>
      <c r="B1271" s="19"/>
      <c r="C1271" s="19"/>
      <c r="D1271" s="21"/>
      <c r="E1271" s="19"/>
      <c r="F1271" s="19"/>
      <c r="G1271" s="23" t="str">
        <f aca="false">IF(A1271="","",TEXT(A1271,"yyyy-mm"))</f>
        <v/>
      </c>
      <c r="H1271" s="22" t="str">
        <f aca="false">IF(A1271="","",N(H1270)+IF(B1271="Masuk",N(D1271),-N(D1271)))</f>
        <v/>
      </c>
    </row>
    <row r="1272" customFormat="false" ht="15" hidden="false" customHeight="false" outlineLevel="0" collapsed="false">
      <c r="A1272" s="20"/>
      <c r="B1272" s="19"/>
      <c r="C1272" s="19"/>
      <c r="D1272" s="21"/>
      <c r="E1272" s="19"/>
      <c r="F1272" s="19"/>
      <c r="G1272" s="23" t="str">
        <f aca="false">IF(A1272="","",TEXT(A1272,"yyyy-mm"))</f>
        <v/>
      </c>
      <c r="H1272" s="22" t="str">
        <f aca="false">IF(A1272="","",N(H1271)+IF(B1272="Masuk",N(D1272),-N(D1272)))</f>
        <v/>
      </c>
    </row>
    <row r="1273" customFormat="false" ht="15" hidden="false" customHeight="false" outlineLevel="0" collapsed="false">
      <c r="A1273" s="20"/>
      <c r="B1273" s="19"/>
      <c r="C1273" s="19"/>
      <c r="D1273" s="21"/>
      <c r="E1273" s="19"/>
      <c r="F1273" s="19"/>
      <c r="G1273" s="23" t="str">
        <f aca="false">IF(A1273="","",TEXT(A1273,"yyyy-mm"))</f>
        <v/>
      </c>
      <c r="H1273" s="22" t="str">
        <f aca="false">IF(A1273="","",N(H1272)+IF(B1273="Masuk",N(D1273),-N(D1273)))</f>
        <v/>
      </c>
    </row>
    <row r="1274" customFormat="false" ht="15" hidden="false" customHeight="false" outlineLevel="0" collapsed="false">
      <c r="A1274" s="20"/>
      <c r="B1274" s="19"/>
      <c r="C1274" s="19"/>
      <c r="D1274" s="21"/>
      <c r="E1274" s="19"/>
      <c r="F1274" s="19"/>
      <c r="G1274" s="23" t="str">
        <f aca="false">IF(A1274="","",TEXT(A1274,"yyyy-mm"))</f>
        <v/>
      </c>
      <c r="H1274" s="22" t="str">
        <f aca="false">IF(A1274="","",N(H1273)+IF(B1274="Masuk",N(D1274),-N(D1274)))</f>
        <v/>
      </c>
    </row>
    <row r="1275" customFormat="false" ht="15" hidden="false" customHeight="false" outlineLevel="0" collapsed="false">
      <c r="A1275" s="20"/>
      <c r="B1275" s="19"/>
      <c r="C1275" s="19"/>
      <c r="D1275" s="21"/>
      <c r="E1275" s="19"/>
      <c r="F1275" s="19"/>
      <c r="G1275" s="23" t="str">
        <f aca="false">IF(A1275="","",TEXT(A1275,"yyyy-mm"))</f>
        <v/>
      </c>
      <c r="H1275" s="22" t="str">
        <f aca="false">IF(A1275="","",N(H1274)+IF(B1275="Masuk",N(D1275),-N(D1275)))</f>
        <v/>
      </c>
    </row>
    <row r="1276" customFormat="false" ht="15" hidden="false" customHeight="false" outlineLevel="0" collapsed="false">
      <c r="A1276" s="20"/>
      <c r="B1276" s="19"/>
      <c r="C1276" s="19"/>
      <c r="D1276" s="21"/>
      <c r="E1276" s="19"/>
      <c r="F1276" s="19"/>
      <c r="G1276" s="23" t="str">
        <f aca="false">IF(A1276="","",TEXT(A1276,"yyyy-mm"))</f>
        <v/>
      </c>
      <c r="H1276" s="22" t="str">
        <f aca="false">IF(A1276="","",N(H1275)+IF(B1276="Masuk",N(D1276),-N(D1276)))</f>
        <v/>
      </c>
    </row>
    <row r="1277" customFormat="false" ht="15" hidden="false" customHeight="false" outlineLevel="0" collapsed="false">
      <c r="A1277" s="20"/>
      <c r="B1277" s="19"/>
      <c r="C1277" s="19"/>
      <c r="D1277" s="21"/>
      <c r="E1277" s="19"/>
      <c r="F1277" s="19"/>
      <c r="G1277" s="23" t="str">
        <f aca="false">IF(A1277="","",TEXT(A1277,"yyyy-mm"))</f>
        <v/>
      </c>
      <c r="H1277" s="22" t="str">
        <f aca="false">IF(A1277="","",N(H1276)+IF(B1277="Masuk",N(D1277),-N(D1277)))</f>
        <v/>
      </c>
    </row>
    <row r="1278" customFormat="false" ht="15" hidden="false" customHeight="false" outlineLevel="0" collapsed="false">
      <c r="A1278" s="20"/>
      <c r="B1278" s="19"/>
      <c r="C1278" s="19"/>
      <c r="D1278" s="21"/>
      <c r="E1278" s="19"/>
      <c r="F1278" s="19"/>
      <c r="G1278" s="23" t="str">
        <f aca="false">IF(A1278="","",TEXT(A1278,"yyyy-mm"))</f>
        <v/>
      </c>
      <c r="H1278" s="22" t="str">
        <f aca="false">IF(A1278="","",N(H1277)+IF(B1278="Masuk",N(D1278),-N(D1278)))</f>
        <v/>
      </c>
    </row>
    <row r="1279" customFormat="false" ht="15" hidden="false" customHeight="false" outlineLevel="0" collapsed="false">
      <c r="A1279" s="20"/>
      <c r="B1279" s="19"/>
      <c r="C1279" s="19"/>
      <c r="D1279" s="21"/>
      <c r="E1279" s="19"/>
      <c r="F1279" s="19"/>
      <c r="G1279" s="23" t="str">
        <f aca="false">IF(A1279="","",TEXT(A1279,"yyyy-mm"))</f>
        <v/>
      </c>
      <c r="H1279" s="22" t="str">
        <f aca="false">IF(A1279="","",N(H1278)+IF(B1279="Masuk",N(D1279),-N(D1279)))</f>
        <v/>
      </c>
    </row>
    <row r="1280" customFormat="false" ht="15" hidden="false" customHeight="false" outlineLevel="0" collapsed="false">
      <c r="A1280" s="20"/>
      <c r="B1280" s="19"/>
      <c r="C1280" s="19"/>
      <c r="D1280" s="21"/>
      <c r="E1280" s="19"/>
      <c r="F1280" s="19"/>
      <c r="G1280" s="23" t="str">
        <f aca="false">IF(A1280="","",TEXT(A1280,"yyyy-mm"))</f>
        <v/>
      </c>
      <c r="H1280" s="22" t="str">
        <f aca="false">IF(A1280="","",N(H1279)+IF(B1280="Masuk",N(D1280),-N(D1280)))</f>
        <v/>
      </c>
    </row>
    <row r="1281" customFormat="false" ht="15" hidden="false" customHeight="false" outlineLevel="0" collapsed="false">
      <c r="A1281" s="20"/>
      <c r="B1281" s="19"/>
      <c r="C1281" s="19"/>
      <c r="D1281" s="21"/>
      <c r="E1281" s="19"/>
      <c r="F1281" s="19"/>
      <c r="G1281" s="23" t="str">
        <f aca="false">IF(A1281="","",TEXT(A1281,"yyyy-mm"))</f>
        <v/>
      </c>
      <c r="H1281" s="22" t="str">
        <f aca="false">IF(A1281="","",N(H1280)+IF(B1281="Masuk",N(D1281),-N(D1281)))</f>
        <v/>
      </c>
    </row>
    <row r="1282" customFormat="false" ht="15" hidden="false" customHeight="false" outlineLevel="0" collapsed="false">
      <c r="A1282" s="20"/>
      <c r="B1282" s="19"/>
      <c r="C1282" s="19"/>
      <c r="D1282" s="21"/>
      <c r="E1282" s="19"/>
      <c r="F1282" s="19"/>
      <c r="G1282" s="23" t="str">
        <f aca="false">IF(A1282="","",TEXT(A1282,"yyyy-mm"))</f>
        <v/>
      </c>
      <c r="H1282" s="22" t="str">
        <f aca="false">IF(A1282="","",N(H1281)+IF(B1282="Masuk",N(D1282),-N(D1282)))</f>
        <v/>
      </c>
    </row>
    <row r="1283" customFormat="false" ht="15" hidden="false" customHeight="false" outlineLevel="0" collapsed="false">
      <c r="A1283" s="20"/>
      <c r="B1283" s="19"/>
      <c r="C1283" s="19"/>
      <c r="D1283" s="21"/>
      <c r="E1283" s="19"/>
      <c r="F1283" s="19"/>
      <c r="G1283" s="23" t="str">
        <f aca="false">IF(A1283="","",TEXT(A1283,"yyyy-mm"))</f>
        <v/>
      </c>
      <c r="H1283" s="22" t="str">
        <f aca="false">IF(A1283="","",N(H1282)+IF(B1283="Masuk",N(D1283),-N(D1283)))</f>
        <v/>
      </c>
    </row>
    <row r="1284" customFormat="false" ht="15" hidden="false" customHeight="false" outlineLevel="0" collapsed="false">
      <c r="A1284" s="20"/>
      <c r="B1284" s="19"/>
      <c r="C1284" s="19"/>
      <c r="D1284" s="21"/>
      <c r="E1284" s="19"/>
      <c r="F1284" s="19"/>
      <c r="G1284" s="23" t="str">
        <f aca="false">IF(A1284="","",TEXT(A1284,"yyyy-mm"))</f>
        <v/>
      </c>
      <c r="H1284" s="22" t="str">
        <f aca="false">IF(A1284="","",N(H1283)+IF(B1284="Masuk",N(D1284),-N(D1284)))</f>
        <v/>
      </c>
    </row>
    <row r="1285" customFormat="false" ht="15" hidden="false" customHeight="false" outlineLevel="0" collapsed="false">
      <c r="A1285" s="20"/>
      <c r="B1285" s="19"/>
      <c r="C1285" s="19"/>
      <c r="D1285" s="21"/>
      <c r="E1285" s="19"/>
      <c r="F1285" s="19"/>
      <c r="G1285" s="23" t="str">
        <f aca="false">IF(A1285="","",TEXT(A1285,"yyyy-mm"))</f>
        <v/>
      </c>
      <c r="H1285" s="22" t="str">
        <f aca="false">IF(A1285="","",N(H1284)+IF(B1285="Masuk",N(D1285),-N(D1285)))</f>
        <v/>
      </c>
    </row>
    <row r="1286" customFormat="false" ht="15" hidden="false" customHeight="false" outlineLevel="0" collapsed="false">
      <c r="A1286" s="20"/>
      <c r="B1286" s="19"/>
      <c r="C1286" s="19"/>
      <c r="D1286" s="21"/>
      <c r="E1286" s="19"/>
      <c r="F1286" s="19"/>
      <c r="G1286" s="23" t="str">
        <f aca="false">IF(A1286="","",TEXT(A1286,"yyyy-mm"))</f>
        <v/>
      </c>
      <c r="H1286" s="22" t="str">
        <f aca="false">IF(A1286="","",N(H1285)+IF(B1286="Masuk",N(D1286),-N(D1286)))</f>
        <v/>
      </c>
    </row>
    <row r="1287" customFormat="false" ht="15" hidden="false" customHeight="false" outlineLevel="0" collapsed="false">
      <c r="A1287" s="20"/>
      <c r="B1287" s="19"/>
      <c r="C1287" s="19"/>
      <c r="D1287" s="21"/>
      <c r="E1287" s="19"/>
      <c r="F1287" s="19"/>
      <c r="G1287" s="23" t="str">
        <f aca="false">IF(A1287="","",TEXT(A1287,"yyyy-mm"))</f>
        <v/>
      </c>
      <c r="H1287" s="22" t="str">
        <f aca="false">IF(A1287="","",N(H1286)+IF(B1287="Masuk",N(D1287),-N(D1287)))</f>
        <v/>
      </c>
    </row>
    <row r="1288" customFormat="false" ht="15" hidden="false" customHeight="false" outlineLevel="0" collapsed="false">
      <c r="A1288" s="20"/>
      <c r="B1288" s="19"/>
      <c r="C1288" s="19"/>
      <c r="D1288" s="21"/>
      <c r="E1288" s="19"/>
      <c r="F1288" s="19"/>
      <c r="G1288" s="23" t="str">
        <f aca="false">IF(A1288="","",TEXT(A1288,"yyyy-mm"))</f>
        <v/>
      </c>
      <c r="H1288" s="22" t="str">
        <f aca="false">IF(A1288="","",N(H1287)+IF(B1288="Masuk",N(D1288),-N(D1288)))</f>
        <v/>
      </c>
    </row>
    <row r="1289" customFormat="false" ht="15" hidden="false" customHeight="false" outlineLevel="0" collapsed="false">
      <c r="A1289" s="20"/>
      <c r="B1289" s="19"/>
      <c r="C1289" s="19"/>
      <c r="D1289" s="21"/>
      <c r="E1289" s="19"/>
      <c r="F1289" s="19"/>
      <c r="G1289" s="23" t="str">
        <f aca="false">IF(A1289="","",TEXT(A1289,"yyyy-mm"))</f>
        <v/>
      </c>
      <c r="H1289" s="22" t="str">
        <f aca="false">IF(A1289="","",N(H1288)+IF(B1289="Masuk",N(D1289),-N(D1289)))</f>
        <v/>
      </c>
    </row>
    <row r="1290" customFormat="false" ht="15" hidden="false" customHeight="false" outlineLevel="0" collapsed="false">
      <c r="A1290" s="20"/>
      <c r="B1290" s="19"/>
      <c r="C1290" s="19"/>
      <c r="D1290" s="21"/>
      <c r="E1290" s="19"/>
      <c r="F1290" s="19"/>
      <c r="G1290" s="23" t="str">
        <f aca="false">IF(A1290="","",TEXT(A1290,"yyyy-mm"))</f>
        <v/>
      </c>
      <c r="H1290" s="22" t="str">
        <f aca="false">IF(A1290="","",N(H1289)+IF(B1290="Masuk",N(D1290),-N(D1290)))</f>
        <v/>
      </c>
    </row>
    <row r="1291" customFormat="false" ht="15" hidden="false" customHeight="false" outlineLevel="0" collapsed="false">
      <c r="A1291" s="20"/>
      <c r="B1291" s="19"/>
      <c r="C1291" s="19"/>
      <c r="D1291" s="21"/>
      <c r="E1291" s="19"/>
      <c r="F1291" s="19"/>
      <c r="G1291" s="23" t="str">
        <f aca="false">IF(A1291="","",TEXT(A1291,"yyyy-mm"))</f>
        <v/>
      </c>
      <c r="H1291" s="22" t="str">
        <f aca="false">IF(A1291="","",N(H1290)+IF(B1291="Masuk",N(D1291),-N(D1291)))</f>
        <v/>
      </c>
    </row>
    <row r="1292" customFormat="false" ht="15" hidden="false" customHeight="false" outlineLevel="0" collapsed="false">
      <c r="A1292" s="20"/>
      <c r="B1292" s="19"/>
      <c r="C1292" s="19"/>
      <c r="D1292" s="21"/>
      <c r="E1292" s="19"/>
      <c r="F1292" s="19"/>
      <c r="G1292" s="23" t="str">
        <f aca="false">IF(A1292="","",TEXT(A1292,"yyyy-mm"))</f>
        <v/>
      </c>
      <c r="H1292" s="22" t="str">
        <f aca="false">IF(A1292="","",N(H1291)+IF(B1292="Masuk",N(D1292),-N(D1292)))</f>
        <v/>
      </c>
    </row>
    <row r="1293" customFormat="false" ht="15" hidden="false" customHeight="false" outlineLevel="0" collapsed="false">
      <c r="A1293" s="20"/>
      <c r="B1293" s="19"/>
      <c r="C1293" s="19"/>
      <c r="D1293" s="21"/>
      <c r="E1293" s="19"/>
      <c r="F1293" s="19"/>
      <c r="G1293" s="23" t="str">
        <f aca="false">IF(A1293="","",TEXT(A1293,"yyyy-mm"))</f>
        <v/>
      </c>
      <c r="H1293" s="22" t="str">
        <f aca="false">IF(A1293="","",N(H1292)+IF(B1293="Masuk",N(D1293),-N(D1293)))</f>
        <v/>
      </c>
    </row>
    <row r="1294" customFormat="false" ht="15" hidden="false" customHeight="false" outlineLevel="0" collapsed="false">
      <c r="A1294" s="20"/>
      <c r="B1294" s="19"/>
      <c r="C1294" s="19"/>
      <c r="D1294" s="21"/>
      <c r="E1294" s="19"/>
      <c r="F1294" s="19"/>
      <c r="G1294" s="23" t="str">
        <f aca="false">IF(A1294="","",TEXT(A1294,"yyyy-mm"))</f>
        <v/>
      </c>
      <c r="H1294" s="22" t="str">
        <f aca="false">IF(A1294="","",N(H1293)+IF(B1294="Masuk",N(D1294),-N(D1294)))</f>
        <v/>
      </c>
    </row>
    <row r="1295" customFormat="false" ht="15" hidden="false" customHeight="false" outlineLevel="0" collapsed="false">
      <c r="A1295" s="20"/>
      <c r="B1295" s="19"/>
      <c r="C1295" s="19"/>
      <c r="D1295" s="21"/>
      <c r="E1295" s="19"/>
      <c r="F1295" s="19"/>
      <c r="G1295" s="23" t="str">
        <f aca="false">IF(A1295="","",TEXT(A1295,"yyyy-mm"))</f>
        <v/>
      </c>
      <c r="H1295" s="22" t="str">
        <f aca="false">IF(A1295="","",N(H1294)+IF(B1295="Masuk",N(D1295),-N(D1295)))</f>
        <v/>
      </c>
    </row>
    <row r="1296" customFormat="false" ht="15" hidden="false" customHeight="false" outlineLevel="0" collapsed="false">
      <c r="A1296" s="20"/>
      <c r="B1296" s="19"/>
      <c r="C1296" s="19"/>
      <c r="D1296" s="21"/>
      <c r="E1296" s="19"/>
      <c r="F1296" s="19"/>
      <c r="G1296" s="23" t="str">
        <f aca="false">IF(A1296="","",TEXT(A1296,"yyyy-mm"))</f>
        <v/>
      </c>
      <c r="H1296" s="22" t="str">
        <f aca="false">IF(A1296="","",N(H1295)+IF(B1296="Masuk",N(D1296),-N(D1296)))</f>
        <v/>
      </c>
    </row>
    <row r="1297" customFormat="false" ht="15" hidden="false" customHeight="false" outlineLevel="0" collapsed="false">
      <c r="A1297" s="20"/>
      <c r="B1297" s="19"/>
      <c r="C1297" s="19"/>
      <c r="D1297" s="21"/>
      <c r="E1297" s="19"/>
      <c r="F1297" s="19"/>
      <c r="G1297" s="23" t="str">
        <f aca="false">IF(A1297="","",TEXT(A1297,"yyyy-mm"))</f>
        <v/>
      </c>
      <c r="H1297" s="22" t="str">
        <f aca="false">IF(A1297="","",N(H1296)+IF(B1297="Masuk",N(D1297),-N(D1297)))</f>
        <v/>
      </c>
    </row>
    <row r="1298" customFormat="false" ht="15" hidden="false" customHeight="false" outlineLevel="0" collapsed="false">
      <c r="A1298" s="20"/>
      <c r="B1298" s="19"/>
      <c r="C1298" s="19"/>
      <c r="D1298" s="21"/>
      <c r="E1298" s="19"/>
      <c r="F1298" s="19"/>
      <c r="G1298" s="23" t="str">
        <f aca="false">IF(A1298="","",TEXT(A1298,"yyyy-mm"))</f>
        <v/>
      </c>
      <c r="H1298" s="22" t="str">
        <f aca="false">IF(A1298="","",N(H1297)+IF(B1298="Masuk",N(D1298),-N(D1298)))</f>
        <v/>
      </c>
    </row>
    <row r="1299" customFormat="false" ht="15" hidden="false" customHeight="false" outlineLevel="0" collapsed="false">
      <c r="A1299" s="20"/>
      <c r="B1299" s="19"/>
      <c r="C1299" s="19"/>
      <c r="D1299" s="21"/>
      <c r="E1299" s="19"/>
      <c r="F1299" s="19"/>
      <c r="G1299" s="23" t="str">
        <f aca="false">IF(A1299="","",TEXT(A1299,"yyyy-mm"))</f>
        <v/>
      </c>
      <c r="H1299" s="22" t="str">
        <f aca="false">IF(A1299="","",N(H1298)+IF(B1299="Masuk",N(D1299),-N(D1299)))</f>
        <v/>
      </c>
    </row>
    <row r="1300" customFormat="false" ht="15" hidden="false" customHeight="false" outlineLevel="0" collapsed="false">
      <c r="A1300" s="20"/>
      <c r="B1300" s="19"/>
      <c r="C1300" s="19"/>
      <c r="D1300" s="21"/>
      <c r="E1300" s="19"/>
      <c r="F1300" s="19"/>
      <c r="G1300" s="23" t="str">
        <f aca="false">IF(A1300="","",TEXT(A1300,"yyyy-mm"))</f>
        <v/>
      </c>
      <c r="H1300" s="22" t="str">
        <f aca="false">IF(A1300="","",N(H1299)+IF(B1300="Masuk",N(D1300),-N(D1300)))</f>
        <v/>
      </c>
    </row>
    <row r="1301" customFormat="false" ht="15" hidden="false" customHeight="false" outlineLevel="0" collapsed="false">
      <c r="A1301" s="20"/>
      <c r="B1301" s="19"/>
      <c r="C1301" s="19"/>
      <c r="D1301" s="21"/>
      <c r="E1301" s="19"/>
      <c r="F1301" s="19"/>
      <c r="G1301" s="23" t="str">
        <f aca="false">IF(A1301="","",TEXT(A1301,"yyyy-mm"))</f>
        <v/>
      </c>
      <c r="H1301" s="22" t="str">
        <f aca="false">IF(A1301="","",N(H1300)+IF(B1301="Masuk",N(D1301),-N(D1301)))</f>
        <v/>
      </c>
    </row>
    <row r="1302" customFormat="false" ht="15" hidden="false" customHeight="false" outlineLevel="0" collapsed="false">
      <c r="A1302" s="20"/>
      <c r="B1302" s="19"/>
      <c r="C1302" s="19"/>
      <c r="D1302" s="21"/>
      <c r="E1302" s="19"/>
      <c r="F1302" s="19"/>
      <c r="G1302" s="23" t="str">
        <f aca="false">IF(A1302="","",TEXT(A1302,"yyyy-mm"))</f>
        <v/>
      </c>
      <c r="H1302" s="22" t="str">
        <f aca="false">IF(A1302="","",N(H1301)+IF(B1302="Masuk",N(D1302),-N(D1302)))</f>
        <v/>
      </c>
    </row>
    <row r="1303" customFormat="false" ht="15" hidden="false" customHeight="false" outlineLevel="0" collapsed="false">
      <c r="A1303" s="20"/>
      <c r="B1303" s="19"/>
      <c r="C1303" s="19"/>
      <c r="D1303" s="21"/>
      <c r="E1303" s="19"/>
      <c r="F1303" s="19"/>
      <c r="G1303" s="23" t="str">
        <f aca="false">IF(A1303="","",TEXT(A1303,"yyyy-mm"))</f>
        <v/>
      </c>
      <c r="H1303" s="22" t="str">
        <f aca="false">IF(A1303="","",N(H1302)+IF(B1303="Masuk",N(D1303),-N(D1303)))</f>
        <v/>
      </c>
    </row>
    <row r="1304" customFormat="false" ht="15" hidden="false" customHeight="false" outlineLevel="0" collapsed="false">
      <c r="A1304" s="20"/>
      <c r="B1304" s="19"/>
      <c r="C1304" s="19"/>
      <c r="D1304" s="21"/>
      <c r="E1304" s="19"/>
      <c r="F1304" s="19"/>
      <c r="G1304" s="23" t="str">
        <f aca="false">IF(A1304="","",TEXT(A1304,"yyyy-mm"))</f>
        <v/>
      </c>
      <c r="H1304" s="22" t="str">
        <f aca="false">IF(A1304="","",N(H1303)+IF(B1304="Masuk",N(D1304),-N(D1304)))</f>
        <v/>
      </c>
    </row>
    <row r="1305" customFormat="false" ht="15" hidden="false" customHeight="false" outlineLevel="0" collapsed="false">
      <c r="A1305" s="20"/>
      <c r="B1305" s="19"/>
      <c r="C1305" s="19"/>
      <c r="D1305" s="21"/>
      <c r="E1305" s="19"/>
      <c r="F1305" s="19"/>
      <c r="G1305" s="23" t="str">
        <f aca="false">IF(A1305="","",TEXT(A1305,"yyyy-mm"))</f>
        <v/>
      </c>
      <c r="H1305" s="22" t="str">
        <f aca="false">IF(A1305="","",N(H1304)+IF(B1305="Masuk",N(D1305),-N(D1305)))</f>
        <v/>
      </c>
    </row>
    <row r="1306" customFormat="false" ht="15" hidden="false" customHeight="false" outlineLevel="0" collapsed="false">
      <c r="A1306" s="20"/>
      <c r="B1306" s="19"/>
      <c r="C1306" s="19"/>
      <c r="D1306" s="21"/>
      <c r="E1306" s="19"/>
      <c r="F1306" s="19"/>
      <c r="G1306" s="23" t="str">
        <f aca="false">IF(A1306="","",TEXT(A1306,"yyyy-mm"))</f>
        <v/>
      </c>
      <c r="H1306" s="22" t="str">
        <f aca="false">IF(A1306="","",N(H1305)+IF(B1306="Masuk",N(D1306),-N(D1306)))</f>
        <v/>
      </c>
    </row>
    <row r="1307" customFormat="false" ht="15" hidden="false" customHeight="false" outlineLevel="0" collapsed="false">
      <c r="A1307" s="20"/>
      <c r="B1307" s="19"/>
      <c r="C1307" s="19"/>
      <c r="D1307" s="21"/>
      <c r="E1307" s="19"/>
      <c r="F1307" s="19"/>
      <c r="G1307" s="23" t="str">
        <f aca="false">IF(A1307="","",TEXT(A1307,"yyyy-mm"))</f>
        <v/>
      </c>
      <c r="H1307" s="22" t="str">
        <f aca="false">IF(A1307="","",N(H1306)+IF(B1307="Masuk",N(D1307),-N(D1307)))</f>
        <v/>
      </c>
    </row>
    <row r="1308" customFormat="false" ht="15" hidden="false" customHeight="false" outlineLevel="0" collapsed="false">
      <c r="A1308" s="20"/>
      <c r="B1308" s="19"/>
      <c r="C1308" s="19"/>
      <c r="D1308" s="21"/>
      <c r="E1308" s="19"/>
      <c r="F1308" s="19"/>
      <c r="G1308" s="23" t="str">
        <f aca="false">IF(A1308="","",TEXT(A1308,"yyyy-mm"))</f>
        <v/>
      </c>
      <c r="H1308" s="22" t="str">
        <f aca="false">IF(A1308="","",N(H1307)+IF(B1308="Masuk",N(D1308),-N(D1308)))</f>
        <v/>
      </c>
    </row>
    <row r="1309" customFormat="false" ht="15" hidden="false" customHeight="false" outlineLevel="0" collapsed="false">
      <c r="A1309" s="20"/>
      <c r="B1309" s="19"/>
      <c r="C1309" s="19"/>
      <c r="D1309" s="21"/>
      <c r="E1309" s="19"/>
      <c r="F1309" s="19"/>
      <c r="G1309" s="23" t="str">
        <f aca="false">IF(A1309="","",TEXT(A1309,"yyyy-mm"))</f>
        <v/>
      </c>
      <c r="H1309" s="22" t="str">
        <f aca="false">IF(A1309="","",N(H1308)+IF(B1309="Masuk",N(D1309),-N(D1309)))</f>
        <v/>
      </c>
    </row>
    <row r="1310" customFormat="false" ht="15" hidden="false" customHeight="false" outlineLevel="0" collapsed="false">
      <c r="A1310" s="20"/>
      <c r="B1310" s="19"/>
      <c r="C1310" s="19"/>
      <c r="D1310" s="21"/>
      <c r="E1310" s="19"/>
      <c r="F1310" s="19"/>
      <c r="G1310" s="23" t="str">
        <f aca="false">IF(A1310="","",TEXT(A1310,"yyyy-mm"))</f>
        <v/>
      </c>
      <c r="H1310" s="22" t="str">
        <f aca="false">IF(A1310="","",N(H1309)+IF(B1310="Masuk",N(D1310),-N(D1310)))</f>
        <v/>
      </c>
    </row>
    <row r="1311" customFormat="false" ht="15" hidden="false" customHeight="false" outlineLevel="0" collapsed="false">
      <c r="A1311" s="20"/>
      <c r="B1311" s="19"/>
      <c r="C1311" s="19"/>
      <c r="D1311" s="21"/>
      <c r="E1311" s="19"/>
      <c r="F1311" s="19"/>
      <c r="G1311" s="23" t="str">
        <f aca="false">IF(A1311="","",TEXT(A1311,"yyyy-mm"))</f>
        <v/>
      </c>
      <c r="H1311" s="22" t="str">
        <f aca="false">IF(A1311="","",N(H1310)+IF(B1311="Masuk",N(D1311),-N(D1311)))</f>
        <v/>
      </c>
    </row>
    <row r="1312" customFormat="false" ht="15" hidden="false" customHeight="false" outlineLevel="0" collapsed="false">
      <c r="A1312" s="20"/>
      <c r="B1312" s="19"/>
      <c r="C1312" s="19"/>
      <c r="D1312" s="21"/>
      <c r="E1312" s="19"/>
      <c r="F1312" s="19"/>
      <c r="G1312" s="23" t="str">
        <f aca="false">IF(A1312="","",TEXT(A1312,"yyyy-mm"))</f>
        <v/>
      </c>
      <c r="H1312" s="22" t="str">
        <f aca="false">IF(A1312="","",N(H1311)+IF(B1312="Masuk",N(D1312),-N(D1312)))</f>
        <v/>
      </c>
    </row>
    <row r="1313" customFormat="false" ht="15" hidden="false" customHeight="false" outlineLevel="0" collapsed="false">
      <c r="A1313" s="20"/>
      <c r="B1313" s="19"/>
      <c r="C1313" s="19"/>
      <c r="D1313" s="21"/>
      <c r="E1313" s="19"/>
      <c r="F1313" s="19"/>
      <c r="G1313" s="23" t="str">
        <f aca="false">IF(A1313="","",TEXT(A1313,"yyyy-mm"))</f>
        <v/>
      </c>
      <c r="H1313" s="22" t="str">
        <f aca="false">IF(A1313="","",N(H1312)+IF(B1313="Masuk",N(D1313),-N(D1313)))</f>
        <v/>
      </c>
    </row>
    <row r="1314" customFormat="false" ht="15" hidden="false" customHeight="false" outlineLevel="0" collapsed="false">
      <c r="A1314" s="20"/>
      <c r="B1314" s="19"/>
      <c r="C1314" s="19"/>
      <c r="D1314" s="21"/>
      <c r="E1314" s="19"/>
      <c r="F1314" s="19"/>
      <c r="G1314" s="23" t="str">
        <f aca="false">IF(A1314="","",TEXT(A1314,"yyyy-mm"))</f>
        <v/>
      </c>
      <c r="H1314" s="22" t="str">
        <f aca="false">IF(A1314="","",N(H1313)+IF(B1314="Masuk",N(D1314),-N(D1314)))</f>
        <v/>
      </c>
    </row>
    <row r="1315" customFormat="false" ht="15" hidden="false" customHeight="false" outlineLevel="0" collapsed="false">
      <c r="A1315" s="20"/>
      <c r="B1315" s="19"/>
      <c r="C1315" s="19"/>
      <c r="D1315" s="21"/>
      <c r="E1315" s="19"/>
      <c r="F1315" s="19"/>
      <c r="G1315" s="23" t="str">
        <f aca="false">IF(A1315="","",TEXT(A1315,"yyyy-mm"))</f>
        <v/>
      </c>
      <c r="H1315" s="22" t="str">
        <f aca="false">IF(A1315="","",N(H1314)+IF(B1315="Masuk",N(D1315),-N(D1315)))</f>
        <v/>
      </c>
    </row>
    <row r="1316" customFormat="false" ht="15" hidden="false" customHeight="false" outlineLevel="0" collapsed="false">
      <c r="A1316" s="20"/>
      <c r="B1316" s="19"/>
      <c r="C1316" s="19"/>
      <c r="D1316" s="21"/>
      <c r="E1316" s="19"/>
      <c r="F1316" s="19"/>
      <c r="G1316" s="23" t="str">
        <f aca="false">IF(A1316="","",TEXT(A1316,"yyyy-mm"))</f>
        <v/>
      </c>
      <c r="H1316" s="22" t="str">
        <f aca="false">IF(A1316="","",N(H1315)+IF(B1316="Masuk",N(D1316),-N(D1316)))</f>
        <v/>
      </c>
    </row>
    <row r="1317" customFormat="false" ht="15" hidden="false" customHeight="false" outlineLevel="0" collapsed="false">
      <c r="A1317" s="20"/>
      <c r="B1317" s="19"/>
      <c r="C1317" s="19"/>
      <c r="D1317" s="21"/>
      <c r="E1317" s="19"/>
      <c r="F1317" s="19"/>
      <c r="G1317" s="23" t="str">
        <f aca="false">IF(A1317="","",TEXT(A1317,"yyyy-mm"))</f>
        <v/>
      </c>
      <c r="H1317" s="22" t="str">
        <f aca="false">IF(A1317="","",N(H1316)+IF(B1317="Masuk",N(D1317),-N(D1317)))</f>
        <v/>
      </c>
    </row>
    <row r="1318" customFormat="false" ht="15" hidden="false" customHeight="false" outlineLevel="0" collapsed="false">
      <c r="A1318" s="20"/>
      <c r="B1318" s="19"/>
      <c r="C1318" s="19"/>
      <c r="D1318" s="21"/>
      <c r="E1318" s="19"/>
      <c r="F1318" s="19"/>
      <c r="G1318" s="23" t="str">
        <f aca="false">IF(A1318="","",TEXT(A1318,"yyyy-mm"))</f>
        <v/>
      </c>
      <c r="H1318" s="22" t="str">
        <f aca="false">IF(A1318="","",N(H1317)+IF(B1318="Masuk",N(D1318),-N(D1318)))</f>
        <v/>
      </c>
    </row>
    <row r="1319" customFormat="false" ht="15" hidden="false" customHeight="false" outlineLevel="0" collapsed="false">
      <c r="A1319" s="20"/>
      <c r="B1319" s="19"/>
      <c r="C1319" s="19"/>
      <c r="D1319" s="21"/>
      <c r="E1319" s="19"/>
      <c r="F1319" s="19"/>
      <c r="G1319" s="23" t="str">
        <f aca="false">IF(A1319="","",TEXT(A1319,"yyyy-mm"))</f>
        <v/>
      </c>
      <c r="H1319" s="22" t="str">
        <f aca="false">IF(A1319="","",N(H1318)+IF(B1319="Masuk",N(D1319),-N(D1319)))</f>
        <v/>
      </c>
    </row>
    <row r="1320" customFormat="false" ht="15" hidden="false" customHeight="false" outlineLevel="0" collapsed="false">
      <c r="A1320" s="20"/>
      <c r="B1320" s="19"/>
      <c r="C1320" s="19"/>
      <c r="D1320" s="21"/>
      <c r="E1320" s="19"/>
      <c r="F1320" s="19"/>
      <c r="G1320" s="23" t="str">
        <f aca="false">IF(A1320="","",TEXT(A1320,"yyyy-mm"))</f>
        <v/>
      </c>
      <c r="H1320" s="22" t="str">
        <f aca="false">IF(A1320="","",N(H1319)+IF(B1320="Masuk",N(D1320),-N(D1320)))</f>
        <v/>
      </c>
    </row>
    <row r="1321" customFormat="false" ht="15" hidden="false" customHeight="false" outlineLevel="0" collapsed="false">
      <c r="A1321" s="20"/>
      <c r="B1321" s="19"/>
      <c r="C1321" s="19"/>
      <c r="D1321" s="21"/>
      <c r="E1321" s="19"/>
      <c r="F1321" s="19"/>
      <c r="G1321" s="23" t="str">
        <f aca="false">IF(A1321="","",TEXT(A1321,"yyyy-mm"))</f>
        <v/>
      </c>
      <c r="H1321" s="22" t="str">
        <f aca="false">IF(A1321="","",N(H1320)+IF(B1321="Masuk",N(D1321),-N(D1321)))</f>
        <v/>
      </c>
    </row>
    <row r="1322" customFormat="false" ht="15" hidden="false" customHeight="false" outlineLevel="0" collapsed="false">
      <c r="A1322" s="20"/>
      <c r="B1322" s="19"/>
      <c r="C1322" s="19"/>
      <c r="D1322" s="21"/>
      <c r="E1322" s="19"/>
      <c r="F1322" s="19"/>
      <c r="G1322" s="23" t="str">
        <f aca="false">IF(A1322="","",TEXT(A1322,"yyyy-mm"))</f>
        <v/>
      </c>
      <c r="H1322" s="22" t="str">
        <f aca="false">IF(A1322="","",N(H1321)+IF(B1322="Masuk",N(D1322),-N(D1322)))</f>
        <v/>
      </c>
    </row>
    <row r="1323" customFormat="false" ht="15" hidden="false" customHeight="false" outlineLevel="0" collapsed="false">
      <c r="A1323" s="20"/>
      <c r="B1323" s="19"/>
      <c r="C1323" s="19"/>
      <c r="D1323" s="21"/>
      <c r="E1323" s="19"/>
      <c r="F1323" s="19"/>
      <c r="G1323" s="23" t="str">
        <f aca="false">IF(A1323="","",TEXT(A1323,"yyyy-mm"))</f>
        <v/>
      </c>
      <c r="H1323" s="22" t="str">
        <f aca="false">IF(A1323="","",N(H1322)+IF(B1323="Masuk",N(D1323),-N(D1323)))</f>
        <v/>
      </c>
    </row>
    <row r="1324" customFormat="false" ht="15" hidden="false" customHeight="false" outlineLevel="0" collapsed="false">
      <c r="A1324" s="20"/>
      <c r="B1324" s="19"/>
      <c r="C1324" s="19"/>
      <c r="D1324" s="21"/>
      <c r="E1324" s="19"/>
      <c r="F1324" s="19"/>
      <c r="G1324" s="23" t="str">
        <f aca="false">IF(A1324="","",TEXT(A1324,"yyyy-mm"))</f>
        <v/>
      </c>
      <c r="H1324" s="22" t="str">
        <f aca="false">IF(A1324="","",N(H1323)+IF(B1324="Masuk",N(D1324),-N(D1324)))</f>
        <v/>
      </c>
    </row>
    <row r="1325" customFormat="false" ht="15" hidden="false" customHeight="false" outlineLevel="0" collapsed="false">
      <c r="A1325" s="20"/>
      <c r="B1325" s="19"/>
      <c r="C1325" s="19"/>
      <c r="D1325" s="21"/>
      <c r="E1325" s="19"/>
      <c r="F1325" s="19"/>
      <c r="G1325" s="23" t="str">
        <f aca="false">IF(A1325="","",TEXT(A1325,"yyyy-mm"))</f>
        <v/>
      </c>
      <c r="H1325" s="22" t="str">
        <f aca="false">IF(A1325="","",N(H1324)+IF(B1325="Masuk",N(D1325),-N(D1325)))</f>
        <v/>
      </c>
    </row>
    <row r="1326" customFormat="false" ht="15" hidden="false" customHeight="false" outlineLevel="0" collapsed="false">
      <c r="A1326" s="20"/>
      <c r="B1326" s="19"/>
      <c r="C1326" s="19"/>
      <c r="D1326" s="21"/>
      <c r="E1326" s="19"/>
      <c r="F1326" s="19"/>
      <c r="G1326" s="23" t="str">
        <f aca="false">IF(A1326="","",TEXT(A1326,"yyyy-mm"))</f>
        <v/>
      </c>
      <c r="H1326" s="22" t="str">
        <f aca="false">IF(A1326="","",N(H1325)+IF(B1326="Masuk",N(D1326),-N(D1326)))</f>
        <v/>
      </c>
    </row>
    <row r="1327" customFormat="false" ht="15" hidden="false" customHeight="false" outlineLevel="0" collapsed="false">
      <c r="A1327" s="20"/>
      <c r="B1327" s="19"/>
      <c r="C1327" s="19"/>
      <c r="D1327" s="21"/>
      <c r="E1327" s="19"/>
      <c r="F1327" s="19"/>
      <c r="G1327" s="23" t="str">
        <f aca="false">IF(A1327="","",TEXT(A1327,"yyyy-mm"))</f>
        <v/>
      </c>
      <c r="H1327" s="22" t="str">
        <f aca="false">IF(A1327="","",N(H1326)+IF(B1327="Masuk",N(D1327),-N(D1327)))</f>
        <v/>
      </c>
    </row>
    <row r="1328" customFormat="false" ht="15" hidden="false" customHeight="false" outlineLevel="0" collapsed="false">
      <c r="A1328" s="20"/>
      <c r="B1328" s="19"/>
      <c r="C1328" s="19"/>
      <c r="D1328" s="21"/>
      <c r="E1328" s="19"/>
      <c r="F1328" s="19"/>
      <c r="G1328" s="23" t="str">
        <f aca="false">IF(A1328="","",TEXT(A1328,"yyyy-mm"))</f>
        <v/>
      </c>
      <c r="H1328" s="22" t="str">
        <f aca="false">IF(A1328="","",N(H1327)+IF(B1328="Masuk",N(D1328),-N(D1328)))</f>
        <v/>
      </c>
    </row>
    <row r="1329" customFormat="false" ht="15" hidden="false" customHeight="false" outlineLevel="0" collapsed="false">
      <c r="A1329" s="20"/>
      <c r="B1329" s="19"/>
      <c r="C1329" s="19"/>
      <c r="D1329" s="21"/>
      <c r="E1329" s="19"/>
      <c r="F1329" s="19"/>
      <c r="G1329" s="23" t="str">
        <f aca="false">IF(A1329="","",TEXT(A1329,"yyyy-mm"))</f>
        <v/>
      </c>
      <c r="H1329" s="22" t="str">
        <f aca="false">IF(A1329="","",N(H1328)+IF(B1329="Masuk",N(D1329),-N(D1329)))</f>
        <v/>
      </c>
    </row>
    <row r="1330" customFormat="false" ht="15" hidden="false" customHeight="false" outlineLevel="0" collapsed="false">
      <c r="A1330" s="20"/>
      <c r="B1330" s="19"/>
      <c r="C1330" s="19"/>
      <c r="D1330" s="21"/>
      <c r="E1330" s="19"/>
      <c r="F1330" s="19"/>
      <c r="G1330" s="23" t="str">
        <f aca="false">IF(A1330="","",TEXT(A1330,"yyyy-mm"))</f>
        <v/>
      </c>
      <c r="H1330" s="22" t="str">
        <f aca="false">IF(A1330="","",N(H1329)+IF(B1330="Masuk",N(D1330),-N(D1330)))</f>
        <v/>
      </c>
    </row>
    <row r="1331" customFormat="false" ht="15" hidden="false" customHeight="false" outlineLevel="0" collapsed="false">
      <c r="A1331" s="20"/>
      <c r="B1331" s="19"/>
      <c r="C1331" s="19"/>
      <c r="D1331" s="21"/>
      <c r="E1331" s="19"/>
      <c r="F1331" s="19"/>
      <c r="G1331" s="23" t="str">
        <f aca="false">IF(A1331="","",TEXT(A1331,"yyyy-mm"))</f>
        <v/>
      </c>
      <c r="H1331" s="22" t="str">
        <f aca="false">IF(A1331="","",N(H1330)+IF(B1331="Masuk",N(D1331),-N(D1331)))</f>
        <v/>
      </c>
    </row>
    <row r="1332" customFormat="false" ht="15" hidden="false" customHeight="false" outlineLevel="0" collapsed="false">
      <c r="A1332" s="20"/>
      <c r="B1332" s="19"/>
      <c r="C1332" s="19"/>
      <c r="D1332" s="21"/>
      <c r="E1332" s="19"/>
      <c r="F1332" s="19"/>
      <c r="G1332" s="23" t="str">
        <f aca="false">IF(A1332="","",TEXT(A1332,"yyyy-mm"))</f>
        <v/>
      </c>
      <c r="H1332" s="22" t="str">
        <f aca="false">IF(A1332="","",N(H1331)+IF(B1332="Masuk",N(D1332),-N(D1332)))</f>
        <v/>
      </c>
    </row>
    <row r="1333" customFormat="false" ht="15" hidden="false" customHeight="false" outlineLevel="0" collapsed="false">
      <c r="A1333" s="20"/>
      <c r="B1333" s="19"/>
      <c r="C1333" s="19"/>
      <c r="D1333" s="21"/>
      <c r="E1333" s="19"/>
      <c r="F1333" s="19"/>
      <c r="G1333" s="23" t="str">
        <f aca="false">IF(A1333="","",TEXT(A1333,"yyyy-mm"))</f>
        <v/>
      </c>
      <c r="H1333" s="22" t="str">
        <f aca="false">IF(A1333="","",N(H1332)+IF(B1333="Masuk",N(D1333),-N(D1333)))</f>
        <v/>
      </c>
    </row>
    <row r="1334" customFormat="false" ht="15" hidden="false" customHeight="false" outlineLevel="0" collapsed="false">
      <c r="A1334" s="20"/>
      <c r="B1334" s="19"/>
      <c r="C1334" s="19"/>
      <c r="D1334" s="21"/>
      <c r="E1334" s="19"/>
      <c r="F1334" s="19"/>
      <c r="G1334" s="23" t="str">
        <f aca="false">IF(A1334="","",TEXT(A1334,"yyyy-mm"))</f>
        <v/>
      </c>
      <c r="H1334" s="22" t="str">
        <f aca="false">IF(A1334="","",N(H1333)+IF(B1334="Masuk",N(D1334),-N(D1334)))</f>
        <v/>
      </c>
    </row>
    <row r="1335" customFormat="false" ht="15" hidden="false" customHeight="false" outlineLevel="0" collapsed="false">
      <c r="A1335" s="20"/>
      <c r="B1335" s="19"/>
      <c r="C1335" s="19"/>
      <c r="D1335" s="21"/>
      <c r="E1335" s="19"/>
      <c r="F1335" s="19"/>
      <c r="G1335" s="23" t="str">
        <f aca="false">IF(A1335="","",TEXT(A1335,"yyyy-mm"))</f>
        <v/>
      </c>
      <c r="H1335" s="22" t="str">
        <f aca="false">IF(A1335="","",N(H1334)+IF(B1335="Masuk",N(D1335),-N(D1335)))</f>
        <v/>
      </c>
    </row>
    <row r="1336" customFormat="false" ht="15" hidden="false" customHeight="false" outlineLevel="0" collapsed="false">
      <c r="A1336" s="20"/>
      <c r="B1336" s="19"/>
      <c r="C1336" s="19"/>
      <c r="D1336" s="21"/>
      <c r="E1336" s="19"/>
      <c r="F1336" s="19"/>
      <c r="G1336" s="23" t="str">
        <f aca="false">IF(A1336="","",TEXT(A1336,"yyyy-mm"))</f>
        <v/>
      </c>
      <c r="H1336" s="22" t="str">
        <f aca="false">IF(A1336="","",N(H1335)+IF(B1336="Masuk",N(D1336),-N(D1336)))</f>
        <v/>
      </c>
    </row>
    <row r="1337" customFormat="false" ht="15" hidden="false" customHeight="false" outlineLevel="0" collapsed="false">
      <c r="A1337" s="20"/>
      <c r="B1337" s="19"/>
      <c r="C1337" s="19"/>
      <c r="D1337" s="21"/>
      <c r="E1337" s="19"/>
      <c r="F1337" s="19"/>
      <c r="G1337" s="23" t="str">
        <f aca="false">IF(A1337="","",TEXT(A1337,"yyyy-mm"))</f>
        <v/>
      </c>
      <c r="H1337" s="22" t="str">
        <f aca="false">IF(A1337="","",N(H1336)+IF(B1337="Masuk",N(D1337),-N(D1337)))</f>
        <v/>
      </c>
    </row>
    <row r="1338" customFormat="false" ht="15" hidden="false" customHeight="false" outlineLevel="0" collapsed="false">
      <c r="A1338" s="20"/>
      <c r="B1338" s="19"/>
      <c r="C1338" s="19"/>
      <c r="D1338" s="21"/>
      <c r="E1338" s="19"/>
      <c r="F1338" s="19"/>
      <c r="G1338" s="23" t="str">
        <f aca="false">IF(A1338="","",TEXT(A1338,"yyyy-mm"))</f>
        <v/>
      </c>
      <c r="H1338" s="22" t="str">
        <f aca="false">IF(A1338="","",N(H1337)+IF(B1338="Masuk",N(D1338),-N(D1338)))</f>
        <v/>
      </c>
    </row>
    <row r="1339" customFormat="false" ht="15" hidden="false" customHeight="false" outlineLevel="0" collapsed="false">
      <c r="A1339" s="20"/>
      <c r="B1339" s="19"/>
      <c r="C1339" s="19"/>
      <c r="D1339" s="21"/>
      <c r="E1339" s="19"/>
      <c r="F1339" s="19"/>
      <c r="G1339" s="23" t="str">
        <f aca="false">IF(A1339="","",TEXT(A1339,"yyyy-mm"))</f>
        <v/>
      </c>
      <c r="H1339" s="22" t="str">
        <f aca="false">IF(A1339="","",N(H1338)+IF(B1339="Masuk",N(D1339),-N(D1339)))</f>
        <v/>
      </c>
    </row>
    <row r="1340" customFormat="false" ht="15" hidden="false" customHeight="false" outlineLevel="0" collapsed="false">
      <c r="A1340" s="20"/>
      <c r="B1340" s="19"/>
      <c r="C1340" s="19"/>
      <c r="D1340" s="21"/>
      <c r="E1340" s="19"/>
      <c r="F1340" s="19"/>
      <c r="G1340" s="23" t="str">
        <f aca="false">IF(A1340="","",TEXT(A1340,"yyyy-mm"))</f>
        <v/>
      </c>
      <c r="H1340" s="22" t="str">
        <f aca="false">IF(A1340="","",N(H1339)+IF(B1340="Masuk",N(D1340),-N(D1340)))</f>
        <v/>
      </c>
    </row>
    <row r="1341" customFormat="false" ht="15" hidden="false" customHeight="false" outlineLevel="0" collapsed="false">
      <c r="A1341" s="20"/>
      <c r="B1341" s="19"/>
      <c r="C1341" s="19"/>
      <c r="D1341" s="21"/>
      <c r="E1341" s="19"/>
      <c r="F1341" s="19"/>
      <c r="G1341" s="23" t="str">
        <f aca="false">IF(A1341="","",TEXT(A1341,"yyyy-mm"))</f>
        <v/>
      </c>
      <c r="H1341" s="22" t="str">
        <f aca="false">IF(A1341="","",N(H1340)+IF(B1341="Masuk",N(D1341),-N(D1341)))</f>
        <v/>
      </c>
    </row>
    <row r="1342" customFormat="false" ht="15" hidden="false" customHeight="false" outlineLevel="0" collapsed="false">
      <c r="A1342" s="20"/>
      <c r="B1342" s="19"/>
      <c r="C1342" s="19"/>
      <c r="D1342" s="21"/>
      <c r="E1342" s="19"/>
      <c r="F1342" s="19"/>
      <c r="G1342" s="23" t="str">
        <f aca="false">IF(A1342="","",TEXT(A1342,"yyyy-mm"))</f>
        <v/>
      </c>
      <c r="H1342" s="22" t="str">
        <f aca="false">IF(A1342="","",N(H1341)+IF(B1342="Masuk",N(D1342),-N(D1342)))</f>
        <v/>
      </c>
    </row>
    <row r="1343" customFormat="false" ht="15" hidden="false" customHeight="false" outlineLevel="0" collapsed="false">
      <c r="A1343" s="20"/>
      <c r="B1343" s="19"/>
      <c r="C1343" s="19"/>
      <c r="D1343" s="21"/>
      <c r="E1343" s="19"/>
      <c r="F1343" s="19"/>
      <c r="G1343" s="23" t="str">
        <f aca="false">IF(A1343="","",TEXT(A1343,"yyyy-mm"))</f>
        <v/>
      </c>
      <c r="H1343" s="22" t="str">
        <f aca="false">IF(A1343="","",N(H1342)+IF(B1343="Masuk",N(D1343),-N(D1343)))</f>
        <v/>
      </c>
    </row>
    <row r="1344" customFormat="false" ht="15" hidden="false" customHeight="false" outlineLevel="0" collapsed="false">
      <c r="A1344" s="20"/>
      <c r="B1344" s="19"/>
      <c r="C1344" s="19"/>
      <c r="D1344" s="21"/>
      <c r="E1344" s="19"/>
      <c r="F1344" s="19"/>
      <c r="G1344" s="23" t="str">
        <f aca="false">IF(A1344="","",TEXT(A1344,"yyyy-mm"))</f>
        <v/>
      </c>
      <c r="H1344" s="22" t="str">
        <f aca="false">IF(A1344="","",N(H1343)+IF(B1344="Masuk",N(D1344),-N(D1344)))</f>
        <v/>
      </c>
    </row>
    <row r="1345" customFormat="false" ht="15" hidden="false" customHeight="false" outlineLevel="0" collapsed="false">
      <c r="A1345" s="20"/>
      <c r="B1345" s="19"/>
      <c r="C1345" s="19"/>
      <c r="D1345" s="21"/>
      <c r="E1345" s="19"/>
      <c r="F1345" s="19"/>
      <c r="G1345" s="23" t="str">
        <f aca="false">IF(A1345="","",TEXT(A1345,"yyyy-mm"))</f>
        <v/>
      </c>
      <c r="H1345" s="22" t="str">
        <f aca="false">IF(A1345="","",N(H1344)+IF(B1345="Masuk",N(D1345),-N(D1345)))</f>
        <v/>
      </c>
    </row>
    <row r="1346" customFormat="false" ht="15" hidden="false" customHeight="false" outlineLevel="0" collapsed="false">
      <c r="A1346" s="20"/>
      <c r="B1346" s="19"/>
      <c r="C1346" s="19"/>
      <c r="D1346" s="21"/>
      <c r="E1346" s="19"/>
      <c r="F1346" s="19"/>
      <c r="G1346" s="23" t="str">
        <f aca="false">IF(A1346="","",TEXT(A1346,"yyyy-mm"))</f>
        <v/>
      </c>
      <c r="H1346" s="22" t="str">
        <f aca="false">IF(A1346="","",N(H1345)+IF(B1346="Masuk",N(D1346),-N(D1346)))</f>
        <v/>
      </c>
    </row>
    <row r="1347" customFormat="false" ht="15" hidden="false" customHeight="false" outlineLevel="0" collapsed="false">
      <c r="A1347" s="20"/>
      <c r="B1347" s="19"/>
      <c r="C1347" s="19"/>
      <c r="D1347" s="21"/>
      <c r="E1347" s="19"/>
      <c r="F1347" s="19"/>
      <c r="G1347" s="23" t="str">
        <f aca="false">IF(A1347="","",TEXT(A1347,"yyyy-mm"))</f>
        <v/>
      </c>
      <c r="H1347" s="22" t="str">
        <f aca="false">IF(A1347="","",N(H1346)+IF(B1347="Masuk",N(D1347),-N(D1347)))</f>
        <v/>
      </c>
    </row>
    <row r="1348" customFormat="false" ht="15" hidden="false" customHeight="false" outlineLevel="0" collapsed="false">
      <c r="A1348" s="20"/>
      <c r="B1348" s="19"/>
      <c r="C1348" s="19"/>
      <c r="D1348" s="21"/>
      <c r="E1348" s="19"/>
      <c r="F1348" s="19"/>
      <c r="G1348" s="23" t="str">
        <f aca="false">IF(A1348="","",TEXT(A1348,"yyyy-mm"))</f>
        <v/>
      </c>
      <c r="H1348" s="22" t="str">
        <f aca="false">IF(A1348="","",N(H1347)+IF(B1348="Masuk",N(D1348),-N(D1348)))</f>
        <v/>
      </c>
    </row>
    <row r="1349" customFormat="false" ht="15" hidden="false" customHeight="false" outlineLevel="0" collapsed="false">
      <c r="A1349" s="20"/>
      <c r="B1349" s="19"/>
      <c r="C1349" s="19"/>
      <c r="D1349" s="21"/>
      <c r="E1349" s="19"/>
      <c r="F1349" s="19"/>
      <c r="G1349" s="23" t="str">
        <f aca="false">IF(A1349="","",TEXT(A1349,"yyyy-mm"))</f>
        <v/>
      </c>
      <c r="H1349" s="22" t="str">
        <f aca="false">IF(A1349="","",N(H1348)+IF(B1349="Masuk",N(D1349),-N(D1349)))</f>
        <v/>
      </c>
    </row>
    <row r="1350" customFormat="false" ht="15" hidden="false" customHeight="false" outlineLevel="0" collapsed="false">
      <c r="A1350" s="20"/>
      <c r="B1350" s="19"/>
      <c r="C1350" s="19"/>
      <c r="D1350" s="21"/>
      <c r="E1350" s="19"/>
      <c r="F1350" s="19"/>
      <c r="G1350" s="23" t="str">
        <f aca="false">IF(A1350="","",TEXT(A1350,"yyyy-mm"))</f>
        <v/>
      </c>
      <c r="H1350" s="22" t="str">
        <f aca="false">IF(A1350="","",N(H1349)+IF(B1350="Masuk",N(D1350),-N(D1350)))</f>
        <v/>
      </c>
    </row>
    <row r="1351" customFormat="false" ht="15" hidden="false" customHeight="false" outlineLevel="0" collapsed="false">
      <c r="A1351" s="20"/>
      <c r="B1351" s="19"/>
      <c r="C1351" s="19"/>
      <c r="D1351" s="21"/>
      <c r="E1351" s="19"/>
      <c r="F1351" s="19"/>
      <c r="G1351" s="23" t="str">
        <f aca="false">IF(A1351="","",TEXT(A1351,"yyyy-mm"))</f>
        <v/>
      </c>
      <c r="H1351" s="22" t="str">
        <f aca="false">IF(A1351="","",N(H1350)+IF(B1351="Masuk",N(D1351),-N(D1351)))</f>
        <v/>
      </c>
    </row>
    <row r="1352" customFormat="false" ht="15" hidden="false" customHeight="false" outlineLevel="0" collapsed="false">
      <c r="A1352" s="20"/>
      <c r="B1352" s="19"/>
      <c r="C1352" s="19"/>
      <c r="D1352" s="21"/>
      <c r="E1352" s="19"/>
      <c r="F1352" s="19"/>
      <c r="G1352" s="23" t="str">
        <f aca="false">IF(A1352="","",TEXT(A1352,"yyyy-mm"))</f>
        <v/>
      </c>
      <c r="H1352" s="22" t="str">
        <f aca="false">IF(A1352="","",N(H1351)+IF(B1352="Masuk",N(D1352),-N(D1352)))</f>
        <v/>
      </c>
    </row>
    <row r="1353" customFormat="false" ht="15" hidden="false" customHeight="false" outlineLevel="0" collapsed="false">
      <c r="A1353" s="20"/>
      <c r="B1353" s="19"/>
      <c r="C1353" s="19"/>
      <c r="D1353" s="21"/>
      <c r="E1353" s="19"/>
      <c r="F1353" s="19"/>
      <c r="G1353" s="23" t="str">
        <f aca="false">IF(A1353="","",TEXT(A1353,"yyyy-mm"))</f>
        <v/>
      </c>
      <c r="H1353" s="22" t="str">
        <f aca="false">IF(A1353="","",N(H1352)+IF(B1353="Masuk",N(D1353),-N(D1353)))</f>
        <v/>
      </c>
    </row>
    <row r="1354" customFormat="false" ht="15" hidden="false" customHeight="false" outlineLevel="0" collapsed="false">
      <c r="A1354" s="20"/>
      <c r="B1354" s="19"/>
      <c r="C1354" s="19"/>
      <c r="D1354" s="21"/>
      <c r="E1354" s="19"/>
      <c r="F1354" s="19"/>
      <c r="G1354" s="23" t="str">
        <f aca="false">IF(A1354="","",TEXT(A1354,"yyyy-mm"))</f>
        <v/>
      </c>
      <c r="H1354" s="22" t="str">
        <f aca="false">IF(A1354="","",N(H1353)+IF(B1354="Masuk",N(D1354),-N(D1354)))</f>
        <v/>
      </c>
    </row>
    <row r="1355" customFormat="false" ht="15" hidden="false" customHeight="false" outlineLevel="0" collapsed="false">
      <c r="A1355" s="20"/>
      <c r="B1355" s="19"/>
      <c r="C1355" s="19"/>
      <c r="D1355" s="21"/>
      <c r="E1355" s="19"/>
      <c r="F1355" s="19"/>
      <c r="G1355" s="23" t="str">
        <f aca="false">IF(A1355="","",TEXT(A1355,"yyyy-mm"))</f>
        <v/>
      </c>
      <c r="H1355" s="22" t="str">
        <f aca="false">IF(A1355="","",N(H1354)+IF(B1355="Masuk",N(D1355),-N(D1355)))</f>
        <v/>
      </c>
    </row>
    <row r="1356" customFormat="false" ht="15" hidden="false" customHeight="false" outlineLevel="0" collapsed="false">
      <c r="A1356" s="20"/>
      <c r="B1356" s="19"/>
      <c r="C1356" s="19"/>
      <c r="D1356" s="21"/>
      <c r="E1356" s="19"/>
      <c r="F1356" s="19"/>
      <c r="G1356" s="23" t="str">
        <f aca="false">IF(A1356="","",TEXT(A1356,"yyyy-mm"))</f>
        <v/>
      </c>
      <c r="H1356" s="22" t="str">
        <f aca="false">IF(A1356="","",N(H1355)+IF(B1356="Masuk",N(D1356),-N(D1356)))</f>
        <v/>
      </c>
    </row>
    <row r="1357" customFormat="false" ht="15" hidden="false" customHeight="false" outlineLevel="0" collapsed="false">
      <c r="A1357" s="20"/>
      <c r="B1357" s="19"/>
      <c r="C1357" s="19"/>
      <c r="D1357" s="21"/>
      <c r="E1357" s="19"/>
      <c r="F1357" s="19"/>
      <c r="G1357" s="23" t="str">
        <f aca="false">IF(A1357="","",TEXT(A1357,"yyyy-mm"))</f>
        <v/>
      </c>
      <c r="H1357" s="22" t="str">
        <f aca="false">IF(A1357="","",N(H1356)+IF(B1357="Masuk",N(D1357),-N(D1357)))</f>
        <v/>
      </c>
    </row>
    <row r="1358" customFormat="false" ht="15" hidden="false" customHeight="false" outlineLevel="0" collapsed="false">
      <c r="A1358" s="20"/>
      <c r="B1358" s="19"/>
      <c r="C1358" s="19"/>
      <c r="D1358" s="21"/>
      <c r="E1358" s="19"/>
      <c r="F1358" s="19"/>
      <c r="G1358" s="23" t="str">
        <f aca="false">IF(A1358="","",TEXT(A1358,"yyyy-mm"))</f>
        <v/>
      </c>
      <c r="H1358" s="22" t="str">
        <f aca="false">IF(A1358="","",N(H1357)+IF(B1358="Masuk",N(D1358),-N(D1358)))</f>
        <v/>
      </c>
    </row>
    <row r="1359" customFormat="false" ht="15" hidden="false" customHeight="false" outlineLevel="0" collapsed="false">
      <c r="A1359" s="20"/>
      <c r="B1359" s="19"/>
      <c r="C1359" s="19"/>
      <c r="D1359" s="21"/>
      <c r="E1359" s="19"/>
      <c r="F1359" s="19"/>
      <c r="G1359" s="23" t="str">
        <f aca="false">IF(A1359="","",TEXT(A1359,"yyyy-mm"))</f>
        <v/>
      </c>
      <c r="H1359" s="22" t="str">
        <f aca="false">IF(A1359="","",N(H1358)+IF(B1359="Masuk",N(D1359),-N(D1359)))</f>
        <v/>
      </c>
    </row>
    <row r="1360" customFormat="false" ht="15" hidden="false" customHeight="false" outlineLevel="0" collapsed="false">
      <c r="A1360" s="20"/>
      <c r="B1360" s="19"/>
      <c r="C1360" s="19"/>
      <c r="D1360" s="21"/>
      <c r="E1360" s="19"/>
      <c r="F1360" s="19"/>
      <c r="G1360" s="23" t="str">
        <f aca="false">IF(A1360="","",TEXT(A1360,"yyyy-mm"))</f>
        <v/>
      </c>
      <c r="H1360" s="22" t="str">
        <f aca="false">IF(A1360="","",N(H1359)+IF(B1360="Masuk",N(D1360),-N(D1360)))</f>
        <v/>
      </c>
    </row>
    <row r="1361" customFormat="false" ht="15" hidden="false" customHeight="false" outlineLevel="0" collapsed="false">
      <c r="A1361" s="20"/>
      <c r="B1361" s="19"/>
      <c r="C1361" s="19"/>
      <c r="D1361" s="21"/>
      <c r="E1361" s="19"/>
      <c r="F1361" s="19"/>
      <c r="G1361" s="23" t="str">
        <f aca="false">IF(A1361="","",TEXT(A1361,"yyyy-mm"))</f>
        <v/>
      </c>
      <c r="H1361" s="22" t="str">
        <f aca="false">IF(A1361="","",N(H1360)+IF(B1361="Masuk",N(D1361),-N(D1361)))</f>
        <v/>
      </c>
    </row>
    <row r="1362" customFormat="false" ht="15" hidden="false" customHeight="false" outlineLevel="0" collapsed="false">
      <c r="A1362" s="20"/>
      <c r="B1362" s="19"/>
      <c r="C1362" s="19"/>
      <c r="D1362" s="21"/>
      <c r="E1362" s="19"/>
      <c r="F1362" s="19"/>
      <c r="G1362" s="23" t="str">
        <f aca="false">IF(A1362="","",TEXT(A1362,"yyyy-mm"))</f>
        <v/>
      </c>
      <c r="H1362" s="22" t="str">
        <f aca="false">IF(A1362="","",N(H1361)+IF(B1362="Masuk",N(D1362),-N(D1362)))</f>
        <v/>
      </c>
    </row>
    <row r="1363" customFormat="false" ht="15" hidden="false" customHeight="false" outlineLevel="0" collapsed="false">
      <c r="A1363" s="20"/>
      <c r="B1363" s="19"/>
      <c r="C1363" s="19"/>
      <c r="D1363" s="21"/>
      <c r="E1363" s="19"/>
      <c r="F1363" s="19"/>
      <c r="G1363" s="23" t="str">
        <f aca="false">IF(A1363="","",TEXT(A1363,"yyyy-mm"))</f>
        <v/>
      </c>
      <c r="H1363" s="22" t="str">
        <f aca="false">IF(A1363="","",N(H1362)+IF(B1363="Masuk",N(D1363),-N(D1363)))</f>
        <v/>
      </c>
    </row>
    <row r="1364" customFormat="false" ht="15" hidden="false" customHeight="false" outlineLevel="0" collapsed="false">
      <c r="A1364" s="20"/>
      <c r="B1364" s="19"/>
      <c r="C1364" s="19"/>
      <c r="D1364" s="21"/>
      <c r="E1364" s="19"/>
      <c r="F1364" s="19"/>
      <c r="G1364" s="23" t="str">
        <f aca="false">IF(A1364="","",TEXT(A1364,"yyyy-mm"))</f>
        <v/>
      </c>
      <c r="H1364" s="22" t="str">
        <f aca="false">IF(A1364="","",N(H1363)+IF(B1364="Masuk",N(D1364),-N(D1364)))</f>
        <v/>
      </c>
    </row>
    <row r="1365" customFormat="false" ht="15" hidden="false" customHeight="false" outlineLevel="0" collapsed="false">
      <c r="A1365" s="20"/>
      <c r="B1365" s="19"/>
      <c r="C1365" s="19"/>
      <c r="D1365" s="21"/>
      <c r="E1365" s="19"/>
      <c r="F1365" s="19"/>
      <c r="G1365" s="23" t="str">
        <f aca="false">IF(A1365="","",TEXT(A1365,"yyyy-mm"))</f>
        <v/>
      </c>
      <c r="H1365" s="22" t="str">
        <f aca="false">IF(A1365="","",N(H1364)+IF(B1365="Masuk",N(D1365),-N(D1365)))</f>
        <v/>
      </c>
    </row>
    <row r="1366" customFormat="false" ht="15" hidden="false" customHeight="false" outlineLevel="0" collapsed="false">
      <c r="A1366" s="20"/>
      <c r="B1366" s="19"/>
      <c r="C1366" s="19"/>
      <c r="D1366" s="21"/>
      <c r="E1366" s="19"/>
      <c r="F1366" s="19"/>
      <c r="G1366" s="23" t="str">
        <f aca="false">IF(A1366="","",TEXT(A1366,"yyyy-mm"))</f>
        <v/>
      </c>
      <c r="H1366" s="22" t="str">
        <f aca="false">IF(A1366="","",N(H1365)+IF(B1366="Masuk",N(D1366),-N(D1366)))</f>
        <v/>
      </c>
    </row>
    <row r="1367" customFormat="false" ht="15" hidden="false" customHeight="false" outlineLevel="0" collapsed="false">
      <c r="A1367" s="20"/>
      <c r="B1367" s="19"/>
      <c r="C1367" s="19"/>
      <c r="D1367" s="21"/>
      <c r="E1367" s="19"/>
      <c r="F1367" s="19"/>
      <c r="G1367" s="23" t="str">
        <f aca="false">IF(A1367="","",TEXT(A1367,"yyyy-mm"))</f>
        <v/>
      </c>
      <c r="H1367" s="22" t="str">
        <f aca="false">IF(A1367="","",N(H1366)+IF(B1367="Masuk",N(D1367),-N(D1367)))</f>
        <v/>
      </c>
    </row>
    <row r="1368" customFormat="false" ht="15" hidden="false" customHeight="false" outlineLevel="0" collapsed="false">
      <c r="A1368" s="20"/>
      <c r="B1368" s="19"/>
      <c r="C1368" s="19"/>
      <c r="D1368" s="21"/>
      <c r="E1368" s="19"/>
      <c r="F1368" s="19"/>
      <c r="G1368" s="23" t="str">
        <f aca="false">IF(A1368="","",TEXT(A1368,"yyyy-mm"))</f>
        <v/>
      </c>
      <c r="H1368" s="22" t="str">
        <f aca="false">IF(A1368="","",N(H1367)+IF(B1368="Masuk",N(D1368),-N(D1368)))</f>
        <v/>
      </c>
    </row>
    <row r="1369" customFormat="false" ht="15" hidden="false" customHeight="false" outlineLevel="0" collapsed="false">
      <c r="A1369" s="20"/>
      <c r="B1369" s="19"/>
      <c r="C1369" s="19"/>
      <c r="D1369" s="21"/>
      <c r="E1369" s="19"/>
      <c r="F1369" s="19"/>
      <c r="G1369" s="23" t="str">
        <f aca="false">IF(A1369="","",TEXT(A1369,"yyyy-mm"))</f>
        <v/>
      </c>
      <c r="H1369" s="22" t="str">
        <f aca="false">IF(A1369="","",N(H1368)+IF(B1369="Masuk",N(D1369),-N(D1369)))</f>
        <v/>
      </c>
    </row>
    <row r="1370" customFormat="false" ht="15" hidden="false" customHeight="false" outlineLevel="0" collapsed="false">
      <c r="A1370" s="20"/>
      <c r="B1370" s="19"/>
      <c r="C1370" s="19"/>
      <c r="D1370" s="21"/>
      <c r="E1370" s="19"/>
      <c r="F1370" s="19"/>
      <c r="G1370" s="23" t="str">
        <f aca="false">IF(A1370="","",TEXT(A1370,"yyyy-mm"))</f>
        <v/>
      </c>
      <c r="H1370" s="22" t="str">
        <f aca="false">IF(A1370="","",N(H1369)+IF(B1370="Masuk",N(D1370),-N(D1370)))</f>
        <v/>
      </c>
    </row>
    <row r="1371" customFormat="false" ht="15" hidden="false" customHeight="false" outlineLevel="0" collapsed="false">
      <c r="A1371" s="20"/>
      <c r="B1371" s="19"/>
      <c r="C1371" s="19"/>
      <c r="D1371" s="21"/>
      <c r="E1371" s="19"/>
      <c r="F1371" s="19"/>
      <c r="G1371" s="23" t="str">
        <f aca="false">IF(A1371="","",TEXT(A1371,"yyyy-mm"))</f>
        <v/>
      </c>
      <c r="H1371" s="22" t="str">
        <f aca="false">IF(A1371="","",N(H1370)+IF(B1371="Masuk",N(D1371),-N(D1371)))</f>
        <v/>
      </c>
    </row>
    <row r="1372" customFormat="false" ht="15" hidden="false" customHeight="false" outlineLevel="0" collapsed="false">
      <c r="A1372" s="20"/>
      <c r="B1372" s="19"/>
      <c r="C1372" s="19"/>
      <c r="D1372" s="21"/>
      <c r="E1372" s="19"/>
      <c r="F1372" s="19"/>
      <c r="G1372" s="23" t="str">
        <f aca="false">IF(A1372="","",TEXT(A1372,"yyyy-mm"))</f>
        <v/>
      </c>
      <c r="H1372" s="22" t="str">
        <f aca="false">IF(A1372="","",N(H1371)+IF(B1372="Masuk",N(D1372),-N(D1372)))</f>
        <v/>
      </c>
    </row>
    <row r="1373" customFormat="false" ht="15" hidden="false" customHeight="false" outlineLevel="0" collapsed="false">
      <c r="A1373" s="20"/>
      <c r="B1373" s="19"/>
      <c r="C1373" s="19"/>
      <c r="D1373" s="21"/>
      <c r="E1373" s="19"/>
      <c r="F1373" s="19"/>
      <c r="G1373" s="23" t="str">
        <f aca="false">IF(A1373="","",TEXT(A1373,"yyyy-mm"))</f>
        <v/>
      </c>
      <c r="H1373" s="22" t="str">
        <f aca="false">IF(A1373="","",N(H1372)+IF(B1373="Masuk",N(D1373),-N(D1373)))</f>
        <v/>
      </c>
    </row>
    <row r="1374" customFormat="false" ht="15" hidden="false" customHeight="false" outlineLevel="0" collapsed="false">
      <c r="A1374" s="20"/>
      <c r="B1374" s="19"/>
      <c r="C1374" s="19"/>
      <c r="D1374" s="21"/>
      <c r="E1374" s="19"/>
      <c r="F1374" s="19"/>
      <c r="G1374" s="23" t="str">
        <f aca="false">IF(A1374="","",TEXT(A1374,"yyyy-mm"))</f>
        <v/>
      </c>
      <c r="H1374" s="22" t="str">
        <f aca="false">IF(A1374="","",N(H1373)+IF(B1374="Masuk",N(D1374),-N(D1374)))</f>
        <v/>
      </c>
    </row>
    <row r="1375" customFormat="false" ht="15" hidden="false" customHeight="false" outlineLevel="0" collapsed="false">
      <c r="A1375" s="20"/>
      <c r="B1375" s="19"/>
      <c r="C1375" s="19"/>
      <c r="D1375" s="21"/>
      <c r="E1375" s="19"/>
      <c r="F1375" s="19"/>
      <c r="G1375" s="23" t="str">
        <f aca="false">IF(A1375="","",TEXT(A1375,"yyyy-mm"))</f>
        <v/>
      </c>
      <c r="H1375" s="22" t="str">
        <f aca="false">IF(A1375="","",N(H1374)+IF(B1375="Masuk",N(D1375),-N(D1375)))</f>
        <v/>
      </c>
    </row>
    <row r="1376" customFormat="false" ht="15" hidden="false" customHeight="false" outlineLevel="0" collapsed="false">
      <c r="A1376" s="20"/>
      <c r="B1376" s="19"/>
      <c r="C1376" s="19"/>
      <c r="D1376" s="21"/>
      <c r="E1376" s="19"/>
      <c r="F1376" s="19"/>
      <c r="G1376" s="23" t="str">
        <f aca="false">IF(A1376="","",TEXT(A1376,"yyyy-mm"))</f>
        <v/>
      </c>
      <c r="H1376" s="22" t="str">
        <f aca="false">IF(A1376="","",N(H1375)+IF(B1376="Masuk",N(D1376),-N(D1376)))</f>
        <v/>
      </c>
    </row>
    <row r="1377" customFormat="false" ht="15" hidden="false" customHeight="false" outlineLevel="0" collapsed="false">
      <c r="A1377" s="20"/>
      <c r="B1377" s="19"/>
      <c r="C1377" s="19"/>
      <c r="D1377" s="21"/>
      <c r="E1377" s="19"/>
      <c r="F1377" s="19"/>
      <c r="G1377" s="23" t="str">
        <f aca="false">IF(A1377="","",TEXT(A1377,"yyyy-mm"))</f>
        <v/>
      </c>
      <c r="H1377" s="22" t="str">
        <f aca="false">IF(A1377="","",N(H1376)+IF(B1377="Masuk",N(D1377),-N(D1377)))</f>
        <v/>
      </c>
    </row>
    <row r="1378" customFormat="false" ht="15" hidden="false" customHeight="false" outlineLevel="0" collapsed="false">
      <c r="A1378" s="20"/>
      <c r="B1378" s="19"/>
      <c r="C1378" s="19"/>
      <c r="D1378" s="21"/>
      <c r="E1378" s="19"/>
      <c r="F1378" s="19"/>
      <c r="G1378" s="23" t="str">
        <f aca="false">IF(A1378="","",TEXT(A1378,"yyyy-mm"))</f>
        <v/>
      </c>
      <c r="H1378" s="22" t="str">
        <f aca="false">IF(A1378="","",N(H1377)+IF(B1378="Masuk",N(D1378),-N(D1378)))</f>
        <v/>
      </c>
    </row>
    <row r="1379" customFormat="false" ht="15" hidden="false" customHeight="false" outlineLevel="0" collapsed="false">
      <c r="A1379" s="20"/>
      <c r="B1379" s="19"/>
      <c r="C1379" s="19"/>
      <c r="D1379" s="21"/>
      <c r="E1379" s="19"/>
      <c r="F1379" s="19"/>
      <c r="G1379" s="23" t="str">
        <f aca="false">IF(A1379="","",TEXT(A1379,"yyyy-mm"))</f>
        <v/>
      </c>
      <c r="H1379" s="22" t="str">
        <f aca="false">IF(A1379="","",N(H1378)+IF(B1379="Masuk",N(D1379),-N(D1379)))</f>
        <v/>
      </c>
    </row>
    <row r="1380" customFormat="false" ht="15" hidden="false" customHeight="false" outlineLevel="0" collapsed="false">
      <c r="A1380" s="20"/>
      <c r="B1380" s="19"/>
      <c r="C1380" s="19"/>
      <c r="D1380" s="21"/>
      <c r="E1380" s="19"/>
      <c r="F1380" s="19"/>
      <c r="G1380" s="23" t="str">
        <f aca="false">IF(A1380="","",TEXT(A1380,"yyyy-mm"))</f>
        <v/>
      </c>
      <c r="H1380" s="22" t="str">
        <f aca="false">IF(A1380="","",N(H1379)+IF(B1380="Masuk",N(D1380),-N(D1380)))</f>
        <v/>
      </c>
    </row>
    <row r="1381" customFormat="false" ht="15" hidden="false" customHeight="false" outlineLevel="0" collapsed="false">
      <c r="A1381" s="20"/>
      <c r="B1381" s="19"/>
      <c r="C1381" s="19"/>
      <c r="D1381" s="21"/>
      <c r="E1381" s="19"/>
      <c r="F1381" s="19"/>
      <c r="G1381" s="23" t="str">
        <f aca="false">IF(A1381="","",TEXT(A1381,"yyyy-mm"))</f>
        <v/>
      </c>
      <c r="H1381" s="22" t="str">
        <f aca="false">IF(A1381="","",N(H1380)+IF(B1381="Masuk",N(D1381),-N(D1381)))</f>
        <v/>
      </c>
    </row>
    <row r="1382" customFormat="false" ht="15" hidden="false" customHeight="false" outlineLevel="0" collapsed="false">
      <c r="A1382" s="20"/>
      <c r="B1382" s="19"/>
      <c r="C1382" s="19"/>
      <c r="D1382" s="21"/>
      <c r="E1382" s="19"/>
      <c r="F1382" s="19"/>
      <c r="G1382" s="23" t="str">
        <f aca="false">IF(A1382="","",TEXT(A1382,"yyyy-mm"))</f>
        <v/>
      </c>
      <c r="H1382" s="22" t="str">
        <f aca="false">IF(A1382="","",N(H1381)+IF(B1382="Masuk",N(D1382),-N(D1382)))</f>
        <v/>
      </c>
    </row>
    <row r="1383" customFormat="false" ht="15" hidden="false" customHeight="false" outlineLevel="0" collapsed="false">
      <c r="A1383" s="20"/>
      <c r="B1383" s="19"/>
      <c r="C1383" s="19"/>
      <c r="D1383" s="21"/>
      <c r="E1383" s="19"/>
      <c r="F1383" s="19"/>
      <c r="G1383" s="23" t="str">
        <f aca="false">IF(A1383="","",TEXT(A1383,"yyyy-mm"))</f>
        <v/>
      </c>
      <c r="H1383" s="22" t="str">
        <f aca="false">IF(A1383="","",N(H1382)+IF(B1383="Masuk",N(D1383),-N(D1383)))</f>
        <v/>
      </c>
    </row>
    <row r="1384" customFormat="false" ht="15" hidden="false" customHeight="false" outlineLevel="0" collapsed="false">
      <c r="A1384" s="20"/>
      <c r="B1384" s="19"/>
      <c r="C1384" s="19"/>
      <c r="D1384" s="21"/>
      <c r="E1384" s="19"/>
      <c r="F1384" s="19"/>
      <c r="G1384" s="23" t="str">
        <f aca="false">IF(A1384="","",TEXT(A1384,"yyyy-mm"))</f>
        <v/>
      </c>
      <c r="H1384" s="22" t="str">
        <f aca="false">IF(A1384="","",N(H1383)+IF(B1384="Masuk",N(D1384),-N(D1384)))</f>
        <v/>
      </c>
    </row>
    <row r="1385" customFormat="false" ht="15" hidden="false" customHeight="false" outlineLevel="0" collapsed="false">
      <c r="A1385" s="20"/>
      <c r="B1385" s="19"/>
      <c r="C1385" s="19"/>
      <c r="D1385" s="21"/>
      <c r="E1385" s="19"/>
      <c r="F1385" s="19"/>
      <c r="G1385" s="23" t="str">
        <f aca="false">IF(A1385="","",TEXT(A1385,"yyyy-mm"))</f>
        <v/>
      </c>
      <c r="H1385" s="22" t="str">
        <f aca="false">IF(A1385="","",N(H1384)+IF(B1385="Masuk",N(D1385),-N(D1385)))</f>
        <v/>
      </c>
    </row>
    <row r="1386" customFormat="false" ht="15" hidden="false" customHeight="false" outlineLevel="0" collapsed="false">
      <c r="A1386" s="20"/>
      <c r="B1386" s="19"/>
      <c r="C1386" s="19"/>
      <c r="D1386" s="21"/>
      <c r="E1386" s="19"/>
      <c r="F1386" s="19"/>
      <c r="G1386" s="23" t="str">
        <f aca="false">IF(A1386="","",TEXT(A1386,"yyyy-mm"))</f>
        <v/>
      </c>
      <c r="H1386" s="22" t="str">
        <f aca="false">IF(A1386="","",N(H1385)+IF(B1386="Masuk",N(D1386),-N(D1386)))</f>
        <v/>
      </c>
    </row>
    <row r="1387" customFormat="false" ht="15" hidden="false" customHeight="false" outlineLevel="0" collapsed="false">
      <c r="A1387" s="20"/>
      <c r="B1387" s="19"/>
      <c r="C1387" s="19"/>
      <c r="D1387" s="21"/>
      <c r="E1387" s="19"/>
      <c r="F1387" s="19"/>
      <c r="G1387" s="23" t="str">
        <f aca="false">IF(A1387="","",TEXT(A1387,"yyyy-mm"))</f>
        <v/>
      </c>
      <c r="H1387" s="22" t="str">
        <f aca="false">IF(A1387="","",N(H1386)+IF(B1387="Masuk",N(D1387),-N(D1387)))</f>
        <v/>
      </c>
    </row>
    <row r="1388" customFormat="false" ht="15" hidden="false" customHeight="false" outlineLevel="0" collapsed="false">
      <c r="A1388" s="20"/>
      <c r="B1388" s="19"/>
      <c r="C1388" s="19"/>
      <c r="D1388" s="21"/>
      <c r="E1388" s="19"/>
      <c r="F1388" s="19"/>
      <c r="G1388" s="23" t="str">
        <f aca="false">IF(A1388="","",TEXT(A1388,"yyyy-mm"))</f>
        <v/>
      </c>
      <c r="H1388" s="22" t="str">
        <f aca="false">IF(A1388="","",N(H1387)+IF(B1388="Masuk",N(D1388),-N(D1388)))</f>
        <v/>
      </c>
    </row>
    <row r="1389" customFormat="false" ht="15" hidden="false" customHeight="false" outlineLevel="0" collapsed="false">
      <c r="A1389" s="20"/>
      <c r="B1389" s="19"/>
      <c r="C1389" s="19"/>
      <c r="D1389" s="21"/>
      <c r="E1389" s="19"/>
      <c r="F1389" s="19"/>
      <c r="G1389" s="23" t="str">
        <f aca="false">IF(A1389="","",TEXT(A1389,"yyyy-mm"))</f>
        <v/>
      </c>
      <c r="H1389" s="22" t="str">
        <f aca="false">IF(A1389="","",N(H1388)+IF(B1389="Masuk",N(D1389),-N(D1389)))</f>
        <v/>
      </c>
    </row>
    <row r="1390" customFormat="false" ht="15" hidden="false" customHeight="false" outlineLevel="0" collapsed="false">
      <c r="A1390" s="20"/>
      <c r="B1390" s="19"/>
      <c r="C1390" s="19"/>
      <c r="D1390" s="21"/>
      <c r="E1390" s="19"/>
      <c r="F1390" s="19"/>
      <c r="G1390" s="23" t="str">
        <f aca="false">IF(A1390="","",TEXT(A1390,"yyyy-mm"))</f>
        <v/>
      </c>
      <c r="H1390" s="22" t="str">
        <f aca="false">IF(A1390="","",N(H1389)+IF(B1390="Masuk",N(D1390),-N(D1390)))</f>
        <v/>
      </c>
    </row>
    <row r="1391" customFormat="false" ht="15" hidden="false" customHeight="false" outlineLevel="0" collapsed="false">
      <c r="A1391" s="20"/>
      <c r="B1391" s="19"/>
      <c r="C1391" s="19"/>
      <c r="D1391" s="21"/>
      <c r="E1391" s="19"/>
      <c r="F1391" s="19"/>
      <c r="G1391" s="23" t="str">
        <f aca="false">IF(A1391="","",TEXT(A1391,"yyyy-mm"))</f>
        <v/>
      </c>
      <c r="H1391" s="22" t="str">
        <f aca="false">IF(A1391="","",N(H1390)+IF(B1391="Masuk",N(D1391),-N(D1391)))</f>
        <v/>
      </c>
    </row>
    <row r="1392" customFormat="false" ht="15" hidden="false" customHeight="false" outlineLevel="0" collapsed="false">
      <c r="A1392" s="20"/>
      <c r="B1392" s="19"/>
      <c r="C1392" s="19"/>
      <c r="D1392" s="21"/>
      <c r="E1392" s="19"/>
      <c r="F1392" s="19"/>
      <c r="G1392" s="23" t="str">
        <f aca="false">IF(A1392="","",TEXT(A1392,"yyyy-mm"))</f>
        <v/>
      </c>
      <c r="H1392" s="22" t="str">
        <f aca="false">IF(A1392="","",N(H1391)+IF(B1392="Masuk",N(D1392),-N(D1392)))</f>
        <v/>
      </c>
    </row>
    <row r="1393" customFormat="false" ht="15" hidden="false" customHeight="false" outlineLevel="0" collapsed="false">
      <c r="A1393" s="20"/>
      <c r="B1393" s="19"/>
      <c r="C1393" s="19"/>
      <c r="D1393" s="21"/>
      <c r="E1393" s="19"/>
      <c r="F1393" s="19"/>
      <c r="G1393" s="23" t="str">
        <f aca="false">IF(A1393="","",TEXT(A1393,"yyyy-mm"))</f>
        <v/>
      </c>
      <c r="H1393" s="22" t="str">
        <f aca="false">IF(A1393="","",N(H1392)+IF(B1393="Masuk",N(D1393),-N(D1393)))</f>
        <v/>
      </c>
    </row>
    <row r="1394" customFormat="false" ht="15" hidden="false" customHeight="false" outlineLevel="0" collapsed="false">
      <c r="A1394" s="20"/>
      <c r="B1394" s="19"/>
      <c r="C1394" s="19"/>
      <c r="D1394" s="21"/>
      <c r="E1394" s="19"/>
      <c r="F1394" s="19"/>
      <c r="G1394" s="23" t="str">
        <f aca="false">IF(A1394="","",TEXT(A1394,"yyyy-mm"))</f>
        <v/>
      </c>
      <c r="H1394" s="22" t="str">
        <f aca="false">IF(A1394="","",N(H1393)+IF(B1394="Masuk",N(D1394),-N(D1394)))</f>
        <v/>
      </c>
    </row>
    <row r="1395" customFormat="false" ht="15" hidden="false" customHeight="false" outlineLevel="0" collapsed="false">
      <c r="A1395" s="20"/>
      <c r="B1395" s="19"/>
      <c r="C1395" s="19"/>
      <c r="D1395" s="21"/>
      <c r="E1395" s="19"/>
      <c r="F1395" s="19"/>
      <c r="G1395" s="23" t="str">
        <f aca="false">IF(A1395="","",TEXT(A1395,"yyyy-mm"))</f>
        <v/>
      </c>
      <c r="H1395" s="22" t="str">
        <f aca="false">IF(A1395="","",N(H1394)+IF(B1395="Masuk",N(D1395),-N(D1395)))</f>
        <v/>
      </c>
    </row>
    <row r="1396" customFormat="false" ht="15" hidden="false" customHeight="false" outlineLevel="0" collapsed="false">
      <c r="A1396" s="20"/>
      <c r="B1396" s="19"/>
      <c r="C1396" s="19"/>
      <c r="D1396" s="21"/>
      <c r="E1396" s="19"/>
      <c r="F1396" s="19"/>
      <c r="G1396" s="23" t="str">
        <f aca="false">IF(A1396="","",TEXT(A1396,"yyyy-mm"))</f>
        <v/>
      </c>
      <c r="H1396" s="22" t="str">
        <f aca="false">IF(A1396="","",N(H1395)+IF(B1396="Masuk",N(D1396),-N(D1396)))</f>
        <v/>
      </c>
    </row>
    <row r="1397" customFormat="false" ht="15" hidden="false" customHeight="false" outlineLevel="0" collapsed="false">
      <c r="A1397" s="20"/>
      <c r="B1397" s="19"/>
      <c r="C1397" s="19"/>
      <c r="D1397" s="21"/>
      <c r="E1397" s="19"/>
      <c r="F1397" s="19"/>
      <c r="G1397" s="23" t="str">
        <f aca="false">IF(A1397="","",TEXT(A1397,"yyyy-mm"))</f>
        <v/>
      </c>
      <c r="H1397" s="22" t="str">
        <f aca="false">IF(A1397="","",N(H1396)+IF(B1397="Masuk",N(D1397),-N(D1397)))</f>
        <v/>
      </c>
    </row>
    <row r="1398" customFormat="false" ht="15" hidden="false" customHeight="false" outlineLevel="0" collapsed="false">
      <c r="A1398" s="20"/>
      <c r="B1398" s="19"/>
      <c r="C1398" s="19"/>
      <c r="D1398" s="21"/>
      <c r="E1398" s="19"/>
      <c r="F1398" s="19"/>
      <c r="G1398" s="23" t="str">
        <f aca="false">IF(A1398="","",TEXT(A1398,"yyyy-mm"))</f>
        <v/>
      </c>
      <c r="H1398" s="22" t="str">
        <f aca="false">IF(A1398="","",N(H1397)+IF(B1398="Masuk",N(D1398),-N(D1398)))</f>
        <v/>
      </c>
    </row>
    <row r="1399" customFormat="false" ht="15" hidden="false" customHeight="false" outlineLevel="0" collapsed="false">
      <c r="A1399" s="20"/>
      <c r="B1399" s="19"/>
      <c r="C1399" s="19"/>
      <c r="D1399" s="21"/>
      <c r="E1399" s="19"/>
      <c r="F1399" s="19"/>
      <c r="G1399" s="23" t="str">
        <f aca="false">IF(A1399="","",TEXT(A1399,"yyyy-mm"))</f>
        <v/>
      </c>
      <c r="H1399" s="22" t="str">
        <f aca="false">IF(A1399="","",N(H1398)+IF(B1399="Masuk",N(D1399),-N(D1399)))</f>
        <v/>
      </c>
    </row>
    <row r="1400" customFormat="false" ht="15" hidden="false" customHeight="false" outlineLevel="0" collapsed="false">
      <c r="A1400" s="20"/>
      <c r="B1400" s="19"/>
      <c r="C1400" s="19"/>
      <c r="D1400" s="21"/>
      <c r="E1400" s="19"/>
      <c r="F1400" s="19"/>
      <c r="G1400" s="23" t="str">
        <f aca="false">IF(A1400="","",TEXT(A1400,"yyyy-mm"))</f>
        <v/>
      </c>
      <c r="H1400" s="22" t="str">
        <f aca="false">IF(A1400="","",N(H1399)+IF(B1400="Masuk",N(D1400),-N(D1400)))</f>
        <v/>
      </c>
    </row>
    <row r="1401" customFormat="false" ht="15" hidden="false" customHeight="false" outlineLevel="0" collapsed="false">
      <c r="A1401" s="20"/>
      <c r="B1401" s="19"/>
      <c r="C1401" s="19"/>
      <c r="D1401" s="21"/>
      <c r="E1401" s="19"/>
      <c r="F1401" s="19"/>
      <c r="G1401" s="23" t="str">
        <f aca="false">IF(A1401="","",TEXT(A1401,"yyyy-mm"))</f>
        <v/>
      </c>
      <c r="H1401" s="22" t="str">
        <f aca="false">IF(A1401="","",N(H1400)+IF(B1401="Masuk",N(D1401),-N(D1401)))</f>
        <v/>
      </c>
    </row>
    <row r="1402" customFormat="false" ht="15" hidden="false" customHeight="false" outlineLevel="0" collapsed="false">
      <c r="A1402" s="20"/>
      <c r="B1402" s="19"/>
      <c r="C1402" s="19"/>
      <c r="D1402" s="21"/>
      <c r="E1402" s="19"/>
      <c r="F1402" s="19"/>
      <c r="G1402" s="23" t="str">
        <f aca="false">IF(A1402="","",TEXT(A1402,"yyyy-mm"))</f>
        <v/>
      </c>
      <c r="H1402" s="22" t="str">
        <f aca="false">IF(A1402="","",N(H1401)+IF(B1402="Masuk",N(D1402),-N(D1402)))</f>
        <v/>
      </c>
    </row>
    <row r="1403" customFormat="false" ht="15" hidden="false" customHeight="false" outlineLevel="0" collapsed="false">
      <c r="A1403" s="20"/>
      <c r="B1403" s="19"/>
      <c r="C1403" s="19"/>
      <c r="D1403" s="21"/>
      <c r="E1403" s="19"/>
      <c r="F1403" s="19"/>
      <c r="G1403" s="23" t="str">
        <f aca="false">IF(A1403="","",TEXT(A1403,"yyyy-mm"))</f>
        <v/>
      </c>
      <c r="H1403" s="22" t="str">
        <f aca="false">IF(A1403="","",N(H1402)+IF(B1403="Masuk",N(D1403),-N(D1403)))</f>
        <v/>
      </c>
    </row>
    <row r="1404" customFormat="false" ht="15" hidden="false" customHeight="false" outlineLevel="0" collapsed="false">
      <c r="A1404" s="20"/>
      <c r="B1404" s="19"/>
      <c r="C1404" s="19"/>
      <c r="D1404" s="21"/>
      <c r="E1404" s="19"/>
      <c r="F1404" s="19"/>
      <c r="G1404" s="23" t="str">
        <f aca="false">IF(A1404="","",TEXT(A1404,"yyyy-mm"))</f>
        <v/>
      </c>
      <c r="H1404" s="22" t="str">
        <f aca="false">IF(A1404="","",N(H1403)+IF(B1404="Masuk",N(D1404),-N(D1404)))</f>
        <v/>
      </c>
    </row>
    <row r="1405" customFormat="false" ht="15" hidden="false" customHeight="false" outlineLevel="0" collapsed="false">
      <c r="A1405" s="20"/>
      <c r="B1405" s="19"/>
      <c r="C1405" s="19"/>
      <c r="D1405" s="21"/>
      <c r="E1405" s="19"/>
      <c r="F1405" s="19"/>
      <c r="G1405" s="23" t="str">
        <f aca="false">IF(A1405="","",TEXT(A1405,"yyyy-mm"))</f>
        <v/>
      </c>
      <c r="H1405" s="22" t="str">
        <f aca="false">IF(A1405="","",N(H1404)+IF(B1405="Masuk",N(D1405),-N(D1405)))</f>
        <v/>
      </c>
    </row>
    <row r="1406" customFormat="false" ht="15" hidden="false" customHeight="false" outlineLevel="0" collapsed="false">
      <c r="A1406" s="20"/>
      <c r="B1406" s="19"/>
      <c r="C1406" s="19"/>
      <c r="D1406" s="21"/>
      <c r="E1406" s="19"/>
      <c r="F1406" s="19"/>
      <c r="G1406" s="23" t="str">
        <f aca="false">IF(A1406="","",TEXT(A1406,"yyyy-mm"))</f>
        <v/>
      </c>
      <c r="H1406" s="22" t="str">
        <f aca="false">IF(A1406="","",N(H1405)+IF(B1406="Masuk",N(D1406),-N(D1406)))</f>
        <v/>
      </c>
    </row>
    <row r="1407" customFormat="false" ht="15" hidden="false" customHeight="false" outlineLevel="0" collapsed="false">
      <c r="A1407" s="20"/>
      <c r="B1407" s="19"/>
      <c r="C1407" s="19"/>
      <c r="D1407" s="21"/>
      <c r="E1407" s="19"/>
      <c r="F1407" s="19"/>
      <c r="G1407" s="23" t="str">
        <f aca="false">IF(A1407="","",TEXT(A1407,"yyyy-mm"))</f>
        <v/>
      </c>
      <c r="H1407" s="22" t="str">
        <f aca="false">IF(A1407="","",N(H1406)+IF(B1407="Masuk",N(D1407),-N(D1407)))</f>
        <v/>
      </c>
    </row>
    <row r="1408" customFormat="false" ht="15" hidden="false" customHeight="false" outlineLevel="0" collapsed="false">
      <c r="A1408" s="20"/>
      <c r="B1408" s="19"/>
      <c r="C1408" s="19"/>
      <c r="D1408" s="21"/>
      <c r="E1408" s="19"/>
      <c r="F1408" s="19"/>
      <c r="G1408" s="23" t="str">
        <f aca="false">IF(A1408="","",TEXT(A1408,"yyyy-mm"))</f>
        <v/>
      </c>
      <c r="H1408" s="22" t="str">
        <f aca="false">IF(A1408="","",N(H1407)+IF(B1408="Masuk",N(D1408),-N(D1408)))</f>
        <v/>
      </c>
    </row>
    <row r="1409" customFormat="false" ht="15" hidden="false" customHeight="false" outlineLevel="0" collapsed="false">
      <c r="A1409" s="20"/>
      <c r="B1409" s="19"/>
      <c r="C1409" s="19"/>
      <c r="D1409" s="21"/>
      <c r="E1409" s="19"/>
      <c r="F1409" s="19"/>
      <c r="G1409" s="23" t="str">
        <f aca="false">IF(A1409="","",TEXT(A1409,"yyyy-mm"))</f>
        <v/>
      </c>
      <c r="H1409" s="22" t="str">
        <f aca="false">IF(A1409="","",N(H1408)+IF(B1409="Masuk",N(D1409),-N(D1409)))</f>
        <v/>
      </c>
    </row>
    <row r="1410" customFormat="false" ht="15" hidden="false" customHeight="false" outlineLevel="0" collapsed="false">
      <c r="A1410" s="20"/>
      <c r="B1410" s="19"/>
      <c r="C1410" s="19"/>
      <c r="D1410" s="21"/>
      <c r="E1410" s="19"/>
      <c r="F1410" s="19"/>
      <c r="G1410" s="23" t="str">
        <f aca="false">IF(A1410="","",TEXT(A1410,"yyyy-mm"))</f>
        <v/>
      </c>
      <c r="H1410" s="22" t="str">
        <f aca="false">IF(A1410="","",N(H1409)+IF(B1410="Masuk",N(D1410),-N(D1410)))</f>
        <v/>
      </c>
    </row>
    <row r="1411" customFormat="false" ht="15" hidden="false" customHeight="false" outlineLevel="0" collapsed="false">
      <c r="A1411" s="20"/>
      <c r="B1411" s="19"/>
      <c r="C1411" s="19"/>
      <c r="D1411" s="21"/>
      <c r="E1411" s="19"/>
      <c r="F1411" s="19"/>
      <c r="G1411" s="23" t="str">
        <f aca="false">IF(A1411="","",TEXT(A1411,"yyyy-mm"))</f>
        <v/>
      </c>
      <c r="H1411" s="22" t="str">
        <f aca="false">IF(A1411="","",N(H1410)+IF(B1411="Masuk",N(D1411),-N(D1411)))</f>
        <v/>
      </c>
    </row>
    <row r="1412" customFormat="false" ht="15" hidden="false" customHeight="false" outlineLevel="0" collapsed="false">
      <c r="A1412" s="20"/>
      <c r="B1412" s="19"/>
      <c r="C1412" s="19"/>
      <c r="D1412" s="21"/>
      <c r="E1412" s="19"/>
      <c r="F1412" s="19"/>
      <c r="G1412" s="23" t="str">
        <f aca="false">IF(A1412="","",TEXT(A1412,"yyyy-mm"))</f>
        <v/>
      </c>
      <c r="H1412" s="22" t="str">
        <f aca="false">IF(A1412="","",N(H1411)+IF(B1412="Masuk",N(D1412),-N(D1412)))</f>
        <v/>
      </c>
    </row>
    <row r="1413" customFormat="false" ht="15" hidden="false" customHeight="false" outlineLevel="0" collapsed="false">
      <c r="A1413" s="20"/>
      <c r="B1413" s="19"/>
      <c r="C1413" s="19"/>
      <c r="D1413" s="21"/>
      <c r="E1413" s="19"/>
      <c r="F1413" s="19"/>
      <c r="G1413" s="23" t="str">
        <f aca="false">IF(A1413="","",TEXT(A1413,"yyyy-mm"))</f>
        <v/>
      </c>
      <c r="H1413" s="22" t="str">
        <f aca="false">IF(A1413="","",N(H1412)+IF(B1413="Masuk",N(D1413),-N(D1413)))</f>
        <v/>
      </c>
    </row>
    <row r="1414" customFormat="false" ht="15" hidden="false" customHeight="false" outlineLevel="0" collapsed="false">
      <c r="A1414" s="20"/>
      <c r="B1414" s="19"/>
      <c r="C1414" s="19"/>
      <c r="D1414" s="21"/>
      <c r="E1414" s="19"/>
      <c r="F1414" s="19"/>
      <c r="G1414" s="23" t="str">
        <f aca="false">IF(A1414="","",TEXT(A1414,"yyyy-mm"))</f>
        <v/>
      </c>
      <c r="H1414" s="22" t="str">
        <f aca="false">IF(A1414="","",N(H1413)+IF(B1414="Masuk",N(D1414),-N(D1414)))</f>
        <v/>
      </c>
    </row>
    <row r="1415" customFormat="false" ht="15" hidden="false" customHeight="false" outlineLevel="0" collapsed="false">
      <c r="A1415" s="20"/>
      <c r="B1415" s="19"/>
      <c r="C1415" s="19"/>
      <c r="D1415" s="21"/>
      <c r="E1415" s="19"/>
      <c r="F1415" s="19"/>
      <c r="G1415" s="23" t="str">
        <f aca="false">IF(A1415="","",TEXT(A1415,"yyyy-mm"))</f>
        <v/>
      </c>
      <c r="H1415" s="22" t="str">
        <f aca="false">IF(A1415="","",N(H1414)+IF(B1415="Masuk",N(D1415),-N(D1415)))</f>
        <v/>
      </c>
    </row>
    <row r="1416" customFormat="false" ht="15" hidden="false" customHeight="false" outlineLevel="0" collapsed="false">
      <c r="A1416" s="20"/>
      <c r="B1416" s="19"/>
      <c r="C1416" s="19"/>
      <c r="D1416" s="21"/>
      <c r="E1416" s="19"/>
      <c r="F1416" s="19"/>
      <c r="G1416" s="23" t="str">
        <f aca="false">IF(A1416="","",TEXT(A1416,"yyyy-mm"))</f>
        <v/>
      </c>
      <c r="H1416" s="22" t="str">
        <f aca="false">IF(A1416="","",N(H1415)+IF(B1416="Masuk",N(D1416),-N(D1416)))</f>
        <v/>
      </c>
    </row>
    <row r="1417" customFormat="false" ht="15" hidden="false" customHeight="false" outlineLevel="0" collapsed="false">
      <c r="A1417" s="20"/>
      <c r="B1417" s="19"/>
      <c r="C1417" s="19"/>
      <c r="D1417" s="21"/>
      <c r="E1417" s="19"/>
      <c r="F1417" s="19"/>
      <c r="G1417" s="23" t="str">
        <f aca="false">IF(A1417="","",TEXT(A1417,"yyyy-mm"))</f>
        <v/>
      </c>
      <c r="H1417" s="22" t="str">
        <f aca="false">IF(A1417="","",N(H1416)+IF(B1417="Masuk",N(D1417),-N(D1417)))</f>
        <v/>
      </c>
    </row>
    <row r="1418" customFormat="false" ht="15" hidden="false" customHeight="false" outlineLevel="0" collapsed="false">
      <c r="A1418" s="20"/>
      <c r="B1418" s="19"/>
      <c r="C1418" s="19"/>
      <c r="D1418" s="21"/>
      <c r="E1418" s="19"/>
      <c r="F1418" s="19"/>
      <c r="G1418" s="23" t="str">
        <f aca="false">IF(A1418="","",TEXT(A1418,"yyyy-mm"))</f>
        <v/>
      </c>
      <c r="H1418" s="22" t="str">
        <f aca="false">IF(A1418="","",N(H1417)+IF(B1418="Masuk",N(D1418),-N(D1418)))</f>
        <v/>
      </c>
    </row>
    <row r="1419" customFormat="false" ht="15" hidden="false" customHeight="false" outlineLevel="0" collapsed="false">
      <c r="A1419" s="20"/>
      <c r="B1419" s="19"/>
      <c r="C1419" s="19"/>
      <c r="D1419" s="21"/>
      <c r="E1419" s="19"/>
      <c r="F1419" s="19"/>
      <c r="G1419" s="23" t="str">
        <f aca="false">IF(A1419="","",TEXT(A1419,"yyyy-mm"))</f>
        <v/>
      </c>
      <c r="H1419" s="22" t="str">
        <f aca="false">IF(A1419="","",N(H1418)+IF(B1419="Masuk",N(D1419),-N(D1419)))</f>
        <v/>
      </c>
    </row>
    <row r="1420" customFormat="false" ht="15" hidden="false" customHeight="false" outlineLevel="0" collapsed="false">
      <c r="A1420" s="20"/>
      <c r="B1420" s="19"/>
      <c r="C1420" s="19"/>
      <c r="D1420" s="21"/>
      <c r="E1420" s="19"/>
      <c r="F1420" s="19"/>
      <c r="G1420" s="23" t="str">
        <f aca="false">IF(A1420="","",TEXT(A1420,"yyyy-mm"))</f>
        <v/>
      </c>
      <c r="H1420" s="22" t="str">
        <f aca="false">IF(A1420="","",N(H1419)+IF(B1420="Masuk",N(D1420),-N(D1420)))</f>
        <v/>
      </c>
    </row>
    <row r="1421" customFormat="false" ht="15" hidden="false" customHeight="false" outlineLevel="0" collapsed="false">
      <c r="A1421" s="20"/>
      <c r="B1421" s="19"/>
      <c r="C1421" s="19"/>
      <c r="D1421" s="21"/>
      <c r="E1421" s="19"/>
      <c r="F1421" s="19"/>
      <c r="G1421" s="23" t="str">
        <f aca="false">IF(A1421="","",TEXT(A1421,"yyyy-mm"))</f>
        <v/>
      </c>
      <c r="H1421" s="22" t="str">
        <f aca="false">IF(A1421="","",N(H1420)+IF(B1421="Masuk",N(D1421),-N(D1421)))</f>
        <v/>
      </c>
    </row>
    <row r="1422" customFormat="false" ht="15" hidden="false" customHeight="false" outlineLevel="0" collapsed="false">
      <c r="A1422" s="20"/>
      <c r="B1422" s="19"/>
      <c r="C1422" s="19"/>
      <c r="D1422" s="21"/>
      <c r="E1422" s="19"/>
      <c r="F1422" s="19"/>
      <c r="G1422" s="23" t="str">
        <f aca="false">IF(A1422="","",TEXT(A1422,"yyyy-mm"))</f>
        <v/>
      </c>
      <c r="H1422" s="22" t="str">
        <f aca="false">IF(A1422="","",N(H1421)+IF(B1422="Masuk",N(D1422),-N(D1422)))</f>
        <v/>
      </c>
    </row>
    <row r="1423" customFormat="false" ht="15" hidden="false" customHeight="false" outlineLevel="0" collapsed="false">
      <c r="A1423" s="20"/>
      <c r="B1423" s="19"/>
      <c r="C1423" s="19"/>
      <c r="D1423" s="21"/>
      <c r="E1423" s="19"/>
      <c r="F1423" s="19"/>
      <c r="G1423" s="23" t="str">
        <f aca="false">IF(A1423="","",TEXT(A1423,"yyyy-mm"))</f>
        <v/>
      </c>
      <c r="H1423" s="22" t="str">
        <f aca="false">IF(A1423="","",N(H1422)+IF(B1423="Masuk",N(D1423),-N(D1423)))</f>
        <v/>
      </c>
    </row>
    <row r="1424" customFormat="false" ht="15" hidden="false" customHeight="false" outlineLevel="0" collapsed="false">
      <c r="A1424" s="20"/>
      <c r="B1424" s="19"/>
      <c r="C1424" s="19"/>
      <c r="D1424" s="21"/>
      <c r="E1424" s="19"/>
      <c r="F1424" s="19"/>
      <c r="G1424" s="23" t="str">
        <f aca="false">IF(A1424="","",TEXT(A1424,"yyyy-mm"))</f>
        <v/>
      </c>
      <c r="H1424" s="22" t="str">
        <f aca="false">IF(A1424="","",N(H1423)+IF(B1424="Masuk",N(D1424),-N(D1424)))</f>
        <v/>
      </c>
    </row>
    <row r="1425" customFormat="false" ht="15" hidden="false" customHeight="false" outlineLevel="0" collapsed="false">
      <c r="A1425" s="20"/>
      <c r="B1425" s="19"/>
      <c r="C1425" s="19"/>
      <c r="D1425" s="21"/>
      <c r="E1425" s="19"/>
      <c r="F1425" s="19"/>
      <c r="G1425" s="23" t="str">
        <f aca="false">IF(A1425="","",TEXT(A1425,"yyyy-mm"))</f>
        <v/>
      </c>
      <c r="H1425" s="22" t="str">
        <f aca="false">IF(A1425="","",N(H1424)+IF(B1425="Masuk",N(D1425),-N(D1425)))</f>
        <v/>
      </c>
    </row>
    <row r="1426" customFormat="false" ht="15" hidden="false" customHeight="false" outlineLevel="0" collapsed="false">
      <c r="A1426" s="20"/>
      <c r="B1426" s="19"/>
      <c r="C1426" s="19"/>
      <c r="D1426" s="21"/>
      <c r="E1426" s="19"/>
      <c r="F1426" s="19"/>
      <c r="G1426" s="23" t="str">
        <f aca="false">IF(A1426="","",TEXT(A1426,"yyyy-mm"))</f>
        <v/>
      </c>
      <c r="H1426" s="22" t="str">
        <f aca="false">IF(A1426="","",N(H1425)+IF(B1426="Masuk",N(D1426),-N(D1426)))</f>
        <v/>
      </c>
    </row>
    <row r="1427" customFormat="false" ht="15" hidden="false" customHeight="false" outlineLevel="0" collapsed="false">
      <c r="A1427" s="20"/>
      <c r="B1427" s="19"/>
      <c r="C1427" s="19"/>
      <c r="D1427" s="21"/>
      <c r="E1427" s="19"/>
      <c r="F1427" s="19"/>
      <c r="G1427" s="23" t="str">
        <f aca="false">IF(A1427="","",TEXT(A1427,"yyyy-mm"))</f>
        <v/>
      </c>
      <c r="H1427" s="22" t="str">
        <f aca="false">IF(A1427="","",N(H1426)+IF(B1427="Masuk",N(D1427),-N(D1427)))</f>
        <v/>
      </c>
    </row>
    <row r="1428" customFormat="false" ht="15" hidden="false" customHeight="false" outlineLevel="0" collapsed="false">
      <c r="A1428" s="20"/>
      <c r="B1428" s="19"/>
      <c r="C1428" s="19"/>
      <c r="D1428" s="21"/>
      <c r="E1428" s="19"/>
      <c r="F1428" s="19"/>
      <c r="G1428" s="23" t="str">
        <f aca="false">IF(A1428="","",TEXT(A1428,"yyyy-mm"))</f>
        <v/>
      </c>
      <c r="H1428" s="22" t="str">
        <f aca="false">IF(A1428="","",N(H1427)+IF(B1428="Masuk",N(D1428),-N(D1428)))</f>
        <v/>
      </c>
    </row>
    <row r="1429" customFormat="false" ht="15" hidden="false" customHeight="false" outlineLevel="0" collapsed="false">
      <c r="A1429" s="20"/>
      <c r="B1429" s="19"/>
      <c r="C1429" s="19"/>
      <c r="D1429" s="21"/>
      <c r="E1429" s="19"/>
      <c r="F1429" s="19"/>
      <c r="G1429" s="23" t="str">
        <f aca="false">IF(A1429="","",TEXT(A1429,"yyyy-mm"))</f>
        <v/>
      </c>
      <c r="H1429" s="22" t="str">
        <f aca="false">IF(A1429="","",N(H1428)+IF(B1429="Masuk",N(D1429),-N(D1429)))</f>
        <v/>
      </c>
    </row>
    <row r="1430" customFormat="false" ht="15" hidden="false" customHeight="false" outlineLevel="0" collapsed="false">
      <c r="A1430" s="20"/>
      <c r="B1430" s="19"/>
      <c r="C1430" s="19"/>
      <c r="D1430" s="21"/>
      <c r="E1430" s="19"/>
      <c r="F1430" s="19"/>
      <c r="G1430" s="23" t="str">
        <f aca="false">IF(A1430="","",TEXT(A1430,"yyyy-mm"))</f>
        <v/>
      </c>
      <c r="H1430" s="22" t="str">
        <f aca="false">IF(A1430="","",N(H1429)+IF(B1430="Masuk",N(D1430),-N(D1430)))</f>
        <v/>
      </c>
    </row>
    <row r="1431" customFormat="false" ht="15" hidden="false" customHeight="false" outlineLevel="0" collapsed="false">
      <c r="A1431" s="20"/>
      <c r="B1431" s="19"/>
      <c r="C1431" s="19"/>
      <c r="D1431" s="21"/>
      <c r="E1431" s="19"/>
      <c r="F1431" s="19"/>
      <c r="G1431" s="23" t="str">
        <f aca="false">IF(A1431="","",TEXT(A1431,"yyyy-mm"))</f>
        <v/>
      </c>
      <c r="H1431" s="22" t="str">
        <f aca="false">IF(A1431="","",N(H1430)+IF(B1431="Masuk",N(D1431),-N(D1431)))</f>
        <v/>
      </c>
    </row>
    <row r="1432" customFormat="false" ht="15" hidden="false" customHeight="false" outlineLevel="0" collapsed="false">
      <c r="A1432" s="20"/>
      <c r="B1432" s="19"/>
      <c r="C1432" s="19"/>
      <c r="D1432" s="21"/>
      <c r="E1432" s="19"/>
      <c r="F1432" s="19"/>
      <c r="G1432" s="23" t="str">
        <f aca="false">IF(A1432="","",TEXT(A1432,"yyyy-mm"))</f>
        <v/>
      </c>
      <c r="H1432" s="22" t="str">
        <f aca="false">IF(A1432="","",N(H1431)+IF(B1432="Masuk",N(D1432),-N(D1432)))</f>
        <v/>
      </c>
    </row>
    <row r="1433" customFormat="false" ht="15" hidden="false" customHeight="false" outlineLevel="0" collapsed="false">
      <c r="A1433" s="20"/>
      <c r="B1433" s="19"/>
      <c r="C1433" s="19"/>
      <c r="D1433" s="21"/>
      <c r="E1433" s="19"/>
      <c r="F1433" s="19"/>
      <c r="G1433" s="23" t="str">
        <f aca="false">IF(A1433="","",TEXT(A1433,"yyyy-mm"))</f>
        <v/>
      </c>
      <c r="H1433" s="22" t="str">
        <f aca="false">IF(A1433="","",N(H1432)+IF(B1433="Masuk",N(D1433),-N(D1433)))</f>
        <v/>
      </c>
    </row>
    <row r="1434" customFormat="false" ht="15" hidden="false" customHeight="false" outlineLevel="0" collapsed="false">
      <c r="A1434" s="20"/>
      <c r="B1434" s="19"/>
      <c r="C1434" s="19"/>
      <c r="D1434" s="21"/>
      <c r="E1434" s="19"/>
      <c r="F1434" s="19"/>
      <c r="G1434" s="23" t="str">
        <f aca="false">IF(A1434="","",TEXT(A1434,"yyyy-mm"))</f>
        <v/>
      </c>
      <c r="H1434" s="22" t="str">
        <f aca="false">IF(A1434="","",N(H1433)+IF(B1434="Masuk",N(D1434),-N(D1434)))</f>
        <v/>
      </c>
    </row>
    <row r="1435" customFormat="false" ht="15" hidden="false" customHeight="false" outlineLevel="0" collapsed="false">
      <c r="A1435" s="20"/>
      <c r="B1435" s="19"/>
      <c r="C1435" s="19"/>
      <c r="D1435" s="21"/>
      <c r="E1435" s="19"/>
      <c r="F1435" s="19"/>
      <c r="G1435" s="23" t="str">
        <f aca="false">IF(A1435="","",TEXT(A1435,"yyyy-mm"))</f>
        <v/>
      </c>
      <c r="H1435" s="22" t="str">
        <f aca="false">IF(A1435="","",N(H1434)+IF(B1435="Masuk",N(D1435),-N(D1435)))</f>
        <v/>
      </c>
    </row>
    <row r="1436" customFormat="false" ht="15" hidden="false" customHeight="false" outlineLevel="0" collapsed="false">
      <c r="A1436" s="20"/>
      <c r="B1436" s="19"/>
      <c r="C1436" s="19"/>
      <c r="D1436" s="21"/>
      <c r="E1436" s="19"/>
      <c r="F1436" s="19"/>
      <c r="G1436" s="23" t="str">
        <f aca="false">IF(A1436="","",TEXT(A1436,"yyyy-mm"))</f>
        <v/>
      </c>
      <c r="H1436" s="22" t="str">
        <f aca="false">IF(A1436="","",N(H1435)+IF(B1436="Masuk",N(D1436),-N(D1436)))</f>
        <v/>
      </c>
    </row>
    <row r="1437" customFormat="false" ht="15" hidden="false" customHeight="false" outlineLevel="0" collapsed="false">
      <c r="A1437" s="20"/>
      <c r="B1437" s="19"/>
      <c r="C1437" s="19"/>
      <c r="D1437" s="21"/>
      <c r="E1437" s="19"/>
      <c r="F1437" s="19"/>
      <c r="G1437" s="23" t="str">
        <f aca="false">IF(A1437="","",TEXT(A1437,"yyyy-mm"))</f>
        <v/>
      </c>
      <c r="H1437" s="22" t="str">
        <f aca="false">IF(A1437="","",N(H1436)+IF(B1437="Masuk",N(D1437),-N(D1437)))</f>
        <v/>
      </c>
    </row>
    <row r="1438" customFormat="false" ht="15" hidden="false" customHeight="false" outlineLevel="0" collapsed="false">
      <c r="A1438" s="20"/>
      <c r="B1438" s="19"/>
      <c r="C1438" s="19"/>
      <c r="D1438" s="21"/>
      <c r="E1438" s="19"/>
      <c r="F1438" s="19"/>
      <c r="G1438" s="23" t="str">
        <f aca="false">IF(A1438="","",TEXT(A1438,"yyyy-mm"))</f>
        <v/>
      </c>
      <c r="H1438" s="22" t="str">
        <f aca="false">IF(A1438="","",N(H1437)+IF(B1438="Masuk",N(D1438),-N(D1438)))</f>
        <v/>
      </c>
    </row>
    <row r="1439" customFormat="false" ht="15" hidden="false" customHeight="false" outlineLevel="0" collapsed="false">
      <c r="A1439" s="20"/>
      <c r="B1439" s="19"/>
      <c r="C1439" s="19"/>
      <c r="D1439" s="21"/>
      <c r="E1439" s="19"/>
      <c r="F1439" s="19"/>
      <c r="G1439" s="23" t="str">
        <f aca="false">IF(A1439="","",TEXT(A1439,"yyyy-mm"))</f>
        <v/>
      </c>
      <c r="H1439" s="22" t="str">
        <f aca="false">IF(A1439="","",N(H1438)+IF(B1439="Masuk",N(D1439),-N(D1439)))</f>
        <v/>
      </c>
    </row>
    <row r="1440" customFormat="false" ht="15" hidden="false" customHeight="false" outlineLevel="0" collapsed="false">
      <c r="A1440" s="20"/>
      <c r="B1440" s="19"/>
      <c r="C1440" s="19"/>
      <c r="D1440" s="21"/>
      <c r="E1440" s="19"/>
      <c r="F1440" s="19"/>
      <c r="G1440" s="23" t="str">
        <f aca="false">IF(A1440="","",TEXT(A1440,"yyyy-mm"))</f>
        <v/>
      </c>
      <c r="H1440" s="22" t="str">
        <f aca="false">IF(A1440="","",N(H1439)+IF(B1440="Masuk",N(D1440),-N(D1440)))</f>
        <v/>
      </c>
    </row>
    <row r="1441" customFormat="false" ht="15" hidden="false" customHeight="false" outlineLevel="0" collapsed="false">
      <c r="A1441" s="20"/>
      <c r="B1441" s="19"/>
      <c r="C1441" s="19"/>
      <c r="D1441" s="21"/>
      <c r="E1441" s="19"/>
      <c r="F1441" s="19"/>
      <c r="G1441" s="23" t="str">
        <f aca="false">IF(A1441="","",TEXT(A1441,"yyyy-mm"))</f>
        <v/>
      </c>
      <c r="H1441" s="22" t="str">
        <f aca="false">IF(A1441="","",N(H1440)+IF(B1441="Masuk",N(D1441),-N(D1441)))</f>
        <v/>
      </c>
    </row>
    <row r="1442" customFormat="false" ht="15" hidden="false" customHeight="false" outlineLevel="0" collapsed="false">
      <c r="A1442" s="20"/>
      <c r="B1442" s="19"/>
      <c r="C1442" s="19"/>
      <c r="D1442" s="21"/>
      <c r="E1442" s="19"/>
      <c r="F1442" s="19"/>
      <c r="G1442" s="23" t="str">
        <f aca="false">IF(A1442="","",TEXT(A1442,"yyyy-mm"))</f>
        <v/>
      </c>
      <c r="H1442" s="22" t="str">
        <f aca="false">IF(A1442="","",N(H1441)+IF(B1442="Masuk",N(D1442),-N(D1442)))</f>
        <v/>
      </c>
    </row>
    <row r="1443" customFormat="false" ht="15" hidden="false" customHeight="false" outlineLevel="0" collapsed="false">
      <c r="A1443" s="20"/>
      <c r="B1443" s="19"/>
      <c r="C1443" s="19"/>
      <c r="D1443" s="21"/>
      <c r="E1443" s="19"/>
      <c r="F1443" s="19"/>
      <c r="G1443" s="23" t="str">
        <f aca="false">IF(A1443="","",TEXT(A1443,"yyyy-mm"))</f>
        <v/>
      </c>
      <c r="H1443" s="22" t="str">
        <f aca="false">IF(A1443="","",N(H1442)+IF(B1443="Masuk",N(D1443),-N(D1443)))</f>
        <v/>
      </c>
    </row>
    <row r="1444" customFormat="false" ht="15" hidden="false" customHeight="false" outlineLevel="0" collapsed="false">
      <c r="A1444" s="20"/>
      <c r="B1444" s="19"/>
      <c r="C1444" s="19"/>
      <c r="D1444" s="21"/>
      <c r="E1444" s="19"/>
      <c r="F1444" s="19"/>
      <c r="G1444" s="23" t="str">
        <f aca="false">IF(A1444="","",TEXT(A1444,"yyyy-mm"))</f>
        <v/>
      </c>
      <c r="H1444" s="22" t="str">
        <f aca="false">IF(A1444="","",N(H1443)+IF(B1444="Masuk",N(D1444),-N(D1444)))</f>
        <v/>
      </c>
    </row>
    <row r="1445" customFormat="false" ht="15" hidden="false" customHeight="false" outlineLevel="0" collapsed="false">
      <c r="A1445" s="20"/>
      <c r="B1445" s="19"/>
      <c r="C1445" s="19"/>
      <c r="D1445" s="21"/>
      <c r="E1445" s="19"/>
      <c r="F1445" s="19"/>
      <c r="G1445" s="23" t="str">
        <f aca="false">IF(A1445="","",TEXT(A1445,"yyyy-mm"))</f>
        <v/>
      </c>
      <c r="H1445" s="22" t="str">
        <f aca="false">IF(A1445="","",N(H1444)+IF(B1445="Masuk",N(D1445),-N(D1445)))</f>
        <v/>
      </c>
    </row>
    <row r="1446" customFormat="false" ht="15" hidden="false" customHeight="false" outlineLevel="0" collapsed="false">
      <c r="A1446" s="20"/>
      <c r="B1446" s="19"/>
      <c r="C1446" s="19"/>
      <c r="D1446" s="21"/>
      <c r="E1446" s="19"/>
      <c r="F1446" s="19"/>
      <c r="G1446" s="23" t="str">
        <f aca="false">IF(A1446="","",TEXT(A1446,"yyyy-mm"))</f>
        <v/>
      </c>
      <c r="H1446" s="22" t="str">
        <f aca="false">IF(A1446="","",N(H1445)+IF(B1446="Masuk",N(D1446),-N(D1446)))</f>
        <v/>
      </c>
    </row>
    <row r="1447" customFormat="false" ht="15" hidden="false" customHeight="false" outlineLevel="0" collapsed="false">
      <c r="A1447" s="20"/>
      <c r="B1447" s="19"/>
      <c r="C1447" s="19"/>
      <c r="D1447" s="21"/>
      <c r="E1447" s="19"/>
      <c r="F1447" s="19"/>
      <c r="G1447" s="23" t="str">
        <f aca="false">IF(A1447="","",TEXT(A1447,"yyyy-mm"))</f>
        <v/>
      </c>
      <c r="H1447" s="22" t="str">
        <f aca="false">IF(A1447="","",N(H1446)+IF(B1447="Masuk",N(D1447),-N(D1447)))</f>
        <v/>
      </c>
    </row>
    <row r="1448" customFormat="false" ht="15" hidden="false" customHeight="false" outlineLevel="0" collapsed="false">
      <c r="A1448" s="20"/>
      <c r="B1448" s="19"/>
      <c r="C1448" s="19"/>
      <c r="D1448" s="21"/>
      <c r="E1448" s="19"/>
      <c r="F1448" s="19"/>
      <c r="G1448" s="23" t="str">
        <f aca="false">IF(A1448="","",TEXT(A1448,"yyyy-mm"))</f>
        <v/>
      </c>
      <c r="H1448" s="22" t="str">
        <f aca="false">IF(A1448="","",N(H1447)+IF(B1448="Masuk",N(D1448),-N(D1448)))</f>
        <v/>
      </c>
    </row>
    <row r="1449" customFormat="false" ht="15" hidden="false" customHeight="false" outlineLevel="0" collapsed="false">
      <c r="A1449" s="20"/>
      <c r="B1449" s="19"/>
      <c r="C1449" s="19"/>
      <c r="D1449" s="21"/>
      <c r="E1449" s="19"/>
      <c r="F1449" s="19"/>
      <c r="G1449" s="23" t="str">
        <f aca="false">IF(A1449="","",TEXT(A1449,"yyyy-mm"))</f>
        <v/>
      </c>
      <c r="H1449" s="22" t="str">
        <f aca="false">IF(A1449="","",N(H1448)+IF(B1449="Masuk",N(D1449),-N(D1449)))</f>
        <v/>
      </c>
    </row>
    <row r="1450" customFormat="false" ht="15" hidden="false" customHeight="false" outlineLevel="0" collapsed="false">
      <c r="A1450" s="20"/>
      <c r="B1450" s="19"/>
      <c r="C1450" s="19"/>
      <c r="D1450" s="21"/>
      <c r="E1450" s="19"/>
      <c r="F1450" s="19"/>
      <c r="G1450" s="23" t="str">
        <f aca="false">IF(A1450="","",TEXT(A1450,"yyyy-mm"))</f>
        <v/>
      </c>
      <c r="H1450" s="22" t="str">
        <f aca="false">IF(A1450="","",N(H1449)+IF(B1450="Masuk",N(D1450),-N(D1450)))</f>
        <v/>
      </c>
    </row>
    <row r="1451" customFormat="false" ht="15" hidden="false" customHeight="false" outlineLevel="0" collapsed="false">
      <c r="A1451" s="20"/>
      <c r="B1451" s="19"/>
      <c r="C1451" s="19"/>
      <c r="D1451" s="21"/>
      <c r="E1451" s="19"/>
      <c r="F1451" s="19"/>
      <c r="G1451" s="23" t="str">
        <f aca="false">IF(A1451="","",TEXT(A1451,"yyyy-mm"))</f>
        <v/>
      </c>
      <c r="H1451" s="22" t="str">
        <f aca="false">IF(A1451="","",N(H1450)+IF(B1451="Masuk",N(D1451),-N(D1451)))</f>
        <v/>
      </c>
    </row>
    <row r="1452" customFormat="false" ht="15" hidden="false" customHeight="false" outlineLevel="0" collapsed="false">
      <c r="A1452" s="20"/>
      <c r="B1452" s="19"/>
      <c r="C1452" s="19"/>
      <c r="D1452" s="21"/>
      <c r="E1452" s="19"/>
      <c r="F1452" s="19"/>
      <c r="G1452" s="23" t="str">
        <f aca="false">IF(A1452="","",TEXT(A1452,"yyyy-mm"))</f>
        <v/>
      </c>
      <c r="H1452" s="22" t="str">
        <f aca="false">IF(A1452="","",N(H1451)+IF(B1452="Masuk",N(D1452),-N(D1452)))</f>
        <v/>
      </c>
    </row>
    <row r="1453" customFormat="false" ht="15" hidden="false" customHeight="false" outlineLevel="0" collapsed="false">
      <c r="A1453" s="20"/>
      <c r="B1453" s="19"/>
      <c r="C1453" s="19"/>
      <c r="D1453" s="21"/>
      <c r="E1453" s="19"/>
      <c r="F1453" s="19"/>
      <c r="G1453" s="23" t="str">
        <f aca="false">IF(A1453="","",TEXT(A1453,"yyyy-mm"))</f>
        <v/>
      </c>
      <c r="H1453" s="22" t="str">
        <f aca="false">IF(A1453="","",N(H1452)+IF(B1453="Masuk",N(D1453),-N(D1453)))</f>
        <v/>
      </c>
    </row>
    <row r="1454" customFormat="false" ht="15" hidden="false" customHeight="false" outlineLevel="0" collapsed="false">
      <c r="A1454" s="20"/>
      <c r="B1454" s="19"/>
      <c r="C1454" s="19"/>
      <c r="D1454" s="21"/>
      <c r="E1454" s="19"/>
      <c r="F1454" s="19"/>
      <c r="G1454" s="23" t="str">
        <f aca="false">IF(A1454="","",TEXT(A1454,"yyyy-mm"))</f>
        <v/>
      </c>
      <c r="H1454" s="22" t="str">
        <f aca="false">IF(A1454="","",N(H1453)+IF(B1454="Masuk",N(D1454),-N(D1454)))</f>
        <v/>
      </c>
    </row>
    <row r="1455" customFormat="false" ht="15" hidden="false" customHeight="false" outlineLevel="0" collapsed="false">
      <c r="A1455" s="20"/>
      <c r="B1455" s="19"/>
      <c r="C1455" s="19"/>
      <c r="D1455" s="21"/>
      <c r="E1455" s="19"/>
      <c r="F1455" s="19"/>
      <c r="G1455" s="23" t="str">
        <f aca="false">IF(A1455="","",TEXT(A1455,"yyyy-mm"))</f>
        <v/>
      </c>
      <c r="H1455" s="22" t="str">
        <f aca="false">IF(A1455="","",N(H1454)+IF(B1455="Masuk",N(D1455),-N(D1455)))</f>
        <v/>
      </c>
    </row>
    <row r="1456" customFormat="false" ht="15" hidden="false" customHeight="false" outlineLevel="0" collapsed="false">
      <c r="A1456" s="20"/>
      <c r="B1456" s="19"/>
      <c r="C1456" s="19"/>
      <c r="D1456" s="21"/>
      <c r="E1456" s="19"/>
      <c r="F1456" s="19"/>
      <c r="G1456" s="23" t="str">
        <f aca="false">IF(A1456="","",TEXT(A1456,"yyyy-mm"))</f>
        <v/>
      </c>
      <c r="H1456" s="22" t="str">
        <f aca="false">IF(A1456="","",N(H1455)+IF(B1456="Masuk",N(D1456),-N(D1456)))</f>
        <v/>
      </c>
    </row>
    <row r="1457" customFormat="false" ht="15" hidden="false" customHeight="false" outlineLevel="0" collapsed="false">
      <c r="A1457" s="20"/>
      <c r="B1457" s="19"/>
      <c r="C1457" s="19"/>
      <c r="D1457" s="21"/>
      <c r="E1457" s="19"/>
      <c r="F1457" s="19"/>
      <c r="G1457" s="23" t="str">
        <f aca="false">IF(A1457="","",TEXT(A1457,"yyyy-mm"))</f>
        <v/>
      </c>
      <c r="H1457" s="22" t="str">
        <f aca="false">IF(A1457="","",N(H1456)+IF(B1457="Masuk",N(D1457),-N(D1457)))</f>
        <v/>
      </c>
    </row>
    <row r="1458" customFormat="false" ht="15" hidden="false" customHeight="false" outlineLevel="0" collapsed="false">
      <c r="A1458" s="20"/>
      <c r="B1458" s="19"/>
      <c r="C1458" s="19"/>
      <c r="D1458" s="21"/>
      <c r="E1458" s="19"/>
      <c r="F1458" s="19"/>
      <c r="G1458" s="23" t="str">
        <f aca="false">IF(A1458="","",TEXT(A1458,"yyyy-mm"))</f>
        <v/>
      </c>
      <c r="H1458" s="22" t="str">
        <f aca="false">IF(A1458="","",N(H1457)+IF(B1458="Masuk",N(D1458),-N(D1458)))</f>
        <v/>
      </c>
    </row>
    <row r="1459" customFormat="false" ht="15" hidden="false" customHeight="false" outlineLevel="0" collapsed="false">
      <c r="A1459" s="20"/>
      <c r="B1459" s="19"/>
      <c r="C1459" s="19"/>
      <c r="D1459" s="21"/>
      <c r="E1459" s="19"/>
      <c r="F1459" s="19"/>
      <c r="G1459" s="23" t="str">
        <f aca="false">IF(A1459="","",TEXT(A1459,"yyyy-mm"))</f>
        <v/>
      </c>
      <c r="H1459" s="22" t="str">
        <f aca="false">IF(A1459="","",N(H1458)+IF(B1459="Masuk",N(D1459),-N(D1459)))</f>
        <v/>
      </c>
    </row>
    <row r="1460" customFormat="false" ht="15" hidden="false" customHeight="false" outlineLevel="0" collapsed="false">
      <c r="A1460" s="20"/>
      <c r="B1460" s="19"/>
      <c r="C1460" s="19"/>
      <c r="D1460" s="21"/>
      <c r="E1460" s="19"/>
      <c r="F1460" s="19"/>
      <c r="G1460" s="23" t="str">
        <f aca="false">IF(A1460="","",TEXT(A1460,"yyyy-mm"))</f>
        <v/>
      </c>
      <c r="H1460" s="22" t="str">
        <f aca="false">IF(A1460="","",N(H1459)+IF(B1460="Masuk",N(D1460),-N(D1460)))</f>
        <v/>
      </c>
    </row>
    <row r="1461" customFormat="false" ht="15" hidden="false" customHeight="false" outlineLevel="0" collapsed="false">
      <c r="A1461" s="20"/>
      <c r="B1461" s="19"/>
      <c r="C1461" s="19"/>
      <c r="D1461" s="21"/>
      <c r="E1461" s="19"/>
      <c r="F1461" s="19"/>
      <c r="G1461" s="23" t="str">
        <f aca="false">IF(A1461="","",TEXT(A1461,"yyyy-mm"))</f>
        <v/>
      </c>
      <c r="H1461" s="22" t="str">
        <f aca="false">IF(A1461="","",N(H1460)+IF(B1461="Masuk",N(D1461),-N(D1461)))</f>
        <v/>
      </c>
    </row>
    <row r="1462" customFormat="false" ht="15" hidden="false" customHeight="false" outlineLevel="0" collapsed="false">
      <c r="A1462" s="20"/>
      <c r="B1462" s="19"/>
      <c r="C1462" s="19"/>
      <c r="D1462" s="21"/>
      <c r="E1462" s="19"/>
      <c r="F1462" s="19"/>
      <c r="G1462" s="23" t="str">
        <f aca="false">IF(A1462="","",TEXT(A1462,"yyyy-mm"))</f>
        <v/>
      </c>
      <c r="H1462" s="22" t="str">
        <f aca="false">IF(A1462="","",N(H1461)+IF(B1462="Masuk",N(D1462),-N(D1462)))</f>
        <v/>
      </c>
    </row>
    <row r="1463" customFormat="false" ht="15" hidden="false" customHeight="false" outlineLevel="0" collapsed="false">
      <c r="A1463" s="20"/>
      <c r="B1463" s="19"/>
      <c r="C1463" s="19"/>
      <c r="D1463" s="21"/>
      <c r="E1463" s="19"/>
      <c r="F1463" s="19"/>
      <c r="G1463" s="23" t="str">
        <f aca="false">IF(A1463="","",TEXT(A1463,"yyyy-mm"))</f>
        <v/>
      </c>
      <c r="H1463" s="22" t="str">
        <f aca="false">IF(A1463="","",N(H1462)+IF(B1463="Masuk",N(D1463),-N(D1463)))</f>
        <v/>
      </c>
    </row>
    <row r="1464" customFormat="false" ht="15" hidden="false" customHeight="false" outlineLevel="0" collapsed="false">
      <c r="A1464" s="20"/>
      <c r="B1464" s="19"/>
      <c r="C1464" s="19"/>
      <c r="D1464" s="21"/>
      <c r="E1464" s="19"/>
      <c r="F1464" s="19"/>
      <c r="G1464" s="23" t="str">
        <f aca="false">IF(A1464="","",TEXT(A1464,"yyyy-mm"))</f>
        <v/>
      </c>
      <c r="H1464" s="22" t="str">
        <f aca="false">IF(A1464="","",N(H1463)+IF(B1464="Masuk",N(D1464),-N(D1464)))</f>
        <v/>
      </c>
    </row>
    <row r="1465" customFormat="false" ht="15" hidden="false" customHeight="false" outlineLevel="0" collapsed="false">
      <c r="A1465" s="20"/>
      <c r="B1465" s="19"/>
      <c r="C1465" s="19"/>
      <c r="D1465" s="21"/>
      <c r="E1465" s="19"/>
      <c r="F1465" s="19"/>
      <c r="G1465" s="23" t="str">
        <f aca="false">IF(A1465="","",TEXT(A1465,"yyyy-mm"))</f>
        <v/>
      </c>
      <c r="H1465" s="22" t="str">
        <f aca="false">IF(A1465="","",N(H1464)+IF(B1465="Masuk",N(D1465),-N(D1465)))</f>
        <v/>
      </c>
    </row>
    <row r="1466" customFormat="false" ht="15" hidden="false" customHeight="false" outlineLevel="0" collapsed="false">
      <c r="A1466" s="20"/>
      <c r="B1466" s="19"/>
      <c r="C1466" s="19"/>
      <c r="D1466" s="21"/>
      <c r="E1466" s="19"/>
      <c r="F1466" s="19"/>
      <c r="G1466" s="23" t="str">
        <f aca="false">IF(A1466="","",TEXT(A1466,"yyyy-mm"))</f>
        <v/>
      </c>
      <c r="H1466" s="22" t="str">
        <f aca="false">IF(A1466="","",N(H1465)+IF(B1466="Masuk",N(D1466),-N(D1466)))</f>
        <v/>
      </c>
    </row>
    <row r="1467" customFormat="false" ht="15" hidden="false" customHeight="false" outlineLevel="0" collapsed="false">
      <c r="A1467" s="20"/>
      <c r="B1467" s="19"/>
      <c r="C1467" s="19"/>
      <c r="D1467" s="21"/>
      <c r="E1467" s="19"/>
      <c r="F1467" s="19"/>
      <c r="G1467" s="23" t="str">
        <f aca="false">IF(A1467="","",TEXT(A1467,"yyyy-mm"))</f>
        <v/>
      </c>
      <c r="H1467" s="22" t="str">
        <f aca="false">IF(A1467="","",N(H1466)+IF(B1467="Masuk",N(D1467),-N(D1467)))</f>
        <v/>
      </c>
    </row>
    <row r="1468" customFormat="false" ht="15" hidden="false" customHeight="false" outlineLevel="0" collapsed="false">
      <c r="A1468" s="20"/>
      <c r="B1468" s="19"/>
      <c r="C1468" s="19"/>
      <c r="D1468" s="21"/>
      <c r="E1468" s="19"/>
      <c r="F1468" s="19"/>
      <c r="G1468" s="23" t="str">
        <f aca="false">IF(A1468="","",TEXT(A1468,"yyyy-mm"))</f>
        <v/>
      </c>
      <c r="H1468" s="22" t="str">
        <f aca="false">IF(A1468="","",N(H1467)+IF(B1468="Masuk",N(D1468),-N(D1468)))</f>
        <v/>
      </c>
    </row>
    <row r="1469" customFormat="false" ht="15" hidden="false" customHeight="false" outlineLevel="0" collapsed="false">
      <c r="A1469" s="20"/>
      <c r="B1469" s="19"/>
      <c r="C1469" s="19"/>
      <c r="D1469" s="21"/>
      <c r="E1469" s="19"/>
      <c r="F1469" s="19"/>
      <c r="G1469" s="23" t="str">
        <f aca="false">IF(A1469="","",TEXT(A1469,"yyyy-mm"))</f>
        <v/>
      </c>
      <c r="H1469" s="22" t="str">
        <f aca="false">IF(A1469="","",N(H1468)+IF(B1469="Masuk",N(D1469),-N(D1469)))</f>
        <v/>
      </c>
    </row>
    <row r="1470" customFormat="false" ht="15" hidden="false" customHeight="false" outlineLevel="0" collapsed="false">
      <c r="A1470" s="20"/>
      <c r="B1470" s="19"/>
      <c r="C1470" s="19"/>
      <c r="D1470" s="21"/>
      <c r="E1470" s="19"/>
      <c r="F1470" s="19"/>
      <c r="G1470" s="23" t="str">
        <f aca="false">IF(A1470="","",TEXT(A1470,"yyyy-mm"))</f>
        <v/>
      </c>
      <c r="H1470" s="22" t="str">
        <f aca="false">IF(A1470="","",N(H1469)+IF(B1470="Masuk",N(D1470),-N(D1470)))</f>
        <v/>
      </c>
    </row>
    <row r="1471" customFormat="false" ht="15" hidden="false" customHeight="false" outlineLevel="0" collapsed="false">
      <c r="A1471" s="20"/>
      <c r="B1471" s="19"/>
      <c r="C1471" s="19"/>
      <c r="D1471" s="21"/>
      <c r="E1471" s="19"/>
      <c r="F1471" s="19"/>
      <c r="G1471" s="23" t="str">
        <f aca="false">IF(A1471="","",TEXT(A1471,"yyyy-mm"))</f>
        <v/>
      </c>
      <c r="H1471" s="22" t="str">
        <f aca="false">IF(A1471="","",N(H1470)+IF(B1471="Masuk",N(D1471),-N(D1471)))</f>
        <v/>
      </c>
    </row>
    <row r="1472" customFormat="false" ht="15" hidden="false" customHeight="false" outlineLevel="0" collapsed="false">
      <c r="A1472" s="20"/>
      <c r="B1472" s="19"/>
      <c r="C1472" s="19"/>
      <c r="D1472" s="21"/>
      <c r="E1472" s="19"/>
      <c r="F1472" s="19"/>
      <c r="G1472" s="23" t="str">
        <f aca="false">IF(A1472="","",TEXT(A1472,"yyyy-mm"))</f>
        <v/>
      </c>
      <c r="H1472" s="22" t="str">
        <f aca="false">IF(A1472="","",N(H1471)+IF(B1472="Masuk",N(D1472),-N(D1472)))</f>
        <v/>
      </c>
    </row>
    <row r="1473" customFormat="false" ht="15" hidden="false" customHeight="false" outlineLevel="0" collapsed="false">
      <c r="A1473" s="20"/>
      <c r="B1473" s="19"/>
      <c r="C1473" s="19"/>
      <c r="D1473" s="21"/>
      <c r="E1473" s="19"/>
      <c r="F1473" s="19"/>
      <c r="G1473" s="23" t="str">
        <f aca="false">IF(A1473="","",TEXT(A1473,"yyyy-mm"))</f>
        <v/>
      </c>
      <c r="H1473" s="22" t="str">
        <f aca="false">IF(A1473="","",N(H1472)+IF(B1473="Masuk",N(D1473),-N(D1473)))</f>
        <v/>
      </c>
    </row>
    <row r="1474" customFormat="false" ht="15" hidden="false" customHeight="false" outlineLevel="0" collapsed="false">
      <c r="A1474" s="20"/>
      <c r="B1474" s="19"/>
      <c r="C1474" s="19"/>
      <c r="D1474" s="21"/>
      <c r="E1474" s="19"/>
      <c r="F1474" s="19"/>
      <c r="G1474" s="23" t="str">
        <f aca="false">IF(A1474="","",TEXT(A1474,"yyyy-mm"))</f>
        <v/>
      </c>
      <c r="H1474" s="22" t="str">
        <f aca="false">IF(A1474="","",N(H1473)+IF(B1474="Masuk",N(D1474),-N(D1474)))</f>
        <v/>
      </c>
    </row>
    <row r="1475" customFormat="false" ht="15" hidden="false" customHeight="false" outlineLevel="0" collapsed="false">
      <c r="A1475" s="20"/>
      <c r="B1475" s="19"/>
      <c r="C1475" s="19"/>
      <c r="D1475" s="21"/>
      <c r="E1475" s="19"/>
      <c r="F1475" s="19"/>
      <c r="G1475" s="23" t="str">
        <f aca="false">IF(A1475="","",TEXT(A1475,"yyyy-mm"))</f>
        <v/>
      </c>
      <c r="H1475" s="22" t="str">
        <f aca="false">IF(A1475="","",N(H1474)+IF(B1475="Masuk",N(D1475),-N(D1475)))</f>
        <v/>
      </c>
    </row>
    <row r="1476" customFormat="false" ht="15" hidden="false" customHeight="false" outlineLevel="0" collapsed="false">
      <c r="A1476" s="20"/>
      <c r="B1476" s="19"/>
      <c r="C1476" s="19"/>
      <c r="D1476" s="21"/>
      <c r="E1476" s="19"/>
      <c r="F1476" s="19"/>
      <c r="G1476" s="23" t="str">
        <f aca="false">IF(A1476="","",TEXT(A1476,"yyyy-mm"))</f>
        <v/>
      </c>
      <c r="H1476" s="22" t="str">
        <f aca="false">IF(A1476="","",N(H1475)+IF(B1476="Masuk",N(D1476),-N(D1476)))</f>
        <v/>
      </c>
    </row>
    <row r="1477" customFormat="false" ht="15" hidden="false" customHeight="false" outlineLevel="0" collapsed="false">
      <c r="A1477" s="20"/>
      <c r="B1477" s="19"/>
      <c r="C1477" s="19"/>
      <c r="D1477" s="21"/>
      <c r="E1477" s="19"/>
      <c r="F1477" s="19"/>
      <c r="G1477" s="23" t="str">
        <f aca="false">IF(A1477="","",TEXT(A1477,"yyyy-mm"))</f>
        <v/>
      </c>
      <c r="H1477" s="22" t="str">
        <f aca="false">IF(A1477="","",N(H1476)+IF(B1477="Masuk",N(D1477),-N(D1477)))</f>
        <v/>
      </c>
    </row>
    <row r="1478" customFormat="false" ht="15" hidden="false" customHeight="false" outlineLevel="0" collapsed="false">
      <c r="A1478" s="20"/>
      <c r="B1478" s="19"/>
      <c r="C1478" s="19"/>
      <c r="D1478" s="21"/>
      <c r="E1478" s="19"/>
      <c r="F1478" s="19"/>
      <c r="G1478" s="23" t="str">
        <f aca="false">IF(A1478="","",TEXT(A1478,"yyyy-mm"))</f>
        <v/>
      </c>
      <c r="H1478" s="22" t="str">
        <f aca="false">IF(A1478="","",N(H1477)+IF(B1478="Masuk",N(D1478),-N(D1478)))</f>
        <v/>
      </c>
    </row>
    <row r="1479" customFormat="false" ht="15" hidden="false" customHeight="false" outlineLevel="0" collapsed="false">
      <c r="A1479" s="20"/>
      <c r="B1479" s="19"/>
      <c r="C1479" s="19"/>
      <c r="D1479" s="21"/>
      <c r="E1479" s="19"/>
      <c r="F1479" s="19"/>
      <c r="G1479" s="23" t="str">
        <f aca="false">IF(A1479="","",TEXT(A1479,"yyyy-mm"))</f>
        <v/>
      </c>
      <c r="H1479" s="22" t="str">
        <f aca="false">IF(A1479="","",N(H1478)+IF(B1479="Masuk",N(D1479),-N(D1479)))</f>
        <v/>
      </c>
    </row>
    <row r="1480" customFormat="false" ht="15" hidden="false" customHeight="false" outlineLevel="0" collapsed="false">
      <c r="A1480" s="20"/>
      <c r="B1480" s="19"/>
      <c r="C1480" s="19"/>
      <c r="D1480" s="21"/>
      <c r="E1480" s="19"/>
      <c r="F1480" s="19"/>
      <c r="G1480" s="23" t="str">
        <f aca="false">IF(A1480="","",TEXT(A1480,"yyyy-mm"))</f>
        <v/>
      </c>
      <c r="H1480" s="22" t="str">
        <f aca="false">IF(A1480="","",N(H1479)+IF(B1480="Masuk",N(D1480),-N(D1480)))</f>
        <v/>
      </c>
    </row>
    <row r="1481" customFormat="false" ht="15" hidden="false" customHeight="false" outlineLevel="0" collapsed="false">
      <c r="A1481" s="20"/>
      <c r="B1481" s="19"/>
      <c r="C1481" s="19"/>
      <c r="D1481" s="21"/>
      <c r="E1481" s="19"/>
      <c r="F1481" s="19"/>
      <c r="G1481" s="23" t="str">
        <f aca="false">IF(A1481="","",TEXT(A1481,"yyyy-mm"))</f>
        <v/>
      </c>
      <c r="H1481" s="22" t="str">
        <f aca="false">IF(A1481="","",N(H1480)+IF(B1481="Masuk",N(D1481),-N(D1481)))</f>
        <v/>
      </c>
    </row>
    <row r="1482" customFormat="false" ht="15" hidden="false" customHeight="false" outlineLevel="0" collapsed="false">
      <c r="A1482" s="20"/>
      <c r="B1482" s="19"/>
      <c r="C1482" s="19"/>
      <c r="D1482" s="21"/>
      <c r="E1482" s="19"/>
      <c r="F1482" s="19"/>
      <c r="G1482" s="23" t="str">
        <f aca="false">IF(A1482="","",TEXT(A1482,"yyyy-mm"))</f>
        <v/>
      </c>
      <c r="H1482" s="22" t="str">
        <f aca="false">IF(A1482="","",N(H1481)+IF(B1482="Masuk",N(D1482),-N(D1482)))</f>
        <v/>
      </c>
    </row>
    <row r="1483" customFormat="false" ht="15" hidden="false" customHeight="false" outlineLevel="0" collapsed="false">
      <c r="A1483" s="20"/>
      <c r="B1483" s="19"/>
      <c r="C1483" s="19"/>
      <c r="D1483" s="21"/>
      <c r="E1483" s="19"/>
      <c r="F1483" s="19"/>
      <c r="G1483" s="23" t="str">
        <f aca="false">IF(A1483="","",TEXT(A1483,"yyyy-mm"))</f>
        <v/>
      </c>
      <c r="H1483" s="22" t="str">
        <f aca="false">IF(A1483="","",N(H1482)+IF(B1483="Masuk",N(D1483),-N(D1483)))</f>
        <v/>
      </c>
    </row>
    <row r="1484" customFormat="false" ht="15" hidden="false" customHeight="false" outlineLevel="0" collapsed="false">
      <c r="A1484" s="20"/>
      <c r="B1484" s="19"/>
      <c r="C1484" s="19"/>
      <c r="D1484" s="21"/>
      <c r="E1484" s="19"/>
      <c r="F1484" s="19"/>
      <c r="G1484" s="23" t="str">
        <f aca="false">IF(A1484="","",TEXT(A1484,"yyyy-mm"))</f>
        <v/>
      </c>
      <c r="H1484" s="22" t="str">
        <f aca="false">IF(A1484="","",N(H1483)+IF(B1484="Masuk",N(D1484),-N(D1484)))</f>
        <v/>
      </c>
    </row>
    <row r="1485" customFormat="false" ht="15" hidden="false" customHeight="false" outlineLevel="0" collapsed="false">
      <c r="A1485" s="20"/>
      <c r="B1485" s="19"/>
      <c r="C1485" s="19"/>
      <c r="D1485" s="21"/>
      <c r="E1485" s="19"/>
      <c r="F1485" s="19"/>
      <c r="G1485" s="23" t="str">
        <f aca="false">IF(A1485="","",TEXT(A1485,"yyyy-mm"))</f>
        <v/>
      </c>
      <c r="H1485" s="22" t="str">
        <f aca="false">IF(A1485="","",N(H1484)+IF(B1485="Masuk",N(D1485),-N(D1485)))</f>
        <v/>
      </c>
    </row>
    <row r="1486" customFormat="false" ht="15" hidden="false" customHeight="false" outlineLevel="0" collapsed="false">
      <c r="A1486" s="20"/>
      <c r="B1486" s="19"/>
      <c r="C1486" s="19"/>
      <c r="D1486" s="21"/>
      <c r="E1486" s="19"/>
      <c r="F1486" s="19"/>
      <c r="G1486" s="23" t="str">
        <f aca="false">IF(A1486="","",TEXT(A1486,"yyyy-mm"))</f>
        <v/>
      </c>
      <c r="H1486" s="22" t="str">
        <f aca="false">IF(A1486="","",N(H1485)+IF(B1486="Masuk",N(D1486),-N(D1486)))</f>
        <v/>
      </c>
    </row>
    <row r="1487" customFormat="false" ht="15" hidden="false" customHeight="false" outlineLevel="0" collapsed="false">
      <c r="A1487" s="20"/>
      <c r="B1487" s="19"/>
      <c r="C1487" s="19"/>
      <c r="D1487" s="21"/>
      <c r="E1487" s="19"/>
      <c r="F1487" s="19"/>
      <c r="G1487" s="23" t="str">
        <f aca="false">IF(A1487="","",TEXT(A1487,"yyyy-mm"))</f>
        <v/>
      </c>
      <c r="H1487" s="22" t="str">
        <f aca="false">IF(A1487="","",N(H1486)+IF(B1487="Masuk",N(D1487),-N(D1487)))</f>
        <v/>
      </c>
    </row>
    <row r="1488" customFormat="false" ht="15" hidden="false" customHeight="false" outlineLevel="0" collapsed="false">
      <c r="A1488" s="20"/>
      <c r="B1488" s="19"/>
      <c r="C1488" s="19"/>
      <c r="D1488" s="21"/>
      <c r="E1488" s="19"/>
      <c r="F1488" s="19"/>
      <c r="G1488" s="23" t="str">
        <f aca="false">IF(A1488="","",TEXT(A1488,"yyyy-mm"))</f>
        <v/>
      </c>
      <c r="H1488" s="22" t="str">
        <f aca="false">IF(A1488="","",N(H1487)+IF(B1488="Masuk",N(D1488),-N(D1488)))</f>
        <v/>
      </c>
    </row>
    <row r="1489" customFormat="false" ht="15" hidden="false" customHeight="false" outlineLevel="0" collapsed="false">
      <c r="A1489" s="20"/>
      <c r="B1489" s="19"/>
      <c r="C1489" s="19"/>
      <c r="D1489" s="21"/>
      <c r="E1489" s="19"/>
      <c r="F1489" s="19"/>
      <c r="G1489" s="23" t="str">
        <f aca="false">IF(A1489="","",TEXT(A1489,"yyyy-mm"))</f>
        <v/>
      </c>
      <c r="H1489" s="22" t="str">
        <f aca="false">IF(A1489="","",N(H1488)+IF(B1489="Masuk",N(D1489),-N(D1489)))</f>
        <v/>
      </c>
    </row>
    <row r="1490" customFormat="false" ht="15" hidden="false" customHeight="false" outlineLevel="0" collapsed="false">
      <c r="A1490" s="20"/>
      <c r="B1490" s="19"/>
      <c r="C1490" s="19"/>
      <c r="D1490" s="21"/>
      <c r="E1490" s="19"/>
      <c r="F1490" s="19"/>
      <c r="G1490" s="23" t="str">
        <f aca="false">IF(A1490="","",TEXT(A1490,"yyyy-mm"))</f>
        <v/>
      </c>
      <c r="H1490" s="22" t="str">
        <f aca="false">IF(A1490="","",N(H1489)+IF(B1490="Masuk",N(D1490),-N(D1490)))</f>
        <v/>
      </c>
    </row>
    <row r="1491" customFormat="false" ht="15" hidden="false" customHeight="false" outlineLevel="0" collapsed="false">
      <c r="A1491" s="20"/>
      <c r="B1491" s="19"/>
      <c r="C1491" s="19"/>
      <c r="D1491" s="21"/>
      <c r="E1491" s="19"/>
      <c r="F1491" s="19"/>
      <c r="G1491" s="23" t="str">
        <f aca="false">IF(A1491="","",TEXT(A1491,"yyyy-mm"))</f>
        <v/>
      </c>
      <c r="H1491" s="22" t="str">
        <f aca="false">IF(A1491="","",N(H1490)+IF(B1491="Masuk",N(D1491),-N(D1491)))</f>
        <v/>
      </c>
    </row>
    <row r="1492" customFormat="false" ht="15" hidden="false" customHeight="false" outlineLevel="0" collapsed="false">
      <c r="A1492" s="20"/>
      <c r="B1492" s="19"/>
      <c r="C1492" s="19"/>
      <c r="D1492" s="21"/>
      <c r="E1492" s="19"/>
      <c r="F1492" s="19"/>
      <c r="G1492" s="23" t="str">
        <f aca="false">IF(A1492="","",TEXT(A1492,"yyyy-mm"))</f>
        <v/>
      </c>
      <c r="H1492" s="22" t="str">
        <f aca="false">IF(A1492="","",N(H1491)+IF(B1492="Masuk",N(D1492),-N(D1492)))</f>
        <v/>
      </c>
    </row>
    <row r="1493" customFormat="false" ht="15" hidden="false" customHeight="false" outlineLevel="0" collapsed="false">
      <c r="A1493" s="20"/>
      <c r="B1493" s="19"/>
      <c r="C1493" s="19"/>
      <c r="D1493" s="21"/>
      <c r="E1493" s="19"/>
      <c r="F1493" s="19"/>
      <c r="G1493" s="23" t="str">
        <f aca="false">IF(A1493="","",TEXT(A1493,"yyyy-mm"))</f>
        <v/>
      </c>
      <c r="H1493" s="22" t="str">
        <f aca="false">IF(A1493="","",N(H1492)+IF(B1493="Masuk",N(D1493),-N(D1493)))</f>
        <v/>
      </c>
    </row>
    <row r="1494" customFormat="false" ht="15" hidden="false" customHeight="false" outlineLevel="0" collapsed="false">
      <c r="A1494" s="20"/>
      <c r="B1494" s="19"/>
      <c r="C1494" s="19"/>
      <c r="D1494" s="21"/>
      <c r="E1494" s="19"/>
      <c r="F1494" s="19"/>
      <c r="G1494" s="23" t="str">
        <f aca="false">IF(A1494="","",TEXT(A1494,"yyyy-mm"))</f>
        <v/>
      </c>
      <c r="H1494" s="22" t="str">
        <f aca="false">IF(A1494="","",N(H1493)+IF(B1494="Masuk",N(D1494),-N(D1494)))</f>
        <v/>
      </c>
    </row>
    <row r="1495" customFormat="false" ht="15" hidden="false" customHeight="false" outlineLevel="0" collapsed="false">
      <c r="A1495" s="20"/>
      <c r="B1495" s="19"/>
      <c r="C1495" s="19"/>
      <c r="D1495" s="21"/>
      <c r="E1495" s="19"/>
      <c r="F1495" s="19"/>
      <c r="G1495" s="23" t="str">
        <f aca="false">IF(A1495="","",TEXT(A1495,"yyyy-mm"))</f>
        <v/>
      </c>
      <c r="H1495" s="22" t="str">
        <f aca="false">IF(A1495="","",N(H1494)+IF(B1495="Masuk",N(D1495),-N(D1495)))</f>
        <v/>
      </c>
    </row>
    <row r="1496" customFormat="false" ht="15" hidden="false" customHeight="false" outlineLevel="0" collapsed="false">
      <c r="A1496" s="20"/>
      <c r="B1496" s="19"/>
      <c r="C1496" s="19"/>
      <c r="D1496" s="21"/>
      <c r="E1496" s="19"/>
      <c r="F1496" s="19"/>
      <c r="G1496" s="23" t="str">
        <f aca="false">IF(A1496="","",TEXT(A1496,"yyyy-mm"))</f>
        <v/>
      </c>
      <c r="H1496" s="22" t="str">
        <f aca="false">IF(A1496="","",N(H1495)+IF(B1496="Masuk",N(D1496),-N(D1496)))</f>
        <v/>
      </c>
    </row>
    <row r="1497" customFormat="false" ht="15" hidden="false" customHeight="false" outlineLevel="0" collapsed="false">
      <c r="A1497" s="20"/>
      <c r="B1497" s="19"/>
      <c r="C1497" s="19"/>
      <c r="D1497" s="21"/>
      <c r="E1497" s="19"/>
      <c r="F1497" s="19"/>
      <c r="G1497" s="23" t="str">
        <f aca="false">IF(A1497="","",TEXT(A1497,"yyyy-mm"))</f>
        <v/>
      </c>
      <c r="H1497" s="22" t="str">
        <f aca="false">IF(A1497="","",N(H1496)+IF(B1497="Masuk",N(D1497),-N(D1497)))</f>
        <v/>
      </c>
    </row>
    <row r="1498" customFormat="false" ht="15" hidden="false" customHeight="false" outlineLevel="0" collapsed="false">
      <c r="A1498" s="20"/>
      <c r="B1498" s="19"/>
      <c r="C1498" s="19"/>
      <c r="D1498" s="21"/>
      <c r="E1498" s="19"/>
      <c r="F1498" s="19"/>
      <c r="G1498" s="23" t="str">
        <f aca="false">IF(A1498="","",TEXT(A1498,"yyyy-mm"))</f>
        <v/>
      </c>
      <c r="H1498" s="22" t="str">
        <f aca="false">IF(A1498="","",N(H1497)+IF(B1498="Masuk",N(D1498),-N(D1498)))</f>
        <v/>
      </c>
    </row>
    <row r="1499" customFormat="false" ht="15" hidden="false" customHeight="false" outlineLevel="0" collapsed="false">
      <c r="A1499" s="20"/>
      <c r="B1499" s="19"/>
      <c r="C1499" s="19"/>
      <c r="D1499" s="21"/>
      <c r="E1499" s="19"/>
      <c r="F1499" s="19"/>
      <c r="G1499" s="23" t="str">
        <f aca="false">IF(A1499="","",TEXT(A1499,"yyyy-mm"))</f>
        <v/>
      </c>
      <c r="H1499" s="22" t="str">
        <f aca="false">IF(A1499="","",N(H1498)+IF(B1499="Masuk",N(D1499),-N(D1499)))</f>
        <v/>
      </c>
    </row>
    <row r="1500" customFormat="false" ht="15" hidden="false" customHeight="false" outlineLevel="0" collapsed="false">
      <c r="A1500" s="20"/>
      <c r="B1500" s="19"/>
      <c r="C1500" s="19"/>
      <c r="D1500" s="21"/>
      <c r="E1500" s="19"/>
      <c r="F1500" s="19"/>
      <c r="G1500" s="23" t="str">
        <f aca="false">IF(A1500="","",TEXT(A1500,"yyyy-mm"))</f>
        <v/>
      </c>
      <c r="H1500" s="22" t="str">
        <f aca="false">IF(A1500="","",N(H1499)+IF(B1500="Masuk",N(D1500),-N(D1500)))</f>
        <v/>
      </c>
    </row>
    <row r="1501" customFormat="false" ht="15" hidden="false" customHeight="false" outlineLevel="0" collapsed="false">
      <c r="A1501" s="20"/>
      <c r="B1501" s="19"/>
      <c r="C1501" s="19"/>
      <c r="D1501" s="21"/>
      <c r="E1501" s="19"/>
      <c r="F1501" s="19"/>
      <c r="G1501" s="23" t="str">
        <f aca="false">IF(A1501="","",TEXT(A1501,"yyyy-mm"))</f>
        <v/>
      </c>
      <c r="H1501" s="22" t="str">
        <f aca="false">IF(A1501="","",N(H1500)+IF(B1501="Masuk",N(D1501),-N(D1501)))</f>
        <v/>
      </c>
    </row>
    <row r="1502" customFormat="false" ht="15" hidden="false" customHeight="false" outlineLevel="0" collapsed="false">
      <c r="A1502" s="20"/>
      <c r="B1502" s="19"/>
      <c r="C1502" s="19"/>
      <c r="D1502" s="21"/>
      <c r="E1502" s="19"/>
      <c r="F1502" s="19"/>
      <c r="G1502" s="23" t="str">
        <f aca="false">IF(A1502="","",TEXT(A1502,"yyyy-mm"))</f>
        <v/>
      </c>
      <c r="H1502" s="22" t="str">
        <f aca="false">IF(A1502="","",N(H1501)+IF(B1502="Masuk",N(D1502),-N(D1502)))</f>
        <v/>
      </c>
    </row>
    <row r="1503" customFormat="false" ht="15" hidden="false" customHeight="false" outlineLevel="0" collapsed="false">
      <c r="A1503" s="20"/>
      <c r="B1503" s="19"/>
      <c r="C1503" s="19"/>
      <c r="D1503" s="21"/>
      <c r="E1503" s="19"/>
      <c r="F1503" s="19"/>
      <c r="G1503" s="23" t="str">
        <f aca="false">IF(A1503="","",TEXT(A1503,"yyyy-mm"))</f>
        <v/>
      </c>
      <c r="H1503" s="22" t="str">
        <f aca="false">IF(A1503="","",N(H1502)+IF(B1503="Masuk",N(D1503),-N(D1503)))</f>
        <v/>
      </c>
    </row>
    <row r="1504" customFormat="false" ht="15" hidden="false" customHeight="false" outlineLevel="0" collapsed="false">
      <c r="A1504" s="20"/>
      <c r="B1504" s="19"/>
      <c r="C1504" s="19"/>
      <c r="D1504" s="21"/>
      <c r="E1504" s="19"/>
      <c r="F1504" s="19"/>
      <c r="G1504" s="23" t="str">
        <f aca="false">IF(A1504="","",TEXT(A1504,"yyyy-mm"))</f>
        <v/>
      </c>
      <c r="H1504" s="22" t="str">
        <f aca="false">IF(A1504="","",N(H1503)+IF(B1504="Masuk",N(D1504),-N(D1504)))</f>
        <v/>
      </c>
    </row>
    <row r="1505" customFormat="false" ht="15" hidden="false" customHeight="false" outlineLevel="0" collapsed="false">
      <c r="A1505" s="20"/>
      <c r="B1505" s="19"/>
      <c r="C1505" s="19"/>
      <c r="D1505" s="21"/>
      <c r="E1505" s="19"/>
      <c r="F1505" s="19"/>
      <c r="G1505" s="23" t="str">
        <f aca="false">IF(A1505="","",TEXT(A1505,"yyyy-mm"))</f>
        <v/>
      </c>
      <c r="H1505" s="22" t="str">
        <f aca="false">IF(A1505="","",N(H1504)+IF(B1505="Masuk",N(D1505),-N(D1505)))</f>
        <v/>
      </c>
    </row>
    <row r="1506" customFormat="false" ht="15" hidden="false" customHeight="false" outlineLevel="0" collapsed="false">
      <c r="A1506" s="20"/>
      <c r="B1506" s="19"/>
      <c r="C1506" s="19"/>
      <c r="D1506" s="21"/>
      <c r="E1506" s="19"/>
      <c r="F1506" s="19"/>
      <c r="G1506" s="23" t="str">
        <f aca="false">IF(A1506="","",TEXT(A1506,"yyyy-mm"))</f>
        <v/>
      </c>
      <c r="H1506" s="22" t="str">
        <f aca="false">IF(A1506="","",N(H1505)+IF(B1506="Masuk",N(D1506),-N(D1506)))</f>
        <v/>
      </c>
    </row>
    <row r="1507" customFormat="false" ht="15" hidden="false" customHeight="false" outlineLevel="0" collapsed="false">
      <c r="A1507" s="20"/>
      <c r="B1507" s="19"/>
      <c r="C1507" s="19"/>
      <c r="D1507" s="21"/>
      <c r="E1507" s="19"/>
      <c r="F1507" s="19"/>
      <c r="G1507" s="23" t="str">
        <f aca="false">IF(A1507="","",TEXT(A1507,"yyyy-mm"))</f>
        <v/>
      </c>
      <c r="H1507" s="22" t="str">
        <f aca="false">IF(A1507="","",N(H1506)+IF(B1507="Masuk",N(D1507),-N(D1507)))</f>
        <v/>
      </c>
    </row>
    <row r="1508" customFormat="false" ht="15" hidden="false" customHeight="false" outlineLevel="0" collapsed="false">
      <c r="A1508" s="20"/>
      <c r="B1508" s="19"/>
      <c r="C1508" s="19"/>
      <c r="D1508" s="21"/>
      <c r="E1508" s="19"/>
      <c r="F1508" s="19"/>
      <c r="G1508" s="23" t="str">
        <f aca="false">IF(A1508="","",TEXT(A1508,"yyyy-mm"))</f>
        <v/>
      </c>
      <c r="H1508" s="22" t="str">
        <f aca="false">IF(A1508="","",N(H1507)+IF(B1508="Masuk",N(D1508),-N(D1508)))</f>
        <v/>
      </c>
    </row>
    <row r="1509" customFormat="false" ht="15" hidden="false" customHeight="false" outlineLevel="0" collapsed="false">
      <c r="A1509" s="20"/>
      <c r="B1509" s="19"/>
      <c r="C1509" s="19"/>
      <c r="D1509" s="21"/>
      <c r="E1509" s="19"/>
      <c r="F1509" s="19"/>
      <c r="G1509" s="23" t="str">
        <f aca="false">IF(A1509="","",TEXT(A1509,"yyyy-mm"))</f>
        <v/>
      </c>
      <c r="H1509" s="22" t="str">
        <f aca="false">IF(A1509="","",N(H1508)+IF(B1509="Masuk",N(D1509),-N(D1509)))</f>
        <v/>
      </c>
    </row>
    <row r="1510" customFormat="false" ht="15" hidden="false" customHeight="false" outlineLevel="0" collapsed="false">
      <c r="A1510" s="20"/>
      <c r="B1510" s="19"/>
      <c r="C1510" s="19"/>
      <c r="D1510" s="21"/>
      <c r="E1510" s="19"/>
      <c r="F1510" s="19"/>
      <c r="G1510" s="23" t="str">
        <f aca="false">IF(A1510="","",TEXT(A1510,"yyyy-mm"))</f>
        <v/>
      </c>
      <c r="H1510" s="22" t="str">
        <f aca="false">IF(A1510="","",N(H1509)+IF(B1510="Masuk",N(D1510),-N(D1510)))</f>
        <v/>
      </c>
    </row>
    <row r="1511" customFormat="false" ht="15" hidden="false" customHeight="false" outlineLevel="0" collapsed="false">
      <c r="A1511" s="20"/>
      <c r="B1511" s="19"/>
      <c r="C1511" s="19"/>
      <c r="D1511" s="21"/>
      <c r="E1511" s="19"/>
      <c r="F1511" s="19"/>
      <c r="G1511" s="23" t="str">
        <f aca="false">IF(A1511="","",TEXT(A1511,"yyyy-mm"))</f>
        <v/>
      </c>
      <c r="H1511" s="22" t="str">
        <f aca="false">IF(A1511="","",N(H1510)+IF(B1511="Masuk",N(D1511),-N(D1511)))</f>
        <v/>
      </c>
    </row>
    <row r="1512" customFormat="false" ht="15" hidden="false" customHeight="false" outlineLevel="0" collapsed="false">
      <c r="A1512" s="20"/>
      <c r="B1512" s="19"/>
      <c r="C1512" s="19"/>
      <c r="D1512" s="21"/>
      <c r="E1512" s="19"/>
      <c r="F1512" s="19"/>
      <c r="G1512" s="23" t="str">
        <f aca="false">IF(A1512="","",TEXT(A1512,"yyyy-mm"))</f>
        <v/>
      </c>
      <c r="H1512" s="22" t="str">
        <f aca="false">IF(A1512="","",N(H1511)+IF(B1512="Masuk",N(D1512),-N(D1512)))</f>
        <v/>
      </c>
    </row>
    <row r="1513" customFormat="false" ht="15" hidden="false" customHeight="false" outlineLevel="0" collapsed="false">
      <c r="A1513" s="20"/>
      <c r="B1513" s="19"/>
      <c r="C1513" s="19"/>
      <c r="D1513" s="21"/>
      <c r="E1513" s="19"/>
      <c r="F1513" s="19"/>
      <c r="G1513" s="23" t="str">
        <f aca="false">IF(A1513="","",TEXT(A1513,"yyyy-mm"))</f>
        <v/>
      </c>
      <c r="H1513" s="22" t="str">
        <f aca="false">IF(A1513="","",N(H1512)+IF(B1513="Masuk",N(D1513),-N(D1513)))</f>
        <v/>
      </c>
    </row>
    <row r="1514" customFormat="false" ht="15" hidden="false" customHeight="false" outlineLevel="0" collapsed="false">
      <c r="A1514" s="20"/>
      <c r="B1514" s="19"/>
      <c r="C1514" s="19"/>
      <c r="D1514" s="21"/>
      <c r="E1514" s="19"/>
      <c r="F1514" s="19"/>
      <c r="G1514" s="23" t="str">
        <f aca="false">IF(A1514="","",TEXT(A1514,"yyyy-mm"))</f>
        <v/>
      </c>
      <c r="H1514" s="22" t="str">
        <f aca="false">IF(A1514="","",N(H1513)+IF(B1514="Masuk",N(D1514),-N(D1514)))</f>
        <v/>
      </c>
    </row>
    <row r="1515" customFormat="false" ht="15" hidden="false" customHeight="false" outlineLevel="0" collapsed="false">
      <c r="A1515" s="20"/>
      <c r="B1515" s="19"/>
      <c r="C1515" s="19"/>
      <c r="D1515" s="21"/>
      <c r="E1515" s="19"/>
      <c r="F1515" s="19"/>
      <c r="G1515" s="23" t="str">
        <f aca="false">IF(A1515="","",TEXT(A1515,"yyyy-mm"))</f>
        <v/>
      </c>
      <c r="H1515" s="22" t="str">
        <f aca="false">IF(A1515="","",N(H1514)+IF(B1515="Masuk",N(D1515),-N(D1515)))</f>
        <v/>
      </c>
    </row>
    <row r="1516" customFormat="false" ht="15" hidden="false" customHeight="false" outlineLevel="0" collapsed="false">
      <c r="A1516" s="20"/>
      <c r="B1516" s="19"/>
      <c r="C1516" s="19"/>
      <c r="D1516" s="21"/>
      <c r="E1516" s="19"/>
      <c r="F1516" s="19"/>
      <c r="G1516" s="23" t="str">
        <f aca="false">IF(A1516="","",TEXT(A1516,"yyyy-mm"))</f>
        <v/>
      </c>
      <c r="H1516" s="22" t="str">
        <f aca="false">IF(A1516="","",N(H1515)+IF(B1516="Masuk",N(D1516),-N(D1516)))</f>
        <v/>
      </c>
    </row>
    <row r="1517" customFormat="false" ht="15" hidden="false" customHeight="false" outlineLevel="0" collapsed="false">
      <c r="A1517" s="20"/>
      <c r="B1517" s="19"/>
      <c r="C1517" s="19"/>
      <c r="D1517" s="21"/>
      <c r="E1517" s="19"/>
      <c r="F1517" s="19"/>
      <c r="G1517" s="23" t="str">
        <f aca="false">IF(A1517="","",TEXT(A1517,"yyyy-mm"))</f>
        <v/>
      </c>
      <c r="H1517" s="22" t="str">
        <f aca="false">IF(A1517="","",N(H1516)+IF(B1517="Masuk",N(D1517),-N(D1517)))</f>
        <v/>
      </c>
    </row>
    <row r="1518" customFormat="false" ht="15" hidden="false" customHeight="false" outlineLevel="0" collapsed="false">
      <c r="A1518" s="20"/>
      <c r="B1518" s="19"/>
      <c r="C1518" s="19"/>
      <c r="D1518" s="21"/>
      <c r="E1518" s="19"/>
      <c r="F1518" s="19"/>
      <c r="G1518" s="23" t="str">
        <f aca="false">IF(A1518="","",TEXT(A1518,"yyyy-mm"))</f>
        <v/>
      </c>
      <c r="H1518" s="22" t="str">
        <f aca="false">IF(A1518="","",N(H1517)+IF(B1518="Masuk",N(D1518),-N(D1518)))</f>
        <v/>
      </c>
    </row>
    <row r="1519" customFormat="false" ht="15" hidden="false" customHeight="false" outlineLevel="0" collapsed="false">
      <c r="A1519" s="20"/>
      <c r="B1519" s="19"/>
      <c r="C1519" s="19"/>
      <c r="D1519" s="21"/>
      <c r="E1519" s="19"/>
      <c r="F1519" s="19"/>
      <c r="G1519" s="23" t="str">
        <f aca="false">IF(A1519="","",TEXT(A1519,"yyyy-mm"))</f>
        <v/>
      </c>
      <c r="H1519" s="22" t="str">
        <f aca="false">IF(A1519="","",N(H1518)+IF(B1519="Masuk",N(D1519),-N(D1519)))</f>
        <v/>
      </c>
    </row>
    <row r="1520" customFormat="false" ht="15" hidden="false" customHeight="false" outlineLevel="0" collapsed="false">
      <c r="A1520" s="20"/>
      <c r="B1520" s="19"/>
      <c r="C1520" s="19"/>
      <c r="D1520" s="21"/>
      <c r="E1520" s="19"/>
      <c r="F1520" s="19"/>
      <c r="G1520" s="23" t="str">
        <f aca="false">IF(A1520="","",TEXT(A1520,"yyyy-mm"))</f>
        <v/>
      </c>
      <c r="H1520" s="22" t="str">
        <f aca="false">IF(A1520="","",N(H1519)+IF(B1520="Masuk",N(D1520),-N(D1520)))</f>
        <v/>
      </c>
    </row>
    <row r="1521" customFormat="false" ht="15" hidden="false" customHeight="false" outlineLevel="0" collapsed="false">
      <c r="A1521" s="20"/>
      <c r="B1521" s="19"/>
      <c r="C1521" s="19"/>
      <c r="D1521" s="21"/>
      <c r="E1521" s="19"/>
      <c r="F1521" s="19"/>
      <c r="G1521" s="23" t="str">
        <f aca="false">IF(A1521="","",TEXT(A1521,"yyyy-mm"))</f>
        <v/>
      </c>
      <c r="H1521" s="22" t="str">
        <f aca="false">IF(A1521="","",N(H1520)+IF(B1521="Masuk",N(D1521),-N(D1521)))</f>
        <v/>
      </c>
    </row>
    <row r="1522" customFormat="false" ht="15" hidden="false" customHeight="false" outlineLevel="0" collapsed="false">
      <c r="A1522" s="20"/>
      <c r="B1522" s="19"/>
      <c r="C1522" s="19"/>
      <c r="D1522" s="21"/>
      <c r="E1522" s="19"/>
      <c r="F1522" s="19"/>
      <c r="G1522" s="23" t="str">
        <f aca="false">IF(A1522="","",TEXT(A1522,"yyyy-mm"))</f>
        <v/>
      </c>
      <c r="H1522" s="22" t="str">
        <f aca="false">IF(A1522="","",N(H1521)+IF(B1522="Masuk",N(D1522),-N(D1522)))</f>
        <v/>
      </c>
    </row>
    <row r="1523" customFormat="false" ht="15" hidden="false" customHeight="false" outlineLevel="0" collapsed="false">
      <c r="A1523" s="20"/>
      <c r="B1523" s="19"/>
      <c r="C1523" s="19"/>
      <c r="D1523" s="21"/>
      <c r="E1523" s="19"/>
      <c r="F1523" s="19"/>
      <c r="G1523" s="23" t="str">
        <f aca="false">IF(A1523="","",TEXT(A1523,"yyyy-mm"))</f>
        <v/>
      </c>
      <c r="H1523" s="22" t="str">
        <f aca="false">IF(A1523="","",N(H1522)+IF(B1523="Masuk",N(D1523),-N(D1523)))</f>
        <v/>
      </c>
    </row>
    <row r="1524" customFormat="false" ht="15" hidden="false" customHeight="false" outlineLevel="0" collapsed="false">
      <c r="A1524" s="20"/>
      <c r="B1524" s="19"/>
      <c r="C1524" s="19"/>
      <c r="D1524" s="21"/>
      <c r="E1524" s="19"/>
      <c r="F1524" s="19"/>
      <c r="G1524" s="23" t="str">
        <f aca="false">IF(A1524="","",TEXT(A1524,"yyyy-mm"))</f>
        <v/>
      </c>
      <c r="H1524" s="22" t="str">
        <f aca="false">IF(A1524="","",N(H1523)+IF(B1524="Masuk",N(D1524),-N(D1524)))</f>
        <v/>
      </c>
    </row>
    <row r="1525" customFormat="false" ht="15" hidden="false" customHeight="false" outlineLevel="0" collapsed="false">
      <c r="A1525" s="20"/>
      <c r="B1525" s="19"/>
      <c r="C1525" s="19"/>
      <c r="D1525" s="21"/>
      <c r="E1525" s="19"/>
      <c r="F1525" s="19"/>
      <c r="G1525" s="23" t="str">
        <f aca="false">IF(A1525="","",TEXT(A1525,"yyyy-mm"))</f>
        <v/>
      </c>
      <c r="H1525" s="22" t="str">
        <f aca="false">IF(A1525="","",N(H1524)+IF(B1525="Masuk",N(D1525),-N(D1525)))</f>
        <v/>
      </c>
    </row>
    <row r="1526" customFormat="false" ht="15" hidden="false" customHeight="false" outlineLevel="0" collapsed="false">
      <c r="A1526" s="20"/>
      <c r="B1526" s="19"/>
      <c r="C1526" s="19"/>
      <c r="D1526" s="21"/>
      <c r="E1526" s="19"/>
      <c r="F1526" s="19"/>
      <c r="G1526" s="23" t="str">
        <f aca="false">IF(A1526="","",TEXT(A1526,"yyyy-mm"))</f>
        <v/>
      </c>
      <c r="H1526" s="22" t="str">
        <f aca="false">IF(A1526="","",N(H1525)+IF(B1526="Masuk",N(D1526),-N(D1526)))</f>
        <v/>
      </c>
    </row>
    <row r="1527" customFormat="false" ht="15" hidden="false" customHeight="false" outlineLevel="0" collapsed="false">
      <c r="A1527" s="20"/>
      <c r="B1527" s="19"/>
      <c r="C1527" s="19"/>
      <c r="D1527" s="21"/>
      <c r="E1527" s="19"/>
      <c r="F1527" s="19"/>
      <c r="G1527" s="23" t="str">
        <f aca="false">IF(A1527="","",TEXT(A1527,"yyyy-mm"))</f>
        <v/>
      </c>
      <c r="H1527" s="22" t="str">
        <f aca="false">IF(A1527="","",N(H1526)+IF(B1527="Masuk",N(D1527),-N(D1527)))</f>
        <v/>
      </c>
    </row>
    <row r="1528" customFormat="false" ht="15" hidden="false" customHeight="false" outlineLevel="0" collapsed="false">
      <c r="A1528" s="20"/>
      <c r="B1528" s="19"/>
      <c r="C1528" s="19"/>
      <c r="D1528" s="21"/>
      <c r="E1528" s="19"/>
      <c r="F1528" s="19"/>
      <c r="G1528" s="23" t="str">
        <f aca="false">IF(A1528="","",TEXT(A1528,"yyyy-mm"))</f>
        <v/>
      </c>
      <c r="H1528" s="22" t="str">
        <f aca="false">IF(A1528="","",N(H1527)+IF(B1528="Masuk",N(D1528),-N(D1528)))</f>
        <v/>
      </c>
    </row>
    <row r="1529" customFormat="false" ht="15" hidden="false" customHeight="false" outlineLevel="0" collapsed="false">
      <c r="A1529" s="20"/>
      <c r="B1529" s="19"/>
      <c r="C1529" s="19"/>
      <c r="D1529" s="21"/>
      <c r="E1529" s="19"/>
      <c r="F1529" s="19"/>
      <c r="G1529" s="23" t="str">
        <f aca="false">IF(A1529="","",TEXT(A1529,"yyyy-mm"))</f>
        <v/>
      </c>
      <c r="H1529" s="22" t="str">
        <f aca="false">IF(A1529="","",N(H1528)+IF(B1529="Masuk",N(D1529),-N(D1529)))</f>
        <v/>
      </c>
    </row>
    <row r="1530" customFormat="false" ht="15" hidden="false" customHeight="false" outlineLevel="0" collapsed="false">
      <c r="A1530" s="20"/>
      <c r="B1530" s="19"/>
      <c r="C1530" s="19"/>
      <c r="D1530" s="21"/>
      <c r="E1530" s="19"/>
      <c r="F1530" s="19"/>
      <c r="G1530" s="23" t="str">
        <f aca="false">IF(A1530="","",TEXT(A1530,"yyyy-mm"))</f>
        <v/>
      </c>
      <c r="H1530" s="22" t="str">
        <f aca="false">IF(A1530="","",N(H1529)+IF(B1530="Masuk",N(D1530),-N(D1530)))</f>
        <v/>
      </c>
    </row>
    <row r="1531" customFormat="false" ht="15" hidden="false" customHeight="false" outlineLevel="0" collapsed="false">
      <c r="A1531" s="20"/>
      <c r="B1531" s="19"/>
      <c r="C1531" s="19"/>
      <c r="D1531" s="21"/>
      <c r="E1531" s="19"/>
      <c r="F1531" s="19"/>
      <c r="G1531" s="23" t="str">
        <f aca="false">IF(A1531="","",TEXT(A1531,"yyyy-mm"))</f>
        <v/>
      </c>
      <c r="H1531" s="22" t="str">
        <f aca="false">IF(A1531="","",N(H1530)+IF(B1531="Masuk",N(D1531),-N(D1531)))</f>
        <v/>
      </c>
    </row>
    <row r="1532" customFormat="false" ht="15" hidden="false" customHeight="false" outlineLevel="0" collapsed="false">
      <c r="A1532" s="20"/>
      <c r="B1532" s="19"/>
      <c r="C1532" s="19"/>
      <c r="D1532" s="21"/>
      <c r="E1532" s="19"/>
      <c r="F1532" s="19"/>
      <c r="G1532" s="23" t="str">
        <f aca="false">IF(A1532="","",TEXT(A1532,"yyyy-mm"))</f>
        <v/>
      </c>
      <c r="H1532" s="22" t="str">
        <f aca="false">IF(A1532="","",N(H1531)+IF(B1532="Masuk",N(D1532),-N(D1532)))</f>
        <v/>
      </c>
    </row>
    <row r="1533" customFormat="false" ht="15" hidden="false" customHeight="false" outlineLevel="0" collapsed="false">
      <c r="A1533" s="20"/>
      <c r="B1533" s="19"/>
      <c r="C1533" s="19"/>
      <c r="D1533" s="21"/>
      <c r="E1533" s="19"/>
      <c r="F1533" s="19"/>
      <c r="G1533" s="23" t="str">
        <f aca="false">IF(A1533="","",TEXT(A1533,"yyyy-mm"))</f>
        <v/>
      </c>
      <c r="H1533" s="22" t="str">
        <f aca="false">IF(A1533="","",N(H1532)+IF(B1533="Masuk",N(D1533),-N(D1533)))</f>
        <v/>
      </c>
    </row>
    <row r="1534" customFormat="false" ht="15" hidden="false" customHeight="false" outlineLevel="0" collapsed="false">
      <c r="A1534" s="20"/>
      <c r="B1534" s="19"/>
      <c r="C1534" s="19"/>
      <c r="D1534" s="21"/>
      <c r="E1534" s="19"/>
      <c r="F1534" s="19"/>
      <c r="G1534" s="23" t="str">
        <f aca="false">IF(A1534="","",TEXT(A1534,"yyyy-mm"))</f>
        <v/>
      </c>
      <c r="H1534" s="22" t="str">
        <f aca="false">IF(A1534="","",N(H1533)+IF(B1534="Masuk",N(D1534),-N(D1534)))</f>
        <v/>
      </c>
    </row>
    <row r="1535" customFormat="false" ht="15" hidden="false" customHeight="false" outlineLevel="0" collapsed="false">
      <c r="A1535" s="20"/>
      <c r="B1535" s="19"/>
      <c r="C1535" s="19"/>
      <c r="D1535" s="21"/>
      <c r="E1535" s="19"/>
      <c r="F1535" s="19"/>
      <c r="G1535" s="23" t="str">
        <f aca="false">IF(A1535="","",TEXT(A1535,"yyyy-mm"))</f>
        <v/>
      </c>
      <c r="H1535" s="22" t="str">
        <f aca="false">IF(A1535="","",N(H1534)+IF(B1535="Masuk",N(D1535),-N(D1535)))</f>
        <v/>
      </c>
    </row>
    <row r="1536" customFormat="false" ht="15" hidden="false" customHeight="false" outlineLevel="0" collapsed="false">
      <c r="A1536" s="20"/>
      <c r="B1536" s="19"/>
      <c r="C1536" s="19"/>
      <c r="D1536" s="21"/>
      <c r="E1536" s="19"/>
      <c r="F1536" s="19"/>
      <c r="G1536" s="23" t="str">
        <f aca="false">IF(A1536="","",TEXT(A1536,"yyyy-mm"))</f>
        <v/>
      </c>
      <c r="H1536" s="22" t="str">
        <f aca="false">IF(A1536="","",N(H1535)+IF(B1536="Masuk",N(D1536),-N(D1536)))</f>
        <v/>
      </c>
    </row>
    <row r="1537" customFormat="false" ht="15" hidden="false" customHeight="false" outlineLevel="0" collapsed="false">
      <c r="A1537" s="20"/>
      <c r="B1537" s="19"/>
      <c r="C1537" s="19"/>
      <c r="D1537" s="21"/>
      <c r="E1537" s="19"/>
      <c r="F1537" s="19"/>
      <c r="G1537" s="23" t="str">
        <f aca="false">IF(A1537="","",TEXT(A1537,"yyyy-mm"))</f>
        <v/>
      </c>
      <c r="H1537" s="22" t="str">
        <f aca="false">IF(A1537="","",N(H1536)+IF(B1537="Masuk",N(D1537),-N(D1537)))</f>
        <v/>
      </c>
    </row>
    <row r="1538" customFormat="false" ht="15" hidden="false" customHeight="false" outlineLevel="0" collapsed="false">
      <c r="A1538" s="20"/>
      <c r="B1538" s="19"/>
      <c r="C1538" s="19"/>
      <c r="D1538" s="21"/>
      <c r="E1538" s="19"/>
      <c r="F1538" s="19"/>
      <c r="G1538" s="23" t="str">
        <f aca="false">IF(A1538="","",TEXT(A1538,"yyyy-mm"))</f>
        <v/>
      </c>
      <c r="H1538" s="22" t="str">
        <f aca="false">IF(A1538="","",N(H1537)+IF(B1538="Masuk",N(D1538),-N(D1538)))</f>
        <v/>
      </c>
    </row>
    <row r="1539" customFormat="false" ht="15" hidden="false" customHeight="false" outlineLevel="0" collapsed="false">
      <c r="A1539" s="20"/>
      <c r="B1539" s="19"/>
      <c r="C1539" s="19"/>
      <c r="D1539" s="21"/>
      <c r="E1539" s="19"/>
      <c r="F1539" s="19"/>
      <c r="G1539" s="23" t="str">
        <f aca="false">IF(A1539="","",TEXT(A1539,"yyyy-mm"))</f>
        <v/>
      </c>
      <c r="H1539" s="22" t="str">
        <f aca="false">IF(A1539="","",N(H1538)+IF(B1539="Masuk",N(D1539),-N(D1539)))</f>
        <v/>
      </c>
    </row>
    <row r="1540" customFormat="false" ht="15" hidden="false" customHeight="false" outlineLevel="0" collapsed="false">
      <c r="A1540" s="20"/>
      <c r="B1540" s="19"/>
      <c r="C1540" s="19"/>
      <c r="D1540" s="21"/>
      <c r="E1540" s="19"/>
      <c r="F1540" s="19"/>
      <c r="G1540" s="23" t="str">
        <f aca="false">IF(A1540="","",TEXT(A1540,"yyyy-mm"))</f>
        <v/>
      </c>
      <c r="H1540" s="22" t="str">
        <f aca="false">IF(A1540="","",N(H1539)+IF(B1540="Masuk",N(D1540),-N(D1540)))</f>
        <v/>
      </c>
    </row>
    <row r="1541" customFormat="false" ht="15" hidden="false" customHeight="false" outlineLevel="0" collapsed="false">
      <c r="A1541" s="20"/>
      <c r="B1541" s="19"/>
      <c r="C1541" s="19"/>
      <c r="D1541" s="21"/>
      <c r="E1541" s="19"/>
      <c r="F1541" s="19"/>
      <c r="G1541" s="23" t="str">
        <f aca="false">IF(A1541="","",TEXT(A1541,"yyyy-mm"))</f>
        <v/>
      </c>
      <c r="H1541" s="22" t="str">
        <f aca="false">IF(A1541="","",N(H1540)+IF(B1541="Masuk",N(D1541),-N(D1541)))</f>
        <v/>
      </c>
    </row>
    <row r="1542" customFormat="false" ht="15" hidden="false" customHeight="false" outlineLevel="0" collapsed="false">
      <c r="A1542" s="20"/>
      <c r="B1542" s="19"/>
      <c r="C1542" s="19"/>
      <c r="D1542" s="21"/>
      <c r="E1542" s="19"/>
      <c r="F1542" s="19"/>
      <c r="G1542" s="23" t="str">
        <f aca="false">IF(A1542="","",TEXT(A1542,"yyyy-mm"))</f>
        <v/>
      </c>
      <c r="H1542" s="22" t="str">
        <f aca="false">IF(A1542="","",N(H1541)+IF(B1542="Masuk",N(D1542),-N(D1542)))</f>
        <v/>
      </c>
    </row>
    <row r="1543" customFormat="false" ht="15" hidden="false" customHeight="false" outlineLevel="0" collapsed="false">
      <c r="A1543" s="20"/>
      <c r="B1543" s="19"/>
      <c r="C1543" s="19"/>
      <c r="D1543" s="21"/>
      <c r="E1543" s="19"/>
      <c r="F1543" s="19"/>
      <c r="G1543" s="23" t="str">
        <f aca="false">IF(A1543="","",TEXT(A1543,"yyyy-mm"))</f>
        <v/>
      </c>
      <c r="H1543" s="22" t="str">
        <f aca="false">IF(A1543="","",N(H1542)+IF(B1543="Masuk",N(D1543),-N(D1543)))</f>
        <v/>
      </c>
    </row>
    <row r="1544" customFormat="false" ht="15" hidden="false" customHeight="false" outlineLevel="0" collapsed="false">
      <c r="A1544" s="20"/>
      <c r="B1544" s="19"/>
      <c r="C1544" s="19"/>
      <c r="D1544" s="21"/>
      <c r="E1544" s="19"/>
      <c r="F1544" s="19"/>
      <c r="G1544" s="23" t="str">
        <f aca="false">IF(A1544="","",TEXT(A1544,"yyyy-mm"))</f>
        <v/>
      </c>
      <c r="H1544" s="22" t="str">
        <f aca="false">IF(A1544="","",N(H1543)+IF(B1544="Masuk",N(D1544),-N(D1544)))</f>
        <v/>
      </c>
    </row>
    <row r="1545" customFormat="false" ht="15" hidden="false" customHeight="false" outlineLevel="0" collapsed="false">
      <c r="A1545" s="20"/>
      <c r="B1545" s="19"/>
      <c r="C1545" s="19"/>
      <c r="D1545" s="21"/>
      <c r="E1545" s="19"/>
      <c r="F1545" s="19"/>
      <c r="G1545" s="23" t="str">
        <f aca="false">IF(A1545="","",TEXT(A1545,"yyyy-mm"))</f>
        <v/>
      </c>
      <c r="H1545" s="22" t="str">
        <f aca="false">IF(A1545="","",N(H1544)+IF(B1545="Masuk",N(D1545),-N(D1545)))</f>
        <v/>
      </c>
    </row>
    <row r="1546" customFormat="false" ht="15" hidden="false" customHeight="false" outlineLevel="0" collapsed="false">
      <c r="A1546" s="20"/>
      <c r="B1546" s="19"/>
      <c r="C1546" s="19"/>
      <c r="D1546" s="21"/>
      <c r="E1546" s="19"/>
      <c r="F1546" s="19"/>
      <c r="G1546" s="23" t="str">
        <f aca="false">IF(A1546="","",TEXT(A1546,"yyyy-mm"))</f>
        <v/>
      </c>
      <c r="H1546" s="22" t="str">
        <f aca="false">IF(A1546="","",N(H1545)+IF(B1546="Masuk",N(D1546),-N(D1546)))</f>
        <v/>
      </c>
    </row>
    <row r="1547" customFormat="false" ht="15" hidden="false" customHeight="false" outlineLevel="0" collapsed="false">
      <c r="A1547" s="20"/>
      <c r="B1547" s="19"/>
      <c r="C1547" s="19"/>
      <c r="D1547" s="21"/>
      <c r="E1547" s="19"/>
      <c r="F1547" s="19"/>
      <c r="G1547" s="23" t="str">
        <f aca="false">IF(A1547="","",TEXT(A1547,"yyyy-mm"))</f>
        <v/>
      </c>
      <c r="H1547" s="22" t="str">
        <f aca="false">IF(A1547="","",N(H1546)+IF(B1547="Masuk",N(D1547),-N(D1547)))</f>
        <v/>
      </c>
    </row>
    <row r="1548" customFormat="false" ht="15" hidden="false" customHeight="false" outlineLevel="0" collapsed="false">
      <c r="A1548" s="20"/>
      <c r="B1548" s="19"/>
      <c r="C1548" s="19"/>
      <c r="D1548" s="21"/>
      <c r="E1548" s="19"/>
      <c r="F1548" s="19"/>
      <c r="G1548" s="23" t="str">
        <f aca="false">IF(A1548="","",TEXT(A1548,"yyyy-mm"))</f>
        <v/>
      </c>
      <c r="H1548" s="22" t="str">
        <f aca="false">IF(A1548="","",N(H1547)+IF(B1548="Masuk",N(D1548),-N(D1548)))</f>
        <v/>
      </c>
    </row>
    <row r="1549" customFormat="false" ht="15" hidden="false" customHeight="false" outlineLevel="0" collapsed="false">
      <c r="A1549" s="20"/>
      <c r="B1549" s="19"/>
      <c r="C1549" s="19"/>
      <c r="D1549" s="21"/>
      <c r="E1549" s="19"/>
      <c r="F1549" s="19"/>
      <c r="G1549" s="23" t="str">
        <f aca="false">IF(A1549="","",TEXT(A1549,"yyyy-mm"))</f>
        <v/>
      </c>
      <c r="H1549" s="22" t="str">
        <f aca="false">IF(A1549="","",N(H1548)+IF(B1549="Masuk",N(D1549),-N(D1549)))</f>
        <v/>
      </c>
    </row>
    <row r="1550" customFormat="false" ht="15" hidden="false" customHeight="false" outlineLevel="0" collapsed="false">
      <c r="A1550" s="20"/>
      <c r="B1550" s="19"/>
      <c r="C1550" s="19"/>
      <c r="D1550" s="21"/>
      <c r="E1550" s="19"/>
      <c r="F1550" s="19"/>
      <c r="G1550" s="23" t="str">
        <f aca="false">IF(A1550="","",TEXT(A1550,"yyyy-mm"))</f>
        <v/>
      </c>
      <c r="H1550" s="22" t="str">
        <f aca="false">IF(A1550="","",N(H1549)+IF(B1550="Masuk",N(D1550),-N(D1550)))</f>
        <v/>
      </c>
    </row>
    <row r="1551" customFormat="false" ht="15" hidden="false" customHeight="false" outlineLevel="0" collapsed="false">
      <c r="A1551" s="20"/>
      <c r="B1551" s="19"/>
      <c r="C1551" s="19"/>
      <c r="D1551" s="21"/>
      <c r="E1551" s="19"/>
      <c r="F1551" s="19"/>
      <c r="G1551" s="23" t="str">
        <f aca="false">IF(A1551="","",TEXT(A1551,"yyyy-mm"))</f>
        <v/>
      </c>
      <c r="H1551" s="22" t="str">
        <f aca="false">IF(A1551="","",N(H1550)+IF(B1551="Masuk",N(D1551),-N(D1551)))</f>
        <v/>
      </c>
    </row>
    <row r="1552" customFormat="false" ht="15" hidden="false" customHeight="false" outlineLevel="0" collapsed="false">
      <c r="A1552" s="20"/>
      <c r="B1552" s="19"/>
      <c r="C1552" s="19"/>
      <c r="D1552" s="21"/>
      <c r="E1552" s="19"/>
      <c r="F1552" s="19"/>
      <c r="G1552" s="23" t="str">
        <f aca="false">IF(A1552="","",TEXT(A1552,"yyyy-mm"))</f>
        <v/>
      </c>
      <c r="H1552" s="22" t="str">
        <f aca="false">IF(A1552="","",N(H1551)+IF(B1552="Masuk",N(D1552),-N(D1552)))</f>
        <v/>
      </c>
    </row>
    <row r="1553" customFormat="false" ht="15" hidden="false" customHeight="false" outlineLevel="0" collapsed="false">
      <c r="A1553" s="20"/>
      <c r="B1553" s="19"/>
      <c r="C1553" s="19"/>
      <c r="D1553" s="21"/>
      <c r="E1553" s="19"/>
      <c r="F1553" s="19"/>
      <c r="G1553" s="23" t="str">
        <f aca="false">IF(A1553="","",TEXT(A1553,"yyyy-mm"))</f>
        <v/>
      </c>
      <c r="H1553" s="22" t="str">
        <f aca="false">IF(A1553="","",N(H1552)+IF(B1553="Masuk",N(D1553),-N(D1553)))</f>
        <v/>
      </c>
    </row>
    <row r="1554" customFormat="false" ht="15" hidden="false" customHeight="false" outlineLevel="0" collapsed="false">
      <c r="A1554" s="20"/>
      <c r="B1554" s="19"/>
      <c r="C1554" s="19"/>
      <c r="D1554" s="21"/>
      <c r="E1554" s="19"/>
      <c r="F1554" s="19"/>
      <c r="G1554" s="23" t="str">
        <f aca="false">IF(A1554="","",TEXT(A1554,"yyyy-mm"))</f>
        <v/>
      </c>
      <c r="H1554" s="22" t="str">
        <f aca="false">IF(A1554="","",N(H1553)+IF(B1554="Masuk",N(D1554),-N(D1554)))</f>
        <v/>
      </c>
    </row>
    <row r="1555" customFormat="false" ht="15" hidden="false" customHeight="false" outlineLevel="0" collapsed="false">
      <c r="A1555" s="20"/>
      <c r="B1555" s="19"/>
      <c r="C1555" s="19"/>
      <c r="D1555" s="21"/>
      <c r="E1555" s="19"/>
      <c r="F1555" s="19"/>
      <c r="G1555" s="23" t="str">
        <f aca="false">IF(A1555="","",TEXT(A1555,"yyyy-mm"))</f>
        <v/>
      </c>
      <c r="H1555" s="22" t="str">
        <f aca="false">IF(A1555="","",N(H1554)+IF(B1555="Masuk",N(D1555),-N(D1555)))</f>
        <v/>
      </c>
    </row>
    <row r="1556" customFormat="false" ht="15" hidden="false" customHeight="false" outlineLevel="0" collapsed="false">
      <c r="A1556" s="20"/>
      <c r="B1556" s="19"/>
      <c r="C1556" s="19"/>
      <c r="D1556" s="21"/>
      <c r="E1556" s="19"/>
      <c r="F1556" s="19"/>
      <c r="G1556" s="23" t="str">
        <f aca="false">IF(A1556="","",TEXT(A1556,"yyyy-mm"))</f>
        <v/>
      </c>
      <c r="H1556" s="22" t="str">
        <f aca="false">IF(A1556="","",N(H1555)+IF(B1556="Masuk",N(D1556),-N(D1556)))</f>
        <v/>
      </c>
    </row>
    <row r="1557" customFormat="false" ht="15" hidden="false" customHeight="false" outlineLevel="0" collapsed="false">
      <c r="A1557" s="20"/>
      <c r="B1557" s="19"/>
      <c r="C1557" s="19"/>
      <c r="D1557" s="21"/>
      <c r="E1557" s="19"/>
      <c r="F1557" s="19"/>
      <c r="G1557" s="23" t="str">
        <f aca="false">IF(A1557="","",TEXT(A1557,"yyyy-mm"))</f>
        <v/>
      </c>
      <c r="H1557" s="22" t="str">
        <f aca="false">IF(A1557="","",N(H1556)+IF(B1557="Masuk",N(D1557),-N(D1557)))</f>
        <v/>
      </c>
    </row>
    <row r="1558" customFormat="false" ht="15" hidden="false" customHeight="false" outlineLevel="0" collapsed="false">
      <c r="A1558" s="20"/>
      <c r="B1558" s="19"/>
      <c r="C1558" s="19"/>
      <c r="D1558" s="21"/>
      <c r="E1558" s="19"/>
      <c r="F1558" s="19"/>
      <c r="G1558" s="23" t="str">
        <f aca="false">IF(A1558="","",TEXT(A1558,"yyyy-mm"))</f>
        <v/>
      </c>
      <c r="H1558" s="22" t="str">
        <f aca="false">IF(A1558="","",N(H1557)+IF(B1558="Masuk",N(D1558),-N(D1558)))</f>
        <v/>
      </c>
    </row>
    <row r="1559" customFormat="false" ht="15" hidden="false" customHeight="false" outlineLevel="0" collapsed="false">
      <c r="A1559" s="20"/>
      <c r="B1559" s="19"/>
      <c r="C1559" s="19"/>
      <c r="D1559" s="21"/>
      <c r="E1559" s="19"/>
      <c r="F1559" s="19"/>
      <c r="G1559" s="23" t="str">
        <f aca="false">IF(A1559="","",TEXT(A1559,"yyyy-mm"))</f>
        <v/>
      </c>
      <c r="H1559" s="22" t="str">
        <f aca="false">IF(A1559="","",N(H1558)+IF(B1559="Masuk",N(D1559),-N(D1559)))</f>
        <v/>
      </c>
    </row>
    <row r="1560" customFormat="false" ht="15" hidden="false" customHeight="false" outlineLevel="0" collapsed="false">
      <c r="A1560" s="20"/>
      <c r="B1560" s="19"/>
      <c r="C1560" s="19"/>
      <c r="D1560" s="21"/>
      <c r="E1560" s="19"/>
      <c r="F1560" s="19"/>
      <c r="G1560" s="23" t="str">
        <f aca="false">IF(A1560="","",TEXT(A1560,"yyyy-mm"))</f>
        <v/>
      </c>
      <c r="H1560" s="22" t="str">
        <f aca="false">IF(A1560="","",N(H1559)+IF(B1560="Masuk",N(D1560),-N(D1560)))</f>
        <v/>
      </c>
    </row>
    <row r="1561" customFormat="false" ht="15" hidden="false" customHeight="false" outlineLevel="0" collapsed="false">
      <c r="A1561" s="20"/>
      <c r="B1561" s="19"/>
      <c r="C1561" s="19"/>
      <c r="D1561" s="21"/>
      <c r="E1561" s="19"/>
      <c r="F1561" s="19"/>
      <c r="G1561" s="23" t="str">
        <f aca="false">IF(A1561="","",TEXT(A1561,"yyyy-mm"))</f>
        <v/>
      </c>
      <c r="H1561" s="22" t="str">
        <f aca="false">IF(A1561="","",N(H1560)+IF(B1561="Masuk",N(D1561),-N(D1561)))</f>
        <v/>
      </c>
    </row>
    <row r="1562" customFormat="false" ht="15" hidden="false" customHeight="false" outlineLevel="0" collapsed="false">
      <c r="A1562" s="20"/>
      <c r="B1562" s="19"/>
      <c r="C1562" s="19"/>
      <c r="D1562" s="21"/>
      <c r="E1562" s="19"/>
      <c r="F1562" s="19"/>
      <c r="G1562" s="23" t="str">
        <f aca="false">IF(A1562="","",TEXT(A1562,"yyyy-mm"))</f>
        <v/>
      </c>
      <c r="H1562" s="22" t="str">
        <f aca="false">IF(A1562="","",N(H1561)+IF(B1562="Masuk",N(D1562),-N(D1562)))</f>
        <v/>
      </c>
    </row>
    <row r="1563" customFormat="false" ht="15" hidden="false" customHeight="false" outlineLevel="0" collapsed="false">
      <c r="A1563" s="20"/>
      <c r="B1563" s="19"/>
      <c r="C1563" s="19"/>
      <c r="D1563" s="21"/>
      <c r="E1563" s="19"/>
      <c r="F1563" s="19"/>
      <c r="G1563" s="23" t="str">
        <f aca="false">IF(A1563="","",TEXT(A1563,"yyyy-mm"))</f>
        <v/>
      </c>
      <c r="H1563" s="22" t="str">
        <f aca="false">IF(A1563="","",N(H1562)+IF(B1563="Masuk",N(D1563),-N(D1563)))</f>
        <v/>
      </c>
    </row>
    <row r="1564" customFormat="false" ht="15" hidden="false" customHeight="false" outlineLevel="0" collapsed="false">
      <c r="A1564" s="20"/>
      <c r="B1564" s="19"/>
      <c r="C1564" s="19"/>
      <c r="D1564" s="21"/>
      <c r="E1564" s="19"/>
      <c r="F1564" s="19"/>
      <c r="G1564" s="23" t="str">
        <f aca="false">IF(A1564="","",TEXT(A1564,"yyyy-mm"))</f>
        <v/>
      </c>
      <c r="H1564" s="22" t="str">
        <f aca="false">IF(A1564="","",N(H1563)+IF(B1564="Masuk",N(D1564),-N(D1564)))</f>
        <v/>
      </c>
    </row>
    <row r="1565" customFormat="false" ht="15" hidden="false" customHeight="false" outlineLevel="0" collapsed="false">
      <c r="A1565" s="20"/>
      <c r="B1565" s="19"/>
      <c r="C1565" s="19"/>
      <c r="D1565" s="21"/>
      <c r="E1565" s="19"/>
      <c r="F1565" s="19"/>
      <c r="G1565" s="23" t="str">
        <f aca="false">IF(A1565="","",TEXT(A1565,"yyyy-mm"))</f>
        <v/>
      </c>
      <c r="H1565" s="22" t="str">
        <f aca="false">IF(A1565="","",N(H1564)+IF(B1565="Masuk",N(D1565),-N(D1565)))</f>
        <v/>
      </c>
    </row>
    <row r="1566" customFormat="false" ht="15" hidden="false" customHeight="false" outlineLevel="0" collapsed="false">
      <c r="A1566" s="20"/>
      <c r="B1566" s="19"/>
      <c r="C1566" s="19"/>
      <c r="D1566" s="21"/>
      <c r="E1566" s="19"/>
      <c r="F1566" s="19"/>
      <c r="G1566" s="23" t="str">
        <f aca="false">IF(A1566="","",TEXT(A1566,"yyyy-mm"))</f>
        <v/>
      </c>
      <c r="H1566" s="22" t="str">
        <f aca="false">IF(A1566="","",N(H1565)+IF(B1566="Masuk",N(D1566),-N(D1566)))</f>
        <v/>
      </c>
    </row>
    <row r="1567" customFormat="false" ht="15" hidden="false" customHeight="false" outlineLevel="0" collapsed="false">
      <c r="A1567" s="20"/>
      <c r="B1567" s="19"/>
      <c r="C1567" s="19"/>
      <c r="D1567" s="21"/>
      <c r="E1567" s="19"/>
      <c r="F1567" s="19"/>
      <c r="G1567" s="23" t="str">
        <f aca="false">IF(A1567="","",TEXT(A1567,"yyyy-mm"))</f>
        <v/>
      </c>
      <c r="H1567" s="22" t="str">
        <f aca="false">IF(A1567="","",N(H1566)+IF(B1567="Masuk",N(D1567),-N(D1567)))</f>
        <v/>
      </c>
    </row>
    <row r="1568" customFormat="false" ht="15" hidden="false" customHeight="false" outlineLevel="0" collapsed="false">
      <c r="A1568" s="20"/>
      <c r="B1568" s="19"/>
      <c r="C1568" s="19"/>
      <c r="D1568" s="21"/>
      <c r="E1568" s="19"/>
      <c r="F1568" s="19"/>
      <c r="G1568" s="23" t="str">
        <f aca="false">IF(A1568="","",TEXT(A1568,"yyyy-mm"))</f>
        <v/>
      </c>
      <c r="H1568" s="22" t="str">
        <f aca="false">IF(A1568="","",N(H1567)+IF(B1568="Masuk",N(D1568),-N(D1568)))</f>
        <v/>
      </c>
    </row>
    <row r="1569" customFormat="false" ht="15" hidden="false" customHeight="false" outlineLevel="0" collapsed="false">
      <c r="A1569" s="20"/>
      <c r="B1569" s="19"/>
      <c r="C1569" s="19"/>
      <c r="D1569" s="21"/>
      <c r="E1569" s="19"/>
      <c r="F1569" s="19"/>
      <c r="G1569" s="23" t="str">
        <f aca="false">IF(A1569="","",TEXT(A1569,"yyyy-mm"))</f>
        <v/>
      </c>
      <c r="H1569" s="22" t="str">
        <f aca="false">IF(A1569="","",N(H1568)+IF(B1569="Masuk",N(D1569),-N(D1569)))</f>
        <v/>
      </c>
    </row>
    <row r="1570" customFormat="false" ht="15" hidden="false" customHeight="false" outlineLevel="0" collapsed="false">
      <c r="A1570" s="20"/>
      <c r="B1570" s="19"/>
      <c r="C1570" s="19"/>
      <c r="D1570" s="21"/>
      <c r="E1570" s="19"/>
      <c r="F1570" s="19"/>
      <c r="G1570" s="23" t="str">
        <f aca="false">IF(A1570="","",TEXT(A1570,"yyyy-mm"))</f>
        <v/>
      </c>
      <c r="H1570" s="22" t="str">
        <f aca="false">IF(A1570="","",N(H1569)+IF(B1570="Masuk",N(D1570),-N(D1570)))</f>
        <v/>
      </c>
    </row>
    <row r="1571" customFormat="false" ht="15" hidden="false" customHeight="false" outlineLevel="0" collapsed="false">
      <c r="A1571" s="20"/>
      <c r="B1571" s="19"/>
      <c r="C1571" s="19"/>
      <c r="D1571" s="21"/>
      <c r="E1571" s="19"/>
      <c r="F1571" s="19"/>
      <c r="G1571" s="23" t="str">
        <f aca="false">IF(A1571="","",TEXT(A1571,"yyyy-mm"))</f>
        <v/>
      </c>
      <c r="H1571" s="22" t="str">
        <f aca="false">IF(A1571="","",N(H1570)+IF(B1571="Masuk",N(D1571),-N(D1571)))</f>
        <v/>
      </c>
    </row>
    <row r="1572" customFormat="false" ht="15" hidden="false" customHeight="false" outlineLevel="0" collapsed="false">
      <c r="A1572" s="20"/>
      <c r="B1572" s="19"/>
      <c r="C1572" s="19"/>
      <c r="D1572" s="21"/>
      <c r="E1572" s="19"/>
      <c r="F1572" s="19"/>
      <c r="G1572" s="23" t="str">
        <f aca="false">IF(A1572="","",TEXT(A1572,"yyyy-mm"))</f>
        <v/>
      </c>
      <c r="H1572" s="22" t="str">
        <f aca="false">IF(A1572="","",N(H1571)+IF(B1572="Masuk",N(D1572),-N(D1572)))</f>
        <v/>
      </c>
    </row>
    <row r="1573" customFormat="false" ht="15" hidden="false" customHeight="false" outlineLevel="0" collapsed="false">
      <c r="A1573" s="20"/>
      <c r="B1573" s="19"/>
      <c r="C1573" s="19"/>
      <c r="D1573" s="21"/>
      <c r="E1573" s="19"/>
      <c r="F1573" s="19"/>
      <c r="G1573" s="23" t="str">
        <f aca="false">IF(A1573="","",TEXT(A1573,"yyyy-mm"))</f>
        <v/>
      </c>
      <c r="H1573" s="22" t="str">
        <f aca="false">IF(A1573="","",N(H1572)+IF(B1573="Masuk",N(D1573),-N(D1573)))</f>
        <v/>
      </c>
    </row>
    <row r="1574" customFormat="false" ht="15" hidden="false" customHeight="false" outlineLevel="0" collapsed="false">
      <c r="A1574" s="20"/>
      <c r="B1574" s="19"/>
      <c r="C1574" s="19"/>
      <c r="D1574" s="21"/>
      <c r="E1574" s="19"/>
      <c r="F1574" s="19"/>
      <c r="G1574" s="23" t="str">
        <f aca="false">IF(A1574="","",TEXT(A1574,"yyyy-mm"))</f>
        <v/>
      </c>
      <c r="H1574" s="22" t="str">
        <f aca="false">IF(A1574="","",N(H1573)+IF(B1574="Masuk",N(D1574),-N(D1574)))</f>
        <v/>
      </c>
    </row>
    <row r="1575" customFormat="false" ht="15" hidden="false" customHeight="false" outlineLevel="0" collapsed="false">
      <c r="A1575" s="20"/>
      <c r="B1575" s="19"/>
      <c r="C1575" s="19"/>
      <c r="D1575" s="21"/>
      <c r="E1575" s="19"/>
      <c r="F1575" s="19"/>
      <c r="G1575" s="23" t="str">
        <f aca="false">IF(A1575="","",TEXT(A1575,"yyyy-mm"))</f>
        <v/>
      </c>
      <c r="H1575" s="22" t="str">
        <f aca="false">IF(A1575="","",N(H1574)+IF(B1575="Masuk",N(D1575),-N(D1575)))</f>
        <v/>
      </c>
    </row>
    <row r="1576" customFormat="false" ht="15" hidden="false" customHeight="false" outlineLevel="0" collapsed="false">
      <c r="A1576" s="20"/>
      <c r="B1576" s="19"/>
      <c r="C1576" s="19"/>
      <c r="D1576" s="21"/>
      <c r="E1576" s="19"/>
      <c r="F1576" s="19"/>
      <c r="G1576" s="23" t="str">
        <f aca="false">IF(A1576="","",TEXT(A1576,"yyyy-mm"))</f>
        <v/>
      </c>
      <c r="H1576" s="22" t="str">
        <f aca="false">IF(A1576="","",N(H1575)+IF(B1576="Masuk",N(D1576),-N(D1576)))</f>
        <v/>
      </c>
    </row>
    <row r="1577" customFormat="false" ht="15" hidden="false" customHeight="false" outlineLevel="0" collapsed="false">
      <c r="A1577" s="20"/>
      <c r="B1577" s="19"/>
      <c r="C1577" s="19"/>
      <c r="D1577" s="21"/>
      <c r="E1577" s="19"/>
      <c r="F1577" s="19"/>
      <c r="G1577" s="23" t="str">
        <f aca="false">IF(A1577="","",TEXT(A1577,"yyyy-mm"))</f>
        <v/>
      </c>
      <c r="H1577" s="22" t="str">
        <f aca="false">IF(A1577="","",N(H1576)+IF(B1577="Masuk",N(D1577),-N(D1577)))</f>
        <v/>
      </c>
    </row>
    <row r="1578" customFormat="false" ht="15" hidden="false" customHeight="false" outlineLevel="0" collapsed="false">
      <c r="A1578" s="20"/>
      <c r="B1578" s="19"/>
      <c r="C1578" s="19"/>
      <c r="D1578" s="21"/>
      <c r="E1578" s="19"/>
      <c r="F1578" s="19"/>
      <c r="G1578" s="23" t="str">
        <f aca="false">IF(A1578="","",TEXT(A1578,"yyyy-mm"))</f>
        <v/>
      </c>
      <c r="H1578" s="22" t="str">
        <f aca="false">IF(A1578="","",N(H1577)+IF(B1578="Masuk",N(D1578),-N(D1578)))</f>
        <v/>
      </c>
    </row>
    <row r="1579" customFormat="false" ht="15" hidden="false" customHeight="false" outlineLevel="0" collapsed="false">
      <c r="A1579" s="20"/>
      <c r="B1579" s="19"/>
      <c r="C1579" s="19"/>
      <c r="D1579" s="21"/>
      <c r="E1579" s="19"/>
      <c r="F1579" s="19"/>
      <c r="G1579" s="23" t="str">
        <f aca="false">IF(A1579="","",TEXT(A1579,"yyyy-mm"))</f>
        <v/>
      </c>
      <c r="H1579" s="22" t="str">
        <f aca="false">IF(A1579="","",N(H1578)+IF(B1579="Masuk",N(D1579),-N(D1579)))</f>
        <v/>
      </c>
    </row>
    <row r="1580" customFormat="false" ht="15" hidden="false" customHeight="false" outlineLevel="0" collapsed="false">
      <c r="A1580" s="20"/>
      <c r="B1580" s="19"/>
      <c r="C1580" s="19"/>
      <c r="D1580" s="21"/>
      <c r="E1580" s="19"/>
      <c r="F1580" s="19"/>
      <c r="G1580" s="23" t="str">
        <f aca="false">IF(A1580="","",TEXT(A1580,"yyyy-mm"))</f>
        <v/>
      </c>
      <c r="H1580" s="22" t="str">
        <f aca="false">IF(A1580="","",N(H1579)+IF(B1580="Masuk",N(D1580),-N(D1580)))</f>
        <v/>
      </c>
    </row>
    <row r="1581" customFormat="false" ht="15" hidden="false" customHeight="false" outlineLevel="0" collapsed="false">
      <c r="A1581" s="20"/>
      <c r="B1581" s="19"/>
      <c r="C1581" s="19"/>
      <c r="D1581" s="21"/>
      <c r="E1581" s="19"/>
      <c r="F1581" s="19"/>
      <c r="G1581" s="23" t="str">
        <f aca="false">IF(A1581="","",TEXT(A1581,"yyyy-mm"))</f>
        <v/>
      </c>
      <c r="H1581" s="22" t="str">
        <f aca="false">IF(A1581="","",N(H1580)+IF(B1581="Masuk",N(D1581),-N(D1581)))</f>
        <v/>
      </c>
    </row>
    <row r="1582" customFormat="false" ht="15" hidden="false" customHeight="false" outlineLevel="0" collapsed="false">
      <c r="A1582" s="20"/>
      <c r="B1582" s="19"/>
      <c r="C1582" s="19"/>
      <c r="D1582" s="21"/>
      <c r="E1582" s="19"/>
      <c r="F1582" s="19"/>
      <c r="G1582" s="23" t="str">
        <f aca="false">IF(A1582="","",TEXT(A1582,"yyyy-mm"))</f>
        <v/>
      </c>
      <c r="H1582" s="22" t="str">
        <f aca="false">IF(A1582="","",N(H1581)+IF(B1582="Masuk",N(D1582),-N(D1582)))</f>
        <v/>
      </c>
    </row>
    <row r="1583" customFormat="false" ht="15" hidden="false" customHeight="false" outlineLevel="0" collapsed="false">
      <c r="A1583" s="20"/>
      <c r="B1583" s="19"/>
      <c r="C1583" s="19"/>
      <c r="D1583" s="21"/>
      <c r="E1583" s="19"/>
      <c r="F1583" s="19"/>
      <c r="G1583" s="23" t="str">
        <f aca="false">IF(A1583="","",TEXT(A1583,"yyyy-mm"))</f>
        <v/>
      </c>
      <c r="H1583" s="22" t="str">
        <f aca="false">IF(A1583="","",N(H1582)+IF(B1583="Masuk",N(D1583),-N(D1583)))</f>
        <v/>
      </c>
    </row>
    <row r="1584" customFormat="false" ht="15" hidden="false" customHeight="false" outlineLevel="0" collapsed="false">
      <c r="A1584" s="20"/>
      <c r="B1584" s="19"/>
      <c r="C1584" s="19"/>
      <c r="D1584" s="21"/>
      <c r="E1584" s="19"/>
      <c r="F1584" s="19"/>
      <c r="G1584" s="23" t="str">
        <f aca="false">IF(A1584="","",TEXT(A1584,"yyyy-mm"))</f>
        <v/>
      </c>
      <c r="H1584" s="22" t="str">
        <f aca="false">IF(A1584="","",N(H1583)+IF(B1584="Masuk",N(D1584),-N(D1584)))</f>
        <v/>
      </c>
    </row>
    <row r="1585" customFormat="false" ht="15" hidden="false" customHeight="false" outlineLevel="0" collapsed="false">
      <c r="A1585" s="20"/>
      <c r="B1585" s="19"/>
      <c r="C1585" s="19"/>
      <c r="D1585" s="21"/>
      <c r="E1585" s="19"/>
      <c r="F1585" s="19"/>
      <c r="G1585" s="23" t="str">
        <f aca="false">IF(A1585="","",TEXT(A1585,"yyyy-mm"))</f>
        <v/>
      </c>
      <c r="H1585" s="22" t="str">
        <f aca="false">IF(A1585="","",N(H1584)+IF(B1585="Masuk",N(D1585),-N(D1585)))</f>
        <v/>
      </c>
    </row>
    <row r="1586" customFormat="false" ht="15" hidden="false" customHeight="false" outlineLevel="0" collapsed="false">
      <c r="A1586" s="20"/>
      <c r="B1586" s="19"/>
      <c r="C1586" s="19"/>
      <c r="D1586" s="21"/>
      <c r="E1586" s="19"/>
      <c r="F1586" s="19"/>
      <c r="G1586" s="23" t="str">
        <f aca="false">IF(A1586="","",TEXT(A1586,"yyyy-mm"))</f>
        <v/>
      </c>
      <c r="H1586" s="22" t="str">
        <f aca="false">IF(A1586="","",N(H1585)+IF(B1586="Masuk",N(D1586),-N(D1586)))</f>
        <v/>
      </c>
    </row>
    <row r="1587" customFormat="false" ht="15" hidden="false" customHeight="false" outlineLevel="0" collapsed="false">
      <c r="A1587" s="20"/>
      <c r="B1587" s="19"/>
      <c r="C1587" s="19"/>
      <c r="D1587" s="21"/>
      <c r="E1587" s="19"/>
      <c r="F1587" s="19"/>
      <c r="G1587" s="23" t="str">
        <f aca="false">IF(A1587="","",TEXT(A1587,"yyyy-mm"))</f>
        <v/>
      </c>
      <c r="H1587" s="22" t="str">
        <f aca="false">IF(A1587="","",N(H1586)+IF(B1587="Masuk",N(D1587),-N(D1587)))</f>
        <v/>
      </c>
    </row>
    <row r="1588" customFormat="false" ht="15" hidden="false" customHeight="false" outlineLevel="0" collapsed="false">
      <c r="A1588" s="20"/>
      <c r="B1588" s="19"/>
      <c r="C1588" s="19"/>
      <c r="D1588" s="21"/>
      <c r="E1588" s="19"/>
      <c r="F1588" s="19"/>
      <c r="G1588" s="23" t="str">
        <f aca="false">IF(A1588="","",TEXT(A1588,"yyyy-mm"))</f>
        <v/>
      </c>
      <c r="H1588" s="22" t="str">
        <f aca="false">IF(A1588="","",N(H1587)+IF(B1588="Masuk",N(D1588),-N(D1588)))</f>
        <v/>
      </c>
    </row>
    <row r="1589" customFormat="false" ht="15" hidden="false" customHeight="false" outlineLevel="0" collapsed="false">
      <c r="A1589" s="20"/>
      <c r="B1589" s="19"/>
      <c r="C1589" s="19"/>
      <c r="D1589" s="21"/>
      <c r="E1589" s="19"/>
      <c r="F1589" s="19"/>
      <c r="G1589" s="23" t="str">
        <f aca="false">IF(A1589="","",TEXT(A1589,"yyyy-mm"))</f>
        <v/>
      </c>
      <c r="H1589" s="22" t="str">
        <f aca="false">IF(A1589="","",N(H1588)+IF(B1589="Masuk",N(D1589),-N(D1589)))</f>
        <v/>
      </c>
    </row>
    <row r="1590" customFormat="false" ht="15" hidden="false" customHeight="false" outlineLevel="0" collapsed="false">
      <c r="A1590" s="20"/>
      <c r="B1590" s="19"/>
      <c r="C1590" s="19"/>
      <c r="D1590" s="21"/>
      <c r="E1590" s="19"/>
      <c r="F1590" s="19"/>
      <c r="G1590" s="23" t="str">
        <f aca="false">IF(A1590="","",TEXT(A1590,"yyyy-mm"))</f>
        <v/>
      </c>
      <c r="H1590" s="22" t="str">
        <f aca="false">IF(A1590="","",N(H1589)+IF(B1590="Masuk",N(D1590),-N(D1590)))</f>
        <v/>
      </c>
    </row>
    <row r="1591" customFormat="false" ht="15" hidden="false" customHeight="false" outlineLevel="0" collapsed="false">
      <c r="A1591" s="20"/>
      <c r="B1591" s="19"/>
      <c r="C1591" s="19"/>
      <c r="D1591" s="21"/>
      <c r="E1591" s="19"/>
      <c r="F1591" s="19"/>
      <c r="G1591" s="23" t="str">
        <f aca="false">IF(A1591="","",TEXT(A1591,"yyyy-mm"))</f>
        <v/>
      </c>
      <c r="H1591" s="22" t="str">
        <f aca="false">IF(A1591="","",N(H1590)+IF(B1591="Masuk",N(D1591),-N(D1591)))</f>
        <v/>
      </c>
    </row>
    <row r="1592" customFormat="false" ht="15" hidden="false" customHeight="false" outlineLevel="0" collapsed="false">
      <c r="A1592" s="20"/>
      <c r="B1592" s="19"/>
      <c r="C1592" s="19"/>
      <c r="D1592" s="21"/>
      <c r="E1592" s="19"/>
      <c r="F1592" s="19"/>
      <c r="G1592" s="23" t="str">
        <f aca="false">IF(A1592="","",TEXT(A1592,"yyyy-mm"))</f>
        <v/>
      </c>
      <c r="H1592" s="22" t="str">
        <f aca="false">IF(A1592="","",N(H1591)+IF(B1592="Masuk",N(D1592),-N(D1592)))</f>
        <v/>
      </c>
    </row>
    <row r="1593" customFormat="false" ht="15" hidden="false" customHeight="false" outlineLevel="0" collapsed="false">
      <c r="A1593" s="20"/>
      <c r="B1593" s="19"/>
      <c r="C1593" s="19"/>
      <c r="D1593" s="21"/>
      <c r="E1593" s="19"/>
      <c r="F1593" s="19"/>
      <c r="G1593" s="23" t="str">
        <f aca="false">IF(A1593="","",TEXT(A1593,"yyyy-mm"))</f>
        <v/>
      </c>
      <c r="H1593" s="22" t="str">
        <f aca="false">IF(A1593="","",N(H1592)+IF(B1593="Masuk",N(D1593),-N(D1593)))</f>
        <v/>
      </c>
    </row>
    <row r="1594" customFormat="false" ht="15" hidden="false" customHeight="false" outlineLevel="0" collapsed="false">
      <c r="A1594" s="20"/>
      <c r="B1594" s="19"/>
      <c r="C1594" s="19"/>
      <c r="D1594" s="21"/>
      <c r="E1594" s="19"/>
      <c r="F1594" s="19"/>
      <c r="G1594" s="23" t="str">
        <f aca="false">IF(A1594="","",TEXT(A1594,"yyyy-mm"))</f>
        <v/>
      </c>
      <c r="H1594" s="22" t="str">
        <f aca="false">IF(A1594="","",N(H1593)+IF(B1594="Masuk",N(D1594),-N(D1594)))</f>
        <v/>
      </c>
    </row>
    <row r="1595" customFormat="false" ht="15" hidden="false" customHeight="false" outlineLevel="0" collapsed="false">
      <c r="A1595" s="20"/>
      <c r="B1595" s="19"/>
      <c r="C1595" s="19"/>
      <c r="D1595" s="21"/>
      <c r="E1595" s="19"/>
      <c r="F1595" s="19"/>
      <c r="G1595" s="23" t="str">
        <f aca="false">IF(A1595="","",TEXT(A1595,"yyyy-mm"))</f>
        <v/>
      </c>
      <c r="H1595" s="22" t="str">
        <f aca="false">IF(A1595="","",N(H1594)+IF(B1595="Masuk",N(D1595),-N(D1595)))</f>
        <v/>
      </c>
    </row>
    <row r="1596" customFormat="false" ht="15" hidden="false" customHeight="false" outlineLevel="0" collapsed="false">
      <c r="A1596" s="20"/>
      <c r="B1596" s="19"/>
      <c r="C1596" s="19"/>
      <c r="D1596" s="21"/>
      <c r="E1596" s="19"/>
      <c r="F1596" s="19"/>
      <c r="G1596" s="23" t="str">
        <f aca="false">IF(A1596="","",TEXT(A1596,"yyyy-mm"))</f>
        <v/>
      </c>
      <c r="H1596" s="22" t="str">
        <f aca="false">IF(A1596="","",N(H1595)+IF(B1596="Masuk",N(D1596),-N(D1596)))</f>
        <v/>
      </c>
    </row>
    <row r="1597" customFormat="false" ht="15" hidden="false" customHeight="false" outlineLevel="0" collapsed="false">
      <c r="A1597" s="20"/>
      <c r="B1597" s="19"/>
      <c r="C1597" s="19"/>
      <c r="D1597" s="21"/>
      <c r="E1597" s="19"/>
      <c r="F1597" s="19"/>
      <c r="G1597" s="23" t="str">
        <f aca="false">IF(A1597="","",TEXT(A1597,"yyyy-mm"))</f>
        <v/>
      </c>
      <c r="H1597" s="22" t="str">
        <f aca="false">IF(A1597="","",N(H1596)+IF(B1597="Masuk",N(D1597),-N(D1597)))</f>
        <v/>
      </c>
    </row>
    <row r="1598" customFormat="false" ht="15" hidden="false" customHeight="false" outlineLevel="0" collapsed="false">
      <c r="A1598" s="20"/>
      <c r="B1598" s="19"/>
      <c r="C1598" s="19"/>
      <c r="D1598" s="21"/>
      <c r="E1598" s="19"/>
      <c r="F1598" s="19"/>
      <c r="G1598" s="23" t="str">
        <f aca="false">IF(A1598="","",TEXT(A1598,"yyyy-mm"))</f>
        <v/>
      </c>
      <c r="H1598" s="22" t="str">
        <f aca="false">IF(A1598="","",N(H1597)+IF(B1598="Masuk",N(D1598),-N(D1598)))</f>
        <v/>
      </c>
    </row>
    <row r="1599" customFormat="false" ht="15" hidden="false" customHeight="false" outlineLevel="0" collapsed="false">
      <c r="A1599" s="20"/>
      <c r="B1599" s="19"/>
      <c r="C1599" s="19"/>
      <c r="D1599" s="21"/>
      <c r="E1599" s="19"/>
      <c r="F1599" s="19"/>
      <c r="G1599" s="23" t="str">
        <f aca="false">IF(A1599="","",TEXT(A1599,"yyyy-mm"))</f>
        <v/>
      </c>
      <c r="H1599" s="22" t="str">
        <f aca="false">IF(A1599="","",N(H1598)+IF(B1599="Masuk",N(D1599),-N(D1599)))</f>
        <v/>
      </c>
    </row>
    <row r="1600" customFormat="false" ht="15" hidden="false" customHeight="false" outlineLevel="0" collapsed="false">
      <c r="A1600" s="20"/>
      <c r="B1600" s="19"/>
      <c r="C1600" s="19"/>
      <c r="D1600" s="21"/>
      <c r="E1600" s="19"/>
      <c r="F1600" s="19"/>
      <c r="G1600" s="23" t="str">
        <f aca="false">IF(A1600="","",TEXT(A1600,"yyyy-mm"))</f>
        <v/>
      </c>
      <c r="H1600" s="22" t="str">
        <f aca="false">IF(A1600="","",N(H1599)+IF(B1600="Masuk",N(D1600),-N(D1600)))</f>
        <v/>
      </c>
    </row>
    <row r="1601" customFormat="false" ht="15" hidden="false" customHeight="false" outlineLevel="0" collapsed="false">
      <c r="A1601" s="20"/>
      <c r="B1601" s="19"/>
      <c r="C1601" s="19"/>
      <c r="D1601" s="21"/>
      <c r="E1601" s="19"/>
      <c r="F1601" s="19"/>
      <c r="G1601" s="23" t="str">
        <f aca="false">IF(A1601="","",TEXT(A1601,"yyyy-mm"))</f>
        <v/>
      </c>
      <c r="H1601" s="22" t="str">
        <f aca="false">IF(A1601="","",N(H1600)+IF(B1601="Masuk",N(D1601),-N(D1601)))</f>
        <v/>
      </c>
    </row>
    <row r="1602" customFormat="false" ht="15" hidden="false" customHeight="false" outlineLevel="0" collapsed="false">
      <c r="A1602" s="20"/>
      <c r="B1602" s="19"/>
      <c r="C1602" s="19"/>
      <c r="D1602" s="21"/>
      <c r="E1602" s="19"/>
      <c r="F1602" s="19"/>
      <c r="G1602" s="23" t="str">
        <f aca="false">IF(A1602="","",TEXT(A1602,"yyyy-mm"))</f>
        <v/>
      </c>
      <c r="H1602" s="22" t="str">
        <f aca="false">IF(A1602="","",N(H1601)+IF(B1602="Masuk",N(D1602),-N(D1602)))</f>
        <v/>
      </c>
    </row>
    <row r="1603" customFormat="false" ht="15" hidden="false" customHeight="false" outlineLevel="0" collapsed="false">
      <c r="A1603" s="20"/>
      <c r="B1603" s="19"/>
      <c r="C1603" s="19"/>
      <c r="D1603" s="21"/>
      <c r="E1603" s="19"/>
      <c r="F1603" s="19"/>
      <c r="G1603" s="23" t="str">
        <f aca="false">IF(A1603="","",TEXT(A1603,"yyyy-mm"))</f>
        <v/>
      </c>
      <c r="H1603" s="22" t="str">
        <f aca="false">IF(A1603="","",N(H1602)+IF(B1603="Masuk",N(D1603),-N(D1603)))</f>
        <v/>
      </c>
    </row>
    <row r="1604" customFormat="false" ht="15" hidden="false" customHeight="false" outlineLevel="0" collapsed="false">
      <c r="A1604" s="20"/>
      <c r="B1604" s="19"/>
      <c r="C1604" s="19"/>
      <c r="D1604" s="21"/>
      <c r="E1604" s="19"/>
      <c r="F1604" s="19"/>
      <c r="G1604" s="23" t="str">
        <f aca="false">IF(A1604="","",TEXT(A1604,"yyyy-mm"))</f>
        <v/>
      </c>
      <c r="H1604" s="22" t="str">
        <f aca="false">IF(A1604="","",N(H1603)+IF(B1604="Masuk",N(D1604),-N(D1604)))</f>
        <v/>
      </c>
    </row>
    <row r="1605" customFormat="false" ht="15" hidden="false" customHeight="false" outlineLevel="0" collapsed="false">
      <c r="A1605" s="20"/>
      <c r="B1605" s="19"/>
      <c r="C1605" s="19"/>
      <c r="D1605" s="21"/>
      <c r="E1605" s="19"/>
      <c r="F1605" s="19"/>
      <c r="G1605" s="23" t="str">
        <f aca="false">IF(A1605="","",TEXT(A1605,"yyyy-mm"))</f>
        <v/>
      </c>
      <c r="H1605" s="22" t="str">
        <f aca="false">IF(A1605="","",N(H1604)+IF(B1605="Masuk",N(D1605),-N(D1605)))</f>
        <v/>
      </c>
    </row>
    <row r="1606" customFormat="false" ht="15" hidden="false" customHeight="false" outlineLevel="0" collapsed="false">
      <c r="A1606" s="20"/>
      <c r="B1606" s="19"/>
      <c r="C1606" s="19"/>
      <c r="D1606" s="21"/>
      <c r="E1606" s="19"/>
      <c r="F1606" s="19"/>
      <c r="G1606" s="23" t="str">
        <f aca="false">IF(A1606="","",TEXT(A1606,"yyyy-mm"))</f>
        <v/>
      </c>
      <c r="H1606" s="22" t="str">
        <f aca="false">IF(A1606="","",N(H1605)+IF(B1606="Masuk",N(D1606),-N(D1606)))</f>
        <v/>
      </c>
    </row>
    <row r="1607" customFormat="false" ht="15" hidden="false" customHeight="false" outlineLevel="0" collapsed="false">
      <c r="A1607" s="20"/>
      <c r="B1607" s="19"/>
      <c r="C1607" s="19"/>
      <c r="D1607" s="21"/>
      <c r="E1607" s="19"/>
      <c r="F1607" s="19"/>
      <c r="G1607" s="23" t="str">
        <f aca="false">IF(A1607="","",TEXT(A1607,"yyyy-mm"))</f>
        <v/>
      </c>
      <c r="H1607" s="22" t="str">
        <f aca="false">IF(A1607="","",N(H1606)+IF(B1607="Masuk",N(D1607),-N(D1607)))</f>
        <v/>
      </c>
    </row>
    <row r="1608" customFormat="false" ht="15" hidden="false" customHeight="false" outlineLevel="0" collapsed="false">
      <c r="A1608" s="20"/>
      <c r="B1608" s="19"/>
      <c r="C1608" s="19"/>
      <c r="D1608" s="21"/>
      <c r="E1608" s="19"/>
      <c r="F1608" s="19"/>
      <c r="G1608" s="23" t="str">
        <f aca="false">IF(A1608="","",TEXT(A1608,"yyyy-mm"))</f>
        <v/>
      </c>
      <c r="H1608" s="22" t="str">
        <f aca="false">IF(A1608="","",N(H1607)+IF(B1608="Masuk",N(D1608),-N(D1608)))</f>
        <v/>
      </c>
    </row>
    <row r="1609" customFormat="false" ht="15" hidden="false" customHeight="false" outlineLevel="0" collapsed="false">
      <c r="A1609" s="20"/>
      <c r="B1609" s="19"/>
      <c r="C1609" s="19"/>
      <c r="D1609" s="21"/>
      <c r="E1609" s="19"/>
      <c r="F1609" s="19"/>
      <c r="G1609" s="23" t="str">
        <f aca="false">IF(A1609="","",TEXT(A1609,"yyyy-mm"))</f>
        <v/>
      </c>
      <c r="H1609" s="22" t="str">
        <f aca="false">IF(A1609="","",N(H1608)+IF(B1609="Masuk",N(D1609),-N(D1609)))</f>
        <v/>
      </c>
    </row>
    <row r="1610" customFormat="false" ht="15" hidden="false" customHeight="false" outlineLevel="0" collapsed="false">
      <c r="A1610" s="20"/>
      <c r="B1610" s="19"/>
      <c r="C1610" s="19"/>
      <c r="D1610" s="21"/>
      <c r="E1610" s="19"/>
      <c r="F1610" s="19"/>
      <c r="G1610" s="23" t="str">
        <f aca="false">IF(A1610="","",TEXT(A1610,"yyyy-mm"))</f>
        <v/>
      </c>
      <c r="H1610" s="22" t="str">
        <f aca="false">IF(A1610="","",N(H1609)+IF(B1610="Masuk",N(D1610),-N(D1610)))</f>
        <v/>
      </c>
    </row>
    <row r="1611" customFormat="false" ht="15" hidden="false" customHeight="false" outlineLevel="0" collapsed="false">
      <c r="A1611" s="20"/>
      <c r="B1611" s="19"/>
      <c r="C1611" s="19"/>
      <c r="D1611" s="21"/>
      <c r="E1611" s="19"/>
      <c r="F1611" s="19"/>
      <c r="G1611" s="23" t="str">
        <f aca="false">IF(A1611="","",TEXT(A1611,"yyyy-mm"))</f>
        <v/>
      </c>
      <c r="H1611" s="22" t="str">
        <f aca="false">IF(A1611="","",N(H1610)+IF(B1611="Masuk",N(D1611),-N(D1611)))</f>
        <v/>
      </c>
    </row>
    <row r="1612" customFormat="false" ht="15" hidden="false" customHeight="false" outlineLevel="0" collapsed="false">
      <c r="A1612" s="20"/>
      <c r="B1612" s="19"/>
      <c r="C1612" s="19"/>
      <c r="D1612" s="21"/>
      <c r="E1612" s="19"/>
      <c r="F1612" s="19"/>
      <c r="G1612" s="23" t="str">
        <f aca="false">IF(A1612="","",TEXT(A1612,"yyyy-mm"))</f>
        <v/>
      </c>
      <c r="H1612" s="22" t="str">
        <f aca="false">IF(A1612="","",N(H1611)+IF(B1612="Masuk",N(D1612),-N(D1612)))</f>
        <v/>
      </c>
    </row>
    <row r="1613" customFormat="false" ht="15" hidden="false" customHeight="false" outlineLevel="0" collapsed="false">
      <c r="A1613" s="20"/>
      <c r="B1613" s="19"/>
      <c r="C1613" s="19"/>
      <c r="D1613" s="21"/>
      <c r="E1613" s="19"/>
      <c r="F1613" s="19"/>
      <c r="G1613" s="23" t="str">
        <f aca="false">IF(A1613="","",TEXT(A1613,"yyyy-mm"))</f>
        <v/>
      </c>
      <c r="H1613" s="22" t="str">
        <f aca="false">IF(A1613="","",N(H1612)+IF(B1613="Masuk",N(D1613),-N(D1613)))</f>
        <v/>
      </c>
    </row>
    <row r="1614" customFormat="false" ht="15" hidden="false" customHeight="false" outlineLevel="0" collapsed="false">
      <c r="A1614" s="20"/>
      <c r="B1614" s="19"/>
      <c r="C1614" s="19"/>
      <c r="D1614" s="21"/>
      <c r="E1614" s="19"/>
      <c r="F1614" s="19"/>
      <c r="G1614" s="23" t="str">
        <f aca="false">IF(A1614="","",TEXT(A1614,"yyyy-mm"))</f>
        <v/>
      </c>
      <c r="H1614" s="22" t="str">
        <f aca="false">IF(A1614="","",N(H1613)+IF(B1614="Masuk",N(D1614),-N(D1614)))</f>
        <v/>
      </c>
    </row>
    <row r="1615" customFormat="false" ht="15" hidden="false" customHeight="false" outlineLevel="0" collapsed="false">
      <c r="A1615" s="20"/>
      <c r="B1615" s="19"/>
      <c r="C1615" s="19"/>
      <c r="D1615" s="21"/>
      <c r="E1615" s="19"/>
      <c r="F1615" s="19"/>
      <c r="G1615" s="23" t="str">
        <f aca="false">IF(A1615="","",TEXT(A1615,"yyyy-mm"))</f>
        <v/>
      </c>
      <c r="H1615" s="22" t="str">
        <f aca="false">IF(A1615="","",N(H1614)+IF(B1615="Masuk",N(D1615),-N(D1615)))</f>
        <v/>
      </c>
    </row>
    <row r="1616" customFormat="false" ht="15" hidden="false" customHeight="false" outlineLevel="0" collapsed="false">
      <c r="A1616" s="20"/>
      <c r="B1616" s="19"/>
      <c r="C1616" s="19"/>
      <c r="D1616" s="21"/>
      <c r="E1616" s="19"/>
      <c r="F1616" s="19"/>
      <c r="G1616" s="23" t="str">
        <f aca="false">IF(A1616="","",TEXT(A1616,"yyyy-mm"))</f>
        <v/>
      </c>
      <c r="H1616" s="22" t="str">
        <f aca="false">IF(A1616="","",N(H1615)+IF(B1616="Masuk",N(D1616),-N(D1616)))</f>
        <v/>
      </c>
    </row>
    <row r="1617" customFormat="false" ht="15" hidden="false" customHeight="false" outlineLevel="0" collapsed="false">
      <c r="A1617" s="20"/>
      <c r="B1617" s="19"/>
      <c r="C1617" s="19"/>
      <c r="D1617" s="21"/>
      <c r="E1617" s="19"/>
      <c r="F1617" s="19"/>
      <c r="G1617" s="23" t="str">
        <f aca="false">IF(A1617="","",TEXT(A1617,"yyyy-mm"))</f>
        <v/>
      </c>
      <c r="H1617" s="22" t="str">
        <f aca="false">IF(A1617="","",N(H1616)+IF(B1617="Masuk",N(D1617),-N(D1617)))</f>
        <v/>
      </c>
    </row>
    <row r="1618" customFormat="false" ht="15" hidden="false" customHeight="false" outlineLevel="0" collapsed="false">
      <c r="A1618" s="20"/>
      <c r="B1618" s="19"/>
      <c r="C1618" s="19"/>
      <c r="D1618" s="21"/>
      <c r="E1618" s="19"/>
      <c r="F1618" s="19"/>
      <c r="G1618" s="23" t="str">
        <f aca="false">IF(A1618="","",TEXT(A1618,"yyyy-mm"))</f>
        <v/>
      </c>
      <c r="H1618" s="22" t="str">
        <f aca="false">IF(A1618="","",N(H1617)+IF(B1618="Masuk",N(D1618),-N(D1618)))</f>
        <v/>
      </c>
    </row>
    <row r="1619" customFormat="false" ht="15" hidden="false" customHeight="false" outlineLevel="0" collapsed="false">
      <c r="A1619" s="20"/>
      <c r="B1619" s="19"/>
      <c r="C1619" s="19"/>
      <c r="D1619" s="21"/>
      <c r="E1619" s="19"/>
      <c r="F1619" s="19"/>
      <c r="G1619" s="23" t="str">
        <f aca="false">IF(A1619="","",TEXT(A1619,"yyyy-mm"))</f>
        <v/>
      </c>
      <c r="H1619" s="22" t="str">
        <f aca="false">IF(A1619="","",N(H1618)+IF(B1619="Masuk",N(D1619),-N(D1619)))</f>
        <v/>
      </c>
    </row>
    <row r="1620" customFormat="false" ht="15" hidden="false" customHeight="false" outlineLevel="0" collapsed="false">
      <c r="A1620" s="20"/>
      <c r="B1620" s="19"/>
      <c r="C1620" s="19"/>
      <c r="D1620" s="21"/>
      <c r="E1620" s="19"/>
      <c r="F1620" s="19"/>
      <c r="G1620" s="23" t="str">
        <f aca="false">IF(A1620="","",TEXT(A1620,"yyyy-mm"))</f>
        <v/>
      </c>
      <c r="H1620" s="22" t="str">
        <f aca="false">IF(A1620="","",N(H1619)+IF(B1620="Masuk",N(D1620),-N(D1620)))</f>
        <v/>
      </c>
    </row>
    <row r="1621" customFormat="false" ht="15" hidden="false" customHeight="false" outlineLevel="0" collapsed="false">
      <c r="A1621" s="20"/>
      <c r="B1621" s="19"/>
      <c r="C1621" s="19"/>
      <c r="D1621" s="21"/>
      <c r="E1621" s="19"/>
      <c r="F1621" s="19"/>
      <c r="G1621" s="23" t="str">
        <f aca="false">IF(A1621="","",TEXT(A1621,"yyyy-mm"))</f>
        <v/>
      </c>
      <c r="H1621" s="22" t="str">
        <f aca="false">IF(A1621="","",N(H1620)+IF(B1621="Masuk",N(D1621),-N(D1621)))</f>
        <v/>
      </c>
    </row>
    <row r="1622" customFormat="false" ht="15" hidden="false" customHeight="false" outlineLevel="0" collapsed="false">
      <c r="A1622" s="20"/>
      <c r="B1622" s="19"/>
      <c r="C1622" s="19"/>
      <c r="D1622" s="21"/>
      <c r="E1622" s="19"/>
      <c r="F1622" s="19"/>
      <c r="G1622" s="23" t="str">
        <f aca="false">IF(A1622="","",TEXT(A1622,"yyyy-mm"))</f>
        <v/>
      </c>
      <c r="H1622" s="22" t="str">
        <f aca="false">IF(A1622="","",N(H1621)+IF(B1622="Masuk",N(D1622),-N(D1622)))</f>
        <v/>
      </c>
    </row>
    <row r="1623" customFormat="false" ht="15" hidden="false" customHeight="false" outlineLevel="0" collapsed="false">
      <c r="A1623" s="20"/>
      <c r="B1623" s="19"/>
      <c r="C1623" s="19"/>
      <c r="D1623" s="21"/>
      <c r="E1623" s="19"/>
      <c r="F1623" s="19"/>
      <c r="G1623" s="23" t="str">
        <f aca="false">IF(A1623="","",TEXT(A1623,"yyyy-mm"))</f>
        <v/>
      </c>
      <c r="H1623" s="22" t="str">
        <f aca="false">IF(A1623="","",N(H1622)+IF(B1623="Masuk",N(D1623),-N(D1623)))</f>
        <v/>
      </c>
    </row>
    <row r="1624" customFormat="false" ht="15" hidden="false" customHeight="false" outlineLevel="0" collapsed="false">
      <c r="A1624" s="20"/>
      <c r="B1624" s="19"/>
      <c r="C1624" s="19"/>
      <c r="D1624" s="21"/>
      <c r="E1624" s="19"/>
      <c r="F1624" s="19"/>
      <c r="G1624" s="23" t="str">
        <f aca="false">IF(A1624="","",TEXT(A1624,"yyyy-mm"))</f>
        <v/>
      </c>
      <c r="H1624" s="22" t="str">
        <f aca="false">IF(A1624="","",N(H1623)+IF(B1624="Masuk",N(D1624),-N(D1624)))</f>
        <v/>
      </c>
    </row>
    <row r="1625" customFormat="false" ht="15" hidden="false" customHeight="false" outlineLevel="0" collapsed="false">
      <c r="A1625" s="20"/>
      <c r="B1625" s="19"/>
      <c r="C1625" s="19"/>
      <c r="D1625" s="21"/>
      <c r="E1625" s="19"/>
      <c r="F1625" s="19"/>
      <c r="G1625" s="23" t="str">
        <f aca="false">IF(A1625="","",TEXT(A1625,"yyyy-mm"))</f>
        <v/>
      </c>
      <c r="H1625" s="22" t="str">
        <f aca="false">IF(A1625="","",N(H1624)+IF(B1625="Masuk",N(D1625),-N(D1625)))</f>
        <v/>
      </c>
    </row>
    <row r="1626" customFormat="false" ht="15" hidden="false" customHeight="false" outlineLevel="0" collapsed="false">
      <c r="A1626" s="20"/>
      <c r="B1626" s="19"/>
      <c r="C1626" s="19"/>
      <c r="D1626" s="21"/>
      <c r="E1626" s="19"/>
      <c r="F1626" s="19"/>
      <c r="G1626" s="23" t="str">
        <f aca="false">IF(A1626="","",TEXT(A1626,"yyyy-mm"))</f>
        <v/>
      </c>
      <c r="H1626" s="22" t="str">
        <f aca="false">IF(A1626="","",N(H1625)+IF(B1626="Masuk",N(D1626),-N(D1626)))</f>
        <v/>
      </c>
    </row>
    <row r="1627" customFormat="false" ht="15" hidden="false" customHeight="false" outlineLevel="0" collapsed="false">
      <c r="A1627" s="20"/>
      <c r="B1627" s="19"/>
      <c r="C1627" s="19"/>
      <c r="D1627" s="21"/>
      <c r="E1627" s="19"/>
      <c r="F1627" s="19"/>
      <c r="G1627" s="23" t="str">
        <f aca="false">IF(A1627="","",TEXT(A1627,"yyyy-mm"))</f>
        <v/>
      </c>
      <c r="H1627" s="22" t="str">
        <f aca="false">IF(A1627="","",N(H1626)+IF(B1627="Masuk",N(D1627),-N(D1627)))</f>
        <v/>
      </c>
    </row>
    <row r="1628" customFormat="false" ht="15" hidden="false" customHeight="false" outlineLevel="0" collapsed="false">
      <c r="A1628" s="20"/>
      <c r="B1628" s="19"/>
      <c r="C1628" s="19"/>
      <c r="D1628" s="21"/>
      <c r="E1628" s="19"/>
      <c r="F1628" s="19"/>
      <c r="G1628" s="23" t="str">
        <f aca="false">IF(A1628="","",TEXT(A1628,"yyyy-mm"))</f>
        <v/>
      </c>
      <c r="H1628" s="22" t="str">
        <f aca="false">IF(A1628="","",N(H1627)+IF(B1628="Masuk",N(D1628),-N(D1628)))</f>
        <v/>
      </c>
    </row>
    <row r="1629" customFormat="false" ht="15" hidden="false" customHeight="false" outlineLevel="0" collapsed="false">
      <c r="A1629" s="20"/>
      <c r="B1629" s="19"/>
      <c r="C1629" s="19"/>
      <c r="D1629" s="21"/>
      <c r="E1629" s="19"/>
      <c r="F1629" s="19"/>
      <c r="G1629" s="23" t="str">
        <f aca="false">IF(A1629="","",TEXT(A1629,"yyyy-mm"))</f>
        <v/>
      </c>
      <c r="H1629" s="22" t="str">
        <f aca="false">IF(A1629="","",N(H1628)+IF(B1629="Masuk",N(D1629),-N(D1629)))</f>
        <v/>
      </c>
    </row>
    <row r="1630" customFormat="false" ht="15" hidden="false" customHeight="false" outlineLevel="0" collapsed="false">
      <c r="A1630" s="20"/>
      <c r="B1630" s="19"/>
      <c r="C1630" s="19"/>
      <c r="D1630" s="21"/>
      <c r="E1630" s="19"/>
      <c r="F1630" s="19"/>
      <c r="G1630" s="23" t="str">
        <f aca="false">IF(A1630="","",TEXT(A1630,"yyyy-mm"))</f>
        <v/>
      </c>
      <c r="H1630" s="22" t="str">
        <f aca="false">IF(A1630="","",N(H1629)+IF(B1630="Masuk",N(D1630),-N(D1630)))</f>
        <v/>
      </c>
    </row>
    <row r="1631" customFormat="false" ht="15" hidden="false" customHeight="false" outlineLevel="0" collapsed="false">
      <c r="A1631" s="20"/>
      <c r="B1631" s="19"/>
      <c r="C1631" s="19"/>
      <c r="D1631" s="21"/>
      <c r="E1631" s="19"/>
      <c r="F1631" s="19"/>
      <c r="G1631" s="23" t="str">
        <f aca="false">IF(A1631="","",TEXT(A1631,"yyyy-mm"))</f>
        <v/>
      </c>
      <c r="H1631" s="22" t="str">
        <f aca="false">IF(A1631="","",N(H1630)+IF(B1631="Masuk",N(D1631),-N(D1631)))</f>
        <v/>
      </c>
    </row>
    <row r="1632" customFormat="false" ht="15" hidden="false" customHeight="false" outlineLevel="0" collapsed="false">
      <c r="A1632" s="20"/>
      <c r="B1632" s="19"/>
      <c r="C1632" s="19"/>
      <c r="D1632" s="21"/>
      <c r="E1632" s="19"/>
      <c r="F1632" s="19"/>
      <c r="G1632" s="23" t="str">
        <f aca="false">IF(A1632="","",TEXT(A1632,"yyyy-mm"))</f>
        <v/>
      </c>
      <c r="H1632" s="22" t="str">
        <f aca="false">IF(A1632="","",N(H1631)+IF(B1632="Masuk",N(D1632),-N(D1632)))</f>
        <v/>
      </c>
    </row>
    <row r="1633" customFormat="false" ht="15" hidden="false" customHeight="false" outlineLevel="0" collapsed="false">
      <c r="A1633" s="20"/>
      <c r="B1633" s="19"/>
      <c r="C1633" s="19"/>
      <c r="D1633" s="21"/>
      <c r="E1633" s="19"/>
      <c r="F1633" s="19"/>
      <c r="G1633" s="23" t="str">
        <f aca="false">IF(A1633="","",TEXT(A1633,"yyyy-mm"))</f>
        <v/>
      </c>
      <c r="H1633" s="22" t="str">
        <f aca="false">IF(A1633="","",N(H1632)+IF(B1633="Masuk",N(D1633),-N(D1633)))</f>
        <v/>
      </c>
    </row>
    <row r="1634" customFormat="false" ht="15" hidden="false" customHeight="false" outlineLevel="0" collapsed="false">
      <c r="A1634" s="20"/>
      <c r="B1634" s="19"/>
      <c r="C1634" s="19"/>
      <c r="D1634" s="21"/>
      <c r="E1634" s="19"/>
      <c r="F1634" s="19"/>
      <c r="G1634" s="23" t="str">
        <f aca="false">IF(A1634="","",TEXT(A1634,"yyyy-mm"))</f>
        <v/>
      </c>
      <c r="H1634" s="22" t="str">
        <f aca="false">IF(A1634="","",N(H1633)+IF(B1634="Masuk",N(D1634),-N(D1634)))</f>
        <v/>
      </c>
    </row>
    <row r="1635" customFormat="false" ht="15" hidden="false" customHeight="false" outlineLevel="0" collapsed="false">
      <c r="A1635" s="20"/>
      <c r="B1635" s="19"/>
      <c r="C1635" s="19"/>
      <c r="D1635" s="21"/>
      <c r="E1635" s="19"/>
      <c r="F1635" s="19"/>
      <c r="G1635" s="23" t="str">
        <f aca="false">IF(A1635="","",TEXT(A1635,"yyyy-mm"))</f>
        <v/>
      </c>
      <c r="H1635" s="22" t="str">
        <f aca="false">IF(A1635="","",N(H1634)+IF(B1635="Masuk",N(D1635),-N(D1635)))</f>
        <v/>
      </c>
    </row>
    <row r="1636" customFormat="false" ht="15" hidden="false" customHeight="false" outlineLevel="0" collapsed="false">
      <c r="A1636" s="20"/>
      <c r="B1636" s="19"/>
      <c r="C1636" s="19"/>
      <c r="D1636" s="21"/>
      <c r="E1636" s="19"/>
      <c r="F1636" s="19"/>
      <c r="G1636" s="23" t="str">
        <f aca="false">IF(A1636="","",TEXT(A1636,"yyyy-mm"))</f>
        <v/>
      </c>
      <c r="H1636" s="22" t="str">
        <f aca="false">IF(A1636="","",N(H1635)+IF(B1636="Masuk",N(D1636),-N(D1636)))</f>
        <v/>
      </c>
    </row>
    <row r="1637" customFormat="false" ht="15" hidden="false" customHeight="false" outlineLevel="0" collapsed="false">
      <c r="A1637" s="20"/>
      <c r="B1637" s="19"/>
      <c r="C1637" s="19"/>
      <c r="D1637" s="21"/>
      <c r="E1637" s="19"/>
      <c r="F1637" s="19"/>
      <c r="G1637" s="23" t="str">
        <f aca="false">IF(A1637="","",TEXT(A1637,"yyyy-mm"))</f>
        <v/>
      </c>
      <c r="H1637" s="22" t="str">
        <f aca="false">IF(A1637="","",N(H1636)+IF(B1637="Masuk",N(D1637),-N(D1637)))</f>
        <v/>
      </c>
    </row>
    <row r="1638" customFormat="false" ht="15" hidden="false" customHeight="false" outlineLevel="0" collapsed="false">
      <c r="A1638" s="20"/>
      <c r="B1638" s="19"/>
      <c r="C1638" s="19"/>
      <c r="D1638" s="21"/>
      <c r="E1638" s="19"/>
      <c r="F1638" s="19"/>
      <c r="G1638" s="23" t="str">
        <f aca="false">IF(A1638="","",TEXT(A1638,"yyyy-mm"))</f>
        <v/>
      </c>
      <c r="H1638" s="22" t="str">
        <f aca="false">IF(A1638="","",N(H1637)+IF(B1638="Masuk",N(D1638),-N(D1638)))</f>
        <v/>
      </c>
    </row>
    <row r="1639" customFormat="false" ht="15" hidden="false" customHeight="false" outlineLevel="0" collapsed="false">
      <c r="A1639" s="20"/>
      <c r="B1639" s="19"/>
      <c r="C1639" s="19"/>
      <c r="D1639" s="21"/>
      <c r="E1639" s="19"/>
      <c r="F1639" s="19"/>
      <c r="G1639" s="23" t="str">
        <f aca="false">IF(A1639="","",TEXT(A1639,"yyyy-mm"))</f>
        <v/>
      </c>
      <c r="H1639" s="22" t="str">
        <f aca="false">IF(A1639="","",N(H1638)+IF(B1639="Masuk",N(D1639),-N(D1639)))</f>
        <v/>
      </c>
    </row>
    <row r="1640" customFormat="false" ht="15" hidden="false" customHeight="false" outlineLevel="0" collapsed="false">
      <c r="A1640" s="20"/>
      <c r="B1640" s="19"/>
      <c r="C1640" s="19"/>
      <c r="D1640" s="21"/>
      <c r="E1640" s="19"/>
      <c r="F1640" s="19"/>
      <c r="G1640" s="23" t="str">
        <f aca="false">IF(A1640="","",TEXT(A1640,"yyyy-mm"))</f>
        <v/>
      </c>
      <c r="H1640" s="22" t="str">
        <f aca="false">IF(A1640="","",N(H1639)+IF(B1640="Masuk",N(D1640),-N(D1640)))</f>
        <v/>
      </c>
    </row>
    <row r="1641" customFormat="false" ht="15" hidden="false" customHeight="false" outlineLevel="0" collapsed="false">
      <c r="A1641" s="20"/>
      <c r="B1641" s="19"/>
      <c r="C1641" s="19"/>
      <c r="D1641" s="21"/>
      <c r="E1641" s="19"/>
      <c r="F1641" s="19"/>
      <c r="G1641" s="23" t="str">
        <f aca="false">IF(A1641="","",TEXT(A1641,"yyyy-mm"))</f>
        <v/>
      </c>
      <c r="H1641" s="22" t="str">
        <f aca="false">IF(A1641="","",N(H1640)+IF(B1641="Masuk",N(D1641),-N(D1641)))</f>
        <v/>
      </c>
    </row>
    <row r="1642" customFormat="false" ht="15" hidden="false" customHeight="false" outlineLevel="0" collapsed="false">
      <c r="A1642" s="20"/>
      <c r="B1642" s="19"/>
      <c r="C1642" s="19"/>
      <c r="D1642" s="21"/>
      <c r="E1642" s="19"/>
      <c r="F1642" s="19"/>
      <c r="G1642" s="23" t="str">
        <f aca="false">IF(A1642="","",TEXT(A1642,"yyyy-mm"))</f>
        <v/>
      </c>
      <c r="H1642" s="22" t="str">
        <f aca="false">IF(A1642="","",N(H1641)+IF(B1642="Masuk",N(D1642),-N(D1642)))</f>
        <v/>
      </c>
    </row>
    <row r="1643" customFormat="false" ht="15" hidden="false" customHeight="false" outlineLevel="0" collapsed="false">
      <c r="A1643" s="20"/>
      <c r="B1643" s="19"/>
      <c r="C1643" s="19"/>
      <c r="D1643" s="21"/>
      <c r="E1643" s="19"/>
      <c r="F1643" s="19"/>
      <c r="G1643" s="23" t="str">
        <f aca="false">IF(A1643="","",TEXT(A1643,"yyyy-mm"))</f>
        <v/>
      </c>
      <c r="H1643" s="22" t="str">
        <f aca="false">IF(A1643="","",N(H1642)+IF(B1643="Masuk",N(D1643),-N(D1643)))</f>
        <v/>
      </c>
    </row>
    <row r="1644" customFormat="false" ht="15" hidden="false" customHeight="false" outlineLevel="0" collapsed="false">
      <c r="A1644" s="20"/>
      <c r="B1644" s="19"/>
      <c r="C1644" s="19"/>
      <c r="D1644" s="21"/>
      <c r="E1644" s="19"/>
      <c r="F1644" s="19"/>
      <c r="G1644" s="23" t="str">
        <f aca="false">IF(A1644="","",TEXT(A1644,"yyyy-mm"))</f>
        <v/>
      </c>
      <c r="H1644" s="22" t="str">
        <f aca="false">IF(A1644="","",N(H1643)+IF(B1644="Masuk",N(D1644),-N(D1644)))</f>
        <v/>
      </c>
    </row>
    <row r="1645" customFormat="false" ht="15" hidden="false" customHeight="false" outlineLevel="0" collapsed="false">
      <c r="A1645" s="20"/>
      <c r="B1645" s="19"/>
      <c r="C1645" s="19"/>
      <c r="D1645" s="21"/>
      <c r="E1645" s="19"/>
      <c r="F1645" s="19"/>
      <c r="G1645" s="23" t="str">
        <f aca="false">IF(A1645="","",TEXT(A1645,"yyyy-mm"))</f>
        <v/>
      </c>
      <c r="H1645" s="22" t="str">
        <f aca="false">IF(A1645="","",N(H1644)+IF(B1645="Masuk",N(D1645),-N(D1645)))</f>
        <v/>
      </c>
    </row>
    <row r="1646" customFormat="false" ht="15" hidden="false" customHeight="false" outlineLevel="0" collapsed="false">
      <c r="A1646" s="20"/>
      <c r="B1646" s="19"/>
      <c r="C1646" s="19"/>
      <c r="D1646" s="21"/>
      <c r="E1646" s="19"/>
      <c r="F1646" s="19"/>
      <c r="G1646" s="23" t="str">
        <f aca="false">IF(A1646="","",TEXT(A1646,"yyyy-mm"))</f>
        <v/>
      </c>
      <c r="H1646" s="22" t="str">
        <f aca="false">IF(A1646="","",N(H1645)+IF(B1646="Masuk",N(D1646),-N(D1646)))</f>
        <v/>
      </c>
    </row>
    <row r="1647" customFormat="false" ht="15" hidden="false" customHeight="false" outlineLevel="0" collapsed="false">
      <c r="A1647" s="20"/>
      <c r="B1647" s="19"/>
      <c r="C1647" s="19"/>
      <c r="D1647" s="21"/>
      <c r="E1647" s="19"/>
      <c r="F1647" s="19"/>
      <c r="G1647" s="23" t="str">
        <f aca="false">IF(A1647="","",TEXT(A1647,"yyyy-mm"))</f>
        <v/>
      </c>
      <c r="H1647" s="22" t="str">
        <f aca="false">IF(A1647="","",N(H1646)+IF(B1647="Masuk",N(D1647),-N(D1647)))</f>
        <v/>
      </c>
    </row>
    <row r="1648" customFormat="false" ht="15" hidden="false" customHeight="false" outlineLevel="0" collapsed="false">
      <c r="A1648" s="20"/>
      <c r="B1648" s="19"/>
      <c r="C1648" s="19"/>
      <c r="D1648" s="21"/>
      <c r="E1648" s="19"/>
      <c r="F1648" s="19"/>
      <c r="G1648" s="23" t="str">
        <f aca="false">IF(A1648="","",TEXT(A1648,"yyyy-mm"))</f>
        <v/>
      </c>
      <c r="H1648" s="22" t="str">
        <f aca="false">IF(A1648="","",N(H1647)+IF(B1648="Masuk",N(D1648),-N(D1648)))</f>
        <v/>
      </c>
    </row>
    <row r="1649" customFormat="false" ht="15" hidden="false" customHeight="false" outlineLevel="0" collapsed="false">
      <c r="A1649" s="20"/>
      <c r="B1649" s="19"/>
      <c r="C1649" s="19"/>
      <c r="D1649" s="21"/>
      <c r="E1649" s="19"/>
      <c r="F1649" s="19"/>
      <c r="G1649" s="23" t="str">
        <f aca="false">IF(A1649="","",TEXT(A1649,"yyyy-mm"))</f>
        <v/>
      </c>
      <c r="H1649" s="22" t="str">
        <f aca="false">IF(A1649="","",N(H1648)+IF(B1649="Masuk",N(D1649),-N(D1649)))</f>
        <v/>
      </c>
    </row>
    <row r="1650" customFormat="false" ht="15" hidden="false" customHeight="false" outlineLevel="0" collapsed="false">
      <c r="A1650" s="20"/>
      <c r="B1650" s="19"/>
      <c r="C1650" s="19"/>
      <c r="D1650" s="21"/>
      <c r="E1650" s="19"/>
      <c r="F1650" s="19"/>
      <c r="G1650" s="23" t="str">
        <f aca="false">IF(A1650="","",TEXT(A1650,"yyyy-mm"))</f>
        <v/>
      </c>
      <c r="H1650" s="22" t="str">
        <f aca="false">IF(A1650="","",N(H1649)+IF(B1650="Masuk",N(D1650),-N(D1650)))</f>
        <v/>
      </c>
    </row>
    <row r="1651" customFormat="false" ht="15" hidden="false" customHeight="false" outlineLevel="0" collapsed="false">
      <c r="A1651" s="20"/>
      <c r="B1651" s="19"/>
      <c r="C1651" s="19"/>
      <c r="D1651" s="21"/>
      <c r="E1651" s="19"/>
      <c r="F1651" s="19"/>
      <c r="G1651" s="23" t="str">
        <f aca="false">IF(A1651="","",TEXT(A1651,"yyyy-mm"))</f>
        <v/>
      </c>
      <c r="H1651" s="22" t="str">
        <f aca="false">IF(A1651="","",N(H1650)+IF(B1651="Masuk",N(D1651),-N(D1651)))</f>
        <v/>
      </c>
    </row>
    <row r="1652" customFormat="false" ht="15" hidden="false" customHeight="false" outlineLevel="0" collapsed="false">
      <c r="A1652" s="20"/>
      <c r="B1652" s="19"/>
      <c r="C1652" s="19"/>
      <c r="D1652" s="21"/>
      <c r="E1652" s="19"/>
      <c r="F1652" s="19"/>
      <c r="G1652" s="23" t="str">
        <f aca="false">IF(A1652="","",TEXT(A1652,"yyyy-mm"))</f>
        <v/>
      </c>
      <c r="H1652" s="22" t="str">
        <f aca="false">IF(A1652="","",N(H1651)+IF(B1652="Masuk",N(D1652),-N(D1652)))</f>
        <v/>
      </c>
    </row>
    <row r="1653" customFormat="false" ht="15" hidden="false" customHeight="false" outlineLevel="0" collapsed="false">
      <c r="A1653" s="20"/>
      <c r="B1653" s="19"/>
      <c r="C1653" s="19"/>
      <c r="D1653" s="21"/>
      <c r="E1653" s="19"/>
      <c r="F1653" s="19"/>
      <c r="G1653" s="23" t="str">
        <f aca="false">IF(A1653="","",TEXT(A1653,"yyyy-mm"))</f>
        <v/>
      </c>
      <c r="H1653" s="22" t="str">
        <f aca="false">IF(A1653="","",N(H1652)+IF(B1653="Masuk",N(D1653),-N(D1653)))</f>
        <v/>
      </c>
    </row>
    <row r="1654" customFormat="false" ht="15" hidden="false" customHeight="false" outlineLevel="0" collapsed="false">
      <c r="A1654" s="20"/>
      <c r="B1654" s="19"/>
      <c r="C1654" s="19"/>
      <c r="D1654" s="21"/>
      <c r="E1654" s="19"/>
      <c r="F1654" s="19"/>
      <c r="G1654" s="23" t="str">
        <f aca="false">IF(A1654="","",TEXT(A1654,"yyyy-mm"))</f>
        <v/>
      </c>
      <c r="H1654" s="22" t="str">
        <f aca="false">IF(A1654="","",N(H1653)+IF(B1654="Masuk",N(D1654),-N(D1654)))</f>
        <v/>
      </c>
    </row>
    <row r="1655" customFormat="false" ht="15" hidden="false" customHeight="false" outlineLevel="0" collapsed="false">
      <c r="A1655" s="20"/>
      <c r="B1655" s="19"/>
      <c r="C1655" s="19"/>
      <c r="D1655" s="21"/>
      <c r="E1655" s="19"/>
      <c r="F1655" s="19"/>
      <c r="G1655" s="23" t="str">
        <f aca="false">IF(A1655="","",TEXT(A1655,"yyyy-mm"))</f>
        <v/>
      </c>
      <c r="H1655" s="22" t="str">
        <f aca="false">IF(A1655="","",N(H1654)+IF(B1655="Masuk",N(D1655),-N(D1655)))</f>
        <v/>
      </c>
    </row>
    <row r="1656" customFormat="false" ht="15" hidden="false" customHeight="false" outlineLevel="0" collapsed="false">
      <c r="A1656" s="20"/>
      <c r="B1656" s="19"/>
      <c r="C1656" s="19"/>
      <c r="D1656" s="21"/>
      <c r="E1656" s="19"/>
      <c r="F1656" s="19"/>
      <c r="G1656" s="23" t="str">
        <f aca="false">IF(A1656="","",TEXT(A1656,"yyyy-mm"))</f>
        <v/>
      </c>
      <c r="H1656" s="22" t="str">
        <f aca="false">IF(A1656="","",N(H1655)+IF(B1656="Masuk",N(D1656),-N(D1656)))</f>
        <v/>
      </c>
    </row>
    <row r="1657" customFormat="false" ht="15" hidden="false" customHeight="false" outlineLevel="0" collapsed="false">
      <c r="A1657" s="20"/>
      <c r="B1657" s="19"/>
      <c r="C1657" s="19"/>
      <c r="D1657" s="21"/>
      <c r="E1657" s="19"/>
      <c r="F1657" s="19"/>
      <c r="G1657" s="23" t="str">
        <f aca="false">IF(A1657="","",TEXT(A1657,"yyyy-mm"))</f>
        <v/>
      </c>
      <c r="H1657" s="22" t="str">
        <f aca="false">IF(A1657="","",N(H1656)+IF(B1657="Masuk",N(D1657),-N(D1657)))</f>
        <v/>
      </c>
    </row>
    <row r="1658" customFormat="false" ht="15" hidden="false" customHeight="false" outlineLevel="0" collapsed="false">
      <c r="A1658" s="20"/>
      <c r="B1658" s="19"/>
      <c r="C1658" s="19"/>
      <c r="D1658" s="21"/>
      <c r="E1658" s="19"/>
      <c r="F1658" s="19"/>
      <c r="G1658" s="23" t="str">
        <f aca="false">IF(A1658="","",TEXT(A1658,"yyyy-mm"))</f>
        <v/>
      </c>
      <c r="H1658" s="22" t="str">
        <f aca="false">IF(A1658="","",N(H1657)+IF(B1658="Masuk",N(D1658),-N(D1658)))</f>
        <v/>
      </c>
    </row>
    <row r="1659" customFormat="false" ht="15" hidden="false" customHeight="false" outlineLevel="0" collapsed="false">
      <c r="A1659" s="20"/>
      <c r="B1659" s="19"/>
      <c r="C1659" s="19"/>
      <c r="D1659" s="21"/>
      <c r="E1659" s="19"/>
      <c r="F1659" s="19"/>
      <c r="G1659" s="23" t="str">
        <f aca="false">IF(A1659="","",TEXT(A1659,"yyyy-mm"))</f>
        <v/>
      </c>
      <c r="H1659" s="22" t="str">
        <f aca="false">IF(A1659="","",N(H1658)+IF(B1659="Masuk",N(D1659),-N(D1659)))</f>
        <v/>
      </c>
    </row>
    <row r="1660" customFormat="false" ht="15" hidden="false" customHeight="false" outlineLevel="0" collapsed="false">
      <c r="A1660" s="20"/>
      <c r="B1660" s="19"/>
      <c r="C1660" s="19"/>
      <c r="D1660" s="21"/>
      <c r="E1660" s="19"/>
      <c r="F1660" s="19"/>
      <c r="G1660" s="23" t="str">
        <f aca="false">IF(A1660="","",TEXT(A1660,"yyyy-mm"))</f>
        <v/>
      </c>
      <c r="H1660" s="22" t="str">
        <f aca="false">IF(A1660="","",N(H1659)+IF(B1660="Masuk",N(D1660),-N(D1660)))</f>
        <v/>
      </c>
    </row>
    <row r="1661" customFormat="false" ht="15" hidden="false" customHeight="false" outlineLevel="0" collapsed="false">
      <c r="A1661" s="20"/>
      <c r="B1661" s="19"/>
      <c r="C1661" s="19"/>
      <c r="D1661" s="21"/>
      <c r="E1661" s="19"/>
      <c r="F1661" s="19"/>
      <c r="G1661" s="23" t="str">
        <f aca="false">IF(A1661="","",TEXT(A1661,"yyyy-mm"))</f>
        <v/>
      </c>
      <c r="H1661" s="22" t="str">
        <f aca="false">IF(A1661="","",N(H1660)+IF(B1661="Masuk",N(D1661),-N(D1661)))</f>
        <v/>
      </c>
    </row>
    <row r="1662" customFormat="false" ht="15" hidden="false" customHeight="false" outlineLevel="0" collapsed="false">
      <c r="A1662" s="20"/>
      <c r="B1662" s="19"/>
      <c r="C1662" s="19"/>
      <c r="D1662" s="21"/>
      <c r="E1662" s="19"/>
      <c r="F1662" s="19"/>
      <c r="G1662" s="23" t="str">
        <f aca="false">IF(A1662="","",TEXT(A1662,"yyyy-mm"))</f>
        <v/>
      </c>
      <c r="H1662" s="22" t="str">
        <f aca="false">IF(A1662="","",N(H1661)+IF(B1662="Masuk",N(D1662),-N(D1662)))</f>
        <v/>
      </c>
    </row>
    <row r="1663" customFormat="false" ht="15" hidden="false" customHeight="false" outlineLevel="0" collapsed="false">
      <c r="A1663" s="20"/>
      <c r="B1663" s="19"/>
      <c r="C1663" s="19"/>
      <c r="D1663" s="21"/>
      <c r="E1663" s="19"/>
      <c r="F1663" s="19"/>
      <c r="G1663" s="23" t="str">
        <f aca="false">IF(A1663="","",TEXT(A1663,"yyyy-mm"))</f>
        <v/>
      </c>
      <c r="H1663" s="22" t="str">
        <f aca="false">IF(A1663="","",N(H1662)+IF(B1663="Masuk",N(D1663),-N(D1663)))</f>
        <v/>
      </c>
    </row>
    <row r="1664" customFormat="false" ht="15" hidden="false" customHeight="false" outlineLevel="0" collapsed="false">
      <c r="A1664" s="20"/>
      <c r="B1664" s="19"/>
      <c r="C1664" s="19"/>
      <c r="D1664" s="21"/>
      <c r="E1664" s="19"/>
      <c r="F1664" s="19"/>
      <c r="G1664" s="23" t="str">
        <f aca="false">IF(A1664="","",TEXT(A1664,"yyyy-mm"))</f>
        <v/>
      </c>
      <c r="H1664" s="22" t="str">
        <f aca="false">IF(A1664="","",N(H1663)+IF(B1664="Masuk",N(D1664),-N(D1664)))</f>
        <v/>
      </c>
    </row>
    <row r="1665" customFormat="false" ht="15" hidden="false" customHeight="false" outlineLevel="0" collapsed="false">
      <c r="A1665" s="20"/>
      <c r="B1665" s="19"/>
      <c r="C1665" s="19"/>
      <c r="D1665" s="21"/>
      <c r="E1665" s="19"/>
      <c r="F1665" s="19"/>
      <c r="G1665" s="23" t="str">
        <f aca="false">IF(A1665="","",TEXT(A1665,"yyyy-mm"))</f>
        <v/>
      </c>
      <c r="H1665" s="22" t="str">
        <f aca="false">IF(A1665="","",N(H1664)+IF(B1665="Masuk",N(D1665),-N(D1665)))</f>
        <v/>
      </c>
    </row>
    <row r="1666" customFormat="false" ht="15" hidden="false" customHeight="false" outlineLevel="0" collapsed="false">
      <c r="A1666" s="20"/>
      <c r="B1666" s="19"/>
      <c r="C1666" s="19"/>
      <c r="D1666" s="21"/>
      <c r="E1666" s="19"/>
      <c r="F1666" s="19"/>
      <c r="G1666" s="23" t="str">
        <f aca="false">IF(A1666="","",TEXT(A1666,"yyyy-mm"))</f>
        <v/>
      </c>
      <c r="H1666" s="22" t="str">
        <f aca="false">IF(A1666="","",N(H1665)+IF(B1666="Masuk",N(D1666),-N(D1666)))</f>
        <v/>
      </c>
    </row>
    <row r="1667" customFormat="false" ht="15" hidden="false" customHeight="false" outlineLevel="0" collapsed="false">
      <c r="A1667" s="20"/>
      <c r="B1667" s="19"/>
      <c r="C1667" s="19"/>
      <c r="D1667" s="21"/>
      <c r="E1667" s="19"/>
      <c r="F1667" s="19"/>
      <c r="G1667" s="23" t="str">
        <f aca="false">IF(A1667="","",TEXT(A1667,"yyyy-mm"))</f>
        <v/>
      </c>
      <c r="H1667" s="22" t="str">
        <f aca="false">IF(A1667="","",N(H1666)+IF(B1667="Masuk",N(D1667),-N(D1667)))</f>
        <v/>
      </c>
    </row>
    <row r="1668" customFormat="false" ht="15" hidden="false" customHeight="false" outlineLevel="0" collapsed="false">
      <c r="A1668" s="20"/>
      <c r="B1668" s="19"/>
      <c r="C1668" s="19"/>
      <c r="D1668" s="21"/>
      <c r="E1668" s="19"/>
      <c r="F1668" s="19"/>
      <c r="G1668" s="23" t="str">
        <f aca="false">IF(A1668="","",TEXT(A1668,"yyyy-mm"))</f>
        <v/>
      </c>
      <c r="H1668" s="22" t="str">
        <f aca="false">IF(A1668="","",N(H1667)+IF(B1668="Masuk",N(D1668),-N(D1668)))</f>
        <v/>
      </c>
    </row>
    <row r="1669" customFormat="false" ht="15" hidden="false" customHeight="false" outlineLevel="0" collapsed="false">
      <c r="A1669" s="20"/>
      <c r="B1669" s="19"/>
      <c r="C1669" s="19"/>
      <c r="D1669" s="21"/>
      <c r="E1669" s="19"/>
      <c r="F1669" s="19"/>
      <c r="G1669" s="23" t="str">
        <f aca="false">IF(A1669="","",TEXT(A1669,"yyyy-mm"))</f>
        <v/>
      </c>
      <c r="H1669" s="22" t="str">
        <f aca="false">IF(A1669="","",N(H1668)+IF(B1669="Masuk",N(D1669),-N(D1669)))</f>
        <v/>
      </c>
    </row>
    <row r="1670" customFormat="false" ht="15" hidden="false" customHeight="false" outlineLevel="0" collapsed="false">
      <c r="A1670" s="20"/>
      <c r="B1670" s="19"/>
      <c r="C1670" s="19"/>
      <c r="D1670" s="21"/>
      <c r="E1670" s="19"/>
      <c r="F1670" s="19"/>
      <c r="G1670" s="23" t="str">
        <f aca="false">IF(A1670="","",TEXT(A1670,"yyyy-mm"))</f>
        <v/>
      </c>
      <c r="H1670" s="22" t="str">
        <f aca="false">IF(A1670="","",N(H1669)+IF(B1670="Masuk",N(D1670),-N(D1670)))</f>
        <v/>
      </c>
    </row>
    <row r="1671" customFormat="false" ht="15" hidden="false" customHeight="false" outlineLevel="0" collapsed="false">
      <c r="A1671" s="20"/>
      <c r="B1671" s="19"/>
      <c r="C1671" s="19"/>
      <c r="D1671" s="21"/>
      <c r="E1671" s="19"/>
      <c r="F1671" s="19"/>
      <c r="G1671" s="23" t="str">
        <f aca="false">IF(A1671="","",TEXT(A1671,"yyyy-mm"))</f>
        <v/>
      </c>
      <c r="H1671" s="22" t="str">
        <f aca="false">IF(A1671="","",N(H1670)+IF(B1671="Masuk",N(D1671),-N(D1671)))</f>
        <v/>
      </c>
    </row>
    <row r="1672" customFormat="false" ht="15" hidden="false" customHeight="false" outlineLevel="0" collapsed="false">
      <c r="A1672" s="20"/>
      <c r="B1672" s="19"/>
      <c r="C1672" s="19"/>
      <c r="D1672" s="21"/>
      <c r="E1672" s="19"/>
      <c r="F1672" s="19"/>
      <c r="G1672" s="23" t="str">
        <f aca="false">IF(A1672="","",TEXT(A1672,"yyyy-mm"))</f>
        <v/>
      </c>
      <c r="H1672" s="22" t="str">
        <f aca="false">IF(A1672="","",N(H1671)+IF(B1672="Masuk",N(D1672),-N(D1672)))</f>
        <v/>
      </c>
    </row>
    <row r="1673" customFormat="false" ht="15" hidden="false" customHeight="false" outlineLevel="0" collapsed="false">
      <c r="A1673" s="20"/>
      <c r="B1673" s="19"/>
      <c r="C1673" s="19"/>
      <c r="D1673" s="21"/>
      <c r="E1673" s="19"/>
      <c r="F1673" s="19"/>
      <c r="G1673" s="23" t="str">
        <f aca="false">IF(A1673="","",TEXT(A1673,"yyyy-mm"))</f>
        <v/>
      </c>
      <c r="H1673" s="22" t="str">
        <f aca="false">IF(A1673="","",N(H1672)+IF(B1673="Masuk",N(D1673),-N(D1673)))</f>
        <v/>
      </c>
    </row>
    <row r="1674" customFormat="false" ht="15" hidden="false" customHeight="false" outlineLevel="0" collapsed="false">
      <c r="A1674" s="20"/>
      <c r="B1674" s="19"/>
      <c r="C1674" s="19"/>
      <c r="D1674" s="21"/>
      <c r="E1674" s="19"/>
      <c r="F1674" s="19"/>
      <c r="G1674" s="23" t="str">
        <f aca="false">IF(A1674="","",TEXT(A1674,"yyyy-mm"))</f>
        <v/>
      </c>
      <c r="H1674" s="22" t="str">
        <f aca="false">IF(A1674="","",N(H1673)+IF(B1674="Masuk",N(D1674),-N(D1674)))</f>
        <v/>
      </c>
    </row>
    <row r="1675" customFormat="false" ht="15" hidden="false" customHeight="false" outlineLevel="0" collapsed="false">
      <c r="A1675" s="20"/>
      <c r="B1675" s="19"/>
      <c r="C1675" s="19"/>
      <c r="D1675" s="21"/>
      <c r="E1675" s="19"/>
      <c r="F1675" s="19"/>
      <c r="G1675" s="23" t="str">
        <f aca="false">IF(A1675="","",TEXT(A1675,"yyyy-mm"))</f>
        <v/>
      </c>
      <c r="H1675" s="22" t="str">
        <f aca="false">IF(A1675="","",N(H1674)+IF(B1675="Masuk",N(D1675),-N(D1675)))</f>
        <v/>
      </c>
    </row>
    <row r="1676" customFormat="false" ht="15" hidden="false" customHeight="false" outlineLevel="0" collapsed="false">
      <c r="A1676" s="20"/>
      <c r="B1676" s="19"/>
      <c r="C1676" s="19"/>
      <c r="D1676" s="21"/>
      <c r="E1676" s="19"/>
      <c r="F1676" s="19"/>
      <c r="G1676" s="23" t="str">
        <f aca="false">IF(A1676="","",TEXT(A1676,"yyyy-mm"))</f>
        <v/>
      </c>
      <c r="H1676" s="22" t="str">
        <f aca="false">IF(A1676="","",N(H1675)+IF(B1676="Masuk",N(D1676),-N(D1676)))</f>
        <v/>
      </c>
    </row>
    <row r="1677" customFormat="false" ht="15" hidden="false" customHeight="false" outlineLevel="0" collapsed="false">
      <c r="A1677" s="20"/>
      <c r="B1677" s="19"/>
      <c r="C1677" s="19"/>
      <c r="D1677" s="21"/>
      <c r="E1677" s="19"/>
      <c r="F1677" s="19"/>
      <c r="G1677" s="23" t="str">
        <f aca="false">IF(A1677="","",TEXT(A1677,"yyyy-mm"))</f>
        <v/>
      </c>
      <c r="H1677" s="22" t="str">
        <f aca="false">IF(A1677="","",N(H1676)+IF(B1677="Masuk",N(D1677),-N(D1677)))</f>
        <v/>
      </c>
    </row>
    <row r="1678" customFormat="false" ht="15" hidden="false" customHeight="false" outlineLevel="0" collapsed="false">
      <c r="A1678" s="20"/>
      <c r="B1678" s="19"/>
      <c r="C1678" s="19"/>
      <c r="D1678" s="21"/>
      <c r="E1678" s="19"/>
      <c r="F1678" s="19"/>
      <c r="G1678" s="23" t="str">
        <f aca="false">IF(A1678="","",TEXT(A1678,"yyyy-mm"))</f>
        <v/>
      </c>
      <c r="H1678" s="22" t="str">
        <f aca="false">IF(A1678="","",N(H1677)+IF(B1678="Masuk",N(D1678),-N(D1678)))</f>
        <v/>
      </c>
    </row>
    <row r="1679" customFormat="false" ht="15" hidden="false" customHeight="false" outlineLevel="0" collapsed="false">
      <c r="A1679" s="20"/>
      <c r="B1679" s="19"/>
      <c r="C1679" s="19"/>
      <c r="D1679" s="21"/>
      <c r="E1679" s="19"/>
      <c r="F1679" s="19"/>
      <c r="G1679" s="23" t="str">
        <f aca="false">IF(A1679="","",TEXT(A1679,"yyyy-mm"))</f>
        <v/>
      </c>
      <c r="H1679" s="22" t="str">
        <f aca="false">IF(A1679="","",N(H1678)+IF(B1679="Masuk",N(D1679),-N(D1679)))</f>
        <v/>
      </c>
    </row>
    <row r="1680" customFormat="false" ht="15" hidden="false" customHeight="false" outlineLevel="0" collapsed="false">
      <c r="A1680" s="20"/>
      <c r="B1680" s="19"/>
      <c r="C1680" s="19"/>
      <c r="D1680" s="21"/>
      <c r="E1680" s="19"/>
      <c r="F1680" s="19"/>
      <c r="G1680" s="23" t="str">
        <f aca="false">IF(A1680="","",TEXT(A1680,"yyyy-mm"))</f>
        <v/>
      </c>
      <c r="H1680" s="22" t="str">
        <f aca="false">IF(A1680="","",N(H1679)+IF(B1680="Masuk",N(D1680),-N(D1680)))</f>
        <v/>
      </c>
    </row>
    <row r="1681" customFormat="false" ht="15" hidden="false" customHeight="false" outlineLevel="0" collapsed="false">
      <c r="A1681" s="20"/>
      <c r="B1681" s="19"/>
      <c r="C1681" s="19"/>
      <c r="D1681" s="21"/>
      <c r="E1681" s="19"/>
      <c r="F1681" s="19"/>
      <c r="G1681" s="23" t="str">
        <f aca="false">IF(A1681="","",TEXT(A1681,"yyyy-mm"))</f>
        <v/>
      </c>
      <c r="H1681" s="22" t="str">
        <f aca="false">IF(A1681="","",N(H1680)+IF(B1681="Masuk",N(D1681),-N(D1681)))</f>
        <v/>
      </c>
    </row>
    <row r="1682" customFormat="false" ht="15" hidden="false" customHeight="false" outlineLevel="0" collapsed="false">
      <c r="A1682" s="20"/>
      <c r="B1682" s="19"/>
      <c r="C1682" s="19"/>
      <c r="D1682" s="21"/>
      <c r="E1682" s="19"/>
      <c r="F1682" s="19"/>
      <c r="G1682" s="23" t="str">
        <f aca="false">IF(A1682="","",TEXT(A1682,"yyyy-mm"))</f>
        <v/>
      </c>
      <c r="H1682" s="22" t="str">
        <f aca="false">IF(A1682="","",N(H1681)+IF(B1682="Masuk",N(D1682),-N(D1682)))</f>
        <v/>
      </c>
    </row>
    <row r="1683" customFormat="false" ht="15" hidden="false" customHeight="false" outlineLevel="0" collapsed="false">
      <c r="A1683" s="20"/>
      <c r="B1683" s="19"/>
      <c r="C1683" s="19"/>
      <c r="D1683" s="21"/>
      <c r="E1683" s="19"/>
      <c r="F1683" s="19"/>
      <c r="G1683" s="23" t="str">
        <f aca="false">IF(A1683="","",TEXT(A1683,"yyyy-mm"))</f>
        <v/>
      </c>
      <c r="H1683" s="22" t="str">
        <f aca="false">IF(A1683="","",N(H1682)+IF(B1683="Masuk",N(D1683),-N(D1683)))</f>
        <v/>
      </c>
    </row>
    <row r="1684" customFormat="false" ht="15" hidden="false" customHeight="false" outlineLevel="0" collapsed="false">
      <c r="A1684" s="20"/>
      <c r="B1684" s="19"/>
      <c r="C1684" s="19"/>
      <c r="D1684" s="21"/>
      <c r="E1684" s="19"/>
      <c r="F1684" s="19"/>
      <c r="G1684" s="23" t="str">
        <f aca="false">IF(A1684="","",TEXT(A1684,"yyyy-mm"))</f>
        <v/>
      </c>
      <c r="H1684" s="22" t="str">
        <f aca="false">IF(A1684="","",N(H1683)+IF(B1684="Masuk",N(D1684),-N(D1684)))</f>
        <v/>
      </c>
    </row>
    <row r="1685" customFormat="false" ht="15" hidden="false" customHeight="false" outlineLevel="0" collapsed="false">
      <c r="A1685" s="20"/>
      <c r="B1685" s="19"/>
      <c r="C1685" s="19"/>
      <c r="D1685" s="21"/>
      <c r="E1685" s="19"/>
      <c r="F1685" s="19"/>
      <c r="G1685" s="23" t="str">
        <f aca="false">IF(A1685="","",TEXT(A1685,"yyyy-mm"))</f>
        <v/>
      </c>
      <c r="H1685" s="22" t="str">
        <f aca="false">IF(A1685="","",N(H1684)+IF(B1685="Masuk",N(D1685),-N(D1685)))</f>
        <v/>
      </c>
    </row>
    <row r="1686" customFormat="false" ht="15" hidden="false" customHeight="false" outlineLevel="0" collapsed="false">
      <c r="A1686" s="20"/>
      <c r="B1686" s="19"/>
      <c r="C1686" s="19"/>
      <c r="D1686" s="21"/>
      <c r="E1686" s="19"/>
      <c r="F1686" s="19"/>
      <c r="G1686" s="23" t="str">
        <f aca="false">IF(A1686="","",TEXT(A1686,"yyyy-mm"))</f>
        <v/>
      </c>
      <c r="H1686" s="22" t="str">
        <f aca="false">IF(A1686="","",N(H1685)+IF(B1686="Masuk",N(D1686),-N(D1686)))</f>
        <v/>
      </c>
    </row>
    <row r="1687" customFormat="false" ht="15" hidden="false" customHeight="false" outlineLevel="0" collapsed="false">
      <c r="A1687" s="20"/>
      <c r="B1687" s="19"/>
      <c r="C1687" s="19"/>
      <c r="D1687" s="21"/>
      <c r="E1687" s="19"/>
      <c r="F1687" s="19"/>
      <c r="G1687" s="23" t="str">
        <f aca="false">IF(A1687="","",TEXT(A1687,"yyyy-mm"))</f>
        <v/>
      </c>
      <c r="H1687" s="22" t="str">
        <f aca="false">IF(A1687="","",N(H1686)+IF(B1687="Masuk",N(D1687),-N(D1687)))</f>
        <v/>
      </c>
    </row>
    <row r="1688" customFormat="false" ht="15" hidden="false" customHeight="false" outlineLevel="0" collapsed="false">
      <c r="A1688" s="20"/>
      <c r="B1688" s="19"/>
      <c r="C1688" s="19"/>
      <c r="D1688" s="21"/>
      <c r="E1688" s="19"/>
      <c r="F1688" s="19"/>
      <c r="G1688" s="23" t="str">
        <f aca="false">IF(A1688="","",TEXT(A1688,"yyyy-mm"))</f>
        <v/>
      </c>
      <c r="H1688" s="22" t="str">
        <f aca="false">IF(A1688="","",N(H1687)+IF(B1688="Masuk",N(D1688),-N(D1688)))</f>
        <v/>
      </c>
    </row>
    <row r="1689" customFormat="false" ht="15" hidden="false" customHeight="false" outlineLevel="0" collapsed="false">
      <c r="A1689" s="20"/>
      <c r="B1689" s="19"/>
      <c r="C1689" s="19"/>
      <c r="D1689" s="21"/>
      <c r="E1689" s="19"/>
      <c r="F1689" s="19"/>
      <c r="G1689" s="23" t="str">
        <f aca="false">IF(A1689="","",TEXT(A1689,"yyyy-mm"))</f>
        <v/>
      </c>
      <c r="H1689" s="22" t="str">
        <f aca="false">IF(A1689="","",N(H1688)+IF(B1689="Masuk",N(D1689),-N(D1689)))</f>
        <v/>
      </c>
    </row>
    <row r="1690" customFormat="false" ht="15" hidden="false" customHeight="false" outlineLevel="0" collapsed="false">
      <c r="A1690" s="20"/>
      <c r="B1690" s="19"/>
      <c r="C1690" s="19"/>
      <c r="D1690" s="21"/>
      <c r="E1690" s="19"/>
      <c r="F1690" s="19"/>
      <c r="G1690" s="23" t="str">
        <f aca="false">IF(A1690="","",TEXT(A1690,"yyyy-mm"))</f>
        <v/>
      </c>
      <c r="H1690" s="22" t="str">
        <f aca="false">IF(A1690="","",N(H1689)+IF(B1690="Masuk",N(D1690),-N(D1690)))</f>
        <v/>
      </c>
    </row>
    <row r="1691" customFormat="false" ht="15" hidden="false" customHeight="false" outlineLevel="0" collapsed="false">
      <c r="A1691" s="20"/>
      <c r="B1691" s="19"/>
      <c r="C1691" s="19"/>
      <c r="D1691" s="21"/>
      <c r="E1691" s="19"/>
      <c r="F1691" s="19"/>
      <c r="G1691" s="23" t="str">
        <f aca="false">IF(A1691="","",TEXT(A1691,"yyyy-mm"))</f>
        <v/>
      </c>
      <c r="H1691" s="22" t="str">
        <f aca="false">IF(A1691="","",N(H1690)+IF(B1691="Masuk",N(D1691),-N(D1691)))</f>
        <v/>
      </c>
    </row>
    <row r="1692" customFormat="false" ht="15" hidden="false" customHeight="false" outlineLevel="0" collapsed="false">
      <c r="A1692" s="20"/>
      <c r="B1692" s="19"/>
      <c r="C1692" s="19"/>
      <c r="D1692" s="21"/>
      <c r="E1692" s="19"/>
      <c r="F1692" s="19"/>
      <c r="G1692" s="23" t="str">
        <f aca="false">IF(A1692="","",TEXT(A1692,"yyyy-mm"))</f>
        <v/>
      </c>
      <c r="H1692" s="22" t="str">
        <f aca="false">IF(A1692="","",N(H1691)+IF(B1692="Masuk",N(D1692),-N(D1692)))</f>
        <v/>
      </c>
    </row>
    <row r="1693" customFormat="false" ht="15" hidden="false" customHeight="false" outlineLevel="0" collapsed="false">
      <c r="A1693" s="20"/>
      <c r="B1693" s="19"/>
      <c r="C1693" s="19"/>
      <c r="D1693" s="21"/>
      <c r="E1693" s="19"/>
      <c r="F1693" s="19"/>
      <c r="G1693" s="23" t="str">
        <f aca="false">IF(A1693="","",TEXT(A1693,"yyyy-mm"))</f>
        <v/>
      </c>
      <c r="H1693" s="22" t="str">
        <f aca="false">IF(A1693="","",N(H1692)+IF(B1693="Masuk",N(D1693),-N(D1693)))</f>
        <v/>
      </c>
    </row>
    <row r="1694" customFormat="false" ht="15" hidden="false" customHeight="false" outlineLevel="0" collapsed="false">
      <c r="A1694" s="20"/>
      <c r="B1694" s="19"/>
      <c r="C1694" s="19"/>
      <c r="D1694" s="21"/>
      <c r="E1694" s="19"/>
      <c r="F1694" s="19"/>
      <c r="G1694" s="23" t="str">
        <f aca="false">IF(A1694="","",TEXT(A1694,"yyyy-mm"))</f>
        <v/>
      </c>
      <c r="H1694" s="22" t="str">
        <f aca="false">IF(A1694="","",N(H1693)+IF(B1694="Masuk",N(D1694),-N(D1694)))</f>
        <v/>
      </c>
    </row>
    <row r="1695" customFormat="false" ht="15" hidden="false" customHeight="false" outlineLevel="0" collapsed="false">
      <c r="A1695" s="20"/>
      <c r="B1695" s="19"/>
      <c r="C1695" s="19"/>
      <c r="D1695" s="21"/>
      <c r="E1695" s="19"/>
      <c r="F1695" s="19"/>
      <c r="G1695" s="23" t="str">
        <f aca="false">IF(A1695="","",TEXT(A1695,"yyyy-mm"))</f>
        <v/>
      </c>
      <c r="H1695" s="22" t="str">
        <f aca="false">IF(A1695="","",N(H1694)+IF(B1695="Masuk",N(D1695),-N(D1695)))</f>
        <v/>
      </c>
    </row>
    <row r="1696" customFormat="false" ht="15" hidden="false" customHeight="false" outlineLevel="0" collapsed="false">
      <c r="A1696" s="20"/>
      <c r="B1696" s="19"/>
      <c r="C1696" s="19"/>
      <c r="D1696" s="21"/>
      <c r="E1696" s="19"/>
      <c r="F1696" s="19"/>
      <c r="G1696" s="23" t="str">
        <f aca="false">IF(A1696="","",TEXT(A1696,"yyyy-mm"))</f>
        <v/>
      </c>
      <c r="H1696" s="22" t="str">
        <f aca="false">IF(A1696="","",N(H1695)+IF(B1696="Masuk",N(D1696),-N(D1696)))</f>
        <v/>
      </c>
    </row>
    <row r="1697" customFormat="false" ht="15" hidden="false" customHeight="false" outlineLevel="0" collapsed="false">
      <c r="A1697" s="20"/>
      <c r="B1697" s="19"/>
      <c r="C1697" s="19"/>
      <c r="D1697" s="21"/>
      <c r="E1697" s="19"/>
      <c r="F1697" s="19"/>
      <c r="G1697" s="23" t="str">
        <f aca="false">IF(A1697="","",TEXT(A1697,"yyyy-mm"))</f>
        <v/>
      </c>
      <c r="H1697" s="22" t="str">
        <f aca="false">IF(A1697="","",N(H1696)+IF(B1697="Masuk",N(D1697),-N(D1697)))</f>
        <v/>
      </c>
    </row>
    <row r="1698" customFormat="false" ht="15" hidden="false" customHeight="false" outlineLevel="0" collapsed="false">
      <c r="A1698" s="20"/>
      <c r="B1698" s="19"/>
      <c r="C1698" s="19"/>
      <c r="D1698" s="21"/>
      <c r="E1698" s="19"/>
      <c r="F1698" s="19"/>
      <c r="G1698" s="23" t="str">
        <f aca="false">IF(A1698="","",TEXT(A1698,"yyyy-mm"))</f>
        <v/>
      </c>
      <c r="H1698" s="22" t="str">
        <f aca="false">IF(A1698="","",N(H1697)+IF(B1698="Masuk",N(D1698),-N(D1698)))</f>
        <v/>
      </c>
    </row>
    <row r="1699" customFormat="false" ht="15" hidden="false" customHeight="false" outlineLevel="0" collapsed="false">
      <c r="A1699" s="20"/>
      <c r="B1699" s="19"/>
      <c r="C1699" s="19"/>
      <c r="D1699" s="21"/>
      <c r="E1699" s="19"/>
      <c r="F1699" s="19"/>
      <c r="G1699" s="23" t="str">
        <f aca="false">IF(A1699="","",TEXT(A1699,"yyyy-mm"))</f>
        <v/>
      </c>
      <c r="H1699" s="22" t="str">
        <f aca="false">IF(A1699="","",N(H1698)+IF(B1699="Masuk",N(D1699),-N(D1699)))</f>
        <v/>
      </c>
    </row>
    <row r="1700" customFormat="false" ht="15" hidden="false" customHeight="false" outlineLevel="0" collapsed="false">
      <c r="A1700" s="20"/>
      <c r="B1700" s="19"/>
      <c r="C1700" s="19"/>
      <c r="D1700" s="21"/>
      <c r="E1700" s="19"/>
      <c r="F1700" s="19"/>
      <c r="G1700" s="23" t="str">
        <f aca="false">IF(A1700="","",TEXT(A1700,"yyyy-mm"))</f>
        <v/>
      </c>
      <c r="H1700" s="22" t="str">
        <f aca="false">IF(A1700="","",N(H1699)+IF(B1700="Masuk",N(D1700),-N(D1700)))</f>
        <v/>
      </c>
    </row>
    <row r="1701" customFormat="false" ht="15" hidden="false" customHeight="false" outlineLevel="0" collapsed="false">
      <c r="A1701" s="20"/>
      <c r="B1701" s="19"/>
      <c r="C1701" s="19"/>
      <c r="D1701" s="21"/>
      <c r="E1701" s="19"/>
      <c r="F1701" s="19"/>
      <c r="G1701" s="23" t="str">
        <f aca="false">IF(A1701="","",TEXT(A1701,"yyyy-mm"))</f>
        <v/>
      </c>
      <c r="H1701" s="22" t="str">
        <f aca="false">IF(A1701="","",N(H1700)+IF(B1701="Masuk",N(D1701),-N(D1701)))</f>
        <v/>
      </c>
    </row>
    <row r="1702" customFormat="false" ht="15" hidden="false" customHeight="false" outlineLevel="0" collapsed="false">
      <c r="A1702" s="20"/>
      <c r="B1702" s="19"/>
      <c r="C1702" s="19"/>
      <c r="D1702" s="21"/>
      <c r="E1702" s="19"/>
      <c r="F1702" s="19"/>
      <c r="G1702" s="23" t="str">
        <f aca="false">IF(A1702="","",TEXT(A1702,"yyyy-mm"))</f>
        <v/>
      </c>
      <c r="H1702" s="22" t="str">
        <f aca="false">IF(A1702="","",N(H1701)+IF(B1702="Masuk",N(D1702),-N(D1702)))</f>
        <v/>
      </c>
    </row>
    <row r="1703" customFormat="false" ht="15" hidden="false" customHeight="false" outlineLevel="0" collapsed="false">
      <c r="A1703" s="20"/>
      <c r="B1703" s="19"/>
      <c r="C1703" s="19"/>
      <c r="D1703" s="21"/>
      <c r="E1703" s="19"/>
      <c r="F1703" s="19"/>
      <c r="G1703" s="23" t="str">
        <f aca="false">IF(A1703="","",TEXT(A1703,"yyyy-mm"))</f>
        <v/>
      </c>
      <c r="H1703" s="22" t="str">
        <f aca="false">IF(A1703="","",N(H1702)+IF(B1703="Masuk",N(D1703),-N(D1703)))</f>
        <v/>
      </c>
    </row>
    <row r="1704" customFormat="false" ht="15" hidden="false" customHeight="false" outlineLevel="0" collapsed="false">
      <c r="A1704" s="20"/>
      <c r="B1704" s="19"/>
      <c r="C1704" s="19"/>
      <c r="D1704" s="21"/>
      <c r="E1704" s="19"/>
      <c r="F1704" s="19"/>
      <c r="G1704" s="23" t="str">
        <f aca="false">IF(A1704="","",TEXT(A1704,"yyyy-mm"))</f>
        <v/>
      </c>
      <c r="H1704" s="22" t="str">
        <f aca="false">IF(A1704="","",N(H1703)+IF(B1704="Masuk",N(D1704),-N(D1704)))</f>
        <v/>
      </c>
    </row>
    <row r="1705" customFormat="false" ht="15" hidden="false" customHeight="false" outlineLevel="0" collapsed="false">
      <c r="A1705" s="20"/>
      <c r="B1705" s="19"/>
      <c r="C1705" s="19"/>
      <c r="D1705" s="21"/>
      <c r="E1705" s="19"/>
      <c r="F1705" s="19"/>
      <c r="G1705" s="23" t="str">
        <f aca="false">IF(A1705="","",TEXT(A1705,"yyyy-mm"))</f>
        <v/>
      </c>
      <c r="H1705" s="22" t="str">
        <f aca="false">IF(A1705="","",N(H1704)+IF(B1705="Masuk",N(D1705),-N(D1705)))</f>
        <v/>
      </c>
    </row>
    <row r="1706" customFormat="false" ht="15" hidden="false" customHeight="false" outlineLevel="0" collapsed="false">
      <c r="A1706" s="20"/>
      <c r="B1706" s="19"/>
      <c r="C1706" s="19"/>
      <c r="D1706" s="21"/>
      <c r="E1706" s="19"/>
      <c r="F1706" s="19"/>
      <c r="G1706" s="23" t="str">
        <f aca="false">IF(A1706="","",TEXT(A1706,"yyyy-mm"))</f>
        <v/>
      </c>
      <c r="H1706" s="22" t="str">
        <f aca="false">IF(A1706="","",N(H1705)+IF(B1706="Masuk",N(D1706),-N(D1706)))</f>
        <v/>
      </c>
    </row>
    <row r="1707" customFormat="false" ht="15" hidden="false" customHeight="false" outlineLevel="0" collapsed="false">
      <c r="A1707" s="20"/>
      <c r="B1707" s="19"/>
      <c r="C1707" s="19"/>
      <c r="D1707" s="21"/>
      <c r="E1707" s="19"/>
      <c r="F1707" s="19"/>
      <c r="G1707" s="23" t="str">
        <f aca="false">IF(A1707="","",TEXT(A1707,"yyyy-mm"))</f>
        <v/>
      </c>
      <c r="H1707" s="22" t="str">
        <f aca="false">IF(A1707="","",N(H1706)+IF(B1707="Masuk",N(D1707),-N(D1707)))</f>
        <v/>
      </c>
    </row>
    <row r="1708" customFormat="false" ht="15" hidden="false" customHeight="false" outlineLevel="0" collapsed="false">
      <c r="A1708" s="20"/>
      <c r="B1708" s="19"/>
      <c r="C1708" s="19"/>
      <c r="D1708" s="21"/>
      <c r="E1708" s="19"/>
      <c r="F1708" s="19"/>
      <c r="G1708" s="23" t="str">
        <f aca="false">IF(A1708="","",TEXT(A1708,"yyyy-mm"))</f>
        <v/>
      </c>
      <c r="H1708" s="22" t="str">
        <f aca="false">IF(A1708="","",N(H1707)+IF(B1708="Masuk",N(D1708),-N(D1708)))</f>
        <v/>
      </c>
    </row>
    <row r="1709" customFormat="false" ht="15" hidden="false" customHeight="false" outlineLevel="0" collapsed="false">
      <c r="A1709" s="20"/>
      <c r="B1709" s="19"/>
      <c r="C1709" s="19"/>
      <c r="D1709" s="21"/>
      <c r="E1709" s="19"/>
      <c r="F1709" s="19"/>
      <c r="G1709" s="23" t="str">
        <f aca="false">IF(A1709="","",TEXT(A1709,"yyyy-mm"))</f>
        <v/>
      </c>
      <c r="H1709" s="22" t="str">
        <f aca="false">IF(A1709="","",N(H1708)+IF(B1709="Masuk",N(D1709),-N(D1709)))</f>
        <v/>
      </c>
    </row>
    <row r="1710" customFormat="false" ht="15" hidden="false" customHeight="false" outlineLevel="0" collapsed="false">
      <c r="A1710" s="20"/>
      <c r="B1710" s="19"/>
      <c r="C1710" s="19"/>
      <c r="D1710" s="21"/>
      <c r="E1710" s="19"/>
      <c r="F1710" s="19"/>
      <c r="G1710" s="23" t="str">
        <f aca="false">IF(A1710="","",TEXT(A1710,"yyyy-mm"))</f>
        <v/>
      </c>
      <c r="H1710" s="22" t="str">
        <f aca="false">IF(A1710="","",N(H1709)+IF(B1710="Masuk",N(D1710),-N(D1710)))</f>
        <v/>
      </c>
    </row>
    <row r="1711" customFormat="false" ht="15" hidden="false" customHeight="false" outlineLevel="0" collapsed="false">
      <c r="A1711" s="20"/>
      <c r="B1711" s="19"/>
      <c r="C1711" s="19"/>
      <c r="D1711" s="21"/>
      <c r="E1711" s="19"/>
      <c r="F1711" s="19"/>
      <c r="G1711" s="23" t="str">
        <f aca="false">IF(A1711="","",TEXT(A1711,"yyyy-mm"))</f>
        <v/>
      </c>
      <c r="H1711" s="22" t="str">
        <f aca="false">IF(A1711="","",N(H1710)+IF(B1711="Masuk",N(D1711),-N(D1711)))</f>
        <v/>
      </c>
    </row>
    <row r="1712" customFormat="false" ht="15" hidden="false" customHeight="false" outlineLevel="0" collapsed="false">
      <c r="A1712" s="20"/>
      <c r="B1712" s="19"/>
      <c r="C1712" s="19"/>
      <c r="D1712" s="21"/>
      <c r="E1712" s="19"/>
      <c r="F1712" s="19"/>
      <c r="G1712" s="23" t="str">
        <f aca="false">IF(A1712="","",TEXT(A1712,"yyyy-mm"))</f>
        <v/>
      </c>
      <c r="H1712" s="22" t="str">
        <f aca="false">IF(A1712="","",N(H1711)+IF(B1712="Masuk",N(D1712),-N(D1712)))</f>
        <v/>
      </c>
    </row>
    <row r="1713" customFormat="false" ht="15" hidden="false" customHeight="false" outlineLevel="0" collapsed="false">
      <c r="A1713" s="20"/>
      <c r="B1713" s="19"/>
      <c r="C1713" s="19"/>
      <c r="D1713" s="21"/>
      <c r="E1713" s="19"/>
      <c r="F1713" s="19"/>
      <c r="G1713" s="23" t="str">
        <f aca="false">IF(A1713="","",TEXT(A1713,"yyyy-mm"))</f>
        <v/>
      </c>
      <c r="H1713" s="22" t="str">
        <f aca="false">IF(A1713="","",N(H1712)+IF(B1713="Masuk",N(D1713),-N(D1713)))</f>
        <v/>
      </c>
    </row>
    <row r="1714" customFormat="false" ht="15" hidden="false" customHeight="false" outlineLevel="0" collapsed="false">
      <c r="A1714" s="20"/>
      <c r="B1714" s="19"/>
      <c r="C1714" s="19"/>
      <c r="D1714" s="21"/>
      <c r="E1714" s="19"/>
      <c r="F1714" s="19"/>
      <c r="G1714" s="23" t="str">
        <f aca="false">IF(A1714="","",TEXT(A1714,"yyyy-mm"))</f>
        <v/>
      </c>
      <c r="H1714" s="22" t="str">
        <f aca="false">IF(A1714="","",N(H1713)+IF(B1714="Masuk",N(D1714),-N(D1714)))</f>
        <v/>
      </c>
    </row>
    <row r="1715" customFormat="false" ht="15" hidden="false" customHeight="false" outlineLevel="0" collapsed="false">
      <c r="A1715" s="20"/>
      <c r="B1715" s="19"/>
      <c r="C1715" s="19"/>
      <c r="D1715" s="21"/>
      <c r="E1715" s="19"/>
      <c r="F1715" s="19"/>
      <c r="G1715" s="23" t="str">
        <f aca="false">IF(A1715="","",TEXT(A1715,"yyyy-mm"))</f>
        <v/>
      </c>
      <c r="H1715" s="22" t="str">
        <f aca="false">IF(A1715="","",N(H1714)+IF(B1715="Masuk",N(D1715),-N(D1715)))</f>
        <v/>
      </c>
    </row>
    <row r="1716" customFormat="false" ht="15" hidden="false" customHeight="false" outlineLevel="0" collapsed="false">
      <c r="A1716" s="20"/>
      <c r="B1716" s="19"/>
      <c r="C1716" s="19"/>
      <c r="D1716" s="21"/>
      <c r="E1716" s="19"/>
      <c r="F1716" s="19"/>
      <c r="G1716" s="23" t="str">
        <f aca="false">IF(A1716="","",TEXT(A1716,"yyyy-mm"))</f>
        <v/>
      </c>
      <c r="H1716" s="22" t="str">
        <f aca="false">IF(A1716="","",N(H1715)+IF(B1716="Masuk",N(D1716),-N(D1716)))</f>
        <v/>
      </c>
    </row>
    <row r="1717" customFormat="false" ht="15" hidden="false" customHeight="false" outlineLevel="0" collapsed="false">
      <c r="A1717" s="20"/>
      <c r="B1717" s="19"/>
      <c r="C1717" s="19"/>
      <c r="D1717" s="21"/>
      <c r="E1717" s="19"/>
      <c r="F1717" s="19"/>
      <c r="G1717" s="23" t="str">
        <f aca="false">IF(A1717="","",TEXT(A1717,"yyyy-mm"))</f>
        <v/>
      </c>
      <c r="H1717" s="22" t="str">
        <f aca="false">IF(A1717="","",N(H1716)+IF(B1717="Masuk",N(D1717),-N(D1717)))</f>
        <v/>
      </c>
    </row>
    <row r="1718" customFormat="false" ht="15" hidden="false" customHeight="false" outlineLevel="0" collapsed="false">
      <c r="A1718" s="20"/>
      <c r="B1718" s="19"/>
      <c r="C1718" s="19"/>
      <c r="D1718" s="21"/>
      <c r="E1718" s="19"/>
      <c r="F1718" s="19"/>
      <c r="G1718" s="23" t="str">
        <f aca="false">IF(A1718="","",TEXT(A1718,"yyyy-mm"))</f>
        <v/>
      </c>
      <c r="H1718" s="22" t="str">
        <f aca="false">IF(A1718="","",N(H1717)+IF(B1718="Masuk",N(D1718),-N(D1718)))</f>
        <v/>
      </c>
    </row>
    <row r="1719" customFormat="false" ht="15" hidden="false" customHeight="false" outlineLevel="0" collapsed="false">
      <c r="A1719" s="20"/>
      <c r="B1719" s="19"/>
      <c r="C1719" s="19"/>
      <c r="D1719" s="21"/>
      <c r="E1719" s="19"/>
      <c r="F1719" s="19"/>
      <c r="G1719" s="23" t="str">
        <f aca="false">IF(A1719="","",TEXT(A1719,"yyyy-mm"))</f>
        <v/>
      </c>
      <c r="H1719" s="22" t="str">
        <f aca="false">IF(A1719="","",N(H1718)+IF(B1719="Masuk",N(D1719),-N(D1719)))</f>
        <v/>
      </c>
    </row>
    <row r="1720" customFormat="false" ht="15" hidden="false" customHeight="false" outlineLevel="0" collapsed="false">
      <c r="A1720" s="20"/>
      <c r="B1720" s="19"/>
      <c r="C1720" s="19"/>
      <c r="D1720" s="21"/>
      <c r="E1720" s="19"/>
      <c r="F1720" s="19"/>
      <c r="G1720" s="23" t="str">
        <f aca="false">IF(A1720="","",TEXT(A1720,"yyyy-mm"))</f>
        <v/>
      </c>
      <c r="H1720" s="22" t="str">
        <f aca="false">IF(A1720="","",N(H1719)+IF(B1720="Masuk",N(D1720),-N(D1720)))</f>
        <v/>
      </c>
    </row>
    <row r="1721" customFormat="false" ht="15" hidden="false" customHeight="false" outlineLevel="0" collapsed="false">
      <c r="A1721" s="20"/>
      <c r="B1721" s="19"/>
      <c r="C1721" s="19"/>
      <c r="D1721" s="21"/>
      <c r="E1721" s="19"/>
      <c r="F1721" s="19"/>
      <c r="G1721" s="23" t="str">
        <f aca="false">IF(A1721="","",TEXT(A1721,"yyyy-mm"))</f>
        <v/>
      </c>
      <c r="H1721" s="22" t="str">
        <f aca="false">IF(A1721="","",N(H1720)+IF(B1721="Masuk",N(D1721),-N(D1721)))</f>
        <v/>
      </c>
    </row>
    <row r="1722" customFormat="false" ht="15" hidden="false" customHeight="false" outlineLevel="0" collapsed="false">
      <c r="A1722" s="20"/>
      <c r="B1722" s="19"/>
      <c r="C1722" s="19"/>
      <c r="D1722" s="21"/>
      <c r="E1722" s="19"/>
      <c r="F1722" s="19"/>
      <c r="G1722" s="23" t="str">
        <f aca="false">IF(A1722="","",TEXT(A1722,"yyyy-mm"))</f>
        <v/>
      </c>
      <c r="H1722" s="22" t="str">
        <f aca="false">IF(A1722="","",N(H1721)+IF(B1722="Masuk",N(D1722),-N(D1722)))</f>
        <v/>
      </c>
    </row>
    <row r="1723" customFormat="false" ht="15" hidden="false" customHeight="false" outlineLevel="0" collapsed="false">
      <c r="A1723" s="20"/>
      <c r="B1723" s="19"/>
      <c r="C1723" s="19"/>
      <c r="D1723" s="21"/>
      <c r="E1723" s="19"/>
      <c r="F1723" s="19"/>
      <c r="G1723" s="23" t="str">
        <f aca="false">IF(A1723="","",TEXT(A1723,"yyyy-mm"))</f>
        <v/>
      </c>
      <c r="H1723" s="22" t="str">
        <f aca="false">IF(A1723="","",N(H1722)+IF(B1723="Masuk",N(D1723),-N(D1723)))</f>
        <v/>
      </c>
    </row>
    <row r="1724" customFormat="false" ht="15" hidden="false" customHeight="false" outlineLevel="0" collapsed="false">
      <c r="A1724" s="20"/>
      <c r="B1724" s="19"/>
      <c r="C1724" s="19"/>
      <c r="D1724" s="21"/>
      <c r="E1724" s="19"/>
      <c r="F1724" s="19"/>
      <c r="G1724" s="23" t="str">
        <f aca="false">IF(A1724="","",TEXT(A1724,"yyyy-mm"))</f>
        <v/>
      </c>
      <c r="H1724" s="22" t="str">
        <f aca="false">IF(A1724="","",N(H1723)+IF(B1724="Masuk",N(D1724),-N(D1724)))</f>
        <v/>
      </c>
    </row>
    <row r="1725" customFormat="false" ht="15" hidden="false" customHeight="false" outlineLevel="0" collapsed="false">
      <c r="A1725" s="20"/>
      <c r="B1725" s="19"/>
      <c r="C1725" s="19"/>
      <c r="D1725" s="21"/>
      <c r="E1725" s="19"/>
      <c r="F1725" s="19"/>
      <c r="G1725" s="23" t="str">
        <f aca="false">IF(A1725="","",TEXT(A1725,"yyyy-mm"))</f>
        <v/>
      </c>
      <c r="H1725" s="22" t="str">
        <f aca="false">IF(A1725="","",N(H1724)+IF(B1725="Masuk",N(D1725),-N(D1725)))</f>
        <v/>
      </c>
    </row>
    <row r="1726" customFormat="false" ht="15" hidden="false" customHeight="false" outlineLevel="0" collapsed="false">
      <c r="A1726" s="20"/>
      <c r="B1726" s="19"/>
      <c r="C1726" s="19"/>
      <c r="D1726" s="21"/>
      <c r="E1726" s="19"/>
      <c r="F1726" s="19"/>
      <c r="G1726" s="23" t="str">
        <f aca="false">IF(A1726="","",TEXT(A1726,"yyyy-mm"))</f>
        <v/>
      </c>
      <c r="H1726" s="22" t="str">
        <f aca="false">IF(A1726="","",N(H1725)+IF(B1726="Masuk",N(D1726),-N(D1726)))</f>
        <v/>
      </c>
    </row>
    <row r="1727" customFormat="false" ht="15" hidden="false" customHeight="false" outlineLevel="0" collapsed="false">
      <c r="A1727" s="20"/>
      <c r="B1727" s="19"/>
      <c r="C1727" s="19"/>
      <c r="D1727" s="21"/>
      <c r="E1727" s="19"/>
      <c r="F1727" s="19"/>
      <c r="G1727" s="23" t="str">
        <f aca="false">IF(A1727="","",TEXT(A1727,"yyyy-mm"))</f>
        <v/>
      </c>
      <c r="H1727" s="22" t="str">
        <f aca="false">IF(A1727="","",N(H1726)+IF(B1727="Masuk",N(D1727),-N(D1727)))</f>
        <v/>
      </c>
    </row>
    <row r="1728" customFormat="false" ht="15" hidden="false" customHeight="false" outlineLevel="0" collapsed="false">
      <c r="A1728" s="20"/>
      <c r="B1728" s="19"/>
      <c r="C1728" s="19"/>
      <c r="D1728" s="21"/>
      <c r="E1728" s="19"/>
      <c r="F1728" s="19"/>
      <c r="G1728" s="23" t="str">
        <f aca="false">IF(A1728="","",TEXT(A1728,"yyyy-mm"))</f>
        <v/>
      </c>
      <c r="H1728" s="22" t="str">
        <f aca="false">IF(A1728="","",N(H1727)+IF(B1728="Masuk",N(D1728),-N(D1728)))</f>
        <v/>
      </c>
    </row>
    <row r="1729" customFormat="false" ht="15" hidden="false" customHeight="false" outlineLevel="0" collapsed="false">
      <c r="A1729" s="20"/>
      <c r="B1729" s="19"/>
      <c r="C1729" s="19"/>
      <c r="D1729" s="21"/>
      <c r="E1729" s="19"/>
      <c r="F1729" s="19"/>
      <c r="G1729" s="23" t="str">
        <f aca="false">IF(A1729="","",TEXT(A1729,"yyyy-mm"))</f>
        <v/>
      </c>
      <c r="H1729" s="22" t="str">
        <f aca="false">IF(A1729="","",N(H1728)+IF(B1729="Masuk",N(D1729),-N(D1729)))</f>
        <v/>
      </c>
    </row>
    <row r="1730" customFormat="false" ht="15" hidden="false" customHeight="false" outlineLevel="0" collapsed="false">
      <c r="A1730" s="20"/>
      <c r="B1730" s="19"/>
      <c r="C1730" s="19"/>
      <c r="D1730" s="21"/>
      <c r="E1730" s="19"/>
      <c r="F1730" s="19"/>
      <c r="G1730" s="23" t="str">
        <f aca="false">IF(A1730="","",TEXT(A1730,"yyyy-mm"))</f>
        <v/>
      </c>
      <c r="H1730" s="22" t="str">
        <f aca="false">IF(A1730="","",N(H1729)+IF(B1730="Masuk",N(D1730),-N(D1730)))</f>
        <v/>
      </c>
    </row>
    <row r="1731" customFormat="false" ht="15" hidden="false" customHeight="false" outlineLevel="0" collapsed="false">
      <c r="A1731" s="20"/>
      <c r="B1731" s="19"/>
      <c r="C1731" s="19"/>
      <c r="D1731" s="21"/>
      <c r="E1731" s="19"/>
      <c r="F1731" s="19"/>
      <c r="G1731" s="23" t="str">
        <f aca="false">IF(A1731="","",TEXT(A1731,"yyyy-mm"))</f>
        <v/>
      </c>
      <c r="H1731" s="22" t="str">
        <f aca="false">IF(A1731="","",N(H1730)+IF(B1731="Masuk",N(D1731),-N(D1731)))</f>
        <v/>
      </c>
    </row>
    <row r="1732" customFormat="false" ht="15" hidden="false" customHeight="false" outlineLevel="0" collapsed="false">
      <c r="A1732" s="20"/>
      <c r="B1732" s="19"/>
      <c r="C1732" s="19"/>
      <c r="D1732" s="21"/>
      <c r="E1732" s="19"/>
      <c r="F1732" s="19"/>
      <c r="G1732" s="23" t="str">
        <f aca="false">IF(A1732="","",TEXT(A1732,"yyyy-mm"))</f>
        <v/>
      </c>
      <c r="H1732" s="22" t="str">
        <f aca="false">IF(A1732="","",N(H1731)+IF(B1732="Masuk",N(D1732),-N(D1732)))</f>
        <v/>
      </c>
    </row>
    <row r="1733" customFormat="false" ht="15" hidden="false" customHeight="false" outlineLevel="0" collapsed="false">
      <c r="A1733" s="20"/>
      <c r="B1733" s="19"/>
      <c r="C1733" s="19"/>
      <c r="D1733" s="21"/>
      <c r="E1733" s="19"/>
      <c r="F1733" s="19"/>
      <c r="G1733" s="23" t="str">
        <f aca="false">IF(A1733="","",TEXT(A1733,"yyyy-mm"))</f>
        <v/>
      </c>
      <c r="H1733" s="22" t="str">
        <f aca="false">IF(A1733="","",N(H1732)+IF(B1733="Masuk",N(D1733),-N(D1733)))</f>
        <v/>
      </c>
    </row>
    <row r="1734" customFormat="false" ht="15" hidden="false" customHeight="false" outlineLevel="0" collapsed="false">
      <c r="A1734" s="20"/>
      <c r="B1734" s="19"/>
      <c r="C1734" s="19"/>
      <c r="D1734" s="21"/>
      <c r="E1734" s="19"/>
      <c r="F1734" s="19"/>
      <c r="G1734" s="23" t="str">
        <f aca="false">IF(A1734="","",TEXT(A1734,"yyyy-mm"))</f>
        <v/>
      </c>
      <c r="H1734" s="22" t="str">
        <f aca="false">IF(A1734="","",N(H1733)+IF(B1734="Masuk",N(D1734),-N(D1734)))</f>
        <v/>
      </c>
    </row>
    <row r="1735" customFormat="false" ht="15" hidden="false" customHeight="false" outlineLevel="0" collapsed="false">
      <c r="A1735" s="20"/>
      <c r="B1735" s="19"/>
      <c r="C1735" s="19"/>
      <c r="D1735" s="21"/>
      <c r="E1735" s="19"/>
      <c r="F1735" s="19"/>
      <c r="G1735" s="23" t="str">
        <f aca="false">IF(A1735="","",TEXT(A1735,"yyyy-mm"))</f>
        <v/>
      </c>
      <c r="H1735" s="22" t="str">
        <f aca="false">IF(A1735="","",N(H1734)+IF(B1735="Masuk",N(D1735),-N(D1735)))</f>
        <v/>
      </c>
    </row>
    <row r="1736" customFormat="false" ht="15" hidden="false" customHeight="false" outlineLevel="0" collapsed="false">
      <c r="A1736" s="20"/>
      <c r="B1736" s="19"/>
      <c r="C1736" s="19"/>
      <c r="D1736" s="21"/>
      <c r="E1736" s="19"/>
      <c r="F1736" s="19"/>
      <c r="G1736" s="23" t="str">
        <f aca="false">IF(A1736="","",TEXT(A1736,"yyyy-mm"))</f>
        <v/>
      </c>
      <c r="H1736" s="22" t="str">
        <f aca="false">IF(A1736="","",N(H1735)+IF(B1736="Masuk",N(D1736),-N(D1736)))</f>
        <v/>
      </c>
    </row>
    <row r="1737" customFormat="false" ht="15" hidden="false" customHeight="false" outlineLevel="0" collapsed="false">
      <c r="A1737" s="20"/>
      <c r="B1737" s="19"/>
      <c r="C1737" s="19"/>
      <c r="D1737" s="21"/>
      <c r="E1737" s="19"/>
      <c r="F1737" s="19"/>
      <c r="G1737" s="23" t="str">
        <f aca="false">IF(A1737="","",TEXT(A1737,"yyyy-mm"))</f>
        <v/>
      </c>
      <c r="H1737" s="22" t="str">
        <f aca="false">IF(A1737="","",N(H1736)+IF(B1737="Masuk",N(D1737),-N(D1737)))</f>
        <v/>
      </c>
    </row>
    <row r="1738" customFormat="false" ht="15" hidden="false" customHeight="false" outlineLevel="0" collapsed="false">
      <c r="A1738" s="20"/>
      <c r="B1738" s="19"/>
      <c r="C1738" s="19"/>
      <c r="D1738" s="21"/>
      <c r="E1738" s="19"/>
      <c r="F1738" s="19"/>
      <c r="G1738" s="23" t="str">
        <f aca="false">IF(A1738="","",TEXT(A1738,"yyyy-mm"))</f>
        <v/>
      </c>
      <c r="H1738" s="22" t="str">
        <f aca="false">IF(A1738="","",N(H1737)+IF(B1738="Masuk",N(D1738),-N(D1738)))</f>
        <v/>
      </c>
    </row>
    <row r="1739" customFormat="false" ht="15" hidden="false" customHeight="false" outlineLevel="0" collapsed="false">
      <c r="A1739" s="20"/>
      <c r="B1739" s="19"/>
      <c r="C1739" s="19"/>
      <c r="D1739" s="21"/>
      <c r="E1739" s="19"/>
      <c r="F1739" s="19"/>
      <c r="G1739" s="23" t="str">
        <f aca="false">IF(A1739="","",TEXT(A1739,"yyyy-mm"))</f>
        <v/>
      </c>
      <c r="H1739" s="22" t="str">
        <f aca="false">IF(A1739="","",N(H1738)+IF(B1739="Masuk",N(D1739),-N(D1739)))</f>
        <v/>
      </c>
    </row>
    <row r="1740" customFormat="false" ht="15" hidden="false" customHeight="false" outlineLevel="0" collapsed="false">
      <c r="A1740" s="20"/>
      <c r="B1740" s="19"/>
      <c r="C1740" s="19"/>
      <c r="D1740" s="21"/>
      <c r="E1740" s="19"/>
      <c r="F1740" s="19"/>
      <c r="G1740" s="23" t="str">
        <f aca="false">IF(A1740="","",TEXT(A1740,"yyyy-mm"))</f>
        <v/>
      </c>
      <c r="H1740" s="22" t="str">
        <f aca="false">IF(A1740="","",N(H1739)+IF(B1740="Masuk",N(D1740),-N(D1740)))</f>
        <v/>
      </c>
    </row>
    <row r="1741" customFormat="false" ht="15" hidden="false" customHeight="false" outlineLevel="0" collapsed="false">
      <c r="A1741" s="20"/>
      <c r="B1741" s="19"/>
      <c r="C1741" s="19"/>
      <c r="D1741" s="21"/>
      <c r="E1741" s="19"/>
      <c r="F1741" s="19"/>
      <c r="G1741" s="23" t="str">
        <f aca="false">IF(A1741="","",TEXT(A1741,"yyyy-mm"))</f>
        <v/>
      </c>
      <c r="H1741" s="22" t="str">
        <f aca="false">IF(A1741="","",N(H1740)+IF(B1741="Masuk",N(D1741),-N(D1741)))</f>
        <v/>
      </c>
    </row>
    <row r="1742" customFormat="false" ht="15" hidden="false" customHeight="false" outlineLevel="0" collapsed="false">
      <c r="A1742" s="20"/>
      <c r="B1742" s="19"/>
      <c r="C1742" s="19"/>
      <c r="D1742" s="21"/>
      <c r="E1742" s="19"/>
      <c r="F1742" s="19"/>
      <c r="G1742" s="23" t="str">
        <f aca="false">IF(A1742="","",TEXT(A1742,"yyyy-mm"))</f>
        <v/>
      </c>
      <c r="H1742" s="22" t="str">
        <f aca="false">IF(A1742="","",N(H1741)+IF(B1742="Masuk",N(D1742),-N(D1742)))</f>
        <v/>
      </c>
    </row>
    <row r="1743" customFormat="false" ht="15" hidden="false" customHeight="false" outlineLevel="0" collapsed="false">
      <c r="A1743" s="20"/>
      <c r="B1743" s="19"/>
      <c r="C1743" s="19"/>
      <c r="D1743" s="21"/>
      <c r="E1743" s="19"/>
      <c r="F1743" s="19"/>
      <c r="G1743" s="23" t="str">
        <f aca="false">IF(A1743="","",TEXT(A1743,"yyyy-mm"))</f>
        <v/>
      </c>
      <c r="H1743" s="22" t="str">
        <f aca="false">IF(A1743="","",N(H1742)+IF(B1743="Masuk",N(D1743),-N(D1743)))</f>
        <v/>
      </c>
    </row>
    <row r="1744" customFormat="false" ht="15" hidden="false" customHeight="false" outlineLevel="0" collapsed="false">
      <c r="A1744" s="20"/>
      <c r="B1744" s="19"/>
      <c r="C1744" s="19"/>
      <c r="D1744" s="21"/>
      <c r="E1744" s="19"/>
      <c r="F1744" s="19"/>
      <c r="G1744" s="23" t="str">
        <f aca="false">IF(A1744="","",TEXT(A1744,"yyyy-mm"))</f>
        <v/>
      </c>
      <c r="H1744" s="22" t="str">
        <f aca="false">IF(A1744="","",N(H1743)+IF(B1744="Masuk",N(D1744),-N(D1744)))</f>
        <v/>
      </c>
    </row>
    <row r="1745" customFormat="false" ht="15" hidden="false" customHeight="false" outlineLevel="0" collapsed="false">
      <c r="A1745" s="20"/>
      <c r="B1745" s="19"/>
      <c r="C1745" s="19"/>
      <c r="D1745" s="21"/>
      <c r="E1745" s="19"/>
      <c r="F1745" s="19"/>
      <c r="G1745" s="23" t="str">
        <f aca="false">IF(A1745="","",TEXT(A1745,"yyyy-mm"))</f>
        <v/>
      </c>
      <c r="H1745" s="22" t="str">
        <f aca="false">IF(A1745="","",N(H1744)+IF(B1745="Masuk",N(D1745),-N(D1745)))</f>
        <v/>
      </c>
    </row>
    <row r="1746" customFormat="false" ht="15" hidden="false" customHeight="false" outlineLevel="0" collapsed="false">
      <c r="A1746" s="20"/>
      <c r="B1746" s="19"/>
      <c r="C1746" s="19"/>
      <c r="D1746" s="21"/>
      <c r="E1746" s="19"/>
      <c r="F1746" s="19"/>
      <c r="G1746" s="23" t="str">
        <f aca="false">IF(A1746="","",TEXT(A1746,"yyyy-mm"))</f>
        <v/>
      </c>
      <c r="H1746" s="22" t="str">
        <f aca="false">IF(A1746="","",N(H1745)+IF(B1746="Masuk",N(D1746),-N(D1746)))</f>
        <v/>
      </c>
    </row>
    <row r="1747" customFormat="false" ht="15" hidden="false" customHeight="false" outlineLevel="0" collapsed="false">
      <c r="A1747" s="20"/>
      <c r="B1747" s="19"/>
      <c r="C1747" s="19"/>
      <c r="D1747" s="21"/>
      <c r="E1747" s="19"/>
      <c r="F1747" s="19"/>
      <c r="G1747" s="23" t="str">
        <f aca="false">IF(A1747="","",TEXT(A1747,"yyyy-mm"))</f>
        <v/>
      </c>
      <c r="H1747" s="22" t="str">
        <f aca="false">IF(A1747="","",N(H1746)+IF(B1747="Masuk",N(D1747),-N(D1747)))</f>
        <v/>
      </c>
    </row>
    <row r="1748" customFormat="false" ht="15" hidden="false" customHeight="false" outlineLevel="0" collapsed="false">
      <c r="A1748" s="20"/>
      <c r="B1748" s="19"/>
      <c r="C1748" s="19"/>
      <c r="D1748" s="21"/>
      <c r="E1748" s="19"/>
      <c r="F1748" s="19"/>
      <c r="G1748" s="23" t="str">
        <f aca="false">IF(A1748="","",TEXT(A1748,"yyyy-mm"))</f>
        <v/>
      </c>
      <c r="H1748" s="22" t="str">
        <f aca="false">IF(A1748="","",N(H1747)+IF(B1748="Masuk",N(D1748),-N(D1748)))</f>
        <v/>
      </c>
    </row>
    <row r="1749" customFormat="false" ht="15" hidden="false" customHeight="false" outlineLevel="0" collapsed="false">
      <c r="A1749" s="20"/>
      <c r="B1749" s="19"/>
      <c r="C1749" s="19"/>
      <c r="D1749" s="21"/>
      <c r="E1749" s="19"/>
      <c r="F1749" s="19"/>
      <c r="G1749" s="23" t="str">
        <f aca="false">IF(A1749="","",TEXT(A1749,"yyyy-mm"))</f>
        <v/>
      </c>
      <c r="H1749" s="22" t="str">
        <f aca="false">IF(A1749="","",N(H1748)+IF(B1749="Masuk",N(D1749),-N(D1749)))</f>
        <v/>
      </c>
    </row>
    <row r="1750" customFormat="false" ht="15" hidden="false" customHeight="false" outlineLevel="0" collapsed="false">
      <c r="A1750" s="20"/>
      <c r="B1750" s="19"/>
      <c r="C1750" s="19"/>
      <c r="D1750" s="21"/>
      <c r="E1750" s="19"/>
      <c r="F1750" s="19"/>
      <c r="G1750" s="23" t="str">
        <f aca="false">IF(A1750="","",TEXT(A1750,"yyyy-mm"))</f>
        <v/>
      </c>
      <c r="H1750" s="22" t="str">
        <f aca="false">IF(A1750="","",N(H1749)+IF(B1750="Masuk",N(D1750),-N(D1750)))</f>
        <v/>
      </c>
    </row>
    <row r="1751" customFormat="false" ht="15" hidden="false" customHeight="false" outlineLevel="0" collapsed="false">
      <c r="A1751" s="20"/>
      <c r="B1751" s="19"/>
      <c r="C1751" s="19"/>
      <c r="D1751" s="21"/>
      <c r="E1751" s="19"/>
      <c r="F1751" s="19"/>
      <c r="G1751" s="23" t="str">
        <f aca="false">IF(A1751="","",TEXT(A1751,"yyyy-mm"))</f>
        <v/>
      </c>
      <c r="H1751" s="22" t="str">
        <f aca="false">IF(A1751="","",N(H1750)+IF(B1751="Masuk",N(D1751),-N(D1751)))</f>
        <v/>
      </c>
    </row>
    <row r="1752" customFormat="false" ht="15" hidden="false" customHeight="false" outlineLevel="0" collapsed="false">
      <c r="A1752" s="20"/>
      <c r="B1752" s="19"/>
      <c r="C1752" s="19"/>
      <c r="D1752" s="21"/>
      <c r="E1752" s="19"/>
      <c r="F1752" s="19"/>
      <c r="G1752" s="23" t="str">
        <f aca="false">IF(A1752="","",TEXT(A1752,"yyyy-mm"))</f>
        <v/>
      </c>
      <c r="H1752" s="22" t="str">
        <f aca="false">IF(A1752="","",N(H1751)+IF(B1752="Masuk",N(D1752),-N(D1752)))</f>
        <v/>
      </c>
    </row>
    <row r="1753" customFormat="false" ht="15" hidden="false" customHeight="false" outlineLevel="0" collapsed="false">
      <c r="A1753" s="20"/>
      <c r="B1753" s="19"/>
      <c r="C1753" s="19"/>
      <c r="D1753" s="21"/>
      <c r="E1753" s="19"/>
      <c r="F1753" s="19"/>
      <c r="G1753" s="23" t="str">
        <f aca="false">IF(A1753="","",TEXT(A1753,"yyyy-mm"))</f>
        <v/>
      </c>
      <c r="H1753" s="22" t="str">
        <f aca="false">IF(A1753="","",N(H1752)+IF(B1753="Masuk",N(D1753),-N(D1753)))</f>
        <v/>
      </c>
    </row>
    <row r="1754" customFormat="false" ht="15" hidden="false" customHeight="false" outlineLevel="0" collapsed="false">
      <c r="A1754" s="20"/>
      <c r="B1754" s="19"/>
      <c r="C1754" s="19"/>
      <c r="D1754" s="21"/>
      <c r="E1754" s="19"/>
      <c r="F1754" s="19"/>
      <c r="G1754" s="23" t="str">
        <f aca="false">IF(A1754="","",TEXT(A1754,"yyyy-mm"))</f>
        <v/>
      </c>
      <c r="H1754" s="22" t="str">
        <f aca="false">IF(A1754="","",N(H1753)+IF(B1754="Masuk",N(D1754),-N(D1754)))</f>
        <v/>
      </c>
    </row>
    <row r="1755" customFormat="false" ht="15" hidden="false" customHeight="false" outlineLevel="0" collapsed="false">
      <c r="A1755" s="20"/>
      <c r="B1755" s="19"/>
      <c r="C1755" s="19"/>
      <c r="D1755" s="21"/>
      <c r="E1755" s="19"/>
      <c r="F1755" s="19"/>
      <c r="G1755" s="23" t="str">
        <f aca="false">IF(A1755="","",TEXT(A1755,"yyyy-mm"))</f>
        <v/>
      </c>
      <c r="H1755" s="22" t="str">
        <f aca="false">IF(A1755="","",N(H1754)+IF(B1755="Masuk",N(D1755),-N(D1755)))</f>
        <v/>
      </c>
    </row>
    <row r="1756" customFormat="false" ht="15" hidden="false" customHeight="false" outlineLevel="0" collapsed="false">
      <c r="A1756" s="20"/>
      <c r="B1756" s="19"/>
      <c r="C1756" s="19"/>
      <c r="D1756" s="21"/>
      <c r="E1756" s="19"/>
      <c r="F1756" s="19"/>
      <c r="G1756" s="23" t="str">
        <f aca="false">IF(A1756="","",TEXT(A1756,"yyyy-mm"))</f>
        <v/>
      </c>
      <c r="H1756" s="22" t="str">
        <f aca="false">IF(A1756="","",N(H1755)+IF(B1756="Masuk",N(D1756),-N(D1756)))</f>
        <v/>
      </c>
    </row>
    <row r="1757" customFormat="false" ht="15" hidden="false" customHeight="false" outlineLevel="0" collapsed="false">
      <c r="A1757" s="20"/>
      <c r="B1757" s="19"/>
      <c r="C1757" s="19"/>
      <c r="D1757" s="21"/>
      <c r="E1757" s="19"/>
      <c r="F1757" s="19"/>
      <c r="G1757" s="23" t="str">
        <f aca="false">IF(A1757="","",TEXT(A1757,"yyyy-mm"))</f>
        <v/>
      </c>
      <c r="H1757" s="22" t="str">
        <f aca="false">IF(A1757="","",N(H1756)+IF(B1757="Masuk",N(D1757),-N(D1757)))</f>
        <v/>
      </c>
    </row>
    <row r="1758" customFormat="false" ht="15" hidden="false" customHeight="false" outlineLevel="0" collapsed="false">
      <c r="A1758" s="20"/>
      <c r="B1758" s="19"/>
      <c r="C1758" s="19"/>
      <c r="D1758" s="21"/>
      <c r="E1758" s="19"/>
      <c r="F1758" s="19"/>
      <c r="G1758" s="23" t="str">
        <f aca="false">IF(A1758="","",TEXT(A1758,"yyyy-mm"))</f>
        <v/>
      </c>
      <c r="H1758" s="22" t="str">
        <f aca="false">IF(A1758="","",N(H1757)+IF(B1758="Masuk",N(D1758),-N(D1758)))</f>
        <v/>
      </c>
    </row>
    <row r="1759" customFormat="false" ht="15" hidden="false" customHeight="false" outlineLevel="0" collapsed="false">
      <c r="A1759" s="20"/>
      <c r="B1759" s="19"/>
      <c r="C1759" s="19"/>
      <c r="D1759" s="21"/>
      <c r="E1759" s="19"/>
      <c r="F1759" s="19"/>
      <c r="G1759" s="23" t="str">
        <f aca="false">IF(A1759="","",TEXT(A1759,"yyyy-mm"))</f>
        <v/>
      </c>
      <c r="H1759" s="22" t="str">
        <f aca="false">IF(A1759="","",N(H1758)+IF(B1759="Masuk",N(D1759),-N(D1759)))</f>
        <v/>
      </c>
    </row>
    <row r="1760" customFormat="false" ht="15" hidden="false" customHeight="false" outlineLevel="0" collapsed="false">
      <c r="A1760" s="20"/>
      <c r="B1760" s="19"/>
      <c r="C1760" s="19"/>
      <c r="D1760" s="21"/>
      <c r="E1760" s="19"/>
      <c r="F1760" s="19"/>
      <c r="G1760" s="23" t="str">
        <f aca="false">IF(A1760="","",TEXT(A1760,"yyyy-mm"))</f>
        <v/>
      </c>
      <c r="H1760" s="22" t="str">
        <f aca="false">IF(A1760="","",N(H1759)+IF(B1760="Masuk",N(D1760),-N(D1760)))</f>
        <v/>
      </c>
    </row>
    <row r="1761" customFormat="false" ht="15" hidden="false" customHeight="false" outlineLevel="0" collapsed="false">
      <c r="A1761" s="20"/>
      <c r="B1761" s="19"/>
      <c r="C1761" s="19"/>
      <c r="D1761" s="21"/>
      <c r="E1761" s="19"/>
      <c r="F1761" s="19"/>
      <c r="G1761" s="23" t="str">
        <f aca="false">IF(A1761="","",TEXT(A1761,"yyyy-mm"))</f>
        <v/>
      </c>
      <c r="H1761" s="22" t="str">
        <f aca="false">IF(A1761="","",N(H1760)+IF(B1761="Masuk",N(D1761),-N(D1761)))</f>
        <v/>
      </c>
    </row>
    <row r="1762" customFormat="false" ht="15" hidden="false" customHeight="false" outlineLevel="0" collapsed="false">
      <c r="A1762" s="20"/>
      <c r="B1762" s="19"/>
      <c r="C1762" s="19"/>
      <c r="D1762" s="21"/>
      <c r="E1762" s="19"/>
      <c r="F1762" s="19"/>
      <c r="G1762" s="23" t="str">
        <f aca="false">IF(A1762="","",TEXT(A1762,"yyyy-mm"))</f>
        <v/>
      </c>
      <c r="H1762" s="22" t="str">
        <f aca="false">IF(A1762="","",N(H1761)+IF(B1762="Masuk",N(D1762),-N(D1762)))</f>
        <v/>
      </c>
    </row>
    <row r="1763" customFormat="false" ht="15" hidden="false" customHeight="false" outlineLevel="0" collapsed="false">
      <c r="A1763" s="20"/>
      <c r="B1763" s="19"/>
      <c r="C1763" s="19"/>
      <c r="D1763" s="21"/>
      <c r="E1763" s="19"/>
      <c r="F1763" s="19"/>
      <c r="G1763" s="23" t="str">
        <f aca="false">IF(A1763="","",TEXT(A1763,"yyyy-mm"))</f>
        <v/>
      </c>
      <c r="H1763" s="22" t="str">
        <f aca="false">IF(A1763="","",N(H1762)+IF(B1763="Masuk",N(D1763),-N(D1763)))</f>
        <v/>
      </c>
    </row>
    <row r="1764" customFormat="false" ht="15" hidden="false" customHeight="false" outlineLevel="0" collapsed="false">
      <c r="A1764" s="20"/>
      <c r="B1764" s="19"/>
      <c r="C1764" s="19"/>
      <c r="D1764" s="21"/>
      <c r="E1764" s="19"/>
      <c r="F1764" s="19"/>
      <c r="G1764" s="23" t="str">
        <f aca="false">IF(A1764="","",TEXT(A1764,"yyyy-mm"))</f>
        <v/>
      </c>
      <c r="H1764" s="22" t="str">
        <f aca="false">IF(A1764="","",N(H1763)+IF(B1764="Masuk",N(D1764),-N(D1764)))</f>
        <v/>
      </c>
    </row>
    <row r="1765" customFormat="false" ht="15" hidden="false" customHeight="false" outlineLevel="0" collapsed="false">
      <c r="A1765" s="20"/>
      <c r="B1765" s="19"/>
      <c r="C1765" s="19"/>
      <c r="D1765" s="21"/>
      <c r="E1765" s="19"/>
      <c r="F1765" s="19"/>
      <c r="G1765" s="23" t="str">
        <f aca="false">IF(A1765="","",TEXT(A1765,"yyyy-mm"))</f>
        <v/>
      </c>
      <c r="H1765" s="22" t="str">
        <f aca="false">IF(A1765="","",N(H1764)+IF(B1765="Masuk",N(D1765),-N(D1765)))</f>
        <v/>
      </c>
    </row>
    <row r="1766" customFormat="false" ht="15" hidden="false" customHeight="false" outlineLevel="0" collapsed="false">
      <c r="A1766" s="20"/>
      <c r="B1766" s="19"/>
      <c r="C1766" s="19"/>
      <c r="D1766" s="21"/>
      <c r="E1766" s="19"/>
      <c r="F1766" s="19"/>
      <c r="G1766" s="23" t="str">
        <f aca="false">IF(A1766="","",TEXT(A1766,"yyyy-mm"))</f>
        <v/>
      </c>
      <c r="H1766" s="22" t="str">
        <f aca="false">IF(A1766="","",N(H1765)+IF(B1766="Masuk",N(D1766),-N(D1766)))</f>
        <v/>
      </c>
    </row>
    <row r="1767" customFormat="false" ht="15" hidden="false" customHeight="false" outlineLevel="0" collapsed="false">
      <c r="A1767" s="20"/>
      <c r="B1767" s="19"/>
      <c r="C1767" s="19"/>
      <c r="D1767" s="21"/>
      <c r="E1767" s="19"/>
      <c r="F1767" s="19"/>
      <c r="G1767" s="23" t="str">
        <f aca="false">IF(A1767="","",TEXT(A1767,"yyyy-mm"))</f>
        <v/>
      </c>
      <c r="H1767" s="22" t="str">
        <f aca="false">IF(A1767="","",N(H1766)+IF(B1767="Masuk",N(D1767),-N(D1767)))</f>
        <v/>
      </c>
    </row>
    <row r="1768" customFormat="false" ht="15" hidden="false" customHeight="false" outlineLevel="0" collapsed="false">
      <c r="A1768" s="20"/>
      <c r="B1768" s="19"/>
      <c r="C1768" s="19"/>
      <c r="D1768" s="21"/>
      <c r="E1768" s="19"/>
      <c r="F1768" s="19"/>
      <c r="G1768" s="23" t="str">
        <f aca="false">IF(A1768="","",TEXT(A1768,"yyyy-mm"))</f>
        <v/>
      </c>
      <c r="H1768" s="22" t="str">
        <f aca="false">IF(A1768="","",N(H1767)+IF(B1768="Masuk",N(D1768),-N(D1768)))</f>
        <v/>
      </c>
    </row>
    <row r="1769" customFormat="false" ht="15" hidden="false" customHeight="false" outlineLevel="0" collapsed="false">
      <c r="A1769" s="20"/>
      <c r="B1769" s="19"/>
      <c r="C1769" s="19"/>
      <c r="D1769" s="21"/>
      <c r="E1769" s="19"/>
      <c r="F1769" s="19"/>
      <c r="G1769" s="23" t="str">
        <f aca="false">IF(A1769="","",TEXT(A1769,"yyyy-mm"))</f>
        <v/>
      </c>
      <c r="H1769" s="22" t="str">
        <f aca="false">IF(A1769="","",N(H1768)+IF(B1769="Masuk",N(D1769),-N(D1769)))</f>
        <v/>
      </c>
    </row>
    <row r="1770" customFormat="false" ht="15" hidden="false" customHeight="false" outlineLevel="0" collapsed="false">
      <c r="A1770" s="20"/>
      <c r="B1770" s="19"/>
      <c r="C1770" s="19"/>
      <c r="D1770" s="21"/>
      <c r="E1770" s="19"/>
      <c r="F1770" s="19"/>
      <c r="G1770" s="23" t="str">
        <f aca="false">IF(A1770="","",TEXT(A1770,"yyyy-mm"))</f>
        <v/>
      </c>
      <c r="H1770" s="22" t="str">
        <f aca="false">IF(A1770="","",N(H1769)+IF(B1770="Masuk",N(D1770),-N(D1770)))</f>
        <v/>
      </c>
    </row>
    <row r="1771" customFormat="false" ht="15" hidden="false" customHeight="false" outlineLevel="0" collapsed="false">
      <c r="A1771" s="20"/>
      <c r="B1771" s="19"/>
      <c r="C1771" s="19"/>
      <c r="D1771" s="21"/>
      <c r="E1771" s="19"/>
      <c r="F1771" s="19"/>
      <c r="G1771" s="23" t="str">
        <f aca="false">IF(A1771="","",TEXT(A1771,"yyyy-mm"))</f>
        <v/>
      </c>
      <c r="H1771" s="22" t="str">
        <f aca="false">IF(A1771="","",N(H1770)+IF(B1771="Masuk",N(D1771),-N(D1771)))</f>
        <v/>
      </c>
    </row>
    <row r="1772" customFormat="false" ht="15" hidden="false" customHeight="false" outlineLevel="0" collapsed="false">
      <c r="A1772" s="20"/>
      <c r="B1772" s="19"/>
      <c r="C1772" s="19"/>
      <c r="D1772" s="21"/>
      <c r="E1772" s="19"/>
      <c r="F1772" s="19"/>
      <c r="G1772" s="23" t="str">
        <f aca="false">IF(A1772="","",TEXT(A1772,"yyyy-mm"))</f>
        <v/>
      </c>
      <c r="H1772" s="22" t="str">
        <f aca="false">IF(A1772="","",N(H1771)+IF(B1772="Masuk",N(D1772),-N(D1772)))</f>
        <v/>
      </c>
    </row>
    <row r="1773" customFormat="false" ht="15" hidden="false" customHeight="false" outlineLevel="0" collapsed="false">
      <c r="A1773" s="20"/>
      <c r="B1773" s="19"/>
      <c r="C1773" s="19"/>
      <c r="D1773" s="21"/>
      <c r="E1773" s="19"/>
      <c r="F1773" s="19"/>
      <c r="G1773" s="23" t="str">
        <f aca="false">IF(A1773="","",TEXT(A1773,"yyyy-mm"))</f>
        <v/>
      </c>
      <c r="H1773" s="22" t="str">
        <f aca="false">IF(A1773="","",N(H1772)+IF(B1773="Masuk",N(D1773),-N(D1773)))</f>
        <v/>
      </c>
    </row>
    <row r="1774" customFormat="false" ht="15" hidden="false" customHeight="false" outlineLevel="0" collapsed="false">
      <c r="A1774" s="20"/>
      <c r="B1774" s="19"/>
      <c r="C1774" s="19"/>
      <c r="D1774" s="21"/>
      <c r="E1774" s="19"/>
      <c r="F1774" s="19"/>
      <c r="G1774" s="23" t="str">
        <f aca="false">IF(A1774="","",TEXT(A1774,"yyyy-mm"))</f>
        <v/>
      </c>
      <c r="H1774" s="22" t="str">
        <f aca="false">IF(A1774="","",N(H1773)+IF(B1774="Masuk",N(D1774),-N(D1774)))</f>
        <v/>
      </c>
    </row>
    <row r="1775" customFormat="false" ht="15" hidden="false" customHeight="false" outlineLevel="0" collapsed="false">
      <c r="A1775" s="20"/>
      <c r="B1775" s="19"/>
      <c r="C1775" s="19"/>
      <c r="D1775" s="21"/>
      <c r="E1775" s="19"/>
      <c r="F1775" s="19"/>
      <c r="G1775" s="23" t="str">
        <f aca="false">IF(A1775="","",TEXT(A1775,"yyyy-mm"))</f>
        <v/>
      </c>
      <c r="H1775" s="22" t="str">
        <f aca="false">IF(A1775="","",N(H1774)+IF(B1775="Masuk",N(D1775),-N(D1775)))</f>
        <v/>
      </c>
    </row>
    <row r="1776" customFormat="false" ht="15" hidden="false" customHeight="false" outlineLevel="0" collapsed="false">
      <c r="A1776" s="20"/>
      <c r="B1776" s="19"/>
      <c r="C1776" s="19"/>
      <c r="D1776" s="21"/>
      <c r="E1776" s="19"/>
      <c r="F1776" s="19"/>
      <c r="G1776" s="23" t="str">
        <f aca="false">IF(A1776="","",TEXT(A1776,"yyyy-mm"))</f>
        <v/>
      </c>
      <c r="H1776" s="22" t="str">
        <f aca="false">IF(A1776="","",N(H1775)+IF(B1776="Masuk",N(D1776),-N(D1776)))</f>
        <v/>
      </c>
    </row>
    <row r="1777" customFormat="false" ht="15" hidden="false" customHeight="false" outlineLevel="0" collapsed="false">
      <c r="A1777" s="20"/>
      <c r="B1777" s="19"/>
      <c r="C1777" s="19"/>
      <c r="D1777" s="21"/>
      <c r="E1777" s="19"/>
      <c r="F1777" s="19"/>
      <c r="G1777" s="23" t="str">
        <f aca="false">IF(A1777="","",TEXT(A1777,"yyyy-mm"))</f>
        <v/>
      </c>
      <c r="H1777" s="22" t="str">
        <f aca="false">IF(A1777="","",N(H1776)+IF(B1777="Masuk",N(D1777),-N(D1777)))</f>
        <v/>
      </c>
    </row>
    <row r="1778" customFormat="false" ht="15" hidden="false" customHeight="false" outlineLevel="0" collapsed="false">
      <c r="A1778" s="20"/>
      <c r="B1778" s="19"/>
      <c r="C1778" s="19"/>
      <c r="D1778" s="21"/>
      <c r="E1778" s="19"/>
      <c r="F1778" s="19"/>
      <c r="G1778" s="23" t="str">
        <f aca="false">IF(A1778="","",TEXT(A1778,"yyyy-mm"))</f>
        <v/>
      </c>
      <c r="H1778" s="22" t="str">
        <f aca="false">IF(A1778="","",N(H1777)+IF(B1778="Masuk",N(D1778),-N(D1778)))</f>
        <v/>
      </c>
    </row>
    <row r="1779" customFormat="false" ht="15" hidden="false" customHeight="false" outlineLevel="0" collapsed="false">
      <c r="A1779" s="20"/>
      <c r="B1779" s="19"/>
      <c r="C1779" s="19"/>
      <c r="D1779" s="21"/>
      <c r="E1779" s="19"/>
      <c r="F1779" s="19"/>
      <c r="G1779" s="23" t="str">
        <f aca="false">IF(A1779="","",TEXT(A1779,"yyyy-mm"))</f>
        <v/>
      </c>
      <c r="H1779" s="22" t="str">
        <f aca="false">IF(A1779="","",N(H1778)+IF(B1779="Masuk",N(D1779),-N(D1779)))</f>
        <v/>
      </c>
    </row>
    <row r="1780" customFormat="false" ht="15" hidden="false" customHeight="false" outlineLevel="0" collapsed="false">
      <c r="A1780" s="20"/>
      <c r="B1780" s="19"/>
      <c r="C1780" s="19"/>
      <c r="D1780" s="21"/>
      <c r="E1780" s="19"/>
      <c r="F1780" s="19"/>
      <c r="G1780" s="23" t="str">
        <f aca="false">IF(A1780="","",TEXT(A1780,"yyyy-mm"))</f>
        <v/>
      </c>
      <c r="H1780" s="22" t="str">
        <f aca="false">IF(A1780="","",N(H1779)+IF(B1780="Masuk",N(D1780),-N(D1780)))</f>
        <v/>
      </c>
    </row>
    <row r="1781" customFormat="false" ht="15" hidden="false" customHeight="false" outlineLevel="0" collapsed="false">
      <c r="A1781" s="20"/>
      <c r="B1781" s="19"/>
      <c r="C1781" s="19"/>
      <c r="D1781" s="21"/>
      <c r="E1781" s="19"/>
      <c r="F1781" s="19"/>
      <c r="G1781" s="23" t="str">
        <f aca="false">IF(A1781="","",TEXT(A1781,"yyyy-mm"))</f>
        <v/>
      </c>
      <c r="H1781" s="22" t="str">
        <f aca="false">IF(A1781="","",N(H1780)+IF(B1781="Masuk",N(D1781),-N(D1781)))</f>
        <v/>
      </c>
    </row>
    <row r="1782" customFormat="false" ht="15" hidden="false" customHeight="false" outlineLevel="0" collapsed="false">
      <c r="A1782" s="20"/>
      <c r="B1782" s="19"/>
      <c r="C1782" s="19"/>
      <c r="D1782" s="21"/>
      <c r="E1782" s="19"/>
      <c r="F1782" s="19"/>
      <c r="G1782" s="23" t="str">
        <f aca="false">IF(A1782="","",TEXT(A1782,"yyyy-mm"))</f>
        <v/>
      </c>
      <c r="H1782" s="22" t="str">
        <f aca="false">IF(A1782="","",N(H1781)+IF(B1782="Masuk",N(D1782),-N(D1782)))</f>
        <v/>
      </c>
    </row>
    <row r="1783" customFormat="false" ht="15" hidden="false" customHeight="false" outlineLevel="0" collapsed="false">
      <c r="A1783" s="20"/>
      <c r="B1783" s="19"/>
      <c r="C1783" s="19"/>
      <c r="D1783" s="21"/>
      <c r="E1783" s="19"/>
      <c r="F1783" s="19"/>
      <c r="G1783" s="23" t="str">
        <f aca="false">IF(A1783="","",TEXT(A1783,"yyyy-mm"))</f>
        <v/>
      </c>
      <c r="H1783" s="22" t="str">
        <f aca="false">IF(A1783="","",N(H1782)+IF(B1783="Masuk",N(D1783),-N(D1783)))</f>
        <v/>
      </c>
    </row>
    <row r="1784" customFormat="false" ht="15" hidden="false" customHeight="false" outlineLevel="0" collapsed="false">
      <c r="A1784" s="20"/>
      <c r="B1784" s="19"/>
      <c r="C1784" s="19"/>
      <c r="D1784" s="21"/>
      <c r="E1784" s="19"/>
      <c r="F1784" s="19"/>
      <c r="G1784" s="23" t="str">
        <f aca="false">IF(A1784="","",TEXT(A1784,"yyyy-mm"))</f>
        <v/>
      </c>
      <c r="H1784" s="22" t="str">
        <f aca="false">IF(A1784="","",N(H1783)+IF(B1784="Masuk",N(D1784),-N(D1784)))</f>
        <v/>
      </c>
    </row>
    <row r="1785" customFormat="false" ht="15" hidden="false" customHeight="false" outlineLevel="0" collapsed="false">
      <c r="A1785" s="20"/>
      <c r="B1785" s="19"/>
      <c r="C1785" s="19"/>
      <c r="D1785" s="21"/>
      <c r="E1785" s="19"/>
      <c r="F1785" s="19"/>
      <c r="G1785" s="23" t="str">
        <f aca="false">IF(A1785="","",TEXT(A1785,"yyyy-mm"))</f>
        <v/>
      </c>
      <c r="H1785" s="22" t="str">
        <f aca="false">IF(A1785="","",N(H1784)+IF(B1785="Masuk",N(D1785),-N(D1785)))</f>
        <v/>
      </c>
    </row>
    <row r="1786" customFormat="false" ht="15" hidden="false" customHeight="false" outlineLevel="0" collapsed="false">
      <c r="A1786" s="20"/>
      <c r="B1786" s="19"/>
      <c r="C1786" s="19"/>
      <c r="D1786" s="21"/>
      <c r="E1786" s="19"/>
      <c r="F1786" s="19"/>
      <c r="G1786" s="23" t="str">
        <f aca="false">IF(A1786="","",TEXT(A1786,"yyyy-mm"))</f>
        <v/>
      </c>
      <c r="H1786" s="22" t="str">
        <f aca="false">IF(A1786="","",N(H1785)+IF(B1786="Masuk",N(D1786),-N(D1786)))</f>
        <v/>
      </c>
    </row>
    <row r="1787" customFormat="false" ht="15" hidden="false" customHeight="false" outlineLevel="0" collapsed="false">
      <c r="A1787" s="20"/>
      <c r="B1787" s="19"/>
      <c r="C1787" s="19"/>
      <c r="D1787" s="21"/>
      <c r="E1787" s="19"/>
      <c r="F1787" s="19"/>
      <c r="G1787" s="23" t="str">
        <f aca="false">IF(A1787="","",TEXT(A1787,"yyyy-mm"))</f>
        <v/>
      </c>
      <c r="H1787" s="22" t="str">
        <f aca="false">IF(A1787="","",N(H1786)+IF(B1787="Masuk",N(D1787),-N(D1787)))</f>
        <v/>
      </c>
    </row>
    <row r="1788" customFormat="false" ht="15" hidden="false" customHeight="false" outlineLevel="0" collapsed="false">
      <c r="A1788" s="20"/>
      <c r="B1788" s="19"/>
      <c r="C1788" s="19"/>
      <c r="D1788" s="21"/>
      <c r="E1788" s="19"/>
      <c r="F1788" s="19"/>
      <c r="G1788" s="23" t="str">
        <f aca="false">IF(A1788="","",TEXT(A1788,"yyyy-mm"))</f>
        <v/>
      </c>
      <c r="H1788" s="22" t="str">
        <f aca="false">IF(A1788="","",N(H1787)+IF(B1788="Masuk",N(D1788),-N(D1788)))</f>
        <v/>
      </c>
    </row>
    <row r="1789" customFormat="false" ht="15" hidden="false" customHeight="false" outlineLevel="0" collapsed="false">
      <c r="A1789" s="20"/>
      <c r="B1789" s="19"/>
      <c r="C1789" s="19"/>
      <c r="D1789" s="21"/>
      <c r="E1789" s="19"/>
      <c r="F1789" s="19"/>
      <c r="G1789" s="23" t="str">
        <f aca="false">IF(A1789="","",TEXT(A1789,"yyyy-mm"))</f>
        <v/>
      </c>
      <c r="H1789" s="22" t="str">
        <f aca="false">IF(A1789="","",N(H1788)+IF(B1789="Masuk",N(D1789),-N(D1789)))</f>
        <v/>
      </c>
    </row>
    <row r="1790" customFormat="false" ht="15" hidden="false" customHeight="false" outlineLevel="0" collapsed="false">
      <c r="A1790" s="20"/>
      <c r="B1790" s="19"/>
      <c r="C1790" s="19"/>
      <c r="D1790" s="21"/>
      <c r="E1790" s="19"/>
      <c r="F1790" s="19"/>
      <c r="G1790" s="23" t="str">
        <f aca="false">IF(A1790="","",TEXT(A1790,"yyyy-mm"))</f>
        <v/>
      </c>
      <c r="H1790" s="22" t="str">
        <f aca="false">IF(A1790="","",N(H1789)+IF(B1790="Masuk",N(D1790),-N(D1790)))</f>
        <v/>
      </c>
    </row>
    <row r="1791" customFormat="false" ht="15" hidden="false" customHeight="false" outlineLevel="0" collapsed="false">
      <c r="A1791" s="20"/>
      <c r="B1791" s="19"/>
      <c r="C1791" s="19"/>
      <c r="D1791" s="21"/>
      <c r="E1791" s="19"/>
      <c r="F1791" s="19"/>
      <c r="G1791" s="23" t="str">
        <f aca="false">IF(A1791="","",TEXT(A1791,"yyyy-mm"))</f>
        <v/>
      </c>
      <c r="H1791" s="22" t="str">
        <f aca="false">IF(A1791="","",N(H1790)+IF(B1791="Masuk",N(D1791),-N(D1791)))</f>
        <v/>
      </c>
    </row>
    <row r="1792" customFormat="false" ht="15" hidden="false" customHeight="false" outlineLevel="0" collapsed="false">
      <c r="A1792" s="20"/>
      <c r="B1792" s="19"/>
      <c r="C1792" s="19"/>
      <c r="D1792" s="21"/>
      <c r="E1792" s="19"/>
      <c r="F1792" s="19"/>
      <c r="G1792" s="23" t="str">
        <f aca="false">IF(A1792="","",TEXT(A1792,"yyyy-mm"))</f>
        <v/>
      </c>
      <c r="H1792" s="22" t="str">
        <f aca="false">IF(A1792="","",N(H1791)+IF(B1792="Masuk",N(D1792),-N(D1792)))</f>
        <v/>
      </c>
    </row>
    <row r="1793" customFormat="false" ht="15" hidden="false" customHeight="false" outlineLevel="0" collapsed="false">
      <c r="A1793" s="20"/>
      <c r="B1793" s="19"/>
      <c r="C1793" s="19"/>
      <c r="D1793" s="21"/>
      <c r="E1793" s="19"/>
      <c r="F1793" s="19"/>
      <c r="G1793" s="23" t="str">
        <f aca="false">IF(A1793="","",TEXT(A1793,"yyyy-mm"))</f>
        <v/>
      </c>
      <c r="H1793" s="22" t="str">
        <f aca="false">IF(A1793="","",N(H1792)+IF(B1793="Masuk",N(D1793),-N(D1793)))</f>
        <v/>
      </c>
    </row>
    <row r="1794" customFormat="false" ht="15" hidden="false" customHeight="false" outlineLevel="0" collapsed="false">
      <c r="A1794" s="20"/>
      <c r="B1794" s="19"/>
      <c r="C1794" s="19"/>
      <c r="D1794" s="21"/>
      <c r="E1794" s="19"/>
      <c r="F1794" s="19"/>
      <c r="G1794" s="23" t="str">
        <f aca="false">IF(A1794="","",TEXT(A1794,"yyyy-mm"))</f>
        <v/>
      </c>
      <c r="H1794" s="22" t="str">
        <f aca="false">IF(A1794="","",N(H1793)+IF(B1794="Masuk",N(D1794),-N(D1794)))</f>
        <v/>
      </c>
    </row>
    <row r="1795" customFormat="false" ht="15" hidden="false" customHeight="false" outlineLevel="0" collapsed="false">
      <c r="A1795" s="20"/>
      <c r="B1795" s="19"/>
      <c r="C1795" s="19"/>
      <c r="D1795" s="21"/>
      <c r="E1795" s="19"/>
      <c r="F1795" s="19"/>
      <c r="G1795" s="23" t="str">
        <f aca="false">IF(A1795="","",TEXT(A1795,"yyyy-mm"))</f>
        <v/>
      </c>
      <c r="H1795" s="22" t="str">
        <f aca="false">IF(A1795="","",N(H1794)+IF(B1795="Masuk",N(D1795),-N(D1795)))</f>
        <v/>
      </c>
    </row>
    <row r="1796" customFormat="false" ht="15" hidden="false" customHeight="false" outlineLevel="0" collapsed="false">
      <c r="A1796" s="20"/>
      <c r="B1796" s="19"/>
      <c r="C1796" s="19"/>
      <c r="D1796" s="21"/>
      <c r="E1796" s="19"/>
      <c r="F1796" s="19"/>
      <c r="G1796" s="23" t="str">
        <f aca="false">IF(A1796="","",TEXT(A1796,"yyyy-mm"))</f>
        <v/>
      </c>
      <c r="H1796" s="22" t="str">
        <f aca="false">IF(A1796="","",N(H1795)+IF(B1796="Masuk",N(D1796),-N(D1796)))</f>
        <v/>
      </c>
    </row>
    <row r="1797" customFormat="false" ht="15" hidden="false" customHeight="false" outlineLevel="0" collapsed="false">
      <c r="A1797" s="20"/>
      <c r="B1797" s="19"/>
      <c r="C1797" s="19"/>
      <c r="D1797" s="21"/>
      <c r="E1797" s="19"/>
      <c r="F1797" s="19"/>
      <c r="G1797" s="23" t="str">
        <f aca="false">IF(A1797="","",TEXT(A1797,"yyyy-mm"))</f>
        <v/>
      </c>
      <c r="H1797" s="22" t="str">
        <f aca="false">IF(A1797="","",N(H1796)+IF(B1797="Masuk",N(D1797),-N(D1797)))</f>
        <v/>
      </c>
    </row>
    <row r="1798" customFormat="false" ht="15" hidden="false" customHeight="false" outlineLevel="0" collapsed="false">
      <c r="A1798" s="20"/>
      <c r="B1798" s="19"/>
      <c r="C1798" s="19"/>
      <c r="D1798" s="21"/>
      <c r="E1798" s="19"/>
      <c r="F1798" s="19"/>
      <c r="G1798" s="23" t="str">
        <f aca="false">IF(A1798="","",TEXT(A1798,"yyyy-mm"))</f>
        <v/>
      </c>
      <c r="H1798" s="22" t="str">
        <f aca="false">IF(A1798="","",N(H1797)+IF(B1798="Masuk",N(D1798),-N(D1798)))</f>
        <v/>
      </c>
    </row>
    <row r="1799" customFormat="false" ht="15" hidden="false" customHeight="false" outlineLevel="0" collapsed="false">
      <c r="A1799" s="20"/>
      <c r="B1799" s="19"/>
      <c r="C1799" s="19"/>
      <c r="D1799" s="21"/>
      <c r="E1799" s="19"/>
      <c r="F1799" s="19"/>
      <c r="G1799" s="23" t="str">
        <f aca="false">IF(A1799="","",TEXT(A1799,"yyyy-mm"))</f>
        <v/>
      </c>
      <c r="H1799" s="22" t="str">
        <f aca="false">IF(A1799="","",N(H1798)+IF(B1799="Masuk",N(D1799),-N(D1799)))</f>
        <v/>
      </c>
    </row>
    <row r="1800" customFormat="false" ht="15" hidden="false" customHeight="false" outlineLevel="0" collapsed="false">
      <c r="A1800" s="20"/>
      <c r="B1800" s="19"/>
      <c r="C1800" s="19"/>
      <c r="D1800" s="21"/>
      <c r="E1800" s="19"/>
      <c r="F1800" s="19"/>
      <c r="G1800" s="23" t="str">
        <f aca="false">IF(A1800="","",TEXT(A1800,"yyyy-mm"))</f>
        <v/>
      </c>
      <c r="H1800" s="22" t="str">
        <f aca="false">IF(A1800="","",N(H1799)+IF(B1800="Masuk",N(D1800),-N(D1800)))</f>
        <v/>
      </c>
    </row>
    <row r="1801" customFormat="false" ht="15" hidden="false" customHeight="false" outlineLevel="0" collapsed="false">
      <c r="A1801" s="20"/>
      <c r="B1801" s="19"/>
      <c r="C1801" s="19"/>
      <c r="D1801" s="21"/>
      <c r="E1801" s="19"/>
      <c r="F1801" s="19"/>
      <c r="G1801" s="23" t="str">
        <f aca="false">IF(A1801="","",TEXT(A1801,"yyyy-mm"))</f>
        <v/>
      </c>
      <c r="H1801" s="22" t="str">
        <f aca="false">IF(A1801="","",N(H1800)+IF(B1801="Masuk",N(D1801),-N(D1801)))</f>
        <v/>
      </c>
    </row>
    <row r="1802" customFormat="false" ht="15" hidden="false" customHeight="false" outlineLevel="0" collapsed="false">
      <c r="A1802" s="20"/>
      <c r="B1802" s="19"/>
      <c r="C1802" s="19"/>
      <c r="D1802" s="21"/>
      <c r="E1802" s="19"/>
      <c r="F1802" s="19"/>
      <c r="G1802" s="23" t="str">
        <f aca="false">IF(A1802="","",TEXT(A1802,"yyyy-mm"))</f>
        <v/>
      </c>
      <c r="H1802" s="22" t="str">
        <f aca="false">IF(A1802="","",N(H1801)+IF(B1802="Masuk",N(D1802),-N(D1802)))</f>
        <v/>
      </c>
    </row>
    <row r="1803" customFormat="false" ht="15" hidden="false" customHeight="false" outlineLevel="0" collapsed="false">
      <c r="A1803" s="20"/>
      <c r="B1803" s="19"/>
      <c r="C1803" s="19"/>
      <c r="D1803" s="21"/>
      <c r="E1803" s="19"/>
      <c r="F1803" s="19"/>
      <c r="G1803" s="23" t="str">
        <f aca="false">IF(A1803="","",TEXT(A1803,"yyyy-mm"))</f>
        <v/>
      </c>
      <c r="H1803" s="22" t="str">
        <f aca="false">IF(A1803="","",N(H1802)+IF(B1803="Masuk",N(D1803),-N(D1803)))</f>
        <v/>
      </c>
    </row>
    <row r="1804" customFormat="false" ht="15" hidden="false" customHeight="false" outlineLevel="0" collapsed="false">
      <c r="A1804" s="20"/>
      <c r="B1804" s="19"/>
      <c r="C1804" s="19"/>
      <c r="D1804" s="21"/>
      <c r="E1804" s="19"/>
      <c r="F1804" s="19"/>
      <c r="G1804" s="23" t="str">
        <f aca="false">IF(A1804="","",TEXT(A1804,"yyyy-mm"))</f>
        <v/>
      </c>
      <c r="H1804" s="22" t="str">
        <f aca="false">IF(A1804="","",N(H1803)+IF(B1804="Masuk",N(D1804),-N(D1804)))</f>
        <v/>
      </c>
    </row>
    <row r="1805" customFormat="false" ht="15" hidden="false" customHeight="false" outlineLevel="0" collapsed="false">
      <c r="A1805" s="20"/>
      <c r="B1805" s="19"/>
      <c r="C1805" s="19"/>
      <c r="D1805" s="21"/>
      <c r="E1805" s="19"/>
      <c r="F1805" s="19"/>
      <c r="G1805" s="23" t="str">
        <f aca="false">IF(A1805="","",TEXT(A1805,"yyyy-mm"))</f>
        <v/>
      </c>
      <c r="H1805" s="22" t="str">
        <f aca="false">IF(A1805="","",N(H1804)+IF(B1805="Masuk",N(D1805),-N(D1805)))</f>
        <v/>
      </c>
    </row>
    <row r="1806" customFormat="false" ht="15" hidden="false" customHeight="false" outlineLevel="0" collapsed="false">
      <c r="A1806" s="20"/>
      <c r="B1806" s="19"/>
      <c r="C1806" s="19"/>
      <c r="D1806" s="21"/>
      <c r="E1806" s="19"/>
      <c r="F1806" s="19"/>
      <c r="G1806" s="23" t="str">
        <f aca="false">IF(A1806="","",TEXT(A1806,"yyyy-mm"))</f>
        <v/>
      </c>
      <c r="H1806" s="22" t="str">
        <f aca="false">IF(A1806="","",N(H1805)+IF(B1806="Masuk",N(D1806),-N(D1806)))</f>
        <v/>
      </c>
    </row>
    <row r="1807" customFormat="false" ht="15" hidden="false" customHeight="false" outlineLevel="0" collapsed="false">
      <c r="A1807" s="20"/>
      <c r="B1807" s="19"/>
      <c r="C1807" s="19"/>
      <c r="D1807" s="21"/>
      <c r="E1807" s="19"/>
      <c r="F1807" s="19"/>
      <c r="G1807" s="23" t="str">
        <f aca="false">IF(A1807="","",TEXT(A1807,"yyyy-mm"))</f>
        <v/>
      </c>
      <c r="H1807" s="22" t="str">
        <f aca="false">IF(A1807="","",N(H1806)+IF(B1807="Masuk",N(D1807),-N(D1807)))</f>
        <v/>
      </c>
    </row>
    <row r="1808" customFormat="false" ht="15" hidden="false" customHeight="false" outlineLevel="0" collapsed="false">
      <c r="A1808" s="20"/>
      <c r="B1808" s="19"/>
      <c r="C1808" s="19"/>
      <c r="D1808" s="21"/>
      <c r="E1808" s="19"/>
      <c r="F1808" s="19"/>
      <c r="G1808" s="23" t="str">
        <f aca="false">IF(A1808="","",TEXT(A1808,"yyyy-mm"))</f>
        <v/>
      </c>
      <c r="H1808" s="22" t="str">
        <f aca="false">IF(A1808="","",N(H1807)+IF(B1808="Masuk",N(D1808),-N(D1808)))</f>
        <v/>
      </c>
    </row>
    <row r="1809" customFormat="false" ht="15" hidden="false" customHeight="false" outlineLevel="0" collapsed="false">
      <c r="A1809" s="20"/>
      <c r="B1809" s="19"/>
      <c r="C1809" s="19"/>
      <c r="D1809" s="21"/>
      <c r="E1809" s="19"/>
      <c r="F1809" s="19"/>
      <c r="G1809" s="23" t="str">
        <f aca="false">IF(A1809="","",TEXT(A1809,"yyyy-mm"))</f>
        <v/>
      </c>
      <c r="H1809" s="22" t="str">
        <f aca="false">IF(A1809="","",N(H1808)+IF(B1809="Masuk",N(D1809),-N(D1809)))</f>
        <v/>
      </c>
    </row>
    <row r="1810" customFormat="false" ht="15" hidden="false" customHeight="false" outlineLevel="0" collapsed="false">
      <c r="A1810" s="20"/>
      <c r="B1810" s="19"/>
      <c r="C1810" s="19"/>
      <c r="D1810" s="21"/>
      <c r="E1810" s="19"/>
      <c r="F1810" s="19"/>
      <c r="G1810" s="23" t="str">
        <f aca="false">IF(A1810="","",TEXT(A1810,"yyyy-mm"))</f>
        <v/>
      </c>
      <c r="H1810" s="22" t="str">
        <f aca="false">IF(A1810="","",N(H1809)+IF(B1810="Masuk",N(D1810),-N(D1810)))</f>
        <v/>
      </c>
    </row>
    <row r="1811" customFormat="false" ht="15" hidden="false" customHeight="false" outlineLevel="0" collapsed="false">
      <c r="A1811" s="20"/>
      <c r="B1811" s="19"/>
      <c r="C1811" s="19"/>
      <c r="D1811" s="21"/>
      <c r="E1811" s="19"/>
      <c r="F1811" s="19"/>
      <c r="G1811" s="23" t="str">
        <f aca="false">IF(A1811="","",TEXT(A1811,"yyyy-mm"))</f>
        <v/>
      </c>
      <c r="H1811" s="22" t="str">
        <f aca="false">IF(A1811="","",N(H1810)+IF(B1811="Masuk",N(D1811),-N(D1811)))</f>
        <v/>
      </c>
    </row>
    <row r="1812" customFormat="false" ht="15" hidden="false" customHeight="false" outlineLevel="0" collapsed="false">
      <c r="A1812" s="20"/>
      <c r="B1812" s="19"/>
      <c r="C1812" s="19"/>
      <c r="D1812" s="21"/>
      <c r="E1812" s="19"/>
      <c r="F1812" s="19"/>
      <c r="G1812" s="23" t="str">
        <f aca="false">IF(A1812="","",TEXT(A1812,"yyyy-mm"))</f>
        <v/>
      </c>
      <c r="H1812" s="22" t="str">
        <f aca="false">IF(A1812="","",N(H1811)+IF(B1812="Masuk",N(D1812),-N(D1812)))</f>
        <v/>
      </c>
    </row>
    <row r="1813" customFormat="false" ht="15" hidden="false" customHeight="false" outlineLevel="0" collapsed="false">
      <c r="A1813" s="20"/>
      <c r="B1813" s="19"/>
      <c r="C1813" s="19"/>
      <c r="D1813" s="21"/>
      <c r="E1813" s="19"/>
      <c r="F1813" s="19"/>
      <c r="G1813" s="23" t="str">
        <f aca="false">IF(A1813="","",TEXT(A1813,"yyyy-mm"))</f>
        <v/>
      </c>
      <c r="H1813" s="22" t="str">
        <f aca="false">IF(A1813="","",N(H1812)+IF(B1813="Masuk",N(D1813),-N(D1813)))</f>
        <v/>
      </c>
    </row>
    <row r="1814" customFormat="false" ht="15" hidden="false" customHeight="false" outlineLevel="0" collapsed="false">
      <c r="A1814" s="20"/>
      <c r="B1814" s="19"/>
      <c r="C1814" s="19"/>
      <c r="D1814" s="21"/>
      <c r="E1814" s="19"/>
      <c r="F1814" s="19"/>
      <c r="G1814" s="23" t="str">
        <f aca="false">IF(A1814="","",TEXT(A1814,"yyyy-mm"))</f>
        <v/>
      </c>
      <c r="H1814" s="22" t="str">
        <f aca="false">IF(A1814="","",N(H1813)+IF(B1814="Masuk",N(D1814),-N(D1814)))</f>
        <v/>
      </c>
    </row>
    <row r="1815" customFormat="false" ht="15" hidden="false" customHeight="false" outlineLevel="0" collapsed="false">
      <c r="A1815" s="20"/>
      <c r="B1815" s="19"/>
      <c r="C1815" s="19"/>
      <c r="D1815" s="21"/>
      <c r="E1815" s="19"/>
      <c r="F1815" s="19"/>
      <c r="G1815" s="23" t="str">
        <f aca="false">IF(A1815="","",TEXT(A1815,"yyyy-mm"))</f>
        <v/>
      </c>
      <c r="H1815" s="22" t="str">
        <f aca="false">IF(A1815="","",N(H1814)+IF(B1815="Masuk",N(D1815),-N(D1815)))</f>
        <v/>
      </c>
    </row>
    <row r="1816" customFormat="false" ht="15" hidden="false" customHeight="false" outlineLevel="0" collapsed="false">
      <c r="A1816" s="20"/>
      <c r="B1816" s="19"/>
      <c r="C1816" s="19"/>
      <c r="D1816" s="21"/>
      <c r="E1816" s="19"/>
      <c r="F1816" s="19"/>
      <c r="G1816" s="23" t="str">
        <f aca="false">IF(A1816="","",TEXT(A1816,"yyyy-mm"))</f>
        <v/>
      </c>
      <c r="H1816" s="22" t="str">
        <f aca="false">IF(A1816="","",N(H1815)+IF(B1816="Masuk",N(D1816),-N(D1816)))</f>
        <v/>
      </c>
    </row>
    <row r="1817" customFormat="false" ht="15" hidden="false" customHeight="false" outlineLevel="0" collapsed="false">
      <c r="A1817" s="20"/>
      <c r="B1817" s="19"/>
      <c r="C1817" s="19"/>
      <c r="D1817" s="21"/>
      <c r="E1817" s="19"/>
      <c r="F1817" s="19"/>
      <c r="G1817" s="23" t="str">
        <f aca="false">IF(A1817="","",TEXT(A1817,"yyyy-mm"))</f>
        <v/>
      </c>
      <c r="H1817" s="22" t="str">
        <f aca="false">IF(A1817="","",N(H1816)+IF(B1817="Masuk",N(D1817),-N(D1817)))</f>
        <v/>
      </c>
    </row>
    <row r="1818" customFormat="false" ht="15" hidden="false" customHeight="false" outlineLevel="0" collapsed="false">
      <c r="A1818" s="20"/>
      <c r="B1818" s="19"/>
      <c r="C1818" s="19"/>
      <c r="D1818" s="21"/>
      <c r="E1818" s="19"/>
      <c r="F1818" s="19"/>
      <c r="G1818" s="23" t="str">
        <f aca="false">IF(A1818="","",TEXT(A1818,"yyyy-mm"))</f>
        <v/>
      </c>
      <c r="H1818" s="22" t="str">
        <f aca="false">IF(A1818="","",N(H1817)+IF(B1818="Masuk",N(D1818),-N(D1818)))</f>
        <v/>
      </c>
    </row>
    <row r="1819" customFormat="false" ht="15" hidden="false" customHeight="false" outlineLevel="0" collapsed="false">
      <c r="A1819" s="20"/>
      <c r="B1819" s="19"/>
      <c r="C1819" s="19"/>
      <c r="D1819" s="21"/>
      <c r="E1819" s="19"/>
      <c r="F1819" s="19"/>
      <c r="G1819" s="23" t="str">
        <f aca="false">IF(A1819="","",TEXT(A1819,"yyyy-mm"))</f>
        <v/>
      </c>
      <c r="H1819" s="22" t="str">
        <f aca="false">IF(A1819="","",N(H1818)+IF(B1819="Masuk",N(D1819),-N(D1819)))</f>
        <v/>
      </c>
    </row>
    <row r="1820" customFormat="false" ht="15" hidden="false" customHeight="false" outlineLevel="0" collapsed="false">
      <c r="A1820" s="20"/>
      <c r="B1820" s="19"/>
      <c r="C1820" s="19"/>
      <c r="D1820" s="21"/>
      <c r="E1820" s="19"/>
      <c r="F1820" s="19"/>
      <c r="G1820" s="23" t="str">
        <f aca="false">IF(A1820="","",TEXT(A1820,"yyyy-mm"))</f>
        <v/>
      </c>
      <c r="H1820" s="22" t="str">
        <f aca="false">IF(A1820="","",N(H1819)+IF(B1820="Masuk",N(D1820),-N(D1820)))</f>
        <v/>
      </c>
    </row>
    <row r="1821" customFormat="false" ht="15" hidden="false" customHeight="false" outlineLevel="0" collapsed="false">
      <c r="A1821" s="20"/>
      <c r="B1821" s="19"/>
      <c r="C1821" s="19"/>
      <c r="D1821" s="21"/>
      <c r="E1821" s="19"/>
      <c r="F1821" s="19"/>
      <c r="G1821" s="23" t="str">
        <f aca="false">IF(A1821="","",TEXT(A1821,"yyyy-mm"))</f>
        <v/>
      </c>
      <c r="H1821" s="22" t="str">
        <f aca="false">IF(A1821="","",N(H1820)+IF(B1821="Masuk",N(D1821),-N(D1821)))</f>
        <v/>
      </c>
    </row>
    <row r="1822" customFormat="false" ht="15" hidden="false" customHeight="false" outlineLevel="0" collapsed="false">
      <c r="A1822" s="20"/>
      <c r="B1822" s="19"/>
      <c r="C1822" s="19"/>
      <c r="D1822" s="21"/>
      <c r="E1822" s="19"/>
      <c r="F1822" s="19"/>
      <c r="G1822" s="23" t="str">
        <f aca="false">IF(A1822="","",TEXT(A1822,"yyyy-mm"))</f>
        <v/>
      </c>
      <c r="H1822" s="22" t="str">
        <f aca="false">IF(A1822="","",N(H1821)+IF(B1822="Masuk",N(D1822),-N(D1822)))</f>
        <v/>
      </c>
    </row>
    <row r="1823" customFormat="false" ht="15" hidden="false" customHeight="false" outlineLevel="0" collapsed="false">
      <c r="A1823" s="20"/>
      <c r="B1823" s="19"/>
      <c r="C1823" s="19"/>
      <c r="D1823" s="21"/>
      <c r="E1823" s="19"/>
      <c r="F1823" s="19"/>
      <c r="G1823" s="23" t="str">
        <f aca="false">IF(A1823="","",TEXT(A1823,"yyyy-mm"))</f>
        <v/>
      </c>
      <c r="H1823" s="22" t="str">
        <f aca="false">IF(A1823="","",N(H1822)+IF(B1823="Masuk",N(D1823),-N(D1823)))</f>
        <v/>
      </c>
    </row>
    <row r="1824" customFormat="false" ht="15" hidden="false" customHeight="false" outlineLevel="0" collapsed="false">
      <c r="A1824" s="20"/>
      <c r="B1824" s="19"/>
      <c r="C1824" s="19"/>
      <c r="D1824" s="21"/>
      <c r="E1824" s="19"/>
      <c r="F1824" s="19"/>
      <c r="G1824" s="23" t="str">
        <f aca="false">IF(A1824="","",TEXT(A1824,"yyyy-mm"))</f>
        <v/>
      </c>
      <c r="H1824" s="22" t="str">
        <f aca="false">IF(A1824="","",N(H1823)+IF(B1824="Masuk",N(D1824),-N(D1824)))</f>
        <v/>
      </c>
    </row>
    <row r="1825" customFormat="false" ht="15" hidden="false" customHeight="false" outlineLevel="0" collapsed="false">
      <c r="A1825" s="20"/>
      <c r="B1825" s="19"/>
      <c r="C1825" s="19"/>
      <c r="D1825" s="21"/>
      <c r="E1825" s="19"/>
      <c r="F1825" s="19"/>
      <c r="G1825" s="23" t="str">
        <f aca="false">IF(A1825="","",TEXT(A1825,"yyyy-mm"))</f>
        <v/>
      </c>
      <c r="H1825" s="22" t="str">
        <f aca="false">IF(A1825="","",N(H1824)+IF(B1825="Masuk",N(D1825),-N(D1825)))</f>
        <v/>
      </c>
    </row>
    <row r="1826" customFormat="false" ht="15" hidden="false" customHeight="false" outlineLevel="0" collapsed="false">
      <c r="A1826" s="20"/>
      <c r="B1826" s="19"/>
      <c r="C1826" s="19"/>
      <c r="D1826" s="21"/>
      <c r="E1826" s="19"/>
      <c r="F1826" s="19"/>
      <c r="G1826" s="23" t="str">
        <f aca="false">IF(A1826="","",TEXT(A1826,"yyyy-mm"))</f>
        <v/>
      </c>
      <c r="H1826" s="22" t="str">
        <f aca="false">IF(A1826="","",N(H1825)+IF(B1826="Masuk",N(D1826),-N(D1826)))</f>
        <v/>
      </c>
    </row>
    <row r="1827" customFormat="false" ht="15" hidden="false" customHeight="false" outlineLevel="0" collapsed="false">
      <c r="A1827" s="20"/>
      <c r="B1827" s="19"/>
      <c r="C1827" s="19"/>
      <c r="D1827" s="21"/>
      <c r="E1827" s="19"/>
      <c r="F1827" s="19"/>
      <c r="G1827" s="23" t="str">
        <f aca="false">IF(A1827="","",TEXT(A1827,"yyyy-mm"))</f>
        <v/>
      </c>
      <c r="H1827" s="22" t="str">
        <f aca="false">IF(A1827="","",N(H1826)+IF(B1827="Masuk",N(D1827),-N(D1827)))</f>
        <v/>
      </c>
    </row>
    <row r="1828" customFormat="false" ht="15" hidden="false" customHeight="false" outlineLevel="0" collapsed="false">
      <c r="A1828" s="20"/>
      <c r="B1828" s="19"/>
      <c r="C1828" s="19"/>
      <c r="D1828" s="21"/>
      <c r="E1828" s="19"/>
      <c r="F1828" s="19"/>
      <c r="G1828" s="23" t="str">
        <f aca="false">IF(A1828="","",TEXT(A1828,"yyyy-mm"))</f>
        <v/>
      </c>
      <c r="H1828" s="22" t="str">
        <f aca="false">IF(A1828="","",N(H1827)+IF(B1828="Masuk",N(D1828),-N(D1828)))</f>
        <v/>
      </c>
    </row>
    <row r="1829" customFormat="false" ht="15" hidden="false" customHeight="false" outlineLevel="0" collapsed="false">
      <c r="A1829" s="20"/>
      <c r="B1829" s="19"/>
      <c r="C1829" s="19"/>
      <c r="D1829" s="21"/>
      <c r="E1829" s="19"/>
      <c r="F1829" s="19"/>
      <c r="G1829" s="23" t="str">
        <f aca="false">IF(A1829="","",TEXT(A1829,"yyyy-mm"))</f>
        <v/>
      </c>
      <c r="H1829" s="22" t="str">
        <f aca="false">IF(A1829="","",N(H1828)+IF(B1829="Masuk",N(D1829),-N(D1829)))</f>
        <v/>
      </c>
    </row>
    <row r="1830" customFormat="false" ht="15" hidden="false" customHeight="false" outlineLevel="0" collapsed="false">
      <c r="A1830" s="20"/>
      <c r="B1830" s="19"/>
      <c r="C1830" s="19"/>
      <c r="D1830" s="21"/>
      <c r="E1830" s="19"/>
      <c r="F1830" s="19"/>
      <c r="G1830" s="23" t="str">
        <f aca="false">IF(A1830="","",TEXT(A1830,"yyyy-mm"))</f>
        <v/>
      </c>
      <c r="H1830" s="22" t="str">
        <f aca="false">IF(A1830="","",N(H1829)+IF(B1830="Masuk",N(D1830),-N(D1830)))</f>
        <v/>
      </c>
    </row>
    <row r="1831" customFormat="false" ht="15" hidden="false" customHeight="false" outlineLevel="0" collapsed="false">
      <c r="A1831" s="20"/>
      <c r="B1831" s="19"/>
      <c r="C1831" s="19"/>
      <c r="D1831" s="21"/>
      <c r="E1831" s="19"/>
      <c r="F1831" s="19"/>
      <c r="G1831" s="23" t="str">
        <f aca="false">IF(A1831="","",TEXT(A1831,"yyyy-mm"))</f>
        <v/>
      </c>
      <c r="H1831" s="22" t="str">
        <f aca="false">IF(A1831="","",N(H1830)+IF(B1831="Masuk",N(D1831),-N(D1831)))</f>
        <v/>
      </c>
    </row>
    <row r="1832" customFormat="false" ht="15" hidden="false" customHeight="false" outlineLevel="0" collapsed="false">
      <c r="A1832" s="20"/>
      <c r="B1832" s="19"/>
      <c r="C1832" s="19"/>
      <c r="D1832" s="21"/>
      <c r="E1832" s="19"/>
      <c r="F1832" s="19"/>
      <c r="G1832" s="23" t="str">
        <f aca="false">IF(A1832="","",TEXT(A1832,"yyyy-mm"))</f>
        <v/>
      </c>
      <c r="H1832" s="22" t="str">
        <f aca="false">IF(A1832="","",N(H1831)+IF(B1832="Masuk",N(D1832),-N(D1832)))</f>
        <v/>
      </c>
    </row>
    <row r="1833" customFormat="false" ht="15" hidden="false" customHeight="false" outlineLevel="0" collapsed="false">
      <c r="A1833" s="20"/>
      <c r="B1833" s="19"/>
      <c r="C1833" s="19"/>
      <c r="D1833" s="21"/>
      <c r="E1833" s="19"/>
      <c r="F1833" s="19"/>
      <c r="G1833" s="23" t="str">
        <f aca="false">IF(A1833="","",TEXT(A1833,"yyyy-mm"))</f>
        <v/>
      </c>
      <c r="H1833" s="22" t="str">
        <f aca="false">IF(A1833="","",N(H1832)+IF(B1833="Masuk",N(D1833),-N(D1833)))</f>
        <v/>
      </c>
    </row>
    <row r="1834" customFormat="false" ht="15" hidden="false" customHeight="false" outlineLevel="0" collapsed="false">
      <c r="A1834" s="20"/>
      <c r="B1834" s="19"/>
      <c r="C1834" s="19"/>
      <c r="D1834" s="21"/>
      <c r="E1834" s="19"/>
      <c r="F1834" s="19"/>
      <c r="G1834" s="23" t="str">
        <f aca="false">IF(A1834="","",TEXT(A1834,"yyyy-mm"))</f>
        <v/>
      </c>
      <c r="H1834" s="22" t="str">
        <f aca="false">IF(A1834="","",N(H1833)+IF(B1834="Masuk",N(D1834),-N(D1834)))</f>
        <v/>
      </c>
    </row>
    <row r="1835" customFormat="false" ht="15" hidden="false" customHeight="false" outlineLevel="0" collapsed="false">
      <c r="A1835" s="20"/>
      <c r="B1835" s="19"/>
      <c r="C1835" s="19"/>
      <c r="D1835" s="21"/>
      <c r="E1835" s="19"/>
      <c r="F1835" s="19"/>
      <c r="G1835" s="23" t="str">
        <f aca="false">IF(A1835="","",TEXT(A1835,"yyyy-mm"))</f>
        <v/>
      </c>
      <c r="H1835" s="22" t="str">
        <f aca="false">IF(A1835="","",N(H1834)+IF(B1835="Masuk",N(D1835),-N(D1835)))</f>
        <v/>
      </c>
    </row>
    <row r="1836" customFormat="false" ht="15" hidden="false" customHeight="false" outlineLevel="0" collapsed="false">
      <c r="A1836" s="20"/>
      <c r="B1836" s="19"/>
      <c r="C1836" s="19"/>
      <c r="D1836" s="21"/>
      <c r="E1836" s="19"/>
      <c r="F1836" s="19"/>
      <c r="G1836" s="23" t="str">
        <f aca="false">IF(A1836="","",TEXT(A1836,"yyyy-mm"))</f>
        <v/>
      </c>
      <c r="H1836" s="22" t="str">
        <f aca="false">IF(A1836="","",N(H1835)+IF(B1836="Masuk",N(D1836),-N(D1836)))</f>
        <v/>
      </c>
    </row>
    <row r="1837" customFormat="false" ht="15" hidden="false" customHeight="false" outlineLevel="0" collapsed="false">
      <c r="A1837" s="20"/>
      <c r="B1837" s="19"/>
      <c r="C1837" s="19"/>
      <c r="D1837" s="21"/>
      <c r="E1837" s="19"/>
      <c r="F1837" s="19"/>
      <c r="G1837" s="23" t="str">
        <f aca="false">IF(A1837="","",TEXT(A1837,"yyyy-mm"))</f>
        <v/>
      </c>
      <c r="H1837" s="22" t="str">
        <f aca="false">IF(A1837="","",N(H1836)+IF(B1837="Masuk",N(D1837),-N(D1837)))</f>
        <v/>
      </c>
    </row>
    <row r="1838" customFormat="false" ht="15" hidden="false" customHeight="false" outlineLevel="0" collapsed="false">
      <c r="A1838" s="20"/>
      <c r="B1838" s="19"/>
      <c r="C1838" s="19"/>
      <c r="D1838" s="21"/>
      <c r="E1838" s="19"/>
      <c r="F1838" s="19"/>
      <c r="G1838" s="23" t="str">
        <f aca="false">IF(A1838="","",TEXT(A1838,"yyyy-mm"))</f>
        <v/>
      </c>
      <c r="H1838" s="22" t="str">
        <f aca="false">IF(A1838="","",N(H1837)+IF(B1838="Masuk",N(D1838),-N(D1838)))</f>
        <v/>
      </c>
    </row>
    <row r="1839" customFormat="false" ht="15" hidden="false" customHeight="false" outlineLevel="0" collapsed="false">
      <c r="A1839" s="20"/>
      <c r="B1839" s="19"/>
      <c r="C1839" s="19"/>
      <c r="D1839" s="21"/>
      <c r="E1839" s="19"/>
      <c r="F1839" s="19"/>
      <c r="G1839" s="23" t="str">
        <f aca="false">IF(A1839="","",TEXT(A1839,"yyyy-mm"))</f>
        <v/>
      </c>
      <c r="H1839" s="22" t="str">
        <f aca="false">IF(A1839="","",N(H1838)+IF(B1839="Masuk",N(D1839),-N(D1839)))</f>
        <v/>
      </c>
    </row>
    <row r="1840" customFormat="false" ht="15" hidden="false" customHeight="false" outlineLevel="0" collapsed="false">
      <c r="A1840" s="20"/>
      <c r="B1840" s="19"/>
      <c r="C1840" s="19"/>
      <c r="D1840" s="21"/>
      <c r="E1840" s="19"/>
      <c r="F1840" s="19"/>
      <c r="G1840" s="23" t="str">
        <f aca="false">IF(A1840="","",TEXT(A1840,"yyyy-mm"))</f>
        <v/>
      </c>
      <c r="H1840" s="22" t="str">
        <f aca="false">IF(A1840="","",N(H1839)+IF(B1840="Masuk",N(D1840),-N(D1840)))</f>
        <v/>
      </c>
    </row>
    <row r="1841" customFormat="false" ht="15" hidden="false" customHeight="false" outlineLevel="0" collapsed="false">
      <c r="A1841" s="20"/>
      <c r="B1841" s="19"/>
      <c r="C1841" s="19"/>
      <c r="D1841" s="21"/>
      <c r="E1841" s="19"/>
      <c r="F1841" s="19"/>
      <c r="G1841" s="23" t="str">
        <f aca="false">IF(A1841="","",TEXT(A1841,"yyyy-mm"))</f>
        <v/>
      </c>
      <c r="H1841" s="22" t="str">
        <f aca="false">IF(A1841="","",N(H1840)+IF(B1841="Masuk",N(D1841),-N(D1841)))</f>
        <v/>
      </c>
    </row>
    <row r="1842" customFormat="false" ht="15" hidden="false" customHeight="false" outlineLevel="0" collapsed="false">
      <c r="A1842" s="20"/>
      <c r="B1842" s="19"/>
      <c r="C1842" s="19"/>
      <c r="D1842" s="21"/>
      <c r="E1842" s="19"/>
      <c r="F1842" s="19"/>
      <c r="G1842" s="23" t="str">
        <f aca="false">IF(A1842="","",TEXT(A1842,"yyyy-mm"))</f>
        <v/>
      </c>
      <c r="H1842" s="22" t="str">
        <f aca="false">IF(A1842="","",N(H1841)+IF(B1842="Masuk",N(D1842),-N(D1842)))</f>
        <v/>
      </c>
    </row>
    <row r="1843" customFormat="false" ht="15" hidden="false" customHeight="false" outlineLevel="0" collapsed="false">
      <c r="A1843" s="20"/>
      <c r="B1843" s="19"/>
      <c r="C1843" s="19"/>
      <c r="D1843" s="21"/>
      <c r="E1843" s="19"/>
      <c r="F1843" s="19"/>
      <c r="G1843" s="23" t="str">
        <f aca="false">IF(A1843="","",TEXT(A1843,"yyyy-mm"))</f>
        <v/>
      </c>
      <c r="H1843" s="22" t="str">
        <f aca="false">IF(A1843="","",N(H1842)+IF(B1843="Masuk",N(D1843),-N(D1843)))</f>
        <v/>
      </c>
    </row>
    <row r="1844" customFormat="false" ht="15" hidden="false" customHeight="false" outlineLevel="0" collapsed="false">
      <c r="A1844" s="20"/>
      <c r="B1844" s="19"/>
      <c r="C1844" s="19"/>
      <c r="D1844" s="21"/>
      <c r="E1844" s="19"/>
      <c r="F1844" s="19"/>
      <c r="G1844" s="23" t="str">
        <f aca="false">IF(A1844="","",TEXT(A1844,"yyyy-mm"))</f>
        <v/>
      </c>
      <c r="H1844" s="22" t="str">
        <f aca="false">IF(A1844="","",N(H1843)+IF(B1844="Masuk",N(D1844),-N(D1844)))</f>
        <v/>
      </c>
    </row>
    <row r="1845" customFormat="false" ht="15" hidden="false" customHeight="false" outlineLevel="0" collapsed="false">
      <c r="A1845" s="20"/>
      <c r="B1845" s="19"/>
      <c r="C1845" s="19"/>
      <c r="D1845" s="21"/>
      <c r="E1845" s="19"/>
      <c r="F1845" s="19"/>
      <c r="G1845" s="23" t="str">
        <f aca="false">IF(A1845="","",TEXT(A1845,"yyyy-mm"))</f>
        <v/>
      </c>
      <c r="H1845" s="22" t="str">
        <f aca="false">IF(A1845="","",N(H1844)+IF(B1845="Masuk",N(D1845),-N(D1845)))</f>
        <v/>
      </c>
    </row>
    <row r="1846" customFormat="false" ht="15" hidden="false" customHeight="false" outlineLevel="0" collapsed="false">
      <c r="A1846" s="20"/>
      <c r="B1846" s="19"/>
      <c r="C1846" s="19"/>
      <c r="D1846" s="21"/>
      <c r="E1846" s="19"/>
      <c r="F1846" s="19"/>
      <c r="G1846" s="23" t="str">
        <f aca="false">IF(A1846="","",TEXT(A1846,"yyyy-mm"))</f>
        <v/>
      </c>
      <c r="H1846" s="22" t="str">
        <f aca="false">IF(A1846="","",N(H1845)+IF(B1846="Masuk",N(D1846),-N(D1846)))</f>
        <v/>
      </c>
    </row>
    <row r="1847" customFormat="false" ht="15" hidden="false" customHeight="false" outlineLevel="0" collapsed="false">
      <c r="A1847" s="20"/>
      <c r="B1847" s="19"/>
      <c r="C1847" s="19"/>
      <c r="D1847" s="21"/>
      <c r="E1847" s="19"/>
      <c r="F1847" s="19"/>
      <c r="G1847" s="23" t="str">
        <f aca="false">IF(A1847="","",TEXT(A1847,"yyyy-mm"))</f>
        <v/>
      </c>
      <c r="H1847" s="22" t="str">
        <f aca="false">IF(A1847="","",N(H1846)+IF(B1847="Masuk",N(D1847),-N(D1847)))</f>
        <v/>
      </c>
    </row>
    <row r="1848" customFormat="false" ht="15" hidden="false" customHeight="false" outlineLevel="0" collapsed="false">
      <c r="A1848" s="20"/>
      <c r="B1848" s="19"/>
      <c r="C1848" s="19"/>
      <c r="D1848" s="21"/>
      <c r="E1848" s="19"/>
      <c r="F1848" s="19"/>
      <c r="G1848" s="23" t="str">
        <f aca="false">IF(A1848="","",TEXT(A1848,"yyyy-mm"))</f>
        <v/>
      </c>
      <c r="H1848" s="22" t="str">
        <f aca="false">IF(A1848="","",N(H1847)+IF(B1848="Masuk",N(D1848),-N(D1848)))</f>
        <v/>
      </c>
    </row>
    <row r="1849" customFormat="false" ht="15" hidden="false" customHeight="false" outlineLevel="0" collapsed="false">
      <c r="A1849" s="20"/>
      <c r="B1849" s="19"/>
      <c r="C1849" s="19"/>
      <c r="D1849" s="21"/>
      <c r="E1849" s="19"/>
      <c r="F1849" s="19"/>
      <c r="G1849" s="23" t="str">
        <f aca="false">IF(A1849="","",TEXT(A1849,"yyyy-mm"))</f>
        <v/>
      </c>
      <c r="H1849" s="22" t="str">
        <f aca="false">IF(A1849="","",N(H1848)+IF(B1849="Masuk",N(D1849),-N(D1849)))</f>
        <v/>
      </c>
    </row>
    <row r="1850" customFormat="false" ht="15" hidden="false" customHeight="false" outlineLevel="0" collapsed="false">
      <c r="A1850" s="20"/>
      <c r="B1850" s="19"/>
      <c r="C1850" s="19"/>
      <c r="D1850" s="21"/>
      <c r="E1850" s="19"/>
      <c r="F1850" s="19"/>
      <c r="G1850" s="23" t="str">
        <f aca="false">IF(A1850="","",TEXT(A1850,"yyyy-mm"))</f>
        <v/>
      </c>
      <c r="H1850" s="22" t="str">
        <f aca="false">IF(A1850="","",N(H1849)+IF(B1850="Masuk",N(D1850),-N(D1850)))</f>
        <v/>
      </c>
    </row>
    <row r="1851" customFormat="false" ht="15" hidden="false" customHeight="false" outlineLevel="0" collapsed="false">
      <c r="A1851" s="20"/>
      <c r="B1851" s="19"/>
      <c r="C1851" s="19"/>
      <c r="D1851" s="21"/>
      <c r="E1851" s="19"/>
      <c r="F1851" s="19"/>
      <c r="G1851" s="23" t="str">
        <f aca="false">IF(A1851="","",TEXT(A1851,"yyyy-mm"))</f>
        <v/>
      </c>
      <c r="H1851" s="22" t="str">
        <f aca="false">IF(A1851="","",N(H1850)+IF(B1851="Masuk",N(D1851),-N(D1851)))</f>
        <v/>
      </c>
    </row>
    <row r="1852" customFormat="false" ht="15" hidden="false" customHeight="false" outlineLevel="0" collapsed="false">
      <c r="A1852" s="20"/>
      <c r="B1852" s="19"/>
      <c r="C1852" s="19"/>
      <c r="D1852" s="21"/>
      <c r="E1852" s="19"/>
      <c r="F1852" s="19"/>
      <c r="G1852" s="23" t="str">
        <f aca="false">IF(A1852="","",TEXT(A1852,"yyyy-mm"))</f>
        <v/>
      </c>
      <c r="H1852" s="22" t="str">
        <f aca="false">IF(A1852="","",N(H1851)+IF(B1852="Masuk",N(D1852),-N(D1852)))</f>
        <v/>
      </c>
    </row>
    <row r="1853" customFormat="false" ht="15" hidden="false" customHeight="false" outlineLevel="0" collapsed="false">
      <c r="A1853" s="20"/>
      <c r="B1853" s="19"/>
      <c r="C1853" s="19"/>
      <c r="D1853" s="21"/>
      <c r="E1853" s="19"/>
      <c r="F1853" s="19"/>
      <c r="G1853" s="23" t="str">
        <f aca="false">IF(A1853="","",TEXT(A1853,"yyyy-mm"))</f>
        <v/>
      </c>
      <c r="H1853" s="22" t="str">
        <f aca="false">IF(A1853="","",N(H1852)+IF(B1853="Masuk",N(D1853),-N(D1853)))</f>
        <v/>
      </c>
    </row>
    <row r="1854" customFormat="false" ht="15" hidden="false" customHeight="false" outlineLevel="0" collapsed="false">
      <c r="A1854" s="20"/>
      <c r="B1854" s="19"/>
      <c r="C1854" s="19"/>
      <c r="D1854" s="21"/>
      <c r="E1854" s="19"/>
      <c r="F1854" s="19"/>
      <c r="G1854" s="23" t="str">
        <f aca="false">IF(A1854="","",TEXT(A1854,"yyyy-mm"))</f>
        <v/>
      </c>
      <c r="H1854" s="22" t="str">
        <f aca="false">IF(A1854="","",N(H1853)+IF(B1854="Masuk",N(D1854),-N(D1854)))</f>
        <v/>
      </c>
    </row>
    <row r="1855" customFormat="false" ht="15" hidden="false" customHeight="false" outlineLevel="0" collapsed="false">
      <c r="A1855" s="20"/>
      <c r="B1855" s="19"/>
      <c r="C1855" s="19"/>
      <c r="D1855" s="21"/>
      <c r="E1855" s="19"/>
      <c r="F1855" s="19"/>
      <c r="G1855" s="23" t="str">
        <f aca="false">IF(A1855="","",TEXT(A1855,"yyyy-mm"))</f>
        <v/>
      </c>
      <c r="H1855" s="22" t="str">
        <f aca="false">IF(A1855="","",N(H1854)+IF(B1855="Masuk",N(D1855),-N(D1855)))</f>
        <v/>
      </c>
    </row>
    <row r="1856" customFormat="false" ht="15" hidden="false" customHeight="false" outlineLevel="0" collapsed="false">
      <c r="A1856" s="20"/>
      <c r="B1856" s="19"/>
      <c r="C1856" s="19"/>
      <c r="D1856" s="21"/>
      <c r="E1856" s="19"/>
      <c r="F1856" s="19"/>
      <c r="G1856" s="23" t="str">
        <f aca="false">IF(A1856="","",TEXT(A1856,"yyyy-mm"))</f>
        <v/>
      </c>
      <c r="H1856" s="22" t="str">
        <f aca="false">IF(A1856="","",N(H1855)+IF(B1856="Masuk",N(D1856),-N(D1856)))</f>
        <v/>
      </c>
    </row>
    <row r="1857" customFormat="false" ht="15" hidden="false" customHeight="false" outlineLevel="0" collapsed="false">
      <c r="A1857" s="20"/>
      <c r="B1857" s="19"/>
      <c r="C1857" s="19"/>
      <c r="D1857" s="21"/>
      <c r="E1857" s="19"/>
      <c r="F1857" s="19"/>
      <c r="G1857" s="23" t="str">
        <f aca="false">IF(A1857="","",TEXT(A1857,"yyyy-mm"))</f>
        <v/>
      </c>
      <c r="H1857" s="22" t="str">
        <f aca="false">IF(A1857="","",N(H1856)+IF(B1857="Masuk",N(D1857),-N(D1857)))</f>
        <v/>
      </c>
    </row>
    <row r="1858" customFormat="false" ht="15" hidden="false" customHeight="false" outlineLevel="0" collapsed="false">
      <c r="A1858" s="20"/>
      <c r="B1858" s="19"/>
      <c r="C1858" s="19"/>
      <c r="D1858" s="21"/>
      <c r="E1858" s="19"/>
      <c r="F1858" s="19"/>
      <c r="G1858" s="23" t="str">
        <f aca="false">IF(A1858="","",TEXT(A1858,"yyyy-mm"))</f>
        <v/>
      </c>
      <c r="H1858" s="22" t="str">
        <f aca="false">IF(A1858="","",N(H1857)+IF(B1858="Masuk",N(D1858),-N(D1858)))</f>
        <v/>
      </c>
    </row>
    <row r="1859" customFormat="false" ht="15" hidden="false" customHeight="false" outlineLevel="0" collapsed="false">
      <c r="A1859" s="20"/>
      <c r="B1859" s="19"/>
      <c r="C1859" s="19"/>
      <c r="D1859" s="21"/>
      <c r="E1859" s="19"/>
      <c r="F1859" s="19"/>
      <c r="G1859" s="23" t="str">
        <f aca="false">IF(A1859="","",TEXT(A1859,"yyyy-mm"))</f>
        <v/>
      </c>
      <c r="H1859" s="22" t="str">
        <f aca="false">IF(A1859="","",N(H1858)+IF(B1859="Masuk",N(D1859),-N(D1859)))</f>
        <v/>
      </c>
    </row>
    <row r="1860" customFormat="false" ht="15" hidden="false" customHeight="false" outlineLevel="0" collapsed="false">
      <c r="A1860" s="20"/>
      <c r="B1860" s="19"/>
      <c r="C1860" s="19"/>
      <c r="D1860" s="21"/>
      <c r="E1860" s="19"/>
      <c r="F1860" s="19"/>
      <c r="G1860" s="23" t="str">
        <f aca="false">IF(A1860="","",TEXT(A1860,"yyyy-mm"))</f>
        <v/>
      </c>
      <c r="H1860" s="22" t="str">
        <f aca="false">IF(A1860="","",N(H1859)+IF(B1860="Masuk",N(D1860),-N(D1860)))</f>
        <v/>
      </c>
    </row>
    <row r="1861" customFormat="false" ht="15" hidden="false" customHeight="false" outlineLevel="0" collapsed="false">
      <c r="A1861" s="20"/>
      <c r="B1861" s="19"/>
      <c r="C1861" s="19"/>
      <c r="D1861" s="21"/>
      <c r="E1861" s="19"/>
      <c r="F1861" s="19"/>
      <c r="G1861" s="23" t="str">
        <f aca="false">IF(A1861="","",TEXT(A1861,"yyyy-mm"))</f>
        <v/>
      </c>
      <c r="H1861" s="22" t="str">
        <f aca="false">IF(A1861="","",N(H1860)+IF(B1861="Masuk",N(D1861),-N(D1861)))</f>
        <v/>
      </c>
    </row>
    <row r="1862" customFormat="false" ht="15" hidden="false" customHeight="false" outlineLevel="0" collapsed="false">
      <c r="A1862" s="20"/>
      <c r="B1862" s="19"/>
      <c r="C1862" s="19"/>
      <c r="D1862" s="21"/>
      <c r="E1862" s="19"/>
      <c r="F1862" s="19"/>
      <c r="G1862" s="23" t="str">
        <f aca="false">IF(A1862="","",TEXT(A1862,"yyyy-mm"))</f>
        <v/>
      </c>
      <c r="H1862" s="22" t="str">
        <f aca="false">IF(A1862="","",N(H1861)+IF(B1862="Masuk",N(D1862),-N(D1862)))</f>
        <v/>
      </c>
    </row>
    <row r="1863" customFormat="false" ht="15" hidden="false" customHeight="false" outlineLevel="0" collapsed="false">
      <c r="A1863" s="20"/>
      <c r="B1863" s="19"/>
      <c r="C1863" s="19"/>
      <c r="D1863" s="21"/>
      <c r="E1863" s="19"/>
      <c r="F1863" s="19"/>
      <c r="G1863" s="23" t="str">
        <f aca="false">IF(A1863="","",TEXT(A1863,"yyyy-mm"))</f>
        <v/>
      </c>
      <c r="H1863" s="22" t="str">
        <f aca="false">IF(A1863="","",N(H1862)+IF(B1863="Masuk",N(D1863),-N(D1863)))</f>
        <v/>
      </c>
    </row>
    <row r="1864" customFormat="false" ht="15" hidden="false" customHeight="false" outlineLevel="0" collapsed="false">
      <c r="A1864" s="20"/>
      <c r="B1864" s="19"/>
      <c r="C1864" s="19"/>
      <c r="D1864" s="21"/>
      <c r="E1864" s="19"/>
      <c r="F1864" s="19"/>
      <c r="G1864" s="23" t="str">
        <f aca="false">IF(A1864="","",TEXT(A1864,"yyyy-mm"))</f>
        <v/>
      </c>
      <c r="H1864" s="22" t="str">
        <f aca="false">IF(A1864="","",N(H1863)+IF(B1864="Masuk",N(D1864),-N(D1864)))</f>
        <v/>
      </c>
    </row>
    <row r="1865" customFormat="false" ht="15" hidden="false" customHeight="false" outlineLevel="0" collapsed="false">
      <c r="A1865" s="20"/>
      <c r="B1865" s="19"/>
      <c r="C1865" s="19"/>
      <c r="D1865" s="21"/>
      <c r="E1865" s="19"/>
      <c r="F1865" s="19"/>
      <c r="G1865" s="23" t="str">
        <f aca="false">IF(A1865="","",TEXT(A1865,"yyyy-mm"))</f>
        <v/>
      </c>
      <c r="H1865" s="22" t="str">
        <f aca="false">IF(A1865="","",N(H1864)+IF(B1865="Masuk",N(D1865),-N(D1865)))</f>
        <v/>
      </c>
    </row>
    <row r="1866" customFormat="false" ht="15" hidden="false" customHeight="false" outlineLevel="0" collapsed="false">
      <c r="A1866" s="20"/>
      <c r="B1866" s="19"/>
      <c r="C1866" s="19"/>
      <c r="D1866" s="21"/>
      <c r="E1866" s="19"/>
      <c r="F1866" s="19"/>
      <c r="G1866" s="23" t="str">
        <f aca="false">IF(A1866="","",TEXT(A1866,"yyyy-mm"))</f>
        <v/>
      </c>
      <c r="H1866" s="22" t="str">
        <f aca="false">IF(A1866="","",N(H1865)+IF(B1866="Masuk",N(D1866),-N(D1866)))</f>
        <v/>
      </c>
    </row>
    <row r="1867" customFormat="false" ht="15" hidden="false" customHeight="false" outlineLevel="0" collapsed="false">
      <c r="A1867" s="20"/>
      <c r="B1867" s="19"/>
      <c r="C1867" s="19"/>
      <c r="D1867" s="21"/>
      <c r="E1867" s="19"/>
      <c r="F1867" s="19"/>
      <c r="G1867" s="23" t="str">
        <f aca="false">IF(A1867="","",TEXT(A1867,"yyyy-mm"))</f>
        <v/>
      </c>
      <c r="H1867" s="22" t="str">
        <f aca="false">IF(A1867="","",N(H1866)+IF(B1867="Masuk",N(D1867),-N(D1867)))</f>
        <v/>
      </c>
    </row>
    <row r="1868" customFormat="false" ht="15" hidden="false" customHeight="false" outlineLevel="0" collapsed="false">
      <c r="A1868" s="20"/>
      <c r="B1868" s="19"/>
      <c r="C1868" s="19"/>
      <c r="D1868" s="21"/>
      <c r="E1868" s="19"/>
      <c r="F1868" s="19"/>
      <c r="G1868" s="23" t="str">
        <f aca="false">IF(A1868="","",TEXT(A1868,"yyyy-mm"))</f>
        <v/>
      </c>
      <c r="H1868" s="22" t="str">
        <f aca="false">IF(A1868="","",N(H1867)+IF(B1868="Masuk",N(D1868),-N(D1868)))</f>
        <v/>
      </c>
    </row>
    <row r="1869" customFormat="false" ht="15" hidden="false" customHeight="false" outlineLevel="0" collapsed="false">
      <c r="A1869" s="20"/>
      <c r="B1869" s="19"/>
      <c r="C1869" s="19"/>
      <c r="D1869" s="21"/>
      <c r="E1869" s="19"/>
      <c r="F1869" s="19"/>
      <c r="G1869" s="23" t="str">
        <f aca="false">IF(A1869="","",TEXT(A1869,"yyyy-mm"))</f>
        <v/>
      </c>
      <c r="H1869" s="22" t="str">
        <f aca="false">IF(A1869="","",N(H1868)+IF(B1869="Masuk",N(D1869),-N(D1869)))</f>
        <v/>
      </c>
    </row>
    <row r="1870" customFormat="false" ht="15" hidden="false" customHeight="false" outlineLevel="0" collapsed="false">
      <c r="A1870" s="20"/>
      <c r="B1870" s="19"/>
      <c r="C1870" s="19"/>
      <c r="D1870" s="21"/>
      <c r="E1870" s="19"/>
      <c r="F1870" s="19"/>
      <c r="G1870" s="23" t="str">
        <f aca="false">IF(A1870="","",TEXT(A1870,"yyyy-mm"))</f>
        <v/>
      </c>
      <c r="H1870" s="22" t="str">
        <f aca="false">IF(A1870="","",N(H1869)+IF(B1870="Masuk",N(D1870),-N(D1870)))</f>
        <v/>
      </c>
    </row>
    <row r="1871" customFormat="false" ht="15" hidden="false" customHeight="false" outlineLevel="0" collapsed="false">
      <c r="A1871" s="20"/>
      <c r="B1871" s="19"/>
      <c r="C1871" s="19"/>
      <c r="D1871" s="21"/>
      <c r="E1871" s="19"/>
      <c r="F1871" s="19"/>
      <c r="G1871" s="23" t="str">
        <f aca="false">IF(A1871="","",TEXT(A1871,"yyyy-mm"))</f>
        <v/>
      </c>
      <c r="H1871" s="22" t="str">
        <f aca="false">IF(A1871="","",N(H1870)+IF(B1871="Masuk",N(D1871),-N(D1871)))</f>
        <v/>
      </c>
    </row>
    <row r="1872" customFormat="false" ht="15" hidden="false" customHeight="false" outlineLevel="0" collapsed="false">
      <c r="A1872" s="20"/>
      <c r="B1872" s="19"/>
      <c r="C1872" s="19"/>
      <c r="D1872" s="21"/>
      <c r="E1872" s="19"/>
      <c r="F1872" s="19"/>
      <c r="G1872" s="23" t="str">
        <f aca="false">IF(A1872="","",TEXT(A1872,"yyyy-mm"))</f>
        <v/>
      </c>
      <c r="H1872" s="22" t="str">
        <f aca="false">IF(A1872="","",N(H1871)+IF(B1872="Masuk",N(D1872),-N(D1872)))</f>
        <v/>
      </c>
    </row>
    <row r="1873" customFormat="false" ht="15" hidden="false" customHeight="false" outlineLevel="0" collapsed="false">
      <c r="A1873" s="20"/>
      <c r="B1873" s="19"/>
      <c r="C1873" s="19"/>
      <c r="D1873" s="21"/>
      <c r="E1873" s="19"/>
      <c r="F1873" s="19"/>
      <c r="G1873" s="23" t="str">
        <f aca="false">IF(A1873="","",TEXT(A1873,"yyyy-mm"))</f>
        <v/>
      </c>
      <c r="H1873" s="22" t="str">
        <f aca="false">IF(A1873="","",N(H1872)+IF(B1873="Masuk",N(D1873),-N(D1873)))</f>
        <v/>
      </c>
    </row>
    <row r="1874" customFormat="false" ht="15" hidden="false" customHeight="false" outlineLevel="0" collapsed="false">
      <c r="A1874" s="20"/>
      <c r="B1874" s="19"/>
      <c r="C1874" s="19"/>
      <c r="D1874" s="21"/>
      <c r="E1874" s="19"/>
      <c r="F1874" s="19"/>
      <c r="G1874" s="23" t="str">
        <f aca="false">IF(A1874="","",TEXT(A1874,"yyyy-mm"))</f>
        <v/>
      </c>
      <c r="H1874" s="22" t="str">
        <f aca="false">IF(A1874="","",N(H1873)+IF(B1874="Masuk",N(D1874),-N(D1874)))</f>
        <v/>
      </c>
    </row>
    <row r="1875" customFormat="false" ht="15" hidden="false" customHeight="false" outlineLevel="0" collapsed="false">
      <c r="A1875" s="20"/>
      <c r="B1875" s="19"/>
      <c r="C1875" s="19"/>
      <c r="D1875" s="21"/>
      <c r="E1875" s="19"/>
      <c r="F1875" s="19"/>
      <c r="G1875" s="23" t="str">
        <f aca="false">IF(A1875="","",TEXT(A1875,"yyyy-mm"))</f>
        <v/>
      </c>
      <c r="H1875" s="22" t="str">
        <f aca="false">IF(A1875="","",N(H1874)+IF(B1875="Masuk",N(D1875),-N(D1875)))</f>
        <v/>
      </c>
    </row>
    <row r="1876" customFormat="false" ht="15" hidden="false" customHeight="false" outlineLevel="0" collapsed="false">
      <c r="A1876" s="20"/>
      <c r="B1876" s="19"/>
      <c r="C1876" s="19"/>
      <c r="D1876" s="21"/>
      <c r="E1876" s="19"/>
      <c r="F1876" s="19"/>
      <c r="G1876" s="23" t="str">
        <f aca="false">IF(A1876="","",TEXT(A1876,"yyyy-mm"))</f>
        <v/>
      </c>
      <c r="H1876" s="22" t="str">
        <f aca="false">IF(A1876="","",N(H1875)+IF(B1876="Masuk",N(D1876),-N(D1876)))</f>
        <v/>
      </c>
    </row>
    <row r="1877" customFormat="false" ht="15" hidden="false" customHeight="false" outlineLevel="0" collapsed="false">
      <c r="A1877" s="20"/>
      <c r="B1877" s="19"/>
      <c r="C1877" s="19"/>
      <c r="D1877" s="21"/>
      <c r="E1877" s="19"/>
      <c r="F1877" s="19"/>
      <c r="G1877" s="23" t="str">
        <f aca="false">IF(A1877="","",TEXT(A1877,"yyyy-mm"))</f>
        <v/>
      </c>
      <c r="H1877" s="22" t="str">
        <f aca="false">IF(A1877="","",N(H1876)+IF(B1877="Masuk",N(D1877),-N(D1877)))</f>
        <v/>
      </c>
    </row>
    <row r="1878" customFormat="false" ht="15" hidden="false" customHeight="false" outlineLevel="0" collapsed="false">
      <c r="A1878" s="20"/>
      <c r="B1878" s="19"/>
      <c r="C1878" s="19"/>
      <c r="D1878" s="21"/>
      <c r="E1878" s="19"/>
      <c r="F1878" s="19"/>
      <c r="G1878" s="23" t="str">
        <f aca="false">IF(A1878="","",TEXT(A1878,"yyyy-mm"))</f>
        <v/>
      </c>
      <c r="H1878" s="22" t="str">
        <f aca="false">IF(A1878="","",N(H1877)+IF(B1878="Masuk",N(D1878),-N(D1878)))</f>
        <v/>
      </c>
    </row>
    <row r="1879" customFormat="false" ht="15" hidden="false" customHeight="false" outlineLevel="0" collapsed="false">
      <c r="A1879" s="20"/>
      <c r="B1879" s="19"/>
      <c r="C1879" s="19"/>
      <c r="D1879" s="21"/>
      <c r="E1879" s="19"/>
      <c r="F1879" s="19"/>
      <c r="G1879" s="23" t="str">
        <f aca="false">IF(A1879="","",TEXT(A1879,"yyyy-mm"))</f>
        <v/>
      </c>
      <c r="H1879" s="22" t="str">
        <f aca="false">IF(A1879="","",N(H1878)+IF(B1879="Masuk",N(D1879),-N(D1879)))</f>
        <v/>
      </c>
    </row>
    <row r="1880" customFormat="false" ht="15" hidden="false" customHeight="false" outlineLevel="0" collapsed="false">
      <c r="A1880" s="20"/>
      <c r="B1880" s="19"/>
      <c r="C1880" s="19"/>
      <c r="D1880" s="21"/>
      <c r="E1880" s="19"/>
      <c r="F1880" s="19"/>
      <c r="G1880" s="23" t="str">
        <f aca="false">IF(A1880="","",TEXT(A1880,"yyyy-mm"))</f>
        <v/>
      </c>
      <c r="H1880" s="22" t="str">
        <f aca="false">IF(A1880="","",N(H1879)+IF(B1880="Masuk",N(D1880),-N(D1880)))</f>
        <v/>
      </c>
    </row>
    <row r="1881" customFormat="false" ht="15" hidden="false" customHeight="false" outlineLevel="0" collapsed="false">
      <c r="A1881" s="20"/>
      <c r="B1881" s="19"/>
      <c r="C1881" s="19"/>
      <c r="D1881" s="21"/>
      <c r="E1881" s="19"/>
      <c r="F1881" s="19"/>
      <c r="G1881" s="23" t="str">
        <f aca="false">IF(A1881="","",TEXT(A1881,"yyyy-mm"))</f>
        <v/>
      </c>
      <c r="H1881" s="22" t="str">
        <f aca="false">IF(A1881="","",N(H1880)+IF(B1881="Masuk",N(D1881),-N(D1881)))</f>
        <v/>
      </c>
    </row>
    <row r="1882" customFormat="false" ht="15" hidden="false" customHeight="false" outlineLevel="0" collapsed="false">
      <c r="A1882" s="20"/>
      <c r="B1882" s="19"/>
      <c r="C1882" s="19"/>
      <c r="D1882" s="21"/>
      <c r="E1882" s="19"/>
      <c r="F1882" s="19"/>
      <c r="G1882" s="23" t="str">
        <f aca="false">IF(A1882="","",TEXT(A1882,"yyyy-mm"))</f>
        <v/>
      </c>
      <c r="H1882" s="22" t="str">
        <f aca="false">IF(A1882="","",N(H1881)+IF(B1882="Masuk",N(D1882),-N(D1882)))</f>
        <v/>
      </c>
    </row>
    <row r="1883" customFormat="false" ht="15" hidden="false" customHeight="false" outlineLevel="0" collapsed="false">
      <c r="A1883" s="20"/>
      <c r="B1883" s="19"/>
      <c r="C1883" s="19"/>
      <c r="D1883" s="21"/>
      <c r="E1883" s="19"/>
      <c r="F1883" s="19"/>
      <c r="G1883" s="23" t="str">
        <f aca="false">IF(A1883="","",TEXT(A1883,"yyyy-mm"))</f>
        <v/>
      </c>
      <c r="H1883" s="22" t="str">
        <f aca="false">IF(A1883="","",N(H1882)+IF(B1883="Masuk",N(D1883),-N(D1883)))</f>
        <v/>
      </c>
    </row>
    <row r="1884" customFormat="false" ht="15" hidden="false" customHeight="false" outlineLevel="0" collapsed="false">
      <c r="A1884" s="20"/>
      <c r="B1884" s="19"/>
      <c r="C1884" s="19"/>
      <c r="D1884" s="21"/>
      <c r="E1884" s="19"/>
      <c r="F1884" s="19"/>
      <c r="G1884" s="23" t="str">
        <f aca="false">IF(A1884="","",TEXT(A1884,"yyyy-mm"))</f>
        <v/>
      </c>
      <c r="H1884" s="22" t="str">
        <f aca="false">IF(A1884="","",N(H1883)+IF(B1884="Masuk",N(D1884),-N(D1884)))</f>
        <v/>
      </c>
    </row>
    <row r="1885" customFormat="false" ht="15" hidden="false" customHeight="false" outlineLevel="0" collapsed="false">
      <c r="A1885" s="20"/>
      <c r="B1885" s="19"/>
      <c r="C1885" s="19"/>
      <c r="D1885" s="21"/>
      <c r="E1885" s="19"/>
      <c r="F1885" s="19"/>
      <c r="G1885" s="23" t="str">
        <f aca="false">IF(A1885="","",TEXT(A1885,"yyyy-mm"))</f>
        <v/>
      </c>
      <c r="H1885" s="22" t="str">
        <f aca="false">IF(A1885="","",N(H1884)+IF(B1885="Masuk",N(D1885),-N(D1885)))</f>
        <v/>
      </c>
    </row>
    <row r="1886" customFormat="false" ht="15" hidden="false" customHeight="false" outlineLevel="0" collapsed="false">
      <c r="A1886" s="20"/>
      <c r="B1886" s="19"/>
      <c r="C1886" s="19"/>
      <c r="D1886" s="21"/>
      <c r="E1886" s="19"/>
      <c r="F1886" s="19"/>
      <c r="G1886" s="23" t="str">
        <f aca="false">IF(A1886="","",TEXT(A1886,"yyyy-mm"))</f>
        <v/>
      </c>
      <c r="H1886" s="22" t="str">
        <f aca="false">IF(A1886="","",N(H1885)+IF(B1886="Masuk",N(D1886),-N(D1886)))</f>
        <v/>
      </c>
    </row>
    <row r="1887" customFormat="false" ht="15" hidden="false" customHeight="false" outlineLevel="0" collapsed="false">
      <c r="A1887" s="20"/>
      <c r="B1887" s="19"/>
      <c r="C1887" s="19"/>
      <c r="D1887" s="21"/>
      <c r="E1887" s="19"/>
      <c r="F1887" s="19"/>
      <c r="G1887" s="23" t="str">
        <f aca="false">IF(A1887="","",TEXT(A1887,"yyyy-mm"))</f>
        <v/>
      </c>
      <c r="H1887" s="22" t="str">
        <f aca="false">IF(A1887="","",N(H1886)+IF(B1887="Masuk",N(D1887),-N(D1887)))</f>
        <v/>
      </c>
    </row>
    <row r="1888" customFormat="false" ht="15" hidden="false" customHeight="false" outlineLevel="0" collapsed="false">
      <c r="A1888" s="20"/>
      <c r="B1888" s="19"/>
      <c r="C1888" s="19"/>
      <c r="D1888" s="21"/>
      <c r="E1888" s="19"/>
      <c r="F1888" s="19"/>
      <c r="G1888" s="23" t="str">
        <f aca="false">IF(A1888="","",TEXT(A1888,"yyyy-mm"))</f>
        <v/>
      </c>
      <c r="H1888" s="22" t="str">
        <f aca="false">IF(A1888="","",N(H1887)+IF(B1888="Masuk",N(D1888),-N(D1888)))</f>
        <v/>
      </c>
    </row>
    <row r="1889" customFormat="false" ht="15" hidden="false" customHeight="false" outlineLevel="0" collapsed="false">
      <c r="A1889" s="20"/>
      <c r="B1889" s="19"/>
      <c r="C1889" s="19"/>
      <c r="D1889" s="21"/>
      <c r="E1889" s="19"/>
      <c r="F1889" s="19"/>
      <c r="G1889" s="23" t="str">
        <f aca="false">IF(A1889="","",TEXT(A1889,"yyyy-mm"))</f>
        <v/>
      </c>
      <c r="H1889" s="22" t="str">
        <f aca="false">IF(A1889="","",N(H1888)+IF(B1889="Masuk",N(D1889),-N(D1889)))</f>
        <v/>
      </c>
    </row>
    <row r="1890" customFormat="false" ht="15" hidden="false" customHeight="false" outlineLevel="0" collapsed="false">
      <c r="A1890" s="20"/>
      <c r="B1890" s="19"/>
      <c r="C1890" s="19"/>
      <c r="D1890" s="21"/>
      <c r="E1890" s="19"/>
      <c r="F1890" s="19"/>
      <c r="G1890" s="23" t="str">
        <f aca="false">IF(A1890="","",TEXT(A1890,"yyyy-mm"))</f>
        <v/>
      </c>
      <c r="H1890" s="22" t="str">
        <f aca="false">IF(A1890="","",N(H1889)+IF(B1890="Masuk",N(D1890),-N(D1890)))</f>
        <v/>
      </c>
    </row>
    <row r="1891" customFormat="false" ht="15" hidden="false" customHeight="false" outlineLevel="0" collapsed="false">
      <c r="A1891" s="20"/>
      <c r="B1891" s="19"/>
      <c r="C1891" s="19"/>
      <c r="D1891" s="21"/>
      <c r="E1891" s="19"/>
      <c r="F1891" s="19"/>
      <c r="G1891" s="23" t="str">
        <f aca="false">IF(A1891="","",TEXT(A1891,"yyyy-mm"))</f>
        <v/>
      </c>
      <c r="H1891" s="22" t="str">
        <f aca="false">IF(A1891="","",N(H1890)+IF(B1891="Masuk",N(D1891),-N(D1891)))</f>
        <v/>
      </c>
    </row>
    <row r="1892" customFormat="false" ht="15" hidden="false" customHeight="false" outlineLevel="0" collapsed="false">
      <c r="A1892" s="20"/>
      <c r="B1892" s="19"/>
      <c r="C1892" s="19"/>
      <c r="D1892" s="21"/>
      <c r="E1892" s="19"/>
      <c r="F1892" s="19"/>
      <c r="G1892" s="23" t="str">
        <f aca="false">IF(A1892="","",TEXT(A1892,"yyyy-mm"))</f>
        <v/>
      </c>
      <c r="H1892" s="22" t="str">
        <f aca="false">IF(A1892="","",N(H1891)+IF(B1892="Masuk",N(D1892),-N(D1892)))</f>
        <v/>
      </c>
    </row>
    <row r="1893" customFormat="false" ht="15" hidden="false" customHeight="false" outlineLevel="0" collapsed="false">
      <c r="A1893" s="20"/>
      <c r="B1893" s="19"/>
      <c r="C1893" s="19"/>
      <c r="D1893" s="21"/>
      <c r="E1893" s="19"/>
      <c r="F1893" s="19"/>
      <c r="G1893" s="23" t="str">
        <f aca="false">IF(A1893="","",TEXT(A1893,"yyyy-mm"))</f>
        <v/>
      </c>
      <c r="H1893" s="22" t="str">
        <f aca="false">IF(A1893="","",N(H1892)+IF(B1893="Masuk",N(D1893),-N(D1893)))</f>
        <v/>
      </c>
    </row>
    <row r="1894" customFormat="false" ht="15" hidden="false" customHeight="false" outlineLevel="0" collapsed="false">
      <c r="A1894" s="20"/>
      <c r="B1894" s="19"/>
      <c r="C1894" s="19"/>
      <c r="D1894" s="21"/>
      <c r="E1894" s="19"/>
      <c r="F1894" s="19"/>
      <c r="G1894" s="23" t="str">
        <f aca="false">IF(A1894="","",TEXT(A1894,"yyyy-mm"))</f>
        <v/>
      </c>
      <c r="H1894" s="22" t="str">
        <f aca="false">IF(A1894="","",N(H1893)+IF(B1894="Masuk",N(D1894),-N(D1894)))</f>
        <v/>
      </c>
    </row>
    <row r="1895" customFormat="false" ht="15" hidden="false" customHeight="false" outlineLevel="0" collapsed="false">
      <c r="A1895" s="20"/>
      <c r="B1895" s="19"/>
      <c r="C1895" s="19"/>
      <c r="D1895" s="21"/>
      <c r="E1895" s="19"/>
      <c r="F1895" s="19"/>
      <c r="G1895" s="23" t="str">
        <f aca="false">IF(A1895="","",TEXT(A1895,"yyyy-mm"))</f>
        <v/>
      </c>
      <c r="H1895" s="22" t="str">
        <f aca="false">IF(A1895="","",N(H1894)+IF(B1895="Masuk",N(D1895),-N(D1895)))</f>
        <v/>
      </c>
    </row>
    <row r="1896" customFormat="false" ht="15" hidden="false" customHeight="false" outlineLevel="0" collapsed="false">
      <c r="A1896" s="20"/>
      <c r="B1896" s="19"/>
      <c r="C1896" s="19"/>
      <c r="D1896" s="21"/>
      <c r="E1896" s="19"/>
      <c r="F1896" s="19"/>
      <c r="G1896" s="23" t="str">
        <f aca="false">IF(A1896="","",TEXT(A1896,"yyyy-mm"))</f>
        <v/>
      </c>
      <c r="H1896" s="22" t="str">
        <f aca="false">IF(A1896="","",N(H1895)+IF(B1896="Masuk",N(D1896),-N(D1896)))</f>
        <v/>
      </c>
    </row>
    <row r="1897" customFormat="false" ht="15" hidden="false" customHeight="false" outlineLevel="0" collapsed="false">
      <c r="A1897" s="20"/>
      <c r="B1897" s="19"/>
      <c r="C1897" s="19"/>
      <c r="D1897" s="21"/>
      <c r="E1897" s="19"/>
      <c r="F1897" s="19"/>
      <c r="G1897" s="23" t="str">
        <f aca="false">IF(A1897="","",TEXT(A1897,"yyyy-mm"))</f>
        <v/>
      </c>
      <c r="H1897" s="22" t="str">
        <f aca="false">IF(A1897="","",N(H1896)+IF(B1897="Masuk",N(D1897),-N(D1897)))</f>
        <v/>
      </c>
    </row>
    <row r="1898" customFormat="false" ht="15" hidden="false" customHeight="false" outlineLevel="0" collapsed="false">
      <c r="A1898" s="20"/>
      <c r="B1898" s="19"/>
      <c r="C1898" s="19"/>
      <c r="D1898" s="21"/>
      <c r="E1898" s="19"/>
      <c r="F1898" s="19"/>
      <c r="G1898" s="23" t="str">
        <f aca="false">IF(A1898="","",TEXT(A1898,"yyyy-mm"))</f>
        <v/>
      </c>
      <c r="H1898" s="22" t="str">
        <f aca="false">IF(A1898="","",N(H1897)+IF(B1898="Masuk",N(D1898),-N(D1898)))</f>
        <v/>
      </c>
    </row>
    <row r="1899" customFormat="false" ht="15" hidden="false" customHeight="false" outlineLevel="0" collapsed="false">
      <c r="A1899" s="20"/>
      <c r="B1899" s="19"/>
      <c r="C1899" s="19"/>
      <c r="D1899" s="21"/>
      <c r="E1899" s="19"/>
      <c r="F1899" s="19"/>
      <c r="G1899" s="23" t="str">
        <f aca="false">IF(A1899="","",TEXT(A1899,"yyyy-mm"))</f>
        <v/>
      </c>
      <c r="H1899" s="22" t="str">
        <f aca="false">IF(A1899="","",N(H1898)+IF(B1899="Masuk",N(D1899),-N(D1899)))</f>
        <v/>
      </c>
    </row>
    <row r="1900" customFormat="false" ht="15" hidden="false" customHeight="false" outlineLevel="0" collapsed="false">
      <c r="A1900" s="20"/>
      <c r="B1900" s="19"/>
      <c r="C1900" s="19"/>
      <c r="D1900" s="21"/>
      <c r="E1900" s="19"/>
      <c r="F1900" s="19"/>
      <c r="G1900" s="23" t="str">
        <f aca="false">IF(A1900="","",TEXT(A1900,"yyyy-mm"))</f>
        <v/>
      </c>
      <c r="H1900" s="22" t="str">
        <f aca="false">IF(A1900="","",N(H1899)+IF(B1900="Masuk",N(D1900),-N(D1900)))</f>
        <v/>
      </c>
    </row>
    <row r="1901" customFormat="false" ht="15" hidden="false" customHeight="false" outlineLevel="0" collapsed="false">
      <c r="A1901" s="20"/>
      <c r="B1901" s="19"/>
      <c r="C1901" s="19"/>
      <c r="D1901" s="21"/>
      <c r="E1901" s="19"/>
      <c r="F1901" s="19"/>
      <c r="G1901" s="23" t="str">
        <f aca="false">IF(A1901="","",TEXT(A1901,"yyyy-mm"))</f>
        <v/>
      </c>
      <c r="H1901" s="22" t="str">
        <f aca="false">IF(A1901="","",N(H1900)+IF(B1901="Masuk",N(D1901),-N(D1901)))</f>
        <v/>
      </c>
    </row>
    <row r="1902" customFormat="false" ht="15" hidden="false" customHeight="false" outlineLevel="0" collapsed="false">
      <c r="A1902" s="20"/>
      <c r="B1902" s="19"/>
      <c r="C1902" s="19"/>
      <c r="D1902" s="21"/>
      <c r="E1902" s="19"/>
      <c r="F1902" s="19"/>
      <c r="G1902" s="23" t="str">
        <f aca="false">IF(A1902="","",TEXT(A1902,"yyyy-mm"))</f>
        <v/>
      </c>
      <c r="H1902" s="22" t="str">
        <f aca="false">IF(A1902="","",N(H1901)+IF(B1902="Masuk",N(D1902),-N(D1902)))</f>
        <v/>
      </c>
    </row>
    <row r="1903" customFormat="false" ht="15" hidden="false" customHeight="false" outlineLevel="0" collapsed="false">
      <c r="A1903" s="20"/>
      <c r="B1903" s="19"/>
      <c r="C1903" s="19"/>
      <c r="D1903" s="21"/>
      <c r="E1903" s="19"/>
      <c r="F1903" s="19"/>
      <c r="G1903" s="23" t="str">
        <f aca="false">IF(A1903="","",TEXT(A1903,"yyyy-mm"))</f>
        <v/>
      </c>
      <c r="H1903" s="22" t="str">
        <f aca="false">IF(A1903="","",N(H1902)+IF(B1903="Masuk",N(D1903),-N(D1903)))</f>
        <v/>
      </c>
    </row>
    <row r="1904" customFormat="false" ht="15" hidden="false" customHeight="false" outlineLevel="0" collapsed="false">
      <c r="A1904" s="20"/>
      <c r="B1904" s="19"/>
      <c r="C1904" s="19"/>
      <c r="D1904" s="21"/>
      <c r="E1904" s="19"/>
      <c r="F1904" s="19"/>
      <c r="G1904" s="23" t="str">
        <f aca="false">IF(A1904="","",TEXT(A1904,"yyyy-mm"))</f>
        <v/>
      </c>
      <c r="H1904" s="22" t="str">
        <f aca="false">IF(A1904="","",N(H1903)+IF(B1904="Masuk",N(D1904),-N(D1904)))</f>
        <v/>
      </c>
    </row>
    <row r="1905" customFormat="false" ht="15" hidden="false" customHeight="false" outlineLevel="0" collapsed="false">
      <c r="A1905" s="20"/>
      <c r="B1905" s="19"/>
      <c r="C1905" s="19"/>
      <c r="D1905" s="21"/>
      <c r="E1905" s="19"/>
      <c r="F1905" s="19"/>
      <c r="G1905" s="23" t="str">
        <f aca="false">IF(A1905="","",TEXT(A1905,"yyyy-mm"))</f>
        <v/>
      </c>
      <c r="H1905" s="22" t="str">
        <f aca="false">IF(A1905="","",N(H1904)+IF(B1905="Masuk",N(D1905),-N(D1905)))</f>
        <v/>
      </c>
    </row>
    <row r="1906" customFormat="false" ht="15" hidden="false" customHeight="false" outlineLevel="0" collapsed="false">
      <c r="A1906" s="20"/>
      <c r="B1906" s="19"/>
      <c r="C1906" s="19"/>
      <c r="D1906" s="21"/>
      <c r="E1906" s="19"/>
      <c r="F1906" s="19"/>
      <c r="G1906" s="23" t="str">
        <f aca="false">IF(A1906="","",TEXT(A1906,"yyyy-mm"))</f>
        <v/>
      </c>
      <c r="H1906" s="22" t="str">
        <f aca="false">IF(A1906="","",N(H1905)+IF(B1906="Masuk",N(D1906),-N(D1906)))</f>
        <v/>
      </c>
    </row>
    <row r="1907" customFormat="false" ht="15" hidden="false" customHeight="false" outlineLevel="0" collapsed="false">
      <c r="A1907" s="20"/>
      <c r="B1907" s="19"/>
      <c r="C1907" s="19"/>
      <c r="D1907" s="21"/>
      <c r="E1907" s="19"/>
      <c r="F1907" s="19"/>
      <c r="G1907" s="23" t="str">
        <f aca="false">IF(A1907="","",TEXT(A1907,"yyyy-mm"))</f>
        <v/>
      </c>
      <c r="H1907" s="22" t="str">
        <f aca="false">IF(A1907="","",N(H1906)+IF(B1907="Masuk",N(D1907),-N(D1907)))</f>
        <v/>
      </c>
    </row>
    <row r="1908" customFormat="false" ht="15" hidden="false" customHeight="false" outlineLevel="0" collapsed="false">
      <c r="A1908" s="20"/>
      <c r="B1908" s="19"/>
      <c r="C1908" s="19"/>
      <c r="D1908" s="21"/>
      <c r="E1908" s="19"/>
      <c r="F1908" s="19"/>
      <c r="G1908" s="23" t="str">
        <f aca="false">IF(A1908="","",TEXT(A1908,"yyyy-mm"))</f>
        <v/>
      </c>
      <c r="H1908" s="22" t="str">
        <f aca="false">IF(A1908="","",N(H1907)+IF(B1908="Masuk",N(D1908),-N(D1908)))</f>
        <v/>
      </c>
    </row>
    <row r="1909" customFormat="false" ht="15" hidden="false" customHeight="false" outlineLevel="0" collapsed="false">
      <c r="A1909" s="20"/>
      <c r="B1909" s="19"/>
      <c r="C1909" s="19"/>
      <c r="D1909" s="21"/>
      <c r="E1909" s="19"/>
      <c r="F1909" s="19"/>
      <c r="G1909" s="23" t="str">
        <f aca="false">IF(A1909="","",TEXT(A1909,"yyyy-mm"))</f>
        <v/>
      </c>
      <c r="H1909" s="22" t="str">
        <f aca="false">IF(A1909="","",N(H1908)+IF(B1909="Masuk",N(D1909),-N(D1909)))</f>
        <v/>
      </c>
    </row>
    <row r="1910" customFormat="false" ht="15" hidden="false" customHeight="false" outlineLevel="0" collapsed="false">
      <c r="A1910" s="20"/>
      <c r="B1910" s="19"/>
      <c r="C1910" s="19"/>
      <c r="D1910" s="21"/>
      <c r="E1910" s="19"/>
      <c r="F1910" s="19"/>
      <c r="G1910" s="23" t="str">
        <f aca="false">IF(A1910="","",TEXT(A1910,"yyyy-mm"))</f>
        <v/>
      </c>
      <c r="H1910" s="22" t="str">
        <f aca="false">IF(A1910="","",N(H1909)+IF(B1910="Masuk",N(D1910),-N(D1910)))</f>
        <v/>
      </c>
    </row>
    <row r="1911" customFormat="false" ht="15" hidden="false" customHeight="false" outlineLevel="0" collapsed="false">
      <c r="A1911" s="20"/>
      <c r="B1911" s="19"/>
      <c r="C1911" s="19"/>
      <c r="D1911" s="21"/>
      <c r="E1911" s="19"/>
      <c r="F1911" s="19"/>
      <c r="G1911" s="23" t="str">
        <f aca="false">IF(A1911="","",TEXT(A1911,"yyyy-mm"))</f>
        <v/>
      </c>
      <c r="H1911" s="22" t="str">
        <f aca="false">IF(A1911="","",N(H1910)+IF(B1911="Masuk",N(D1911),-N(D1911)))</f>
        <v/>
      </c>
    </row>
    <row r="1912" customFormat="false" ht="15" hidden="false" customHeight="false" outlineLevel="0" collapsed="false">
      <c r="A1912" s="20"/>
      <c r="B1912" s="19"/>
      <c r="C1912" s="19"/>
      <c r="D1912" s="21"/>
      <c r="E1912" s="19"/>
      <c r="F1912" s="19"/>
      <c r="G1912" s="23" t="str">
        <f aca="false">IF(A1912="","",TEXT(A1912,"yyyy-mm"))</f>
        <v/>
      </c>
      <c r="H1912" s="22" t="str">
        <f aca="false">IF(A1912="","",N(H1911)+IF(B1912="Masuk",N(D1912),-N(D1912)))</f>
        <v/>
      </c>
    </row>
    <row r="1913" customFormat="false" ht="15" hidden="false" customHeight="false" outlineLevel="0" collapsed="false">
      <c r="A1913" s="20"/>
      <c r="B1913" s="19"/>
      <c r="C1913" s="19"/>
      <c r="D1913" s="21"/>
      <c r="E1913" s="19"/>
      <c r="F1913" s="19"/>
      <c r="G1913" s="23" t="str">
        <f aca="false">IF(A1913="","",TEXT(A1913,"yyyy-mm"))</f>
        <v/>
      </c>
      <c r="H1913" s="22" t="str">
        <f aca="false">IF(A1913="","",N(H1912)+IF(B1913="Masuk",N(D1913),-N(D1913)))</f>
        <v/>
      </c>
    </row>
    <row r="1914" customFormat="false" ht="15" hidden="false" customHeight="false" outlineLevel="0" collapsed="false">
      <c r="A1914" s="20"/>
      <c r="B1914" s="19"/>
      <c r="C1914" s="19"/>
      <c r="D1914" s="21"/>
      <c r="E1914" s="19"/>
      <c r="F1914" s="19"/>
      <c r="G1914" s="23" t="str">
        <f aca="false">IF(A1914="","",TEXT(A1914,"yyyy-mm"))</f>
        <v/>
      </c>
      <c r="H1914" s="22" t="str">
        <f aca="false">IF(A1914="","",N(H1913)+IF(B1914="Masuk",N(D1914),-N(D1914)))</f>
        <v/>
      </c>
    </row>
    <row r="1915" customFormat="false" ht="15" hidden="false" customHeight="false" outlineLevel="0" collapsed="false">
      <c r="A1915" s="20"/>
      <c r="B1915" s="19"/>
      <c r="C1915" s="19"/>
      <c r="D1915" s="21"/>
      <c r="E1915" s="19"/>
      <c r="F1915" s="19"/>
      <c r="G1915" s="23" t="str">
        <f aca="false">IF(A1915="","",TEXT(A1915,"yyyy-mm"))</f>
        <v/>
      </c>
      <c r="H1915" s="22" t="str">
        <f aca="false">IF(A1915="","",N(H1914)+IF(B1915="Masuk",N(D1915),-N(D1915)))</f>
        <v/>
      </c>
    </row>
    <row r="1916" customFormat="false" ht="15" hidden="false" customHeight="false" outlineLevel="0" collapsed="false">
      <c r="A1916" s="20"/>
      <c r="B1916" s="19"/>
      <c r="C1916" s="19"/>
      <c r="D1916" s="21"/>
      <c r="E1916" s="19"/>
      <c r="F1916" s="19"/>
      <c r="G1916" s="23" t="str">
        <f aca="false">IF(A1916="","",TEXT(A1916,"yyyy-mm"))</f>
        <v/>
      </c>
      <c r="H1916" s="22" t="str">
        <f aca="false">IF(A1916="","",N(H1915)+IF(B1916="Masuk",N(D1916),-N(D1916)))</f>
        <v/>
      </c>
    </row>
    <row r="1917" customFormat="false" ht="15" hidden="false" customHeight="false" outlineLevel="0" collapsed="false">
      <c r="A1917" s="20"/>
      <c r="B1917" s="19"/>
      <c r="C1917" s="19"/>
      <c r="D1917" s="21"/>
      <c r="E1917" s="19"/>
      <c r="F1917" s="19"/>
      <c r="G1917" s="23" t="str">
        <f aca="false">IF(A1917="","",TEXT(A1917,"yyyy-mm"))</f>
        <v/>
      </c>
      <c r="H1917" s="22" t="str">
        <f aca="false">IF(A1917="","",N(H1916)+IF(B1917="Masuk",N(D1917),-N(D1917)))</f>
        <v/>
      </c>
    </row>
    <row r="1918" customFormat="false" ht="15" hidden="false" customHeight="false" outlineLevel="0" collapsed="false">
      <c r="A1918" s="20"/>
      <c r="B1918" s="19"/>
      <c r="C1918" s="19"/>
      <c r="D1918" s="21"/>
      <c r="E1918" s="19"/>
      <c r="F1918" s="19"/>
      <c r="G1918" s="23" t="str">
        <f aca="false">IF(A1918="","",TEXT(A1918,"yyyy-mm"))</f>
        <v/>
      </c>
      <c r="H1918" s="22" t="str">
        <f aca="false">IF(A1918="","",N(H1917)+IF(B1918="Masuk",N(D1918),-N(D1918)))</f>
        <v/>
      </c>
    </row>
    <row r="1919" customFormat="false" ht="15" hidden="false" customHeight="false" outlineLevel="0" collapsed="false">
      <c r="A1919" s="20"/>
      <c r="B1919" s="19"/>
      <c r="C1919" s="19"/>
      <c r="D1919" s="21"/>
      <c r="E1919" s="19"/>
      <c r="F1919" s="19"/>
      <c r="G1919" s="23" t="str">
        <f aca="false">IF(A1919="","",TEXT(A1919,"yyyy-mm"))</f>
        <v/>
      </c>
      <c r="H1919" s="22" t="str">
        <f aca="false">IF(A1919="","",N(H1918)+IF(B1919="Masuk",N(D1919),-N(D1919)))</f>
        <v/>
      </c>
    </row>
    <row r="1920" customFormat="false" ht="15" hidden="false" customHeight="false" outlineLevel="0" collapsed="false">
      <c r="A1920" s="20"/>
      <c r="B1920" s="19"/>
      <c r="C1920" s="19"/>
      <c r="D1920" s="21"/>
      <c r="E1920" s="19"/>
      <c r="F1920" s="19"/>
      <c r="G1920" s="23" t="str">
        <f aca="false">IF(A1920="","",TEXT(A1920,"yyyy-mm"))</f>
        <v/>
      </c>
      <c r="H1920" s="22" t="str">
        <f aca="false">IF(A1920="","",N(H1919)+IF(B1920="Masuk",N(D1920),-N(D1920)))</f>
        <v/>
      </c>
    </row>
    <row r="1921" customFormat="false" ht="15" hidden="false" customHeight="false" outlineLevel="0" collapsed="false">
      <c r="A1921" s="20"/>
      <c r="B1921" s="19"/>
      <c r="C1921" s="19"/>
      <c r="D1921" s="21"/>
      <c r="E1921" s="19"/>
      <c r="F1921" s="19"/>
      <c r="G1921" s="23" t="str">
        <f aca="false">IF(A1921="","",TEXT(A1921,"yyyy-mm"))</f>
        <v/>
      </c>
      <c r="H1921" s="22" t="str">
        <f aca="false">IF(A1921="","",N(H1920)+IF(B1921="Masuk",N(D1921),-N(D1921)))</f>
        <v/>
      </c>
    </row>
    <row r="1922" customFormat="false" ht="15" hidden="false" customHeight="false" outlineLevel="0" collapsed="false">
      <c r="A1922" s="20"/>
      <c r="B1922" s="19"/>
      <c r="C1922" s="19"/>
      <c r="D1922" s="21"/>
      <c r="E1922" s="19"/>
      <c r="F1922" s="19"/>
      <c r="G1922" s="23" t="str">
        <f aca="false">IF(A1922="","",TEXT(A1922,"yyyy-mm"))</f>
        <v/>
      </c>
      <c r="H1922" s="22" t="str">
        <f aca="false">IF(A1922="","",N(H1921)+IF(B1922="Masuk",N(D1922),-N(D1922)))</f>
        <v/>
      </c>
    </row>
    <row r="1923" customFormat="false" ht="15" hidden="false" customHeight="false" outlineLevel="0" collapsed="false">
      <c r="A1923" s="20"/>
      <c r="B1923" s="19"/>
      <c r="C1923" s="19"/>
      <c r="D1923" s="21"/>
      <c r="E1923" s="19"/>
      <c r="F1923" s="19"/>
      <c r="G1923" s="23" t="str">
        <f aca="false">IF(A1923="","",TEXT(A1923,"yyyy-mm"))</f>
        <v/>
      </c>
      <c r="H1923" s="22" t="str">
        <f aca="false">IF(A1923="","",N(H1922)+IF(B1923="Masuk",N(D1923),-N(D1923)))</f>
        <v/>
      </c>
    </row>
    <row r="1924" customFormat="false" ht="15" hidden="false" customHeight="false" outlineLevel="0" collapsed="false">
      <c r="A1924" s="20"/>
      <c r="B1924" s="19"/>
      <c r="C1924" s="19"/>
      <c r="D1924" s="21"/>
      <c r="E1924" s="19"/>
      <c r="F1924" s="19"/>
      <c r="G1924" s="23" t="str">
        <f aca="false">IF(A1924="","",TEXT(A1924,"yyyy-mm"))</f>
        <v/>
      </c>
      <c r="H1924" s="22" t="str">
        <f aca="false">IF(A1924="","",N(H1923)+IF(B1924="Masuk",N(D1924),-N(D1924)))</f>
        <v/>
      </c>
    </row>
    <row r="1925" customFormat="false" ht="15" hidden="false" customHeight="false" outlineLevel="0" collapsed="false">
      <c r="A1925" s="20"/>
      <c r="B1925" s="19"/>
      <c r="C1925" s="19"/>
      <c r="D1925" s="21"/>
      <c r="E1925" s="19"/>
      <c r="F1925" s="19"/>
      <c r="G1925" s="23" t="str">
        <f aca="false">IF(A1925="","",TEXT(A1925,"yyyy-mm"))</f>
        <v/>
      </c>
      <c r="H1925" s="22" t="str">
        <f aca="false">IF(A1925="","",N(H1924)+IF(B1925="Masuk",N(D1925),-N(D1925)))</f>
        <v/>
      </c>
    </row>
    <row r="1926" customFormat="false" ht="15" hidden="false" customHeight="false" outlineLevel="0" collapsed="false">
      <c r="A1926" s="20"/>
      <c r="B1926" s="19"/>
      <c r="C1926" s="19"/>
      <c r="D1926" s="21"/>
      <c r="E1926" s="19"/>
      <c r="F1926" s="19"/>
      <c r="G1926" s="23" t="str">
        <f aca="false">IF(A1926="","",TEXT(A1926,"yyyy-mm"))</f>
        <v/>
      </c>
      <c r="H1926" s="22" t="str">
        <f aca="false">IF(A1926="","",N(H1925)+IF(B1926="Masuk",N(D1926),-N(D1926)))</f>
        <v/>
      </c>
    </row>
    <row r="1927" customFormat="false" ht="15" hidden="false" customHeight="false" outlineLevel="0" collapsed="false">
      <c r="A1927" s="20"/>
      <c r="B1927" s="19"/>
      <c r="C1927" s="19"/>
      <c r="D1927" s="21"/>
      <c r="E1927" s="19"/>
      <c r="F1927" s="19"/>
      <c r="G1927" s="23" t="str">
        <f aca="false">IF(A1927="","",TEXT(A1927,"yyyy-mm"))</f>
        <v/>
      </c>
      <c r="H1927" s="22" t="str">
        <f aca="false">IF(A1927="","",N(H1926)+IF(B1927="Masuk",N(D1927),-N(D1927)))</f>
        <v/>
      </c>
    </row>
    <row r="1928" customFormat="false" ht="15" hidden="false" customHeight="false" outlineLevel="0" collapsed="false">
      <c r="A1928" s="20"/>
      <c r="B1928" s="19"/>
      <c r="C1928" s="19"/>
      <c r="D1928" s="21"/>
      <c r="E1928" s="19"/>
      <c r="F1928" s="19"/>
      <c r="G1928" s="23" t="str">
        <f aca="false">IF(A1928="","",TEXT(A1928,"yyyy-mm"))</f>
        <v/>
      </c>
      <c r="H1928" s="22" t="str">
        <f aca="false">IF(A1928="","",N(H1927)+IF(B1928="Masuk",N(D1928),-N(D1928)))</f>
        <v/>
      </c>
    </row>
    <row r="1929" customFormat="false" ht="15" hidden="false" customHeight="false" outlineLevel="0" collapsed="false">
      <c r="A1929" s="20"/>
      <c r="B1929" s="19"/>
      <c r="C1929" s="19"/>
      <c r="D1929" s="21"/>
      <c r="E1929" s="19"/>
      <c r="F1929" s="19"/>
      <c r="G1929" s="23" t="str">
        <f aca="false">IF(A1929="","",TEXT(A1929,"yyyy-mm"))</f>
        <v/>
      </c>
      <c r="H1929" s="22" t="str">
        <f aca="false">IF(A1929="","",N(H1928)+IF(B1929="Masuk",N(D1929),-N(D1929)))</f>
        <v/>
      </c>
    </row>
    <row r="1930" customFormat="false" ht="15" hidden="false" customHeight="false" outlineLevel="0" collapsed="false">
      <c r="A1930" s="20"/>
      <c r="B1930" s="19"/>
      <c r="C1930" s="19"/>
      <c r="D1930" s="21"/>
      <c r="E1930" s="19"/>
      <c r="F1930" s="19"/>
      <c r="G1930" s="23" t="str">
        <f aca="false">IF(A1930="","",TEXT(A1930,"yyyy-mm"))</f>
        <v/>
      </c>
      <c r="H1930" s="22" t="str">
        <f aca="false">IF(A1930="","",N(H1929)+IF(B1930="Masuk",N(D1930),-N(D1930)))</f>
        <v/>
      </c>
    </row>
    <row r="1931" customFormat="false" ht="15" hidden="false" customHeight="false" outlineLevel="0" collapsed="false">
      <c r="A1931" s="20"/>
      <c r="B1931" s="19"/>
      <c r="C1931" s="19"/>
      <c r="D1931" s="21"/>
      <c r="E1931" s="19"/>
      <c r="F1931" s="19"/>
      <c r="G1931" s="23" t="str">
        <f aca="false">IF(A1931="","",TEXT(A1931,"yyyy-mm"))</f>
        <v/>
      </c>
      <c r="H1931" s="22" t="str">
        <f aca="false">IF(A1931="","",N(H1930)+IF(B1931="Masuk",N(D1931),-N(D1931)))</f>
        <v/>
      </c>
    </row>
    <row r="1932" customFormat="false" ht="15" hidden="false" customHeight="false" outlineLevel="0" collapsed="false">
      <c r="A1932" s="20"/>
      <c r="B1932" s="19"/>
      <c r="C1932" s="19"/>
      <c r="D1932" s="21"/>
      <c r="E1932" s="19"/>
      <c r="F1932" s="19"/>
      <c r="G1932" s="23" t="str">
        <f aca="false">IF(A1932="","",TEXT(A1932,"yyyy-mm"))</f>
        <v/>
      </c>
      <c r="H1932" s="22" t="str">
        <f aca="false">IF(A1932="","",N(H1931)+IF(B1932="Masuk",N(D1932),-N(D1932)))</f>
        <v/>
      </c>
    </row>
    <row r="1933" customFormat="false" ht="15" hidden="false" customHeight="false" outlineLevel="0" collapsed="false">
      <c r="A1933" s="20"/>
      <c r="B1933" s="19"/>
      <c r="C1933" s="19"/>
      <c r="D1933" s="21"/>
      <c r="E1933" s="19"/>
      <c r="F1933" s="19"/>
      <c r="G1933" s="23" t="str">
        <f aca="false">IF(A1933="","",TEXT(A1933,"yyyy-mm"))</f>
        <v/>
      </c>
      <c r="H1933" s="22" t="str">
        <f aca="false">IF(A1933="","",N(H1932)+IF(B1933="Masuk",N(D1933),-N(D1933)))</f>
        <v/>
      </c>
    </row>
    <row r="1934" customFormat="false" ht="15" hidden="false" customHeight="false" outlineLevel="0" collapsed="false">
      <c r="A1934" s="20"/>
      <c r="B1934" s="19"/>
      <c r="C1934" s="19"/>
      <c r="D1934" s="21"/>
      <c r="E1934" s="19"/>
      <c r="F1934" s="19"/>
      <c r="G1934" s="23" t="str">
        <f aca="false">IF(A1934="","",TEXT(A1934,"yyyy-mm"))</f>
        <v/>
      </c>
      <c r="H1934" s="22" t="str">
        <f aca="false">IF(A1934="","",N(H1933)+IF(B1934="Masuk",N(D1934),-N(D1934)))</f>
        <v/>
      </c>
    </row>
    <row r="1935" customFormat="false" ht="15" hidden="false" customHeight="false" outlineLevel="0" collapsed="false">
      <c r="A1935" s="20"/>
      <c r="B1935" s="19"/>
      <c r="C1935" s="19"/>
      <c r="D1935" s="21"/>
      <c r="E1935" s="19"/>
      <c r="F1935" s="19"/>
      <c r="G1935" s="23" t="str">
        <f aca="false">IF(A1935="","",TEXT(A1935,"yyyy-mm"))</f>
        <v/>
      </c>
      <c r="H1935" s="22" t="str">
        <f aca="false">IF(A1935="","",N(H1934)+IF(B1935="Masuk",N(D1935),-N(D1935)))</f>
        <v/>
      </c>
    </row>
    <row r="1936" customFormat="false" ht="15" hidden="false" customHeight="false" outlineLevel="0" collapsed="false">
      <c r="A1936" s="20"/>
      <c r="B1936" s="19"/>
      <c r="C1936" s="19"/>
      <c r="D1936" s="21"/>
      <c r="E1936" s="19"/>
      <c r="F1936" s="19"/>
      <c r="G1936" s="23" t="str">
        <f aca="false">IF(A1936="","",TEXT(A1936,"yyyy-mm"))</f>
        <v/>
      </c>
      <c r="H1936" s="22" t="str">
        <f aca="false">IF(A1936="","",N(H1935)+IF(B1936="Masuk",N(D1936),-N(D1936)))</f>
        <v/>
      </c>
    </row>
    <row r="1937" customFormat="false" ht="15" hidden="false" customHeight="false" outlineLevel="0" collapsed="false">
      <c r="A1937" s="20"/>
      <c r="B1937" s="19"/>
      <c r="C1937" s="19"/>
      <c r="D1937" s="21"/>
      <c r="E1937" s="19"/>
      <c r="F1937" s="19"/>
      <c r="G1937" s="23" t="str">
        <f aca="false">IF(A1937="","",TEXT(A1937,"yyyy-mm"))</f>
        <v/>
      </c>
      <c r="H1937" s="22" t="str">
        <f aca="false">IF(A1937="","",N(H1936)+IF(B1937="Masuk",N(D1937),-N(D1937)))</f>
        <v/>
      </c>
    </row>
    <row r="1938" customFormat="false" ht="15" hidden="false" customHeight="false" outlineLevel="0" collapsed="false">
      <c r="A1938" s="20"/>
      <c r="B1938" s="19"/>
      <c r="C1938" s="19"/>
      <c r="D1938" s="21"/>
      <c r="E1938" s="19"/>
      <c r="F1938" s="19"/>
      <c r="G1938" s="23" t="str">
        <f aca="false">IF(A1938="","",TEXT(A1938,"yyyy-mm"))</f>
        <v/>
      </c>
      <c r="H1938" s="22" t="str">
        <f aca="false">IF(A1938="","",N(H1937)+IF(B1938="Masuk",N(D1938),-N(D1938)))</f>
        <v/>
      </c>
    </row>
    <row r="1939" customFormat="false" ht="15" hidden="false" customHeight="false" outlineLevel="0" collapsed="false">
      <c r="A1939" s="20"/>
      <c r="B1939" s="19"/>
      <c r="C1939" s="19"/>
      <c r="D1939" s="21"/>
      <c r="E1939" s="19"/>
      <c r="F1939" s="19"/>
      <c r="G1939" s="23" t="str">
        <f aca="false">IF(A1939="","",TEXT(A1939,"yyyy-mm"))</f>
        <v/>
      </c>
      <c r="H1939" s="22" t="str">
        <f aca="false">IF(A1939="","",N(H1938)+IF(B1939="Masuk",N(D1939),-N(D1939)))</f>
        <v/>
      </c>
    </row>
    <row r="1940" customFormat="false" ht="15" hidden="false" customHeight="false" outlineLevel="0" collapsed="false">
      <c r="A1940" s="20"/>
      <c r="B1940" s="19"/>
      <c r="C1940" s="19"/>
      <c r="D1940" s="21"/>
      <c r="E1940" s="19"/>
      <c r="F1940" s="19"/>
      <c r="G1940" s="23" t="str">
        <f aca="false">IF(A1940="","",TEXT(A1940,"yyyy-mm"))</f>
        <v/>
      </c>
      <c r="H1940" s="22" t="str">
        <f aca="false">IF(A1940="","",N(H1939)+IF(B1940="Masuk",N(D1940),-N(D1940)))</f>
        <v/>
      </c>
    </row>
    <row r="1941" customFormat="false" ht="15" hidden="false" customHeight="false" outlineLevel="0" collapsed="false">
      <c r="A1941" s="20"/>
      <c r="B1941" s="19"/>
      <c r="C1941" s="19"/>
      <c r="D1941" s="21"/>
      <c r="E1941" s="19"/>
      <c r="F1941" s="19"/>
      <c r="G1941" s="23" t="str">
        <f aca="false">IF(A1941="","",TEXT(A1941,"yyyy-mm"))</f>
        <v/>
      </c>
      <c r="H1941" s="22" t="str">
        <f aca="false">IF(A1941="","",N(H1940)+IF(B1941="Masuk",N(D1941),-N(D1941)))</f>
        <v/>
      </c>
    </row>
    <row r="1942" customFormat="false" ht="15" hidden="false" customHeight="false" outlineLevel="0" collapsed="false">
      <c r="A1942" s="20"/>
      <c r="B1942" s="19"/>
      <c r="C1942" s="19"/>
      <c r="D1942" s="21"/>
      <c r="E1942" s="19"/>
      <c r="F1942" s="19"/>
      <c r="G1942" s="23" t="str">
        <f aca="false">IF(A1942="","",TEXT(A1942,"yyyy-mm"))</f>
        <v/>
      </c>
      <c r="H1942" s="22" t="str">
        <f aca="false">IF(A1942="","",N(H1941)+IF(B1942="Masuk",N(D1942),-N(D1942)))</f>
        <v/>
      </c>
    </row>
    <row r="1943" customFormat="false" ht="15" hidden="false" customHeight="false" outlineLevel="0" collapsed="false">
      <c r="A1943" s="20"/>
      <c r="B1943" s="19"/>
      <c r="C1943" s="19"/>
      <c r="D1943" s="21"/>
      <c r="E1943" s="19"/>
      <c r="F1943" s="19"/>
      <c r="G1943" s="23" t="str">
        <f aca="false">IF(A1943="","",TEXT(A1943,"yyyy-mm"))</f>
        <v/>
      </c>
      <c r="H1943" s="22" t="str">
        <f aca="false">IF(A1943="","",N(H1942)+IF(B1943="Masuk",N(D1943),-N(D1943)))</f>
        <v/>
      </c>
    </row>
    <row r="1944" customFormat="false" ht="15" hidden="false" customHeight="false" outlineLevel="0" collapsed="false">
      <c r="A1944" s="20"/>
      <c r="B1944" s="19"/>
      <c r="C1944" s="19"/>
      <c r="D1944" s="21"/>
      <c r="E1944" s="19"/>
      <c r="F1944" s="19"/>
      <c r="G1944" s="23" t="str">
        <f aca="false">IF(A1944="","",TEXT(A1944,"yyyy-mm"))</f>
        <v/>
      </c>
      <c r="H1944" s="22" t="str">
        <f aca="false">IF(A1944="","",N(H1943)+IF(B1944="Masuk",N(D1944),-N(D1944)))</f>
        <v/>
      </c>
    </row>
    <row r="1945" customFormat="false" ht="15" hidden="false" customHeight="false" outlineLevel="0" collapsed="false">
      <c r="A1945" s="20"/>
      <c r="B1945" s="19"/>
      <c r="C1945" s="19"/>
      <c r="D1945" s="21"/>
      <c r="E1945" s="19"/>
      <c r="F1945" s="19"/>
      <c r="G1945" s="23" t="str">
        <f aca="false">IF(A1945="","",TEXT(A1945,"yyyy-mm"))</f>
        <v/>
      </c>
      <c r="H1945" s="22" t="str">
        <f aca="false">IF(A1945="","",N(H1944)+IF(B1945="Masuk",N(D1945),-N(D1945)))</f>
        <v/>
      </c>
    </row>
    <row r="1946" customFormat="false" ht="15" hidden="false" customHeight="false" outlineLevel="0" collapsed="false">
      <c r="A1946" s="20"/>
      <c r="B1946" s="19"/>
      <c r="C1946" s="19"/>
      <c r="D1946" s="21"/>
      <c r="E1946" s="19"/>
      <c r="F1946" s="19"/>
      <c r="G1946" s="23" t="str">
        <f aca="false">IF(A1946="","",TEXT(A1946,"yyyy-mm"))</f>
        <v/>
      </c>
      <c r="H1946" s="22" t="str">
        <f aca="false">IF(A1946="","",N(H1945)+IF(B1946="Masuk",N(D1946),-N(D1946)))</f>
        <v/>
      </c>
    </row>
    <row r="1947" customFormat="false" ht="15" hidden="false" customHeight="false" outlineLevel="0" collapsed="false">
      <c r="A1947" s="20"/>
      <c r="B1947" s="19"/>
      <c r="C1947" s="19"/>
      <c r="D1947" s="21"/>
      <c r="E1947" s="19"/>
      <c r="F1947" s="19"/>
      <c r="G1947" s="23" t="str">
        <f aca="false">IF(A1947="","",TEXT(A1947,"yyyy-mm"))</f>
        <v/>
      </c>
      <c r="H1947" s="22" t="str">
        <f aca="false">IF(A1947="","",N(H1946)+IF(B1947="Masuk",N(D1947),-N(D1947)))</f>
        <v/>
      </c>
    </row>
    <row r="1948" customFormat="false" ht="15" hidden="false" customHeight="false" outlineLevel="0" collapsed="false">
      <c r="A1948" s="20"/>
      <c r="B1948" s="19"/>
      <c r="C1948" s="19"/>
      <c r="D1948" s="21"/>
      <c r="E1948" s="19"/>
      <c r="F1948" s="19"/>
      <c r="G1948" s="23" t="str">
        <f aca="false">IF(A1948="","",TEXT(A1948,"yyyy-mm"))</f>
        <v/>
      </c>
      <c r="H1948" s="22" t="str">
        <f aca="false">IF(A1948="","",N(H1947)+IF(B1948="Masuk",N(D1948),-N(D1948)))</f>
        <v/>
      </c>
    </row>
    <row r="1949" customFormat="false" ht="15" hidden="false" customHeight="false" outlineLevel="0" collapsed="false">
      <c r="A1949" s="20"/>
      <c r="B1949" s="19"/>
      <c r="C1949" s="19"/>
      <c r="D1949" s="21"/>
      <c r="E1949" s="19"/>
      <c r="F1949" s="19"/>
      <c r="G1949" s="23" t="str">
        <f aca="false">IF(A1949="","",TEXT(A1949,"yyyy-mm"))</f>
        <v/>
      </c>
      <c r="H1949" s="22" t="str">
        <f aca="false">IF(A1949="","",N(H1948)+IF(B1949="Masuk",N(D1949),-N(D1949)))</f>
        <v/>
      </c>
    </row>
    <row r="1950" customFormat="false" ht="15" hidden="false" customHeight="false" outlineLevel="0" collapsed="false">
      <c r="A1950" s="20"/>
      <c r="B1950" s="19"/>
      <c r="C1950" s="19"/>
      <c r="D1950" s="21"/>
      <c r="E1950" s="19"/>
      <c r="F1950" s="19"/>
      <c r="G1950" s="23" t="str">
        <f aca="false">IF(A1950="","",TEXT(A1950,"yyyy-mm"))</f>
        <v/>
      </c>
      <c r="H1950" s="22" t="str">
        <f aca="false">IF(A1950="","",N(H1949)+IF(B1950="Masuk",N(D1950),-N(D1950)))</f>
        <v/>
      </c>
    </row>
    <row r="1951" customFormat="false" ht="15" hidden="false" customHeight="false" outlineLevel="0" collapsed="false">
      <c r="A1951" s="20"/>
      <c r="B1951" s="19"/>
      <c r="C1951" s="19"/>
      <c r="D1951" s="21"/>
      <c r="E1951" s="19"/>
      <c r="F1951" s="19"/>
      <c r="G1951" s="23" t="str">
        <f aca="false">IF(A1951="","",TEXT(A1951,"yyyy-mm"))</f>
        <v/>
      </c>
      <c r="H1951" s="22" t="str">
        <f aca="false">IF(A1951="","",N(H1950)+IF(B1951="Masuk",N(D1951),-N(D1951)))</f>
        <v/>
      </c>
    </row>
    <row r="1952" customFormat="false" ht="15" hidden="false" customHeight="false" outlineLevel="0" collapsed="false">
      <c r="A1952" s="20"/>
      <c r="B1952" s="19"/>
      <c r="C1952" s="19"/>
      <c r="D1952" s="21"/>
      <c r="E1952" s="19"/>
      <c r="F1952" s="19"/>
      <c r="G1952" s="23" t="str">
        <f aca="false">IF(A1952="","",TEXT(A1952,"yyyy-mm"))</f>
        <v/>
      </c>
      <c r="H1952" s="22" t="str">
        <f aca="false">IF(A1952="","",N(H1951)+IF(B1952="Masuk",N(D1952),-N(D1952)))</f>
        <v/>
      </c>
    </row>
    <row r="1953" customFormat="false" ht="15" hidden="false" customHeight="false" outlineLevel="0" collapsed="false">
      <c r="A1953" s="20"/>
      <c r="B1953" s="19"/>
      <c r="C1953" s="19"/>
      <c r="D1953" s="21"/>
      <c r="E1953" s="19"/>
      <c r="F1953" s="19"/>
      <c r="G1953" s="23" t="str">
        <f aca="false">IF(A1953="","",TEXT(A1953,"yyyy-mm"))</f>
        <v/>
      </c>
      <c r="H1953" s="22" t="str">
        <f aca="false">IF(A1953="","",N(H1952)+IF(B1953="Masuk",N(D1953),-N(D1953)))</f>
        <v/>
      </c>
    </row>
    <row r="1954" customFormat="false" ht="15" hidden="false" customHeight="false" outlineLevel="0" collapsed="false">
      <c r="A1954" s="20"/>
      <c r="B1954" s="19"/>
      <c r="C1954" s="19"/>
      <c r="D1954" s="21"/>
      <c r="E1954" s="19"/>
      <c r="F1954" s="19"/>
      <c r="G1954" s="23" t="str">
        <f aca="false">IF(A1954="","",TEXT(A1954,"yyyy-mm"))</f>
        <v/>
      </c>
      <c r="H1954" s="22" t="str">
        <f aca="false">IF(A1954="","",N(H1953)+IF(B1954="Masuk",N(D1954),-N(D1954)))</f>
        <v/>
      </c>
    </row>
    <row r="1955" customFormat="false" ht="15" hidden="false" customHeight="false" outlineLevel="0" collapsed="false">
      <c r="A1955" s="20"/>
      <c r="B1955" s="19"/>
      <c r="C1955" s="19"/>
      <c r="D1955" s="21"/>
      <c r="E1955" s="19"/>
      <c r="F1955" s="19"/>
      <c r="G1955" s="23" t="str">
        <f aca="false">IF(A1955="","",TEXT(A1955,"yyyy-mm"))</f>
        <v/>
      </c>
      <c r="H1955" s="22" t="str">
        <f aca="false">IF(A1955="","",N(H1954)+IF(B1955="Masuk",N(D1955),-N(D1955)))</f>
        <v/>
      </c>
    </row>
    <row r="1956" customFormat="false" ht="15" hidden="false" customHeight="false" outlineLevel="0" collapsed="false">
      <c r="A1956" s="20"/>
      <c r="B1956" s="19"/>
      <c r="C1956" s="19"/>
      <c r="D1956" s="21"/>
      <c r="E1956" s="19"/>
      <c r="F1956" s="19"/>
      <c r="G1956" s="23" t="str">
        <f aca="false">IF(A1956="","",TEXT(A1956,"yyyy-mm"))</f>
        <v/>
      </c>
      <c r="H1956" s="22" t="str">
        <f aca="false">IF(A1956="","",N(H1955)+IF(B1956="Masuk",N(D1956),-N(D1956)))</f>
        <v/>
      </c>
    </row>
    <row r="1957" customFormat="false" ht="15" hidden="false" customHeight="false" outlineLevel="0" collapsed="false">
      <c r="A1957" s="20"/>
      <c r="B1957" s="19"/>
      <c r="C1957" s="19"/>
      <c r="D1957" s="21"/>
      <c r="E1957" s="19"/>
      <c r="F1957" s="19"/>
      <c r="G1957" s="23" t="str">
        <f aca="false">IF(A1957="","",TEXT(A1957,"yyyy-mm"))</f>
        <v/>
      </c>
      <c r="H1957" s="22" t="str">
        <f aca="false">IF(A1957="","",N(H1956)+IF(B1957="Masuk",N(D1957),-N(D1957)))</f>
        <v/>
      </c>
    </row>
    <row r="1958" customFormat="false" ht="15" hidden="false" customHeight="false" outlineLevel="0" collapsed="false">
      <c r="A1958" s="20"/>
      <c r="B1958" s="19"/>
      <c r="C1958" s="19"/>
      <c r="D1958" s="21"/>
      <c r="E1958" s="19"/>
      <c r="F1958" s="19"/>
      <c r="G1958" s="23" t="str">
        <f aca="false">IF(A1958="","",TEXT(A1958,"yyyy-mm"))</f>
        <v/>
      </c>
      <c r="H1958" s="22" t="str">
        <f aca="false">IF(A1958="","",N(H1957)+IF(B1958="Masuk",N(D1958),-N(D1958)))</f>
        <v/>
      </c>
    </row>
    <row r="1959" customFormat="false" ht="15" hidden="false" customHeight="false" outlineLevel="0" collapsed="false">
      <c r="A1959" s="20"/>
      <c r="B1959" s="19"/>
      <c r="C1959" s="19"/>
      <c r="D1959" s="21"/>
      <c r="E1959" s="19"/>
      <c r="F1959" s="19"/>
      <c r="G1959" s="23" t="str">
        <f aca="false">IF(A1959="","",TEXT(A1959,"yyyy-mm"))</f>
        <v/>
      </c>
      <c r="H1959" s="22" t="str">
        <f aca="false">IF(A1959="","",N(H1958)+IF(B1959="Masuk",N(D1959),-N(D1959)))</f>
        <v/>
      </c>
    </row>
    <row r="1960" customFormat="false" ht="15" hidden="false" customHeight="false" outlineLevel="0" collapsed="false">
      <c r="A1960" s="20"/>
      <c r="B1960" s="19"/>
      <c r="C1960" s="19"/>
      <c r="D1960" s="21"/>
      <c r="E1960" s="19"/>
      <c r="F1960" s="19"/>
      <c r="G1960" s="23" t="str">
        <f aca="false">IF(A1960="","",TEXT(A1960,"yyyy-mm"))</f>
        <v/>
      </c>
      <c r="H1960" s="22" t="str">
        <f aca="false">IF(A1960="","",N(H1959)+IF(B1960="Masuk",N(D1960),-N(D1960)))</f>
        <v/>
      </c>
    </row>
    <row r="1961" customFormat="false" ht="15" hidden="false" customHeight="false" outlineLevel="0" collapsed="false">
      <c r="A1961" s="20"/>
      <c r="B1961" s="19"/>
      <c r="C1961" s="19"/>
      <c r="D1961" s="21"/>
      <c r="E1961" s="19"/>
      <c r="F1961" s="19"/>
      <c r="G1961" s="23" t="str">
        <f aca="false">IF(A1961="","",TEXT(A1961,"yyyy-mm"))</f>
        <v/>
      </c>
      <c r="H1961" s="22" t="str">
        <f aca="false">IF(A1961="","",N(H1960)+IF(B1961="Masuk",N(D1961),-N(D1961)))</f>
        <v/>
      </c>
    </row>
    <row r="1962" customFormat="false" ht="15" hidden="false" customHeight="false" outlineLevel="0" collapsed="false">
      <c r="A1962" s="20"/>
      <c r="B1962" s="19"/>
      <c r="C1962" s="19"/>
      <c r="D1962" s="21"/>
      <c r="E1962" s="19"/>
      <c r="F1962" s="19"/>
      <c r="G1962" s="23" t="str">
        <f aca="false">IF(A1962="","",TEXT(A1962,"yyyy-mm"))</f>
        <v/>
      </c>
      <c r="H1962" s="22" t="str">
        <f aca="false">IF(A1962="","",N(H1961)+IF(B1962="Masuk",N(D1962),-N(D1962)))</f>
        <v/>
      </c>
    </row>
    <row r="1963" customFormat="false" ht="15" hidden="false" customHeight="false" outlineLevel="0" collapsed="false">
      <c r="A1963" s="20"/>
      <c r="B1963" s="19"/>
      <c r="C1963" s="19"/>
      <c r="D1963" s="21"/>
      <c r="E1963" s="19"/>
      <c r="F1963" s="19"/>
      <c r="G1963" s="23" t="str">
        <f aca="false">IF(A1963="","",TEXT(A1963,"yyyy-mm"))</f>
        <v/>
      </c>
      <c r="H1963" s="22" t="str">
        <f aca="false">IF(A1963="","",N(H1962)+IF(B1963="Masuk",N(D1963),-N(D1963)))</f>
        <v/>
      </c>
    </row>
    <row r="1964" customFormat="false" ht="15" hidden="false" customHeight="false" outlineLevel="0" collapsed="false">
      <c r="A1964" s="20"/>
      <c r="B1964" s="19"/>
      <c r="C1964" s="19"/>
      <c r="D1964" s="21"/>
      <c r="E1964" s="19"/>
      <c r="F1964" s="19"/>
      <c r="G1964" s="23" t="str">
        <f aca="false">IF(A1964="","",TEXT(A1964,"yyyy-mm"))</f>
        <v/>
      </c>
      <c r="H1964" s="22" t="str">
        <f aca="false">IF(A1964="","",N(H1963)+IF(B1964="Masuk",N(D1964),-N(D1964)))</f>
        <v/>
      </c>
    </row>
    <row r="1965" customFormat="false" ht="15" hidden="false" customHeight="false" outlineLevel="0" collapsed="false">
      <c r="A1965" s="20"/>
      <c r="B1965" s="19"/>
      <c r="C1965" s="19"/>
      <c r="D1965" s="21"/>
      <c r="E1965" s="19"/>
      <c r="F1965" s="19"/>
      <c r="G1965" s="23" t="str">
        <f aca="false">IF(A1965="","",TEXT(A1965,"yyyy-mm"))</f>
        <v/>
      </c>
      <c r="H1965" s="22" t="str">
        <f aca="false">IF(A1965="","",N(H1964)+IF(B1965="Masuk",N(D1965),-N(D1965)))</f>
        <v/>
      </c>
    </row>
    <row r="1966" customFormat="false" ht="15" hidden="false" customHeight="false" outlineLevel="0" collapsed="false">
      <c r="A1966" s="20"/>
      <c r="B1966" s="19"/>
      <c r="C1966" s="19"/>
      <c r="D1966" s="21"/>
      <c r="E1966" s="19"/>
      <c r="F1966" s="19"/>
      <c r="G1966" s="23" t="str">
        <f aca="false">IF(A1966="","",TEXT(A1966,"yyyy-mm"))</f>
        <v/>
      </c>
      <c r="H1966" s="22" t="str">
        <f aca="false">IF(A1966="","",N(H1965)+IF(B1966="Masuk",N(D1966),-N(D1966)))</f>
        <v/>
      </c>
    </row>
    <row r="1967" customFormat="false" ht="15" hidden="false" customHeight="false" outlineLevel="0" collapsed="false">
      <c r="A1967" s="20"/>
      <c r="B1967" s="19"/>
      <c r="C1967" s="19"/>
      <c r="D1967" s="21"/>
      <c r="E1967" s="19"/>
      <c r="F1967" s="19"/>
      <c r="G1967" s="23" t="str">
        <f aca="false">IF(A1967="","",TEXT(A1967,"yyyy-mm"))</f>
        <v/>
      </c>
      <c r="H1967" s="22" t="str">
        <f aca="false">IF(A1967="","",N(H1966)+IF(B1967="Masuk",N(D1967),-N(D1967)))</f>
        <v/>
      </c>
    </row>
    <row r="1968" customFormat="false" ht="15" hidden="false" customHeight="false" outlineLevel="0" collapsed="false">
      <c r="A1968" s="20"/>
      <c r="B1968" s="19"/>
      <c r="C1968" s="19"/>
      <c r="D1968" s="21"/>
      <c r="E1968" s="19"/>
      <c r="F1968" s="19"/>
      <c r="G1968" s="23" t="str">
        <f aca="false">IF(A1968="","",TEXT(A1968,"yyyy-mm"))</f>
        <v/>
      </c>
      <c r="H1968" s="22" t="str">
        <f aca="false">IF(A1968="","",N(H1967)+IF(B1968="Masuk",N(D1968),-N(D1968)))</f>
        <v/>
      </c>
    </row>
    <row r="1969" customFormat="false" ht="15" hidden="false" customHeight="false" outlineLevel="0" collapsed="false">
      <c r="A1969" s="20"/>
      <c r="B1969" s="19"/>
      <c r="C1969" s="19"/>
      <c r="D1969" s="21"/>
      <c r="E1969" s="19"/>
      <c r="F1969" s="19"/>
      <c r="G1969" s="23" t="str">
        <f aca="false">IF(A1969="","",TEXT(A1969,"yyyy-mm"))</f>
        <v/>
      </c>
      <c r="H1969" s="22" t="str">
        <f aca="false">IF(A1969="","",N(H1968)+IF(B1969="Masuk",N(D1969),-N(D1969)))</f>
        <v/>
      </c>
    </row>
    <row r="1970" customFormat="false" ht="15" hidden="false" customHeight="false" outlineLevel="0" collapsed="false">
      <c r="A1970" s="20"/>
      <c r="B1970" s="19"/>
      <c r="C1970" s="19"/>
      <c r="D1970" s="21"/>
      <c r="E1970" s="19"/>
      <c r="F1970" s="19"/>
      <c r="G1970" s="23" t="str">
        <f aca="false">IF(A1970="","",TEXT(A1970,"yyyy-mm"))</f>
        <v/>
      </c>
      <c r="H1970" s="22" t="str">
        <f aca="false">IF(A1970="","",N(H1969)+IF(B1970="Masuk",N(D1970),-N(D1970)))</f>
        <v/>
      </c>
    </row>
    <row r="1971" customFormat="false" ht="15" hidden="false" customHeight="false" outlineLevel="0" collapsed="false">
      <c r="A1971" s="20"/>
      <c r="B1971" s="19"/>
      <c r="C1971" s="19"/>
      <c r="D1971" s="21"/>
      <c r="E1971" s="19"/>
      <c r="F1971" s="19"/>
      <c r="G1971" s="23" t="str">
        <f aca="false">IF(A1971="","",TEXT(A1971,"yyyy-mm"))</f>
        <v/>
      </c>
      <c r="H1971" s="22" t="str">
        <f aca="false">IF(A1971="","",N(H1970)+IF(B1971="Masuk",N(D1971),-N(D1971)))</f>
        <v/>
      </c>
    </row>
    <row r="1972" customFormat="false" ht="15" hidden="false" customHeight="false" outlineLevel="0" collapsed="false">
      <c r="A1972" s="20"/>
      <c r="B1972" s="19"/>
      <c r="C1972" s="19"/>
      <c r="D1972" s="21"/>
      <c r="E1972" s="19"/>
      <c r="F1972" s="19"/>
      <c r="G1972" s="23" t="str">
        <f aca="false">IF(A1972="","",TEXT(A1972,"yyyy-mm"))</f>
        <v/>
      </c>
      <c r="H1972" s="22" t="str">
        <f aca="false">IF(A1972="","",N(H1971)+IF(B1972="Masuk",N(D1972),-N(D1972)))</f>
        <v/>
      </c>
    </row>
    <row r="1973" customFormat="false" ht="15" hidden="false" customHeight="false" outlineLevel="0" collapsed="false">
      <c r="A1973" s="20"/>
      <c r="B1973" s="19"/>
      <c r="C1973" s="19"/>
      <c r="D1973" s="21"/>
      <c r="E1973" s="19"/>
      <c r="F1973" s="19"/>
      <c r="G1973" s="23" t="str">
        <f aca="false">IF(A1973="","",TEXT(A1973,"yyyy-mm"))</f>
        <v/>
      </c>
      <c r="H1973" s="22" t="str">
        <f aca="false">IF(A1973="","",N(H1972)+IF(B1973="Masuk",N(D1973),-N(D1973)))</f>
        <v/>
      </c>
    </row>
    <row r="1974" customFormat="false" ht="15" hidden="false" customHeight="false" outlineLevel="0" collapsed="false">
      <c r="A1974" s="20"/>
      <c r="B1974" s="19"/>
      <c r="C1974" s="19"/>
      <c r="D1974" s="21"/>
      <c r="E1974" s="19"/>
      <c r="F1974" s="19"/>
      <c r="G1974" s="23" t="str">
        <f aca="false">IF(A1974="","",TEXT(A1974,"yyyy-mm"))</f>
        <v/>
      </c>
      <c r="H1974" s="22" t="str">
        <f aca="false">IF(A1974="","",N(H1973)+IF(B1974="Masuk",N(D1974),-N(D1974)))</f>
        <v/>
      </c>
    </row>
    <row r="1975" customFormat="false" ht="15" hidden="false" customHeight="false" outlineLevel="0" collapsed="false">
      <c r="A1975" s="20"/>
      <c r="B1975" s="19"/>
      <c r="C1975" s="19"/>
      <c r="D1975" s="21"/>
      <c r="E1975" s="19"/>
      <c r="F1975" s="19"/>
      <c r="G1975" s="23" t="str">
        <f aca="false">IF(A1975="","",TEXT(A1975,"yyyy-mm"))</f>
        <v/>
      </c>
      <c r="H1975" s="22" t="str">
        <f aca="false">IF(A1975="","",N(H1974)+IF(B1975="Masuk",N(D1975),-N(D1975)))</f>
        <v/>
      </c>
    </row>
    <row r="1976" customFormat="false" ht="15" hidden="false" customHeight="false" outlineLevel="0" collapsed="false">
      <c r="A1976" s="20"/>
      <c r="B1976" s="19"/>
      <c r="C1976" s="19"/>
      <c r="D1976" s="21"/>
      <c r="E1976" s="19"/>
      <c r="F1976" s="19"/>
      <c r="G1976" s="23" t="str">
        <f aca="false">IF(A1976="","",TEXT(A1976,"yyyy-mm"))</f>
        <v/>
      </c>
      <c r="H1976" s="22" t="str">
        <f aca="false">IF(A1976="","",N(H1975)+IF(B1976="Masuk",N(D1976),-N(D1976)))</f>
        <v/>
      </c>
    </row>
    <row r="1977" customFormat="false" ht="15" hidden="false" customHeight="false" outlineLevel="0" collapsed="false">
      <c r="A1977" s="20"/>
      <c r="B1977" s="19"/>
      <c r="C1977" s="19"/>
      <c r="D1977" s="21"/>
      <c r="E1977" s="19"/>
      <c r="F1977" s="19"/>
      <c r="G1977" s="23" t="str">
        <f aca="false">IF(A1977="","",TEXT(A1977,"yyyy-mm"))</f>
        <v/>
      </c>
      <c r="H1977" s="22" t="str">
        <f aca="false">IF(A1977="","",N(H1976)+IF(B1977="Masuk",N(D1977),-N(D1977)))</f>
        <v/>
      </c>
    </row>
    <row r="1978" customFormat="false" ht="15" hidden="false" customHeight="false" outlineLevel="0" collapsed="false">
      <c r="A1978" s="20"/>
      <c r="B1978" s="19"/>
      <c r="C1978" s="19"/>
      <c r="D1978" s="21"/>
      <c r="E1978" s="19"/>
      <c r="F1978" s="19"/>
      <c r="G1978" s="23" t="str">
        <f aca="false">IF(A1978="","",TEXT(A1978,"yyyy-mm"))</f>
        <v/>
      </c>
      <c r="H1978" s="22" t="str">
        <f aca="false">IF(A1978="","",N(H1977)+IF(B1978="Masuk",N(D1978),-N(D1978)))</f>
        <v/>
      </c>
    </row>
    <row r="1979" customFormat="false" ht="15" hidden="false" customHeight="false" outlineLevel="0" collapsed="false">
      <c r="A1979" s="20"/>
      <c r="B1979" s="19"/>
      <c r="C1979" s="19"/>
      <c r="D1979" s="21"/>
      <c r="E1979" s="19"/>
      <c r="F1979" s="19"/>
      <c r="G1979" s="23" t="str">
        <f aca="false">IF(A1979="","",TEXT(A1979,"yyyy-mm"))</f>
        <v/>
      </c>
      <c r="H1979" s="22" t="str">
        <f aca="false">IF(A1979="","",N(H1978)+IF(B1979="Masuk",N(D1979),-N(D1979)))</f>
        <v/>
      </c>
    </row>
    <row r="1980" customFormat="false" ht="15" hidden="false" customHeight="false" outlineLevel="0" collapsed="false">
      <c r="A1980" s="20"/>
      <c r="B1980" s="19"/>
      <c r="C1980" s="19"/>
      <c r="D1980" s="21"/>
      <c r="E1980" s="19"/>
      <c r="F1980" s="19"/>
      <c r="G1980" s="23" t="str">
        <f aca="false">IF(A1980="","",TEXT(A1980,"yyyy-mm"))</f>
        <v/>
      </c>
      <c r="H1980" s="22" t="str">
        <f aca="false">IF(A1980="","",N(H1979)+IF(B1980="Masuk",N(D1980),-N(D1980)))</f>
        <v/>
      </c>
    </row>
    <row r="1981" customFormat="false" ht="15" hidden="false" customHeight="false" outlineLevel="0" collapsed="false">
      <c r="A1981" s="20"/>
      <c r="B1981" s="19"/>
      <c r="C1981" s="19"/>
      <c r="D1981" s="21"/>
      <c r="E1981" s="19"/>
      <c r="F1981" s="19"/>
      <c r="G1981" s="23" t="str">
        <f aca="false">IF(A1981="","",TEXT(A1981,"yyyy-mm"))</f>
        <v/>
      </c>
      <c r="H1981" s="22" t="str">
        <f aca="false">IF(A1981="","",N(H1980)+IF(B1981="Masuk",N(D1981),-N(D1981)))</f>
        <v/>
      </c>
    </row>
    <row r="1982" customFormat="false" ht="15" hidden="false" customHeight="false" outlineLevel="0" collapsed="false">
      <c r="A1982" s="20"/>
      <c r="B1982" s="19"/>
      <c r="C1982" s="19"/>
      <c r="D1982" s="21"/>
      <c r="E1982" s="19"/>
      <c r="F1982" s="19"/>
      <c r="G1982" s="23" t="str">
        <f aca="false">IF(A1982="","",TEXT(A1982,"yyyy-mm"))</f>
        <v/>
      </c>
      <c r="H1982" s="22" t="str">
        <f aca="false">IF(A1982="","",N(H1981)+IF(B1982="Masuk",N(D1982),-N(D1982)))</f>
        <v/>
      </c>
    </row>
    <row r="1983" customFormat="false" ht="15" hidden="false" customHeight="false" outlineLevel="0" collapsed="false">
      <c r="A1983" s="20"/>
      <c r="B1983" s="19"/>
      <c r="C1983" s="19"/>
      <c r="D1983" s="21"/>
      <c r="E1983" s="19"/>
      <c r="F1983" s="19"/>
      <c r="G1983" s="23" t="str">
        <f aca="false">IF(A1983="","",TEXT(A1983,"yyyy-mm"))</f>
        <v/>
      </c>
      <c r="H1983" s="22" t="str">
        <f aca="false">IF(A1983="","",N(H1982)+IF(B1983="Masuk",N(D1983),-N(D1983)))</f>
        <v/>
      </c>
    </row>
    <row r="1984" customFormat="false" ht="15" hidden="false" customHeight="false" outlineLevel="0" collapsed="false">
      <c r="A1984" s="20"/>
      <c r="B1984" s="19"/>
      <c r="C1984" s="19"/>
      <c r="D1984" s="21"/>
      <c r="E1984" s="19"/>
      <c r="F1984" s="19"/>
      <c r="G1984" s="23" t="str">
        <f aca="false">IF(A1984="","",TEXT(A1984,"yyyy-mm"))</f>
        <v/>
      </c>
      <c r="H1984" s="22" t="str">
        <f aca="false">IF(A1984="","",N(H1983)+IF(B1984="Masuk",N(D1984),-N(D1984)))</f>
        <v/>
      </c>
    </row>
    <row r="1985" customFormat="false" ht="15" hidden="false" customHeight="false" outlineLevel="0" collapsed="false">
      <c r="A1985" s="20"/>
      <c r="B1985" s="19"/>
      <c r="C1985" s="19"/>
      <c r="D1985" s="21"/>
      <c r="E1985" s="19"/>
      <c r="F1985" s="19"/>
      <c r="G1985" s="23" t="str">
        <f aca="false">IF(A1985="","",TEXT(A1985,"yyyy-mm"))</f>
        <v/>
      </c>
      <c r="H1985" s="22" t="str">
        <f aca="false">IF(A1985="","",N(H1984)+IF(B1985="Masuk",N(D1985),-N(D1985)))</f>
        <v/>
      </c>
    </row>
    <row r="1986" customFormat="false" ht="15" hidden="false" customHeight="false" outlineLevel="0" collapsed="false">
      <c r="A1986" s="20"/>
      <c r="B1986" s="19"/>
      <c r="C1986" s="19"/>
      <c r="D1986" s="21"/>
      <c r="E1986" s="19"/>
      <c r="F1986" s="19"/>
      <c r="G1986" s="23" t="str">
        <f aca="false">IF(A1986="","",TEXT(A1986,"yyyy-mm"))</f>
        <v/>
      </c>
      <c r="H1986" s="22" t="str">
        <f aca="false">IF(A1986="","",N(H1985)+IF(B1986="Masuk",N(D1986),-N(D1986)))</f>
        <v/>
      </c>
    </row>
    <row r="1987" customFormat="false" ht="15" hidden="false" customHeight="false" outlineLevel="0" collapsed="false">
      <c r="A1987" s="20"/>
      <c r="B1987" s="19"/>
      <c r="C1987" s="19"/>
      <c r="D1987" s="21"/>
      <c r="E1987" s="19"/>
      <c r="F1987" s="19"/>
      <c r="G1987" s="23" t="str">
        <f aca="false">IF(A1987="","",TEXT(A1987,"yyyy-mm"))</f>
        <v/>
      </c>
      <c r="H1987" s="22" t="str">
        <f aca="false">IF(A1987="","",N(H1986)+IF(B1987="Masuk",N(D1987),-N(D1987)))</f>
        <v/>
      </c>
    </row>
    <row r="1988" customFormat="false" ht="15" hidden="false" customHeight="false" outlineLevel="0" collapsed="false">
      <c r="A1988" s="20"/>
      <c r="B1988" s="19"/>
      <c r="C1988" s="19"/>
      <c r="D1988" s="21"/>
      <c r="E1988" s="19"/>
      <c r="F1988" s="19"/>
      <c r="G1988" s="23" t="str">
        <f aca="false">IF(A1988="","",TEXT(A1988,"yyyy-mm"))</f>
        <v/>
      </c>
      <c r="H1988" s="22" t="str">
        <f aca="false">IF(A1988="","",N(H1987)+IF(B1988="Masuk",N(D1988),-N(D1988)))</f>
        <v/>
      </c>
    </row>
    <row r="1989" customFormat="false" ht="15" hidden="false" customHeight="false" outlineLevel="0" collapsed="false">
      <c r="A1989" s="20"/>
      <c r="B1989" s="19"/>
      <c r="C1989" s="19"/>
      <c r="D1989" s="21"/>
      <c r="E1989" s="19"/>
      <c r="F1989" s="19"/>
      <c r="G1989" s="23" t="str">
        <f aca="false">IF(A1989="","",TEXT(A1989,"yyyy-mm"))</f>
        <v/>
      </c>
      <c r="H1989" s="22" t="str">
        <f aca="false">IF(A1989="","",N(H1988)+IF(B1989="Masuk",N(D1989),-N(D1989)))</f>
        <v/>
      </c>
    </row>
    <row r="1990" customFormat="false" ht="15" hidden="false" customHeight="false" outlineLevel="0" collapsed="false">
      <c r="A1990" s="20"/>
      <c r="B1990" s="19"/>
      <c r="C1990" s="19"/>
      <c r="D1990" s="21"/>
      <c r="E1990" s="19"/>
      <c r="F1990" s="19"/>
      <c r="G1990" s="23" t="str">
        <f aca="false">IF(A1990="","",TEXT(A1990,"yyyy-mm"))</f>
        <v/>
      </c>
      <c r="H1990" s="22" t="str">
        <f aca="false">IF(A1990="","",N(H1989)+IF(B1990="Masuk",N(D1990),-N(D1990)))</f>
        <v/>
      </c>
    </row>
    <row r="1991" customFormat="false" ht="15" hidden="false" customHeight="false" outlineLevel="0" collapsed="false">
      <c r="A1991" s="20"/>
      <c r="B1991" s="19"/>
      <c r="C1991" s="19"/>
      <c r="D1991" s="21"/>
      <c r="E1991" s="19"/>
      <c r="F1991" s="19"/>
      <c r="G1991" s="23" t="str">
        <f aca="false">IF(A1991="","",TEXT(A1991,"yyyy-mm"))</f>
        <v/>
      </c>
      <c r="H1991" s="22" t="str">
        <f aca="false">IF(A1991="","",N(H1990)+IF(B1991="Masuk",N(D1991),-N(D1991)))</f>
        <v/>
      </c>
    </row>
    <row r="1992" customFormat="false" ht="15" hidden="false" customHeight="false" outlineLevel="0" collapsed="false">
      <c r="A1992" s="20"/>
      <c r="B1992" s="19"/>
      <c r="C1992" s="19"/>
      <c r="D1992" s="21"/>
      <c r="E1992" s="19"/>
      <c r="F1992" s="19"/>
      <c r="G1992" s="23" t="str">
        <f aca="false">IF(A1992="","",TEXT(A1992,"yyyy-mm"))</f>
        <v/>
      </c>
      <c r="H1992" s="22" t="str">
        <f aca="false">IF(A1992="","",N(H1991)+IF(B1992="Masuk",N(D1992),-N(D1992)))</f>
        <v/>
      </c>
    </row>
    <row r="1993" customFormat="false" ht="15" hidden="false" customHeight="false" outlineLevel="0" collapsed="false">
      <c r="A1993" s="20"/>
      <c r="B1993" s="19"/>
      <c r="C1993" s="19"/>
      <c r="D1993" s="21"/>
      <c r="E1993" s="19"/>
      <c r="F1993" s="19"/>
      <c r="G1993" s="23" t="str">
        <f aca="false">IF(A1993="","",TEXT(A1993,"yyyy-mm"))</f>
        <v/>
      </c>
      <c r="H1993" s="22" t="str">
        <f aca="false">IF(A1993="","",N(H1992)+IF(B1993="Masuk",N(D1993),-N(D1993)))</f>
        <v/>
      </c>
    </row>
    <row r="1994" customFormat="false" ht="15" hidden="false" customHeight="false" outlineLevel="0" collapsed="false">
      <c r="A1994" s="20"/>
      <c r="B1994" s="19"/>
      <c r="C1994" s="19"/>
      <c r="D1994" s="21"/>
      <c r="E1994" s="19"/>
      <c r="F1994" s="19"/>
      <c r="G1994" s="23" t="str">
        <f aca="false">IF(A1994="","",TEXT(A1994,"yyyy-mm"))</f>
        <v/>
      </c>
      <c r="H1994" s="22" t="str">
        <f aca="false">IF(A1994="","",N(H1993)+IF(B1994="Masuk",N(D1994),-N(D1994)))</f>
        <v/>
      </c>
    </row>
    <row r="1995" customFormat="false" ht="15" hidden="false" customHeight="false" outlineLevel="0" collapsed="false">
      <c r="A1995" s="20"/>
      <c r="B1995" s="19"/>
      <c r="C1995" s="19"/>
      <c r="D1995" s="21"/>
      <c r="E1995" s="19"/>
      <c r="F1995" s="19"/>
      <c r="G1995" s="23" t="str">
        <f aca="false">IF(A1995="","",TEXT(A1995,"yyyy-mm"))</f>
        <v/>
      </c>
      <c r="H1995" s="22" t="str">
        <f aca="false">IF(A1995="","",N(H1994)+IF(B1995="Masuk",N(D1995),-N(D1995)))</f>
        <v/>
      </c>
    </row>
    <row r="1996" customFormat="false" ht="15" hidden="false" customHeight="false" outlineLevel="0" collapsed="false">
      <c r="A1996" s="20"/>
      <c r="B1996" s="19"/>
      <c r="C1996" s="19"/>
      <c r="D1996" s="21"/>
      <c r="E1996" s="19"/>
      <c r="F1996" s="19"/>
      <c r="G1996" s="23" t="str">
        <f aca="false">IF(A1996="","",TEXT(A1996,"yyyy-mm"))</f>
        <v/>
      </c>
      <c r="H1996" s="22" t="str">
        <f aca="false">IF(A1996="","",N(H1995)+IF(B1996="Masuk",N(D1996),-N(D1996)))</f>
        <v/>
      </c>
    </row>
    <row r="1997" customFormat="false" ht="15" hidden="false" customHeight="false" outlineLevel="0" collapsed="false">
      <c r="A1997" s="20"/>
      <c r="B1997" s="19"/>
      <c r="C1997" s="19"/>
      <c r="D1997" s="21"/>
      <c r="E1997" s="19"/>
      <c r="F1997" s="19"/>
      <c r="G1997" s="23" t="str">
        <f aca="false">IF(A1997="","",TEXT(A1997,"yyyy-mm"))</f>
        <v/>
      </c>
      <c r="H1997" s="22" t="str">
        <f aca="false">IF(A1997="","",N(H1996)+IF(B1997="Masuk",N(D1997),-N(D1997)))</f>
        <v/>
      </c>
    </row>
    <row r="1998" customFormat="false" ht="15" hidden="false" customHeight="false" outlineLevel="0" collapsed="false">
      <c r="A1998" s="20"/>
      <c r="B1998" s="19"/>
      <c r="C1998" s="19"/>
      <c r="D1998" s="21"/>
      <c r="E1998" s="19"/>
      <c r="F1998" s="19"/>
      <c r="G1998" s="23" t="str">
        <f aca="false">IF(A1998="","",TEXT(A1998,"yyyy-mm"))</f>
        <v/>
      </c>
      <c r="H1998" s="22" t="str">
        <f aca="false">IF(A1998="","",N(H1997)+IF(B1998="Masuk",N(D1998),-N(D1998)))</f>
        <v/>
      </c>
    </row>
    <row r="1999" customFormat="false" ht="15" hidden="false" customHeight="false" outlineLevel="0" collapsed="false">
      <c r="A1999" s="20"/>
      <c r="B1999" s="19"/>
      <c r="C1999" s="19"/>
      <c r="D1999" s="21"/>
      <c r="E1999" s="19"/>
      <c r="F1999" s="19"/>
      <c r="G1999" s="23" t="str">
        <f aca="false">IF(A1999="","",TEXT(A1999,"yyyy-mm"))</f>
        <v/>
      </c>
      <c r="H1999" s="22" t="str">
        <f aca="false">IF(A1999="","",N(H1998)+IF(B1999="Masuk",N(D1999),-N(D1999)))</f>
        <v/>
      </c>
    </row>
    <row r="2000" customFormat="false" ht="15" hidden="false" customHeight="false" outlineLevel="0" collapsed="false">
      <c r="A2000" s="20"/>
      <c r="B2000" s="19"/>
      <c r="C2000" s="19"/>
      <c r="D2000" s="21"/>
      <c r="E2000" s="19"/>
      <c r="F2000" s="19"/>
      <c r="G2000" s="23" t="str">
        <f aca="false">IF(A2000="","",TEXT(A2000,"yyyy-mm"))</f>
        <v/>
      </c>
      <c r="H2000" s="22" t="str">
        <f aca="false">IF(A2000="","",N(H1999)+IF(B2000="Masuk",N(D2000),-N(D2000)))</f>
        <v/>
      </c>
    </row>
  </sheetData>
  <dataValidations count="2">
    <dataValidation allowBlank="true" errorStyle="stop" operator="between" showDropDown="false" showErrorMessage="false" showInputMessage="false" sqref="B2:B2000" type="list">
      <formula1>"Masuk,Keluar"</formula1>
      <formula2>0</formula2>
    </dataValidation>
    <dataValidation allowBlank="true" errorStyle="stop" operator="between" showDropDown="false" showErrorMessage="false" showInputMessage="false" sqref="C2:C2000" type="list">
      <formula1>"Penjualan,Ongkir diterima,Refund,Filamen,Kemasan,Kelistrikan,Kurir,Listrik,Alat &amp; sparepart,Iklan,Marketplace fee,Lainnya"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2" min="10" style="0" width="13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8"/>
  </cols>
  <sheetData>
    <row r="1" customFormat="false" ht="25.5" hidden="false" customHeight="true" outlineLevel="0" collapsed="false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43.5" hidden="false" customHeight="true" outlineLevel="0" collapsed="false">
      <c r="A4" s="7" t="s">
        <v>2</v>
      </c>
      <c r="B4" s="7" t="s">
        <v>6</v>
      </c>
      <c r="C4" s="7" t="s">
        <v>243</v>
      </c>
      <c r="D4" s="7" t="s">
        <v>50</v>
      </c>
      <c r="E4" s="7" t="s">
        <v>244</v>
      </c>
      <c r="F4" s="7" t="s">
        <v>245</v>
      </c>
      <c r="G4" s="7" t="s">
        <v>246</v>
      </c>
      <c r="H4" s="7" t="s">
        <v>52</v>
      </c>
      <c r="I4" s="7" t="s">
        <v>94</v>
      </c>
      <c r="J4" s="7" t="s">
        <v>247</v>
      </c>
      <c r="K4" s="7" t="s">
        <v>248</v>
      </c>
      <c r="L4" s="7" t="s">
        <v>249</v>
      </c>
      <c r="M4" s="7" t="s">
        <v>250</v>
      </c>
      <c r="N4" s="7" t="s">
        <v>251</v>
      </c>
      <c r="O4" s="7" t="s">
        <v>252</v>
      </c>
    </row>
    <row r="5" customFormat="false" ht="15" hidden="false" customHeight="false" outlineLevel="0" collapsed="false">
      <c r="A5" s="12" t="str">
        <f aca="false">TEXT(EDATE(Pengaturan!$B$5,0),"yyyy-mm")</f>
        <v>2025-10</v>
      </c>
      <c r="B5" s="12" t="n">
        <f aca="false">COUNTIFS(Pesanan!$U$2:$U$1000,$A5)</f>
        <v>3</v>
      </c>
      <c r="C5" s="12" t="n">
        <f aca="false">SUMPRODUCT((Pesanan!$U$2:$U$1000=$A5)*Pesanan!$W$2:$W$1000)</f>
        <v>2</v>
      </c>
      <c r="D5" s="15" t="n">
        <f aca="false">IF(B5=0,"",C5/B5)</f>
        <v>0.666666666666667</v>
      </c>
      <c r="E5" s="16" t="n">
        <f aca="false">SUMIFS(Pesanan!$G$2:$G$1000,Pesanan!$V$2:$V$1000,$A5,Pesanan!$W$2:$W$1000,1)</f>
        <v>824000</v>
      </c>
      <c r="F5" s="16" t="n">
        <f aca="false">SUMIFS(Pesanan!$I$2:$I$1000,Pesanan!$V$2:$V$1000,$A5,Pesanan!$W$2:$W$1000,1)</f>
        <v>65000</v>
      </c>
      <c r="G5" s="16" t="n">
        <f aca="false">SUMIFS(Pesanan!$AM$2:$AM$1000,Pesanan!$V$2:$V$1000,$A5,Pesanan!$W$2:$W$1000,1)</f>
        <v>495850</v>
      </c>
      <c r="H5" s="16" t="n">
        <f aca="false">E5-G5</f>
        <v>328150</v>
      </c>
      <c r="I5" s="15" t="n">
        <f aca="false">IF(E5=0,"",H5/E5)</f>
        <v>0.398240291262136</v>
      </c>
      <c r="J5" s="16" t="n">
        <f aca="false">SUMIFS(Kas!$D$2:$D$2000,Kas!$B$2:$B$2000,"Masuk",Kas!$G$2:$G$2000,$A5)</f>
        <v>889000</v>
      </c>
      <c r="K5" s="16" t="n">
        <f aca="false">SUMIFS(Kas!$D$2:$D$2000,Kas!$B$2:$B$2000,"Keluar",Kas!$G$2:$G$2000,$A5)</f>
        <v>170000</v>
      </c>
      <c r="L5" s="16" t="n">
        <f aca="false">J5-K5</f>
        <v>719000</v>
      </c>
      <c r="M5" s="17" t="n">
        <f aca="false">IF(COUNTIFS(Pesanan!$V$2:$V$1000,$A5,Pesanan!$S$2:$S$1000,"&gt;=0")=0,"",SUMIFS(Pesanan!$S$2:$S$1000,Pesanan!$V$2:$V$1000,$A5)/COUNTIFS(Pesanan!$V$2:$V$1000,$A5,Pesanan!$S$2:$S$1000,"&gt;=0"))</f>
        <v>7</v>
      </c>
      <c r="N5" s="12" t="n">
        <f aca="false">COUNTIFS(Pesanan!$U$2:$U$1000,$A5,Pesanan!$T$2:$T$1000,"YA")</f>
        <v>1</v>
      </c>
      <c r="O5" s="12" t="n">
        <f aca="false">COUNTIFS(Pesanan!$U$2:$U$1000,$A5,Pesanan!$C$2:$C$1000,"Batal")</f>
        <v>0</v>
      </c>
    </row>
    <row r="6" customFormat="false" ht="15" hidden="false" customHeight="false" outlineLevel="0" collapsed="false">
      <c r="A6" s="12" t="str">
        <f aca="false">TEXT(EDATE(Pengaturan!$B$5,1),"yyyy-mm")</f>
        <v>2025-11</v>
      </c>
      <c r="B6" s="12" t="n">
        <f aca="false">COUNTIFS(Pesanan!$U$2:$U$1000,$A6)</f>
        <v>0</v>
      </c>
      <c r="C6" s="12" t="n">
        <f aca="false">SUMPRODUCT((Pesanan!$U$2:$U$1000=$A6)*Pesanan!$W$2:$W$1000)</f>
        <v>0</v>
      </c>
      <c r="D6" s="15" t="str">
        <f aca="false">IF(B6=0,"",C6/B6)</f>
        <v/>
      </c>
      <c r="E6" s="16" t="n">
        <f aca="false">SUMIFS(Pesanan!$G$2:$G$1000,Pesanan!$V$2:$V$1000,$A6,Pesanan!$W$2:$W$1000,1)</f>
        <v>0</v>
      </c>
      <c r="F6" s="16" t="n">
        <f aca="false">SUMIFS(Pesanan!$I$2:$I$1000,Pesanan!$V$2:$V$1000,$A6,Pesanan!$W$2:$W$1000,1)</f>
        <v>0</v>
      </c>
      <c r="G6" s="16" t="n">
        <f aca="false">SUMIFS(Pesanan!$AM$2:$AM$1000,Pesanan!$V$2:$V$1000,$A6,Pesanan!$W$2:$W$1000,1)</f>
        <v>0</v>
      </c>
      <c r="H6" s="16" t="n">
        <f aca="false">E6-G6</f>
        <v>0</v>
      </c>
      <c r="I6" s="15" t="str">
        <f aca="false">IF(E6=0,"",H6/E6)</f>
        <v/>
      </c>
      <c r="J6" s="16" t="n">
        <f aca="false">SUMIFS(Kas!$D$2:$D$2000,Kas!$B$2:$B$2000,"Masuk",Kas!$G$2:$G$2000,$A6)</f>
        <v>0</v>
      </c>
      <c r="K6" s="16" t="n">
        <f aca="false">SUMIFS(Kas!$D$2:$D$2000,Kas!$B$2:$B$2000,"Keluar",Kas!$G$2:$G$2000,$A6)</f>
        <v>0</v>
      </c>
      <c r="L6" s="16" t="n">
        <f aca="false">J6-K6</f>
        <v>0</v>
      </c>
      <c r="M6" s="17" t="str">
        <f aca="false">IF(COUNTIFS(Pesanan!$V$2:$V$1000,$A6,Pesanan!$S$2:$S$1000,"&gt;=0")=0,"",SUMIFS(Pesanan!$S$2:$S$1000,Pesanan!$V$2:$V$1000,$A6)/COUNTIFS(Pesanan!$V$2:$V$1000,$A6,Pesanan!$S$2:$S$1000,"&gt;=0"))</f>
        <v/>
      </c>
      <c r="N6" s="12" t="n">
        <f aca="false">COUNTIFS(Pesanan!$U$2:$U$1000,$A6,Pesanan!$T$2:$T$1000,"YA")</f>
        <v>0</v>
      </c>
      <c r="O6" s="12" t="n">
        <f aca="false">COUNTIFS(Pesanan!$U$2:$U$1000,$A6,Pesanan!$C$2:$C$1000,"Batal")</f>
        <v>0</v>
      </c>
    </row>
    <row r="7" customFormat="false" ht="15" hidden="false" customHeight="false" outlineLevel="0" collapsed="false">
      <c r="A7" s="12" t="str">
        <f aca="false">TEXT(EDATE(Pengaturan!$B$5,2),"yyyy-mm")</f>
        <v>2025-12</v>
      </c>
      <c r="B7" s="12" t="n">
        <f aca="false">COUNTIFS(Pesanan!$U$2:$U$1000,$A7)</f>
        <v>0</v>
      </c>
      <c r="C7" s="12" t="n">
        <f aca="false">SUMPRODUCT((Pesanan!$U$2:$U$1000=$A7)*Pesanan!$W$2:$W$1000)</f>
        <v>0</v>
      </c>
      <c r="D7" s="15" t="str">
        <f aca="false">IF(B7=0,"",C7/B7)</f>
        <v/>
      </c>
      <c r="E7" s="16" t="n">
        <f aca="false">SUMIFS(Pesanan!$G$2:$G$1000,Pesanan!$V$2:$V$1000,$A7,Pesanan!$W$2:$W$1000,1)</f>
        <v>0</v>
      </c>
      <c r="F7" s="16" t="n">
        <f aca="false">SUMIFS(Pesanan!$I$2:$I$1000,Pesanan!$V$2:$V$1000,$A7,Pesanan!$W$2:$W$1000,1)</f>
        <v>0</v>
      </c>
      <c r="G7" s="16" t="n">
        <f aca="false">SUMIFS(Pesanan!$AM$2:$AM$1000,Pesanan!$V$2:$V$1000,$A7,Pesanan!$W$2:$W$1000,1)</f>
        <v>0</v>
      </c>
      <c r="H7" s="16" t="n">
        <f aca="false">E7-G7</f>
        <v>0</v>
      </c>
      <c r="I7" s="15" t="str">
        <f aca="false">IF(E7=0,"",H7/E7)</f>
        <v/>
      </c>
      <c r="J7" s="16" t="n">
        <f aca="false">SUMIFS(Kas!$D$2:$D$2000,Kas!$B$2:$B$2000,"Masuk",Kas!$G$2:$G$2000,$A7)</f>
        <v>0</v>
      </c>
      <c r="K7" s="16" t="n">
        <f aca="false">SUMIFS(Kas!$D$2:$D$2000,Kas!$B$2:$B$2000,"Keluar",Kas!$G$2:$G$2000,$A7)</f>
        <v>0</v>
      </c>
      <c r="L7" s="16" t="n">
        <f aca="false">J7-K7</f>
        <v>0</v>
      </c>
      <c r="M7" s="17" t="str">
        <f aca="false">IF(COUNTIFS(Pesanan!$V$2:$V$1000,$A7,Pesanan!$S$2:$S$1000,"&gt;=0")=0,"",SUMIFS(Pesanan!$S$2:$S$1000,Pesanan!$V$2:$V$1000,$A7)/COUNTIFS(Pesanan!$V$2:$V$1000,$A7,Pesanan!$S$2:$S$1000,"&gt;=0"))</f>
        <v/>
      </c>
      <c r="N7" s="12" t="n">
        <f aca="false">COUNTIFS(Pesanan!$U$2:$U$1000,$A7,Pesanan!$T$2:$T$1000,"YA")</f>
        <v>0</v>
      </c>
      <c r="O7" s="12" t="n">
        <f aca="false">COUNTIFS(Pesanan!$U$2:$U$1000,$A7,Pesanan!$C$2:$C$1000,"Batal")</f>
        <v>0</v>
      </c>
    </row>
    <row r="8" customFormat="false" ht="15" hidden="false" customHeight="false" outlineLevel="0" collapsed="false">
      <c r="A8" s="12" t="str">
        <f aca="false">TEXT(EDATE(Pengaturan!$B$5,3),"yyyy-mm")</f>
        <v>2026-01</v>
      </c>
      <c r="B8" s="12" t="n">
        <f aca="false">COUNTIFS(Pesanan!$U$2:$U$1000,$A8)</f>
        <v>0</v>
      </c>
      <c r="C8" s="12" t="n">
        <f aca="false">SUMPRODUCT((Pesanan!$U$2:$U$1000=$A8)*Pesanan!$W$2:$W$1000)</f>
        <v>0</v>
      </c>
      <c r="D8" s="15" t="str">
        <f aca="false">IF(B8=0,"",C8/B8)</f>
        <v/>
      </c>
      <c r="E8" s="16" t="n">
        <f aca="false">SUMIFS(Pesanan!$G$2:$G$1000,Pesanan!$V$2:$V$1000,$A8,Pesanan!$W$2:$W$1000,1)</f>
        <v>0</v>
      </c>
      <c r="F8" s="16" t="n">
        <f aca="false">SUMIFS(Pesanan!$I$2:$I$1000,Pesanan!$V$2:$V$1000,$A8,Pesanan!$W$2:$W$1000,1)</f>
        <v>0</v>
      </c>
      <c r="G8" s="16" t="n">
        <f aca="false">SUMIFS(Pesanan!$AM$2:$AM$1000,Pesanan!$V$2:$V$1000,$A8,Pesanan!$W$2:$W$1000,1)</f>
        <v>0</v>
      </c>
      <c r="H8" s="16" t="n">
        <f aca="false">E8-G8</f>
        <v>0</v>
      </c>
      <c r="I8" s="15" t="str">
        <f aca="false">IF(E8=0,"",H8/E8)</f>
        <v/>
      </c>
      <c r="J8" s="16" t="n">
        <f aca="false">SUMIFS(Kas!$D$2:$D$2000,Kas!$B$2:$B$2000,"Masuk",Kas!$G$2:$G$2000,$A8)</f>
        <v>0</v>
      </c>
      <c r="K8" s="16" t="n">
        <f aca="false">SUMIFS(Kas!$D$2:$D$2000,Kas!$B$2:$B$2000,"Keluar",Kas!$G$2:$G$2000,$A8)</f>
        <v>0</v>
      </c>
      <c r="L8" s="16" t="n">
        <f aca="false">J8-K8</f>
        <v>0</v>
      </c>
      <c r="M8" s="17" t="str">
        <f aca="false">IF(COUNTIFS(Pesanan!$V$2:$V$1000,$A8,Pesanan!$S$2:$S$1000,"&gt;=0")=0,"",SUMIFS(Pesanan!$S$2:$S$1000,Pesanan!$V$2:$V$1000,$A8)/COUNTIFS(Pesanan!$V$2:$V$1000,$A8,Pesanan!$S$2:$S$1000,"&gt;=0"))</f>
        <v/>
      </c>
      <c r="N8" s="12" t="n">
        <f aca="false">COUNTIFS(Pesanan!$U$2:$U$1000,$A8,Pesanan!$T$2:$T$1000,"YA")</f>
        <v>0</v>
      </c>
      <c r="O8" s="12" t="n">
        <f aca="false">COUNTIFS(Pesanan!$U$2:$U$1000,$A8,Pesanan!$C$2:$C$1000,"Batal")</f>
        <v>0</v>
      </c>
    </row>
    <row r="9" customFormat="false" ht="15" hidden="false" customHeight="false" outlineLevel="0" collapsed="false">
      <c r="A9" s="12" t="str">
        <f aca="false">TEXT(EDATE(Pengaturan!$B$5,4),"yyyy-mm")</f>
        <v>2026-02</v>
      </c>
      <c r="B9" s="12" t="n">
        <f aca="false">COUNTIFS(Pesanan!$U$2:$U$1000,$A9)</f>
        <v>0</v>
      </c>
      <c r="C9" s="12" t="n">
        <f aca="false">SUMPRODUCT((Pesanan!$U$2:$U$1000=$A9)*Pesanan!$W$2:$W$1000)</f>
        <v>0</v>
      </c>
      <c r="D9" s="15" t="str">
        <f aca="false">IF(B9=0,"",C9/B9)</f>
        <v/>
      </c>
      <c r="E9" s="16" t="n">
        <f aca="false">SUMIFS(Pesanan!$G$2:$G$1000,Pesanan!$V$2:$V$1000,$A9,Pesanan!$W$2:$W$1000,1)</f>
        <v>0</v>
      </c>
      <c r="F9" s="16" t="n">
        <f aca="false">SUMIFS(Pesanan!$I$2:$I$1000,Pesanan!$V$2:$V$1000,$A9,Pesanan!$W$2:$W$1000,1)</f>
        <v>0</v>
      </c>
      <c r="G9" s="16" t="n">
        <f aca="false">SUMIFS(Pesanan!$AM$2:$AM$1000,Pesanan!$V$2:$V$1000,$A9,Pesanan!$W$2:$W$1000,1)</f>
        <v>0</v>
      </c>
      <c r="H9" s="16" t="n">
        <f aca="false">E9-G9</f>
        <v>0</v>
      </c>
      <c r="I9" s="15" t="str">
        <f aca="false">IF(E9=0,"",H9/E9)</f>
        <v/>
      </c>
      <c r="J9" s="16" t="n">
        <f aca="false">SUMIFS(Kas!$D$2:$D$2000,Kas!$B$2:$B$2000,"Masuk",Kas!$G$2:$G$2000,$A9)</f>
        <v>0</v>
      </c>
      <c r="K9" s="16" t="n">
        <f aca="false">SUMIFS(Kas!$D$2:$D$2000,Kas!$B$2:$B$2000,"Keluar",Kas!$G$2:$G$2000,$A9)</f>
        <v>0</v>
      </c>
      <c r="L9" s="16" t="n">
        <f aca="false">J9-K9</f>
        <v>0</v>
      </c>
      <c r="M9" s="17" t="str">
        <f aca="false">IF(COUNTIFS(Pesanan!$V$2:$V$1000,$A9,Pesanan!$S$2:$S$1000,"&gt;=0")=0,"",SUMIFS(Pesanan!$S$2:$S$1000,Pesanan!$V$2:$V$1000,$A9)/COUNTIFS(Pesanan!$V$2:$V$1000,$A9,Pesanan!$S$2:$S$1000,"&gt;=0"))</f>
        <v/>
      </c>
      <c r="N9" s="12" t="n">
        <f aca="false">COUNTIFS(Pesanan!$U$2:$U$1000,$A9,Pesanan!$T$2:$T$1000,"YA")</f>
        <v>0</v>
      </c>
      <c r="O9" s="12" t="n">
        <f aca="false">COUNTIFS(Pesanan!$U$2:$U$1000,$A9,Pesanan!$C$2:$C$1000,"Batal")</f>
        <v>0</v>
      </c>
    </row>
    <row r="10" customFormat="false" ht="15" hidden="false" customHeight="false" outlineLevel="0" collapsed="false">
      <c r="A10" s="12" t="str">
        <f aca="false">TEXT(EDATE(Pengaturan!$B$5,5),"yyyy-mm")</f>
        <v>2026-03</v>
      </c>
      <c r="B10" s="12" t="n">
        <f aca="false">COUNTIFS(Pesanan!$U$2:$U$1000,$A10)</f>
        <v>0</v>
      </c>
      <c r="C10" s="12" t="n">
        <f aca="false">SUMPRODUCT((Pesanan!$U$2:$U$1000=$A10)*Pesanan!$W$2:$W$1000)</f>
        <v>0</v>
      </c>
      <c r="D10" s="15" t="str">
        <f aca="false">IF(B10=0,"",C10/B10)</f>
        <v/>
      </c>
      <c r="E10" s="16" t="n">
        <f aca="false">SUMIFS(Pesanan!$G$2:$G$1000,Pesanan!$V$2:$V$1000,$A10,Pesanan!$W$2:$W$1000,1)</f>
        <v>0</v>
      </c>
      <c r="F10" s="16" t="n">
        <f aca="false">SUMIFS(Pesanan!$I$2:$I$1000,Pesanan!$V$2:$V$1000,$A10,Pesanan!$W$2:$W$1000,1)</f>
        <v>0</v>
      </c>
      <c r="G10" s="16" t="n">
        <f aca="false">SUMIFS(Pesanan!$AM$2:$AM$1000,Pesanan!$V$2:$V$1000,$A10,Pesanan!$W$2:$W$1000,1)</f>
        <v>0</v>
      </c>
      <c r="H10" s="16" t="n">
        <f aca="false">E10-G10</f>
        <v>0</v>
      </c>
      <c r="I10" s="15" t="str">
        <f aca="false">IF(E10=0,"",H10/E10)</f>
        <v/>
      </c>
      <c r="J10" s="16" t="n">
        <f aca="false">SUMIFS(Kas!$D$2:$D$2000,Kas!$B$2:$B$2000,"Masuk",Kas!$G$2:$G$2000,$A10)</f>
        <v>0</v>
      </c>
      <c r="K10" s="16" t="n">
        <f aca="false">SUMIFS(Kas!$D$2:$D$2000,Kas!$B$2:$B$2000,"Keluar",Kas!$G$2:$G$2000,$A10)</f>
        <v>0</v>
      </c>
      <c r="L10" s="16" t="n">
        <f aca="false">J10-K10</f>
        <v>0</v>
      </c>
      <c r="M10" s="17" t="str">
        <f aca="false">IF(COUNTIFS(Pesanan!$V$2:$V$1000,$A10,Pesanan!$S$2:$S$1000,"&gt;=0")=0,"",SUMIFS(Pesanan!$S$2:$S$1000,Pesanan!$V$2:$V$1000,$A10)/COUNTIFS(Pesanan!$V$2:$V$1000,$A10,Pesanan!$S$2:$S$1000,"&gt;=0"))</f>
        <v/>
      </c>
      <c r="N10" s="12" t="n">
        <f aca="false">COUNTIFS(Pesanan!$U$2:$U$1000,$A10,Pesanan!$T$2:$T$1000,"YA")</f>
        <v>0</v>
      </c>
      <c r="O10" s="12" t="n">
        <f aca="false">COUNTIFS(Pesanan!$U$2:$U$1000,$A10,Pesanan!$C$2:$C$1000,"Batal")</f>
        <v>0</v>
      </c>
    </row>
    <row r="11" customFormat="false" ht="15" hidden="false" customHeight="false" outlineLevel="0" collapsed="false">
      <c r="A11" s="12" t="str">
        <f aca="false">TEXT(EDATE(Pengaturan!$B$5,6),"yyyy-mm")</f>
        <v>2026-04</v>
      </c>
      <c r="B11" s="12" t="n">
        <f aca="false">COUNTIFS(Pesanan!$U$2:$U$1000,$A11)</f>
        <v>0</v>
      </c>
      <c r="C11" s="12" t="n">
        <f aca="false">SUMPRODUCT((Pesanan!$U$2:$U$1000=$A11)*Pesanan!$W$2:$W$1000)</f>
        <v>0</v>
      </c>
      <c r="D11" s="15" t="str">
        <f aca="false">IF(B11=0,"",C11/B11)</f>
        <v/>
      </c>
      <c r="E11" s="16" t="n">
        <f aca="false">SUMIFS(Pesanan!$G$2:$G$1000,Pesanan!$V$2:$V$1000,$A11,Pesanan!$W$2:$W$1000,1)</f>
        <v>0</v>
      </c>
      <c r="F11" s="16" t="n">
        <f aca="false">SUMIFS(Pesanan!$I$2:$I$1000,Pesanan!$V$2:$V$1000,$A11,Pesanan!$W$2:$W$1000,1)</f>
        <v>0</v>
      </c>
      <c r="G11" s="16" t="n">
        <f aca="false">SUMIFS(Pesanan!$AM$2:$AM$1000,Pesanan!$V$2:$V$1000,$A11,Pesanan!$W$2:$W$1000,1)</f>
        <v>0</v>
      </c>
      <c r="H11" s="16" t="n">
        <f aca="false">E11-G11</f>
        <v>0</v>
      </c>
      <c r="I11" s="15" t="str">
        <f aca="false">IF(E11=0,"",H11/E11)</f>
        <v/>
      </c>
      <c r="J11" s="16" t="n">
        <f aca="false">SUMIFS(Kas!$D$2:$D$2000,Kas!$B$2:$B$2000,"Masuk",Kas!$G$2:$G$2000,$A11)</f>
        <v>0</v>
      </c>
      <c r="K11" s="16" t="n">
        <f aca="false">SUMIFS(Kas!$D$2:$D$2000,Kas!$B$2:$B$2000,"Keluar",Kas!$G$2:$G$2000,$A11)</f>
        <v>0</v>
      </c>
      <c r="L11" s="16" t="n">
        <f aca="false">J11-K11</f>
        <v>0</v>
      </c>
      <c r="M11" s="17" t="str">
        <f aca="false">IF(COUNTIFS(Pesanan!$V$2:$V$1000,$A11,Pesanan!$S$2:$S$1000,"&gt;=0")=0,"",SUMIFS(Pesanan!$S$2:$S$1000,Pesanan!$V$2:$V$1000,$A11)/COUNTIFS(Pesanan!$V$2:$V$1000,$A11,Pesanan!$S$2:$S$1000,"&gt;=0"))</f>
        <v/>
      </c>
      <c r="N11" s="12" t="n">
        <f aca="false">COUNTIFS(Pesanan!$U$2:$U$1000,$A11,Pesanan!$T$2:$T$1000,"YA")</f>
        <v>0</v>
      </c>
      <c r="O11" s="12" t="n">
        <f aca="false">COUNTIFS(Pesanan!$U$2:$U$1000,$A11,Pesanan!$C$2:$C$1000,"Batal")</f>
        <v>0</v>
      </c>
    </row>
    <row r="12" customFormat="false" ht="15" hidden="false" customHeight="false" outlineLevel="0" collapsed="false">
      <c r="A12" s="12" t="str">
        <f aca="false">TEXT(EDATE(Pengaturan!$B$5,7),"yyyy-mm")</f>
        <v>2026-05</v>
      </c>
      <c r="B12" s="12" t="n">
        <f aca="false">COUNTIFS(Pesanan!$U$2:$U$1000,$A12)</f>
        <v>0</v>
      </c>
      <c r="C12" s="12" t="n">
        <f aca="false">SUMPRODUCT((Pesanan!$U$2:$U$1000=$A12)*Pesanan!$W$2:$W$1000)</f>
        <v>0</v>
      </c>
      <c r="D12" s="15" t="str">
        <f aca="false">IF(B12=0,"",C12/B12)</f>
        <v/>
      </c>
      <c r="E12" s="16" t="n">
        <f aca="false">SUMIFS(Pesanan!$G$2:$G$1000,Pesanan!$V$2:$V$1000,$A12,Pesanan!$W$2:$W$1000,1)</f>
        <v>0</v>
      </c>
      <c r="F12" s="16" t="n">
        <f aca="false">SUMIFS(Pesanan!$I$2:$I$1000,Pesanan!$V$2:$V$1000,$A12,Pesanan!$W$2:$W$1000,1)</f>
        <v>0</v>
      </c>
      <c r="G12" s="16" t="n">
        <f aca="false">SUMIFS(Pesanan!$AM$2:$AM$1000,Pesanan!$V$2:$V$1000,$A12,Pesanan!$W$2:$W$1000,1)</f>
        <v>0</v>
      </c>
      <c r="H12" s="16" t="n">
        <f aca="false">E12-G12</f>
        <v>0</v>
      </c>
      <c r="I12" s="15" t="str">
        <f aca="false">IF(E12=0,"",H12/E12)</f>
        <v/>
      </c>
      <c r="J12" s="16" t="n">
        <f aca="false">SUMIFS(Kas!$D$2:$D$2000,Kas!$B$2:$B$2000,"Masuk",Kas!$G$2:$G$2000,$A12)</f>
        <v>0</v>
      </c>
      <c r="K12" s="16" t="n">
        <f aca="false">SUMIFS(Kas!$D$2:$D$2000,Kas!$B$2:$B$2000,"Keluar",Kas!$G$2:$G$2000,$A12)</f>
        <v>0</v>
      </c>
      <c r="L12" s="16" t="n">
        <f aca="false">J12-K12</f>
        <v>0</v>
      </c>
      <c r="M12" s="17" t="str">
        <f aca="false">IF(COUNTIFS(Pesanan!$V$2:$V$1000,$A12,Pesanan!$S$2:$S$1000,"&gt;=0")=0,"",SUMIFS(Pesanan!$S$2:$S$1000,Pesanan!$V$2:$V$1000,$A12)/COUNTIFS(Pesanan!$V$2:$V$1000,$A12,Pesanan!$S$2:$S$1000,"&gt;=0"))</f>
        <v/>
      </c>
      <c r="N12" s="12" t="n">
        <f aca="false">COUNTIFS(Pesanan!$U$2:$U$1000,$A12,Pesanan!$T$2:$T$1000,"YA")</f>
        <v>0</v>
      </c>
      <c r="O12" s="12" t="n">
        <f aca="false">COUNTIFS(Pesanan!$U$2:$U$1000,$A12,Pesanan!$C$2:$C$1000,"Batal")</f>
        <v>0</v>
      </c>
    </row>
    <row r="13" customFormat="false" ht="15" hidden="false" customHeight="false" outlineLevel="0" collapsed="false">
      <c r="A13" s="12" t="str">
        <f aca="false">TEXT(EDATE(Pengaturan!$B$5,8),"yyyy-mm")</f>
        <v>2026-06</v>
      </c>
      <c r="B13" s="12" t="n">
        <f aca="false">COUNTIFS(Pesanan!$U$2:$U$1000,$A13)</f>
        <v>0</v>
      </c>
      <c r="C13" s="12" t="n">
        <f aca="false">SUMPRODUCT((Pesanan!$U$2:$U$1000=$A13)*Pesanan!$W$2:$W$1000)</f>
        <v>0</v>
      </c>
      <c r="D13" s="15" t="str">
        <f aca="false">IF(B13=0,"",C13/B13)</f>
        <v/>
      </c>
      <c r="E13" s="16" t="n">
        <f aca="false">SUMIFS(Pesanan!$G$2:$G$1000,Pesanan!$V$2:$V$1000,$A13,Pesanan!$W$2:$W$1000,1)</f>
        <v>0</v>
      </c>
      <c r="F13" s="16" t="n">
        <f aca="false">SUMIFS(Pesanan!$I$2:$I$1000,Pesanan!$V$2:$V$1000,$A13,Pesanan!$W$2:$W$1000,1)</f>
        <v>0</v>
      </c>
      <c r="G13" s="16" t="n">
        <f aca="false">SUMIFS(Pesanan!$AM$2:$AM$1000,Pesanan!$V$2:$V$1000,$A13,Pesanan!$W$2:$W$1000,1)</f>
        <v>0</v>
      </c>
      <c r="H13" s="16" t="n">
        <f aca="false">E13-G13</f>
        <v>0</v>
      </c>
      <c r="I13" s="15" t="str">
        <f aca="false">IF(E13=0,"",H13/E13)</f>
        <v/>
      </c>
      <c r="J13" s="16" t="n">
        <f aca="false">SUMIFS(Kas!$D$2:$D$2000,Kas!$B$2:$B$2000,"Masuk",Kas!$G$2:$G$2000,$A13)</f>
        <v>0</v>
      </c>
      <c r="K13" s="16" t="n">
        <f aca="false">SUMIFS(Kas!$D$2:$D$2000,Kas!$B$2:$B$2000,"Keluar",Kas!$G$2:$G$2000,$A13)</f>
        <v>0</v>
      </c>
      <c r="L13" s="16" t="n">
        <f aca="false">J13-K13</f>
        <v>0</v>
      </c>
      <c r="M13" s="17" t="str">
        <f aca="false">IF(COUNTIFS(Pesanan!$V$2:$V$1000,$A13,Pesanan!$S$2:$S$1000,"&gt;=0")=0,"",SUMIFS(Pesanan!$S$2:$S$1000,Pesanan!$V$2:$V$1000,$A13)/COUNTIFS(Pesanan!$V$2:$V$1000,$A13,Pesanan!$S$2:$S$1000,"&gt;=0"))</f>
        <v/>
      </c>
      <c r="N13" s="12" t="n">
        <f aca="false">COUNTIFS(Pesanan!$U$2:$U$1000,$A13,Pesanan!$T$2:$T$1000,"YA")</f>
        <v>0</v>
      </c>
      <c r="O13" s="12" t="n">
        <f aca="false">COUNTIFS(Pesanan!$U$2:$U$1000,$A13,Pesanan!$C$2:$C$1000,"Batal")</f>
        <v>0</v>
      </c>
    </row>
    <row r="14" customFormat="false" ht="15" hidden="false" customHeight="false" outlineLevel="0" collapsed="false">
      <c r="A14" s="12" t="str">
        <f aca="false">TEXT(EDATE(Pengaturan!$B$5,9),"yyyy-mm")</f>
        <v>2026-07</v>
      </c>
      <c r="B14" s="12" t="n">
        <f aca="false">COUNTIFS(Pesanan!$U$2:$U$1000,$A14)</f>
        <v>0</v>
      </c>
      <c r="C14" s="12" t="n">
        <f aca="false">SUMPRODUCT((Pesanan!$U$2:$U$1000=$A14)*Pesanan!$W$2:$W$1000)</f>
        <v>0</v>
      </c>
      <c r="D14" s="15" t="str">
        <f aca="false">IF(B14=0,"",C14/B14)</f>
        <v/>
      </c>
      <c r="E14" s="16" t="n">
        <f aca="false">SUMIFS(Pesanan!$G$2:$G$1000,Pesanan!$V$2:$V$1000,$A14,Pesanan!$W$2:$W$1000,1)</f>
        <v>0</v>
      </c>
      <c r="F14" s="16" t="n">
        <f aca="false">SUMIFS(Pesanan!$I$2:$I$1000,Pesanan!$V$2:$V$1000,$A14,Pesanan!$W$2:$W$1000,1)</f>
        <v>0</v>
      </c>
      <c r="G14" s="16" t="n">
        <f aca="false">SUMIFS(Pesanan!$AM$2:$AM$1000,Pesanan!$V$2:$V$1000,$A14,Pesanan!$W$2:$W$1000,1)</f>
        <v>0</v>
      </c>
      <c r="H14" s="16" t="n">
        <f aca="false">E14-G14</f>
        <v>0</v>
      </c>
      <c r="I14" s="15" t="str">
        <f aca="false">IF(E14=0,"",H14/E14)</f>
        <v/>
      </c>
      <c r="J14" s="16" t="n">
        <f aca="false">SUMIFS(Kas!$D$2:$D$2000,Kas!$B$2:$B$2000,"Masuk",Kas!$G$2:$G$2000,$A14)</f>
        <v>0</v>
      </c>
      <c r="K14" s="16" t="n">
        <f aca="false">SUMIFS(Kas!$D$2:$D$2000,Kas!$B$2:$B$2000,"Keluar",Kas!$G$2:$G$2000,$A14)</f>
        <v>0</v>
      </c>
      <c r="L14" s="16" t="n">
        <f aca="false">J14-K14</f>
        <v>0</v>
      </c>
      <c r="M14" s="17" t="str">
        <f aca="false">IF(COUNTIFS(Pesanan!$V$2:$V$1000,$A14,Pesanan!$S$2:$S$1000,"&gt;=0")=0,"",SUMIFS(Pesanan!$S$2:$S$1000,Pesanan!$V$2:$V$1000,$A14)/COUNTIFS(Pesanan!$V$2:$V$1000,$A14,Pesanan!$S$2:$S$1000,"&gt;=0"))</f>
        <v/>
      </c>
      <c r="N14" s="12" t="n">
        <f aca="false">COUNTIFS(Pesanan!$U$2:$U$1000,$A14,Pesanan!$T$2:$T$1000,"YA")</f>
        <v>0</v>
      </c>
      <c r="O14" s="12" t="n">
        <f aca="false">COUNTIFS(Pesanan!$U$2:$U$1000,$A14,Pesanan!$C$2:$C$1000,"Batal")</f>
        <v>0</v>
      </c>
    </row>
    <row r="15" customFormat="false" ht="15" hidden="false" customHeight="false" outlineLevel="0" collapsed="false">
      <c r="A15" s="12" t="str">
        <f aca="false">TEXT(EDATE(Pengaturan!$B$5,10),"yyyy-mm")</f>
        <v>2026-08</v>
      </c>
      <c r="B15" s="12" t="n">
        <f aca="false">COUNTIFS(Pesanan!$U$2:$U$1000,$A15)</f>
        <v>0</v>
      </c>
      <c r="C15" s="12" t="n">
        <f aca="false">SUMPRODUCT((Pesanan!$U$2:$U$1000=$A15)*Pesanan!$W$2:$W$1000)</f>
        <v>0</v>
      </c>
      <c r="D15" s="15" t="str">
        <f aca="false">IF(B15=0,"",C15/B15)</f>
        <v/>
      </c>
      <c r="E15" s="16" t="n">
        <f aca="false">SUMIFS(Pesanan!$G$2:$G$1000,Pesanan!$V$2:$V$1000,$A15,Pesanan!$W$2:$W$1000,1)</f>
        <v>0</v>
      </c>
      <c r="F15" s="16" t="n">
        <f aca="false">SUMIFS(Pesanan!$I$2:$I$1000,Pesanan!$V$2:$V$1000,$A15,Pesanan!$W$2:$W$1000,1)</f>
        <v>0</v>
      </c>
      <c r="G15" s="16" t="n">
        <f aca="false">SUMIFS(Pesanan!$AM$2:$AM$1000,Pesanan!$V$2:$V$1000,$A15,Pesanan!$W$2:$W$1000,1)</f>
        <v>0</v>
      </c>
      <c r="H15" s="16" t="n">
        <f aca="false">E15-G15</f>
        <v>0</v>
      </c>
      <c r="I15" s="15" t="str">
        <f aca="false">IF(E15=0,"",H15/E15)</f>
        <v/>
      </c>
      <c r="J15" s="16" t="n">
        <f aca="false">SUMIFS(Kas!$D$2:$D$2000,Kas!$B$2:$B$2000,"Masuk",Kas!$G$2:$G$2000,$A15)</f>
        <v>0</v>
      </c>
      <c r="K15" s="16" t="n">
        <f aca="false">SUMIFS(Kas!$D$2:$D$2000,Kas!$B$2:$B$2000,"Keluar",Kas!$G$2:$G$2000,$A15)</f>
        <v>0</v>
      </c>
      <c r="L15" s="16" t="n">
        <f aca="false">J15-K15</f>
        <v>0</v>
      </c>
      <c r="M15" s="17" t="str">
        <f aca="false">IF(COUNTIFS(Pesanan!$V$2:$V$1000,$A15,Pesanan!$S$2:$S$1000,"&gt;=0")=0,"",SUMIFS(Pesanan!$S$2:$S$1000,Pesanan!$V$2:$V$1000,$A15)/COUNTIFS(Pesanan!$V$2:$V$1000,$A15,Pesanan!$S$2:$S$1000,"&gt;=0"))</f>
        <v/>
      </c>
      <c r="N15" s="12" t="n">
        <f aca="false">COUNTIFS(Pesanan!$U$2:$U$1000,$A15,Pesanan!$T$2:$T$1000,"YA")</f>
        <v>0</v>
      </c>
      <c r="O15" s="12" t="n">
        <f aca="false">COUNTIFS(Pesanan!$U$2:$U$1000,$A15,Pesanan!$C$2:$C$1000,"Batal")</f>
        <v>0</v>
      </c>
    </row>
    <row r="16" customFormat="false" ht="15" hidden="false" customHeight="false" outlineLevel="0" collapsed="false">
      <c r="A16" s="12" t="str">
        <f aca="false">TEXT(EDATE(Pengaturan!$B$5,11),"yyyy-mm")</f>
        <v>2026-09</v>
      </c>
      <c r="B16" s="12" t="n">
        <f aca="false">COUNTIFS(Pesanan!$U$2:$U$1000,$A16)</f>
        <v>0</v>
      </c>
      <c r="C16" s="12" t="n">
        <f aca="false">SUMPRODUCT((Pesanan!$U$2:$U$1000=$A16)*Pesanan!$W$2:$W$1000)</f>
        <v>0</v>
      </c>
      <c r="D16" s="15" t="str">
        <f aca="false">IF(B16=0,"",C16/B16)</f>
        <v/>
      </c>
      <c r="E16" s="16" t="n">
        <f aca="false">SUMIFS(Pesanan!$G$2:$G$1000,Pesanan!$V$2:$V$1000,$A16,Pesanan!$W$2:$W$1000,1)</f>
        <v>0</v>
      </c>
      <c r="F16" s="16" t="n">
        <f aca="false">SUMIFS(Pesanan!$I$2:$I$1000,Pesanan!$V$2:$V$1000,$A16,Pesanan!$W$2:$W$1000,1)</f>
        <v>0</v>
      </c>
      <c r="G16" s="16" t="n">
        <f aca="false">SUMIFS(Pesanan!$AM$2:$AM$1000,Pesanan!$V$2:$V$1000,$A16,Pesanan!$W$2:$W$1000,1)</f>
        <v>0</v>
      </c>
      <c r="H16" s="16" t="n">
        <f aca="false">E16-G16</f>
        <v>0</v>
      </c>
      <c r="I16" s="15" t="str">
        <f aca="false">IF(E16=0,"",H16/E16)</f>
        <v/>
      </c>
      <c r="J16" s="16" t="n">
        <f aca="false">SUMIFS(Kas!$D$2:$D$2000,Kas!$B$2:$B$2000,"Masuk",Kas!$G$2:$G$2000,$A16)</f>
        <v>0</v>
      </c>
      <c r="K16" s="16" t="n">
        <f aca="false">SUMIFS(Kas!$D$2:$D$2000,Kas!$B$2:$B$2000,"Keluar",Kas!$G$2:$G$2000,$A16)</f>
        <v>0</v>
      </c>
      <c r="L16" s="16" t="n">
        <f aca="false">J16-K16</f>
        <v>0</v>
      </c>
      <c r="M16" s="17" t="str">
        <f aca="false">IF(COUNTIFS(Pesanan!$V$2:$V$1000,$A16,Pesanan!$S$2:$S$1000,"&gt;=0")=0,"",SUMIFS(Pesanan!$S$2:$S$1000,Pesanan!$V$2:$V$1000,$A16)/COUNTIFS(Pesanan!$V$2:$V$1000,$A16,Pesanan!$S$2:$S$1000,"&gt;=0"))</f>
        <v/>
      </c>
      <c r="N16" s="12" t="n">
        <f aca="false">COUNTIFS(Pesanan!$U$2:$U$1000,$A16,Pesanan!$T$2:$T$1000,"YA")</f>
        <v>0</v>
      </c>
      <c r="O16" s="12" t="n">
        <f aca="false">COUNTIFS(Pesanan!$U$2:$U$1000,$A16,Pesanan!$C$2:$C$1000,"Batal")</f>
        <v>0</v>
      </c>
    </row>
    <row r="17" customFormat="false" ht="15" hidden="false" customHeight="false" outlineLevel="0" collapsed="false">
      <c r="A17" s="12" t="str">
        <f aca="false">TEXT(EDATE(Pengaturan!$B$5,12),"yyyy-mm")</f>
        <v>2026-10</v>
      </c>
      <c r="B17" s="12" t="n">
        <f aca="false">COUNTIFS(Pesanan!$U$2:$U$1000,$A17)</f>
        <v>0</v>
      </c>
      <c r="C17" s="12" t="n">
        <f aca="false">SUMPRODUCT((Pesanan!$U$2:$U$1000=$A17)*Pesanan!$W$2:$W$1000)</f>
        <v>0</v>
      </c>
      <c r="D17" s="15" t="str">
        <f aca="false">IF(B17=0,"",C17/B17)</f>
        <v/>
      </c>
      <c r="E17" s="16" t="n">
        <f aca="false">SUMIFS(Pesanan!$G$2:$G$1000,Pesanan!$V$2:$V$1000,$A17,Pesanan!$W$2:$W$1000,1)</f>
        <v>0</v>
      </c>
      <c r="F17" s="16" t="n">
        <f aca="false">SUMIFS(Pesanan!$I$2:$I$1000,Pesanan!$V$2:$V$1000,$A17,Pesanan!$W$2:$W$1000,1)</f>
        <v>0</v>
      </c>
      <c r="G17" s="16" t="n">
        <f aca="false">SUMIFS(Pesanan!$AM$2:$AM$1000,Pesanan!$V$2:$V$1000,$A17,Pesanan!$W$2:$W$1000,1)</f>
        <v>0</v>
      </c>
      <c r="H17" s="16" t="n">
        <f aca="false">E17-G17</f>
        <v>0</v>
      </c>
      <c r="I17" s="15" t="str">
        <f aca="false">IF(E17=0,"",H17/E17)</f>
        <v/>
      </c>
      <c r="J17" s="16" t="n">
        <f aca="false">SUMIFS(Kas!$D$2:$D$2000,Kas!$B$2:$B$2000,"Masuk",Kas!$G$2:$G$2000,$A17)</f>
        <v>0</v>
      </c>
      <c r="K17" s="16" t="n">
        <f aca="false">SUMIFS(Kas!$D$2:$D$2000,Kas!$B$2:$B$2000,"Keluar",Kas!$G$2:$G$2000,$A17)</f>
        <v>0</v>
      </c>
      <c r="L17" s="16" t="n">
        <f aca="false">J17-K17</f>
        <v>0</v>
      </c>
      <c r="M17" s="17" t="str">
        <f aca="false">IF(COUNTIFS(Pesanan!$V$2:$V$1000,$A17,Pesanan!$S$2:$S$1000,"&gt;=0")=0,"",SUMIFS(Pesanan!$S$2:$S$1000,Pesanan!$V$2:$V$1000,$A17)/COUNTIFS(Pesanan!$V$2:$V$1000,$A17,Pesanan!$S$2:$S$1000,"&gt;=0"))</f>
        <v/>
      </c>
      <c r="N17" s="12" t="n">
        <f aca="false">COUNTIFS(Pesanan!$U$2:$U$1000,$A17,Pesanan!$T$2:$T$1000,"YA")</f>
        <v>0</v>
      </c>
      <c r="O17" s="12" t="n">
        <f aca="false">COUNTIFS(Pesanan!$U$2:$U$1000,$A17,Pesanan!$C$2:$C$1000,"Batal")</f>
        <v>0</v>
      </c>
    </row>
    <row r="18" customFormat="false" ht="15" hidden="false" customHeight="false" outlineLevel="0" collapsed="false">
      <c r="A18" s="12" t="str">
        <f aca="false">TEXT(EDATE(Pengaturan!$B$5,13),"yyyy-mm")</f>
        <v>2026-11</v>
      </c>
      <c r="B18" s="12" t="n">
        <f aca="false">COUNTIFS(Pesanan!$U$2:$U$1000,$A18)</f>
        <v>0</v>
      </c>
      <c r="C18" s="12" t="n">
        <f aca="false">SUMPRODUCT((Pesanan!$U$2:$U$1000=$A18)*Pesanan!$W$2:$W$1000)</f>
        <v>0</v>
      </c>
      <c r="D18" s="15" t="str">
        <f aca="false">IF(B18=0,"",C18/B18)</f>
        <v/>
      </c>
      <c r="E18" s="16" t="n">
        <f aca="false">SUMIFS(Pesanan!$G$2:$G$1000,Pesanan!$V$2:$V$1000,$A18,Pesanan!$W$2:$W$1000,1)</f>
        <v>0</v>
      </c>
      <c r="F18" s="16" t="n">
        <f aca="false">SUMIFS(Pesanan!$I$2:$I$1000,Pesanan!$V$2:$V$1000,$A18,Pesanan!$W$2:$W$1000,1)</f>
        <v>0</v>
      </c>
      <c r="G18" s="16" t="n">
        <f aca="false">SUMIFS(Pesanan!$AM$2:$AM$1000,Pesanan!$V$2:$V$1000,$A18,Pesanan!$W$2:$W$1000,1)</f>
        <v>0</v>
      </c>
      <c r="H18" s="16" t="n">
        <f aca="false">E18-G18</f>
        <v>0</v>
      </c>
      <c r="I18" s="15" t="str">
        <f aca="false">IF(E18=0,"",H18/E18)</f>
        <v/>
      </c>
      <c r="J18" s="16" t="n">
        <f aca="false">SUMIFS(Kas!$D$2:$D$2000,Kas!$B$2:$B$2000,"Masuk",Kas!$G$2:$G$2000,$A18)</f>
        <v>0</v>
      </c>
      <c r="K18" s="16" t="n">
        <f aca="false">SUMIFS(Kas!$D$2:$D$2000,Kas!$B$2:$B$2000,"Keluar",Kas!$G$2:$G$2000,$A18)</f>
        <v>0</v>
      </c>
      <c r="L18" s="16" t="n">
        <f aca="false">J18-K18</f>
        <v>0</v>
      </c>
      <c r="M18" s="17" t="str">
        <f aca="false">IF(COUNTIFS(Pesanan!$V$2:$V$1000,$A18,Pesanan!$S$2:$S$1000,"&gt;=0")=0,"",SUMIFS(Pesanan!$S$2:$S$1000,Pesanan!$V$2:$V$1000,$A18)/COUNTIFS(Pesanan!$V$2:$V$1000,$A18,Pesanan!$S$2:$S$1000,"&gt;=0"))</f>
        <v/>
      </c>
      <c r="N18" s="12" t="n">
        <f aca="false">COUNTIFS(Pesanan!$U$2:$U$1000,$A18,Pesanan!$T$2:$T$1000,"YA")</f>
        <v>0</v>
      </c>
      <c r="O18" s="12" t="n">
        <f aca="false">COUNTIFS(Pesanan!$U$2:$U$1000,$A18,Pesanan!$C$2:$C$1000,"Batal")</f>
        <v>0</v>
      </c>
    </row>
    <row r="19" customFormat="false" ht="15" hidden="false" customHeight="false" outlineLevel="0" collapsed="false">
      <c r="A19" s="12" t="str">
        <f aca="false">TEXT(EDATE(Pengaturan!$B$5,14),"yyyy-mm")</f>
        <v>2026-12</v>
      </c>
      <c r="B19" s="12" t="n">
        <f aca="false">COUNTIFS(Pesanan!$U$2:$U$1000,$A19)</f>
        <v>0</v>
      </c>
      <c r="C19" s="12" t="n">
        <f aca="false">SUMPRODUCT((Pesanan!$U$2:$U$1000=$A19)*Pesanan!$W$2:$W$1000)</f>
        <v>0</v>
      </c>
      <c r="D19" s="15" t="str">
        <f aca="false">IF(B19=0,"",C19/B19)</f>
        <v/>
      </c>
      <c r="E19" s="16" t="n">
        <f aca="false">SUMIFS(Pesanan!$G$2:$G$1000,Pesanan!$V$2:$V$1000,$A19,Pesanan!$W$2:$W$1000,1)</f>
        <v>0</v>
      </c>
      <c r="F19" s="16" t="n">
        <f aca="false">SUMIFS(Pesanan!$I$2:$I$1000,Pesanan!$V$2:$V$1000,$A19,Pesanan!$W$2:$W$1000,1)</f>
        <v>0</v>
      </c>
      <c r="G19" s="16" t="n">
        <f aca="false">SUMIFS(Pesanan!$AM$2:$AM$1000,Pesanan!$V$2:$V$1000,$A19,Pesanan!$W$2:$W$1000,1)</f>
        <v>0</v>
      </c>
      <c r="H19" s="16" t="n">
        <f aca="false">E19-G19</f>
        <v>0</v>
      </c>
      <c r="I19" s="15" t="str">
        <f aca="false">IF(E19=0,"",H19/E19)</f>
        <v/>
      </c>
      <c r="J19" s="16" t="n">
        <f aca="false">SUMIFS(Kas!$D$2:$D$2000,Kas!$B$2:$B$2000,"Masuk",Kas!$G$2:$G$2000,$A19)</f>
        <v>0</v>
      </c>
      <c r="K19" s="16" t="n">
        <f aca="false">SUMIFS(Kas!$D$2:$D$2000,Kas!$B$2:$B$2000,"Keluar",Kas!$G$2:$G$2000,$A19)</f>
        <v>0</v>
      </c>
      <c r="L19" s="16" t="n">
        <f aca="false">J19-K19</f>
        <v>0</v>
      </c>
      <c r="M19" s="17" t="str">
        <f aca="false">IF(COUNTIFS(Pesanan!$V$2:$V$1000,$A19,Pesanan!$S$2:$S$1000,"&gt;=0")=0,"",SUMIFS(Pesanan!$S$2:$S$1000,Pesanan!$V$2:$V$1000,$A19)/COUNTIFS(Pesanan!$V$2:$V$1000,$A19,Pesanan!$S$2:$S$1000,"&gt;=0"))</f>
        <v/>
      </c>
      <c r="N19" s="12" t="n">
        <f aca="false">COUNTIFS(Pesanan!$U$2:$U$1000,$A19,Pesanan!$T$2:$T$1000,"YA")</f>
        <v>0</v>
      </c>
      <c r="O19" s="12" t="n">
        <f aca="false">COUNTIFS(Pesanan!$U$2:$U$1000,$A19,Pesanan!$C$2:$C$1000,"Batal")</f>
        <v>0</v>
      </c>
    </row>
    <row r="20" customFormat="false" ht="15" hidden="false" customHeight="false" outlineLevel="0" collapsed="false">
      <c r="A20" s="12" t="str">
        <f aca="false">TEXT(EDATE(Pengaturan!$B$5,15),"yyyy-mm")</f>
        <v>2027-01</v>
      </c>
      <c r="B20" s="12" t="n">
        <f aca="false">COUNTIFS(Pesanan!$U$2:$U$1000,$A20)</f>
        <v>0</v>
      </c>
      <c r="C20" s="12" t="n">
        <f aca="false">SUMPRODUCT((Pesanan!$U$2:$U$1000=$A20)*Pesanan!$W$2:$W$1000)</f>
        <v>0</v>
      </c>
      <c r="D20" s="15" t="str">
        <f aca="false">IF(B20=0,"",C20/B20)</f>
        <v/>
      </c>
      <c r="E20" s="16" t="n">
        <f aca="false">SUMIFS(Pesanan!$G$2:$G$1000,Pesanan!$V$2:$V$1000,$A20,Pesanan!$W$2:$W$1000,1)</f>
        <v>0</v>
      </c>
      <c r="F20" s="16" t="n">
        <f aca="false">SUMIFS(Pesanan!$I$2:$I$1000,Pesanan!$V$2:$V$1000,$A20,Pesanan!$W$2:$W$1000,1)</f>
        <v>0</v>
      </c>
      <c r="G20" s="16" t="n">
        <f aca="false">SUMIFS(Pesanan!$AM$2:$AM$1000,Pesanan!$V$2:$V$1000,$A20,Pesanan!$W$2:$W$1000,1)</f>
        <v>0</v>
      </c>
      <c r="H20" s="16" t="n">
        <f aca="false">E20-G20</f>
        <v>0</v>
      </c>
      <c r="I20" s="15" t="str">
        <f aca="false">IF(E20=0,"",H20/E20)</f>
        <v/>
      </c>
      <c r="J20" s="16" t="n">
        <f aca="false">SUMIFS(Kas!$D$2:$D$2000,Kas!$B$2:$B$2000,"Masuk",Kas!$G$2:$G$2000,$A20)</f>
        <v>0</v>
      </c>
      <c r="K20" s="16" t="n">
        <f aca="false">SUMIFS(Kas!$D$2:$D$2000,Kas!$B$2:$B$2000,"Keluar",Kas!$G$2:$G$2000,$A20)</f>
        <v>0</v>
      </c>
      <c r="L20" s="16" t="n">
        <f aca="false">J20-K20</f>
        <v>0</v>
      </c>
      <c r="M20" s="17" t="str">
        <f aca="false">IF(COUNTIFS(Pesanan!$V$2:$V$1000,$A20,Pesanan!$S$2:$S$1000,"&gt;=0")=0,"",SUMIFS(Pesanan!$S$2:$S$1000,Pesanan!$V$2:$V$1000,$A20)/COUNTIFS(Pesanan!$V$2:$V$1000,$A20,Pesanan!$S$2:$S$1000,"&gt;=0"))</f>
        <v/>
      </c>
      <c r="N20" s="12" t="n">
        <f aca="false">COUNTIFS(Pesanan!$U$2:$U$1000,$A20,Pesanan!$T$2:$T$1000,"YA")</f>
        <v>0</v>
      </c>
      <c r="O20" s="12" t="n">
        <f aca="false">COUNTIFS(Pesanan!$U$2:$U$1000,$A20,Pesanan!$C$2:$C$1000,"Batal")</f>
        <v>0</v>
      </c>
    </row>
    <row r="21" customFormat="false" ht="15" hidden="false" customHeight="false" outlineLevel="0" collapsed="false">
      <c r="A21" s="12" t="str">
        <f aca="false">TEXT(EDATE(Pengaturan!$B$5,16),"yyyy-mm")</f>
        <v>2027-02</v>
      </c>
      <c r="B21" s="12" t="n">
        <f aca="false">COUNTIFS(Pesanan!$U$2:$U$1000,$A21)</f>
        <v>0</v>
      </c>
      <c r="C21" s="12" t="n">
        <f aca="false">SUMPRODUCT((Pesanan!$U$2:$U$1000=$A21)*Pesanan!$W$2:$W$1000)</f>
        <v>0</v>
      </c>
      <c r="D21" s="15" t="str">
        <f aca="false">IF(B21=0,"",C21/B21)</f>
        <v/>
      </c>
      <c r="E21" s="16" t="n">
        <f aca="false">SUMIFS(Pesanan!$G$2:$G$1000,Pesanan!$V$2:$V$1000,$A21,Pesanan!$W$2:$W$1000,1)</f>
        <v>0</v>
      </c>
      <c r="F21" s="16" t="n">
        <f aca="false">SUMIFS(Pesanan!$I$2:$I$1000,Pesanan!$V$2:$V$1000,$A21,Pesanan!$W$2:$W$1000,1)</f>
        <v>0</v>
      </c>
      <c r="G21" s="16" t="n">
        <f aca="false">SUMIFS(Pesanan!$AM$2:$AM$1000,Pesanan!$V$2:$V$1000,$A21,Pesanan!$W$2:$W$1000,1)</f>
        <v>0</v>
      </c>
      <c r="H21" s="16" t="n">
        <f aca="false">E21-G21</f>
        <v>0</v>
      </c>
      <c r="I21" s="15" t="str">
        <f aca="false">IF(E21=0,"",H21/E21)</f>
        <v/>
      </c>
      <c r="J21" s="16" t="n">
        <f aca="false">SUMIFS(Kas!$D$2:$D$2000,Kas!$B$2:$B$2000,"Masuk",Kas!$G$2:$G$2000,$A21)</f>
        <v>0</v>
      </c>
      <c r="K21" s="16" t="n">
        <f aca="false">SUMIFS(Kas!$D$2:$D$2000,Kas!$B$2:$B$2000,"Keluar",Kas!$G$2:$G$2000,$A21)</f>
        <v>0</v>
      </c>
      <c r="L21" s="16" t="n">
        <f aca="false">J21-K21</f>
        <v>0</v>
      </c>
      <c r="M21" s="17" t="str">
        <f aca="false">IF(COUNTIFS(Pesanan!$V$2:$V$1000,$A21,Pesanan!$S$2:$S$1000,"&gt;=0")=0,"",SUMIFS(Pesanan!$S$2:$S$1000,Pesanan!$V$2:$V$1000,$A21)/COUNTIFS(Pesanan!$V$2:$V$1000,$A21,Pesanan!$S$2:$S$1000,"&gt;=0"))</f>
        <v/>
      </c>
      <c r="N21" s="12" t="n">
        <f aca="false">COUNTIFS(Pesanan!$U$2:$U$1000,$A21,Pesanan!$T$2:$T$1000,"YA")</f>
        <v>0</v>
      </c>
      <c r="O21" s="12" t="n">
        <f aca="false">COUNTIFS(Pesanan!$U$2:$U$1000,$A21,Pesanan!$C$2:$C$1000,"Batal")</f>
        <v>0</v>
      </c>
    </row>
    <row r="22" customFormat="false" ht="15" hidden="false" customHeight="false" outlineLevel="0" collapsed="false">
      <c r="A22" s="12" t="str">
        <f aca="false">TEXT(EDATE(Pengaturan!$B$5,17),"yyyy-mm")</f>
        <v>2027-03</v>
      </c>
      <c r="B22" s="12" t="n">
        <f aca="false">COUNTIFS(Pesanan!$U$2:$U$1000,$A22)</f>
        <v>0</v>
      </c>
      <c r="C22" s="12" t="n">
        <f aca="false">SUMPRODUCT((Pesanan!$U$2:$U$1000=$A22)*Pesanan!$W$2:$W$1000)</f>
        <v>0</v>
      </c>
      <c r="D22" s="15" t="str">
        <f aca="false">IF(B22=0,"",C22/B22)</f>
        <v/>
      </c>
      <c r="E22" s="16" t="n">
        <f aca="false">SUMIFS(Pesanan!$G$2:$G$1000,Pesanan!$V$2:$V$1000,$A22,Pesanan!$W$2:$W$1000,1)</f>
        <v>0</v>
      </c>
      <c r="F22" s="16" t="n">
        <f aca="false">SUMIFS(Pesanan!$I$2:$I$1000,Pesanan!$V$2:$V$1000,$A22,Pesanan!$W$2:$W$1000,1)</f>
        <v>0</v>
      </c>
      <c r="G22" s="16" t="n">
        <f aca="false">SUMIFS(Pesanan!$AM$2:$AM$1000,Pesanan!$V$2:$V$1000,$A22,Pesanan!$W$2:$W$1000,1)</f>
        <v>0</v>
      </c>
      <c r="H22" s="16" t="n">
        <f aca="false">E22-G22</f>
        <v>0</v>
      </c>
      <c r="I22" s="15" t="str">
        <f aca="false">IF(E22=0,"",H22/E22)</f>
        <v/>
      </c>
      <c r="J22" s="16" t="n">
        <f aca="false">SUMIFS(Kas!$D$2:$D$2000,Kas!$B$2:$B$2000,"Masuk",Kas!$G$2:$G$2000,$A22)</f>
        <v>0</v>
      </c>
      <c r="K22" s="16" t="n">
        <f aca="false">SUMIFS(Kas!$D$2:$D$2000,Kas!$B$2:$B$2000,"Keluar",Kas!$G$2:$G$2000,$A22)</f>
        <v>0</v>
      </c>
      <c r="L22" s="16" t="n">
        <f aca="false">J22-K22</f>
        <v>0</v>
      </c>
      <c r="M22" s="17" t="str">
        <f aca="false">IF(COUNTIFS(Pesanan!$V$2:$V$1000,$A22,Pesanan!$S$2:$S$1000,"&gt;=0")=0,"",SUMIFS(Pesanan!$S$2:$S$1000,Pesanan!$V$2:$V$1000,$A22)/COUNTIFS(Pesanan!$V$2:$V$1000,$A22,Pesanan!$S$2:$S$1000,"&gt;=0"))</f>
        <v/>
      </c>
      <c r="N22" s="12" t="n">
        <f aca="false">COUNTIFS(Pesanan!$U$2:$U$1000,$A22,Pesanan!$T$2:$T$1000,"YA")</f>
        <v>0</v>
      </c>
      <c r="O22" s="12" t="n">
        <f aca="false">COUNTIFS(Pesanan!$U$2:$U$1000,$A22,Pesanan!$C$2:$C$1000,"Batal")</f>
        <v>0</v>
      </c>
    </row>
    <row r="23" customFormat="false" ht="15" hidden="false" customHeight="false" outlineLevel="0" collapsed="false">
      <c r="A23" s="4" t="s">
        <v>253</v>
      </c>
      <c r="B23" s="32" t="n">
        <f aca="false">SUM(B5:B22)</f>
        <v>3</v>
      </c>
      <c r="C23" s="32" t="n">
        <f aca="false">SUM(C5:C22)</f>
        <v>2</v>
      </c>
      <c r="D23" s="33" t="n">
        <f aca="false">IF(B23=0,"",C23/B23)</f>
        <v>0.666666666666667</v>
      </c>
      <c r="E23" s="34" t="n">
        <f aca="false">SUM(E5:E22)</f>
        <v>824000</v>
      </c>
      <c r="F23" s="34" t="n">
        <f aca="false">SUM(F5:F22)</f>
        <v>65000</v>
      </c>
      <c r="G23" s="34" t="n">
        <f aca="false">SUM(G5:G22)</f>
        <v>495850</v>
      </c>
      <c r="H23" s="34" t="n">
        <f aca="false">SUM(H5:H22)</f>
        <v>328150</v>
      </c>
      <c r="I23" s="33" t="n">
        <f aca="false">IF(E23=0,"",H23/E23)</f>
        <v>0.398240291262136</v>
      </c>
      <c r="J23" s="34" t="n">
        <f aca="false">SUM(J5:J22)</f>
        <v>889000</v>
      </c>
      <c r="K23" s="34" t="n">
        <f aca="false">SUM(K5:K22)</f>
        <v>170000</v>
      </c>
      <c r="L23" s="34" t="n">
        <f aca="false">SUM(L5:L22)</f>
        <v>719000</v>
      </c>
      <c r="M23" s="2"/>
      <c r="N23" s="32" t="n">
        <f aca="false">SUM(N5:N22)</f>
        <v>1</v>
      </c>
      <c r="O23" s="32" t="n">
        <f aca="false">SUM(O5:O22)</f>
        <v>0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3" t="s">
        <v>254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3" t="s">
        <v>255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conditionalFormatting sqref="D5:D22">
    <cfRule type="expression" priority="2" aboveAverage="0" equalAverage="0" bottom="0" percent="0" rank="0" text="" dxfId="0">
      <formula>AND(D5&lt;&gt;"",D5&lt;Pengaturan!$B$11)</formula>
    </cfRule>
  </conditionalFormatting>
  <conditionalFormatting sqref="M5:M22">
    <cfRule type="expression" priority="3" aboveAverage="0" equalAverage="0" bottom="0" percent="0" rank="0" text="" dxfId="0">
      <formula>AND(M5&lt;&gt;"",M5&gt;Pengaturan!$B$12)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1" t="s">
        <v>256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257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7" t="s">
        <v>258</v>
      </c>
      <c r="B4" s="7" t="s">
        <v>259</v>
      </c>
      <c r="C4" s="7" t="s">
        <v>260</v>
      </c>
      <c r="D4" s="7" t="s">
        <v>261</v>
      </c>
      <c r="E4" s="7" t="s">
        <v>262</v>
      </c>
    </row>
    <row r="5" customFormat="false" ht="48" hidden="false" customHeight="true" outlineLevel="0" collapsed="false">
      <c r="A5" s="35" t="s">
        <v>263</v>
      </c>
      <c r="B5" s="36" t="s">
        <v>264</v>
      </c>
      <c r="C5" s="36" t="s">
        <v>265</v>
      </c>
      <c r="D5" s="36" t="s">
        <v>266</v>
      </c>
      <c r="E5" s="37"/>
    </row>
    <row r="6" customFormat="false" ht="48" hidden="false" customHeight="true" outlineLevel="0" collapsed="false">
      <c r="A6" s="35" t="s">
        <v>267</v>
      </c>
      <c r="B6" s="36" t="s">
        <v>268</v>
      </c>
      <c r="C6" s="36" t="s">
        <v>269</v>
      </c>
      <c r="D6" s="36" t="s">
        <v>270</v>
      </c>
      <c r="E6" s="37"/>
    </row>
    <row r="7" customFormat="false" ht="48" hidden="false" customHeight="true" outlineLevel="0" collapsed="false">
      <c r="A7" s="35" t="s">
        <v>267</v>
      </c>
      <c r="B7" s="36" t="s">
        <v>271</v>
      </c>
      <c r="C7" s="36" t="s">
        <v>272</v>
      </c>
      <c r="D7" s="36" t="s">
        <v>273</v>
      </c>
      <c r="E7" s="37"/>
    </row>
    <row r="8" customFormat="false" ht="48" hidden="false" customHeight="true" outlineLevel="0" collapsed="false">
      <c r="A8" s="35" t="s">
        <v>267</v>
      </c>
      <c r="B8" s="36" t="s">
        <v>274</v>
      </c>
      <c r="C8" s="36" t="s">
        <v>275</v>
      </c>
      <c r="D8" s="36" t="s">
        <v>276</v>
      </c>
      <c r="E8" s="37"/>
    </row>
    <row r="9" customFormat="false" ht="48" hidden="false" customHeight="true" outlineLevel="0" collapsed="false">
      <c r="A9" s="35" t="s">
        <v>267</v>
      </c>
      <c r="B9" s="36" t="s">
        <v>277</v>
      </c>
      <c r="C9" s="36" t="s">
        <v>278</v>
      </c>
      <c r="D9" s="36" t="s">
        <v>279</v>
      </c>
      <c r="E9" s="37"/>
    </row>
    <row r="10" customFormat="false" ht="48" hidden="false" customHeight="true" outlineLevel="0" collapsed="false">
      <c r="A10" s="35" t="s">
        <v>280</v>
      </c>
      <c r="B10" s="36" t="s">
        <v>281</v>
      </c>
      <c r="C10" s="36" t="s">
        <v>282</v>
      </c>
      <c r="D10" s="36" t="s">
        <v>283</v>
      </c>
      <c r="E10" s="37"/>
    </row>
    <row r="11" customFormat="false" ht="48" hidden="false" customHeight="true" outlineLevel="0" collapsed="false">
      <c r="A11" s="35" t="s">
        <v>280</v>
      </c>
      <c r="B11" s="36" t="s">
        <v>284</v>
      </c>
      <c r="C11" s="36" t="s">
        <v>285</v>
      </c>
      <c r="D11" s="36" t="s">
        <v>286</v>
      </c>
      <c r="E11" s="37"/>
    </row>
    <row r="12" customFormat="false" ht="48" hidden="false" customHeight="true" outlineLevel="0" collapsed="false">
      <c r="A12" s="35" t="s">
        <v>280</v>
      </c>
      <c r="B12" s="36" t="s">
        <v>287</v>
      </c>
      <c r="C12" s="36" t="s">
        <v>288</v>
      </c>
      <c r="D12" s="36" t="s">
        <v>289</v>
      </c>
      <c r="E12" s="37"/>
    </row>
    <row r="13" customFormat="false" ht="48" hidden="false" customHeight="true" outlineLevel="0" collapsed="false">
      <c r="A13" s="35" t="s">
        <v>290</v>
      </c>
      <c r="B13" s="36" t="s">
        <v>291</v>
      </c>
      <c r="C13" s="36" t="s">
        <v>265</v>
      </c>
      <c r="D13" s="36" t="s">
        <v>292</v>
      </c>
      <c r="E13" s="37"/>
    </row>
    <row r="14" customFormat="false" ht="48" hidden="false" customHeight="true" outlineLevel="0" collapsed="false">
      <c r="A14" s="35" t="s">
        <v>293</v>
      </c>
      <c r="B14" s="36" t="s">
        <v>294</v>
      </c>
      <c r="C14" s="36" t="s">
        <v>295</v>
      </c>
      <c r="D14" s="36" t="s">
        <v>296</v>
      </c>
      <c r="E14" s="37"/>
    </row>
    <row r="15" customFormat="false" ht="48" hidden="false" customHeight="true" outlineLevel="0" collapsed="false">
      <c r="A15" s="35" t="s">
        <v>293</v>
      </c>
      <c r="B15" s="36" t="s">
        <v>297</v>
      </c>
      <c r="C15" s="36" t="s">
        <v>275</v>
      </c>
      <c r="D15" s="36" t="s">
        <v>298</v>
      </c>
      <c r="E15" s="37"/>
    </row>
    <row r="16" customFormat="false" ht="48" hidden="false" customHeight="true" outlineLevel="0" collapsed="false">
      <c r="A16" s="35" t="s">
        <v>293</v>
      </c>
      <c r="B16" s="36" t="s">
        <v>299</v>
      </c>
      <c r="C16" s="36" t="s">
        <v>300</v>
      </c>
      <c r="D16" s="36" t="s">
        <v>301</v>
      </c>
      <c r="E16" s="37"/>
    </row>
    <row r="17" customFormat="false" ht="48" hidden="false" customHeight="true" outlineLevel="0" collapsed="false">
      <c r="A17" s="35" t="s">
        <v>302</v>
      </c>
      <c r="B17" s="36" t="s">
        <v>303</v>
      </c>
      <c r="C17" s="36" t="s">
        <v>304</v>
      </c>
      <c r="D17" s="36" t="s">
        <v>305</v>
      </c>
      <c r="E17" s="37"/>
    </row>
    <row r="18" customFormat="false" ht="48" hidden="false" customHeight="true" outlineLevel="0" collapsed="false">
      <c r="A18" s="35" t="s">
        <v>302</v>
      </c>
      <c r="B18" s="36" t="s">
        <v>306</v>
      </c>
      <c r="C18" s="36" t="s">
        <v>307</v>
      </c>
      <c r="D18" s="36" t="s">
        <v>308</v>
      </c>
      <c r="E18" s="37"/>
    </row>
    <row r="19" customFormat="false" ht="48" hidden="false" customHeight="true" outlineLevel="0" collapsed="false">
      <c r="A19" s="35" t="s">
        <v>309</v>
      </c>
      <c r="B19" s="36" t="s">
        <v>310</v>
      </c>
      <c r="C19" s="36" t="s">
        <v>311</v>
      </c>
      <c r="D19" s="36" t="s">
        <v>312</v>
      </c>
      <c r="E19" s="37"/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3" t="s">
        <v>313</v>
      </c>
      <c r="B21" s="2"/>
      <c r="C21" s="2"/>
      <c r="D21" s="2"/>
      <c r="E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314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315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7" t="s">
        <v>192</v>
      </c>
      <c r="B4" s="7" t="s">
        <v>120</v>
      </c>
      <c r="C4" s="7" t="s">
        <v>316</v>
      </c>
      <c r="D4" s="7" t="s">
        <v>59</v>
      </c>
      <c r="E4" s="7" t="s">
        <v>317</v>
      </c>
    </row>
    <row r="5" customFormat="false" ht="15" hidden="false" customHeight="false" outlineLevel="0" collapsed="false">
      <c r="A5" s="27" t="s">
        <v>80</v>
      </c>
      <c r="B5" s="26" t="s">
        <v>318</v>
      </c>
      <c r="C5" s="38" t="n">
        <v>200</v>
      </c>
      <c r="D5" s="27" t="s">
        <v>198</v>
      </c>
      <c r="E5" s="27" t="s">
        <v>319</v>
      </c>
    </row>
    <row r="6" customFormat="false" ht="15" hidden="false" customHeight="false" outlineLevel="0" collapsed="false">
      <c r="A6" s="27" t="s">
        <v>80</v>
      </c>
      <c r="B6" s="26" t="s">
        <v>320</v>
      </c>
      <c r="C6" s="38" t="n">
        <v>170</v>
      </c>
      <c r="D6" s="27" t="s">
        <v>195</v>
      </c>
      <c r="E6" s="27" t="s">
        <v>319</v>
      </c>
    </row>
    <row r="7" customFormat="false" ht="15" hidden="false" customHeight="false" outlineLevel="0" collapsed="false">
      <c r="A7" s="27" t="s">
        <v>80</v>
      </c>
      <c r="B7" s="26" t="s">
        <v>321</v>
      </c>
      <c r="C7" s="38" t="n">
        <v>190</v>
      </c>
      <c r="D7" s="27" t="s">
        <v>212</v>
      </c>
      <c r="E7" s="27" t="s">
        <v>319</v>
      </c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7" t="s">
        <v>200</v>
      </c>
      <c r="B9" s="26" t="s">
        <v>322</v>
      </c>
      <c r="C9" s="38" t="n">
        <v>180</v>
      </c>
      <c r="D9" s="27" t="s">
        <v>201</v>
      </c>
      <c r="E9" s="27" t="s">
        <v>323</v>
      </c>
    </row>
    <row r="10" customFormat="false" ht="15" hidden="false" customHeight="false" outlineLevel="0" collapsed="false">
      <c r="A10" s="27" t="s">
        <v>200</v>
      </c>
      <c r="B10" s="26" t="s">
        <v>324</v>
      </c>
      <c r="C10" s="38" t="n">
        <v>170</v>
      </c>
      <c r="D10" s="27" t="s">
        <v>204</v>
      </c>
      <c r="E10" s="27" t="s">
        <v>323</v>
      </c>
    </row>
    <row r="11" customFormat="false" ht="15" hidden="false" customHeight="false" outlineLevel="0" collapsed="false">
      <c r="A11" s="27" t="s">
        <v>200</v>
      </c>
      <c r="B11" s="26" t="s">
        <v>325</v>
      </c>
      <c r="C11" s="38" t="n">
        <v>120</v>
      </c>
      <c r="D11" s="27" t="s">
        <v>208</v>
      </c>
      <c r="E11" s="27" t="s">
        <v>323</v>
      </c>
    </row>
    <row r="12" customFormat="false" ht="15" hidden="false" customHeight="false" outlineLevel="0" collapsed="false">
      <c r="A12" s="27" t="s">
        <v>200</v>
      </c>
      <c r="B12" s="26" t="s">
        <v>326</v>
      </c>
      <c r="C12" s="38" t="n">
        <v>190</v>
      </c>
      <c r="D12" s="27" t="s">
        <v>206</v>
      </c>
      <c r="E12" s="27" t="s">
        <v>323</v>
      </c>
    </row>
    <row r="13" customFormat="false" ht="15" hidden="false" customHeight="false" outlineLevel="0" collapsed="false">
      <c r="A13" s="27" t="s">
        <v>200</v>
      </c>
      <c r="B13" s="26" t="s">
        <v>327</v>
      </c>
      <c r="C13" s="38" t="n">
        <v>150</v>
      </c>
      <c r="D13" s="27" t="s">
        <v>328</v>
      </c>
      <c r="E13" s="27" t="s">
        <v>323</v>
      </c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27" t="s">
        <v>84</v>
      </c>
      <c r="B15" s="26" t="s">
        <v>329</v>
      </c>
      <c r="C15" s="38" t="n">
        <v>220</v>
      </c>
      <c r="D15" s="27" t="s">
        <v>210</v>
      </c>
      <c r="E15" s="27" t="s">
        <v>330</v>
      </c>
    </row>
    <row r="16" customFormat="false" ht="15" hidden="false" customHeight="false" outlineLevel="0" collapsed="false">
      <c r="A16" s="27" t="s">
        <v>84</v>
      </c>
      <c r="B16" s="26" t="s">
        <v>331</v>
      </c>
      <c r="C16" s="38" t="n">
        <v>200</v>
      </c>
      <c r="D16" s="27" t="s">
        <v>332</v>
      </c>
      <c r="E16" s="27" t="s">
        <v>333</v>
      </c>
    </row>
    <row r="17" customFormat="false" ht="15" hidden="false" customHeight="false" outlineLevel="0" collapsed="false">
      <c r="A17" s="27" t="s">
        <v>84</v>
      </c>
      <c r="B17" s="26" t="s">
        <v>321</v>
      </c>
      <c r="C17" s="38" t="n">
        <v>220</v>
      </c>
      <c r="D17" s="27" t="s">
        <v>212</v>
      </c>
      <c r="E17" s="27" t="s">
        <v>333</v>
      </c>
    </row>
    <row r="18" customFormat="false" ht="15" hidden="false" customHeight="false" outlineLevel="0" collapsed="false">
      <c r="A18" s="27" t="s">
        <v>84</v>
      </c>
      <c r="B18" s="26" t="s">
        <v>334</v>
      </c>
      <c r="C18" s="38" t="n">
        <v>240</v>
      </c>
      <c r="D18" s="27" t="s">
        <v>335</v>
      </c>
      <c r="E18" s="27" t="s">
        <v>333</v>
      </c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4" t="s">
        <v>336</v>
      </c>
      <c r="B20" s="2"/>
      <c r="C20" s="2"/>
      <c r="D20" s="2"/>
      <c r="E20" s="2"/>
    </row>
    <row r="21" customFormat="false" ht="30" hidden="false" customHeight="true" outlineLevel="0" collapsed="false">
      <c r="A21" s="7" t="s">
        <v>122</v>
      </c>
      <c r="B21" s="7" t="s">
        <v>120</v>
      </c>
      <c r="C21" s="7" t="s">
        <v>121</v>
      </c>
      <c r="D21" s="7" t="s">
        <v>337</v>
      </c>
      <c r="E21" s="7"/>
    </row>
    <row r="22" customFormat="false" ht="15" hidden="false" customHeight="false" outlineLevel="0" collapsed="false">
      <c r="A22" s="27" t="s">
        <v>133</v>
      </c>
      <c r="B22" s="26" t="s">
        <v>131</v>
      </c>
      <c r="C22" s="27" t="s">
        <v>132</v>
      </c>
      <c r="D22" s="27" t="s">
        <v>338</v>
      </c>
      <c r="E22" s="39"/>
    </row>
    <row r="23" customFormat="false" ht="15" hidden="false" customHeight="false" outlineLevel="0" collapsed="false">
      <c r="A23" s="27" t="s">
        <v>133</v>
      </c>
      <c r="B23" s="26" t="s">
        <v>134</v>
      </c>
      <c r="C23" s="27" t="s">
        <v>135</v>
      </c>
      <c r="D23" s="27" t="s">
        <v>339</v>
      </c>
      <c r="E23" s="40"/>
    </row>
    <row r="24" customFormat="false" ht="15" hidden="false" customHeight="false" outlineLevel="0" collapsed="false">
      <c r="A24" s="27" t="s">
        <v>133</v>
      </c>
      <c r="B24" s="26" t="s">
        <v>136</v>
      </c>
      <c r="C24" s="27" t="s">
        <v>137</v>
      </c>
      <c r="D24" s="27" t="s">
        <v>340</v>
      </c>
      <c r="E24" s="41"/>
    </row>
    <row r="25" customFormat="false" ht="15" hidden="false" customHeight="false" outlineLevel="0" collapsed="false">
      <c r="A25" s="27" t="s">
        <v>133</v>
      </c>
      <c r="B25" s="26" t="s">
        <v>138</v>
      </c>
      <c r="C25" s="27" t="s">
        <v>139</v>
      </c>
      <c r="D25" s="27" t="s">
        <v>341</v>
      </c>
      <c r="E25" s="42"/>
    </row>
    <row r="26" customFormat="false" ht="15" hidden="false" customHeight="false" outlineLevel="0" collapsed="false">
      <c r="A26" s="27" t="s">
        <v>133</v>
      </c>
      <c r="B26" s="26" t="s">
        <v>140</v>
      </c>
      <c r="C26" s="27" t="s">
        <v>141</v>
      </c>
      <c r="D26" s="27" t="s">
        <v>342</v>
      </c>
      <c r="E26" s="43"/>
    </row>
    <row r="27" customFormat="false" ht="15" hidden="false" customHeight="false" outlineLevel="0" collapsed="false">
      <c r="A27" s="27" t="s">
        <v>80</v>
      </c>
      <c r="B27" s="26" t="s">
        <v>142</v>
      </c>
      <c r="C27" s="27" t="s">
        <v>143</v>
      </c>
      <c r="D27" s="27" t="s">
        <v>343</v>
      </c>
      <c r="E27" s="44"/>
    </row>
    <row r="28" customFormat="false" ht="15" hidden="false" customHeight="false" outlineLevel="0" collapsed="false">
      <c r="A28" s="27" t="s">
        <v>80</v>
      </c>
      <c r="B28" s="26" t="s">
        <v>144</v>
      </c>
      <c r="C28" s="27" t="s">
        <v>145</v>
      </c>
      <c r="D28" s="27" t="s">
        <v>344</v>
      </c>
      <c r="E28" s="45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3" t="s">
        <v>345</v>
      </c>
      <c r="B30" s="2"/>
      <c r="C30" s="2"/>
      <c r="D30" s="2"/>
      <c r="E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25.5" hidden="false" customHeight="true" outlineLevel="0" collapsed="false">
      <c r="A1" s="1" t="s">
        <v>346</v>
      </c>
      <c r="B1" s="2"/>
      <c r="C1" s="2"/>
      <c r="D1" s="2"/>
    </row>
    <row r="2" customFormat="false" ht="15" hidden="false" customHeight="false" outlineLevel="0" collapsed="false">
      <c r="A2" s="3" t="s">
        <v>347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7" t="s">
        <v>348</v>
      </c>
      <c r="B4" s="7" t="s">
        <v>349</v>
      </c>
      <c r="C4" s="7" t="s">
        <v>153</v>
      </c>
      <c r="D4" s="7" t="s">
        <v>350</v>
      </c>
    </row>
    <row r="5" customFormat="false" ht="15" hidden="false" customHeight="false" outlineLevel="0" collapsed="false">
      <c r="A5" s="26" t="s">
        <v>351</v>
      </c>
      <c r="B5" s="46" t="n">
        <v>45931</v>
      </c>
      <c r="C5" s="47" t="s">
        <v>352</v>
      </c>
      <c r="D5" s="47" t="s">
        <v>353</v>
      </c>
    </row>
    <row r="6" customFormat="false" ht="15" hidden="false" customHeight="false" outlineLevel="0" collapsed="false">
      <c r="A6" s="26" t="s">
        <v>354</v>
      </c>
      <c r="B6" s="48" t="n">
        <v>185</v>
      </c>
      <c r="C6" s="47" t="s">
        <v>355</v>
      </c>
      <c r="D6" s="47" t="s">
        <v>356</v>
      </c>
    </row>
    <row r="7" customFormat="false" ht="15" hidden="false" customHeight="false" outlineLevel="0" collapsed="false">
      <c r="A7" s="26" t="s">
        <v>357</v>
      </c>
      <c r="B7" s="48" t="n">
        <v>60</v>
      </c>
      <c r="C7" s="47" t="s">
        <v>355</v>
      </c>
      <c r="D7" s="47" t="s">
        <v>358</v>
      </c>
    </row>
    <row r="8" customFormat="false" ht="15" hidden="false" customHeight="false" outlineLevel="0" collapsed="false">
      <c r="A8" s="26" t="s">
        <v>359</v>
      </c>
      <c r="B8" s="48" t="n">
        <v>18000</v>
      </c>
      <c r="C8" s="47" t="s">
        <v>360</v>
      </c>
      <c r="D8" s="47" t="s">
        <v>361</v>
      </c>
    </row>
    <row r="9" customFormat="false" ht="15" hidden="false" customHeight="false" outlineLevel="0" collapsed="false">
      <c r="A9" s="26" t="s">
        <v>362</v>
      </c>
      <c r="B9" s="48" t="n">
        <v>35000</v>
      </c>
      <c r="C9" s="47" t="s">
        <v>360</v>
      </c>
      <c r="D9" s="47" t="s">
        <v>363</v>
      </c>
    </row>
    <row r="10" customFormat="false" ht="15" hidden="false" customHeight="false" outlineLevel="0" collapsed="false">
      <c r="A10" s="26" t="s">
        <v>364</v>
      </c>
      <c r="B10" s="48" t="n">
        <v>15000</v>
      </c>
      <c r="C10" s="47" t="s">
        <v>360</v>
      </c>
      <c r="D10" s="47" t="s">
        <v>365</v>
      </c>
    </row>
    <row r="11" customFormat="false" ht="15" hidden="false" customHeight="false" outlineLevel="0" collapsed="false">
      <c r="A11" s="26" t="s">
        <v>366</v>
      </c>
      <c r="B11" s="49" t="n">
        <v>0.4</v>
      </c>
      <c r="C11" s="47" t="s">
        <v>367</v>
      </c>
      <c r="D11" s="47" t="s">
        <v>368</v>
      </c>
    </row>
    <row r="12" customFormat="false" ht="15" hidden="false" customHeight="false" outlineLevel="0" collapsed="false">
      <c r="A12" s="26" t="s">
        <v>369</v>
      </c>
      <c r="B12" s="50" t="n">
        <v>8</v>
      </c>
      <c r="C12" s="47" t="s">
        <v>370</v>
      </c>
      <c r="D12" s="47" t="s">
        <v>371</v>
      </c>
    </row>
    <row r="13" customFormat="false" ht="15" hidden="false" customHeight="false" outlineLevel="0" collapsed="false">
      <c r="A13" s="26" t="s">
        <v>372</v>
      </c>
      <c r="B13" s="50" t="n">
        <v>300</v>
      </c>
      <c r="C13" s="47" t="s">
        <v>221</v>
      </c>
      <c r="D13" s="47" t="s">
        <v>373</v>
      </c>
    </row>
    <row r="14" customFormat="false" ht="15" hidden="false" customHeight="false" outlineLevel="0" collapsed="false">
      <c r="A14" s="26" t="s">
        <v>374</v>
      </c>
      <c r="B14" s="50" t="n">
        <v>1000</v>
      </c>
      <c r="C14" s="47" t="s">
        <v>221</v>
      </c>
      <c r="D14" s="47" t="s">
        <v>375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19" t="s">
        <v>148</v>
      </c>
      <c r="B17" s="29" t="s">
        <v>149</v>
      </c>
      <c r="C17" s="2"/>
      <c r="D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25.5" hidden="false" customHeight="true" outlineLevel="0" collapsed="false">
      <c r="A1" s="1" t="s">
        <v>376</v>
      </c>
    </row>
    <row r="2" customFormat="false" ht="15" hidden="false" customHeight="false" outlineLevel="0" collapsed="false">
      <c r="A2" s="2"/>
    </row>
    <row r="3" customFormat="false" ht="31.5" hidden="false" customHeight="true" outlineLevel="0" collapsed="false">
      <c r="A3" s="51" t="s">
        <v>377</v>
      </c>
    </row>
    <row r="4" customFormat="false" ht="31.5" hidden="false" customHeight="true" outlineLevel="0" collapsed="false">
      <c r="A4" s="51" t="s">
        <v>378</v>
      </c>
    </row>
    <row r="5" customFormat="false" ht="31.5" hidden="false" customHeight="true" outlineLevel="0" collapsed="false">
      <c r="A5" s="51" t="s">
        <v>379</v>
      </c>
    </row>
    <row r="6" customFormat="false" ht="31.5" hidden="false" customHeight="true" outlineLevel="0" collapsed="false">
      <c r="A6" s="51" t="s">
        <v>380</v>
      </c>
    </row>
    <row r="7" customFormat="false" ht="31.5" hidden="false" customHeight="true" outlineLevel="0" collapsed="false">
      <c r="A7" s="51" t="s">
        <v>381</v>
      </c>
    </row>
    <row r="8" customFormat="false" ht="31.5" hidden="false" customHeight="true" outlineLevel="0" collapsed="false">
      <c r="A8" s="51" t="s">
        <v>382</v>
      </c>
    </row>
    <row r="9" customFormat="false" ht="31.5" hidden="false" customHeight="true" outlineLevel="0" collapsed="false">
      <c r="A9" s="51" t="s">
        <v>383</v>
      </c>
    </row>
    <row r="10" customFormat="false" ht="31.5" hidden="false" customHeight="true" outlineLevel="0" collapsed="false">
      <c r="A10" s="51" t="s">
        <v>384</v>
      </c>
    </row>
    <row r="11" customFormat="false" ht="31.5" hidden="false" customHeight="true" outlineLevel="0" collapsed="false">
      <c r="A11" s="51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2026-10-05T14:22:49Z</dcterms:created>
  <dc:creator>openpyxl</dc:creator>
  <dc:description/>
  <dc:language>en-US</dc:language>
  <cp:lastModifiedBy/>
  <dcterms:modified xsi:type="dcterms:W3CDTF">2026-10-05T14:22:50Z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