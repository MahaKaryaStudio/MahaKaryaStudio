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sanan" sheetId="2" state="visible" r:id="rId2"/>
    <sheet name="Stok" sheetId="3" state="visible" r:id="rId3"/>
    <sheet name="Kartu_Stok" sheetId="4" state="visible" r:id="rId4"/>
    <sheet name="Kas" sheetId="5" state="visible" r:id="rId5"/>
    <sheet name="Panduan" sheetId="6" state="visible" r:id="rId6"/>
  </sheets>
  <definedNames>
    <definedName name="_xlnm._FilterDatabase" localSheetId="1" hidden="1">'Pesanan'!$A$1:$U$501</definedName>
    <definedName name="_xlnm._FilterDatabase" localSheetId="3" hidden="1">'Kartu_Stok'!$A$1:$H$501</definedName>
    <definedName name="_xlnm._FilterDatabase" localSheetId="4" hidden="1">'Kas'!$A$1:$G$501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p&quot;#,##0;&quot;(Rp&quot;#,##0\);\-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8A7A68"/>
      <sz val="10"/>
    </font>
    <font>
      <name val="Arial"/>
      <b val="1"/>
      <sz val="14"/>
    </font>
    <font>
      <name val="Arial"/>
      <b val="1"/>
      <color rgb="000000FF"/>
      <sz val="10"/>
    </font>
    <font>
      <name val="Arial"/>
      <b val="1"/>
      <color rgb="009C5730"/>
      <sz val="10"/>
    </font>
    <font>
      <name val="Arial"/>
      <b val="1"/>
      <sz val="12"/>
    </font>
    <font>
      <name val="Arial"/>
      <b val="1"/>
      <color rgb="00B3412A"/>
      <sz val="10"/>
    </font>
  </fonts>
  <fills count="6">
    <fill>
      <patternFill/>
    </fill>
    <fill>
      <patternFill patternType="gray125"/>
    </fill>
    <fill>
      <patternFill patternType="solid">
        <fgColor rgb="001F1A16"/>
      </patternFill>
    </fill>
    <fill>
      <patternFill patternType="solid">
        <fgColor rgb="00FFF8E6"/>
      </patternFill>
    </fill>
    <fill>
      <patternFill patternType="solid">
        <fgColor rgb="00F2EBDF"/>
      </patternFill>
    </fill>
    <fill>
      <patternFill patternType="solid">
        <fgColor rgb="00FAF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3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5" borderId="0" pivotButton="0" quotePrefix="0" xfId="0"/>
    <xf numFmtId="0" fontId="10" fillId="5" borderId="0" pivotButton="0" quotePrefix="0" xfId="0"/>
    <xf numFmtId="9" fontId="10" fillId="5" borderId="0" pivotButton="0" quotePrefix="0" xfId="0"/>
    <xf numFmtId="165" fontId="10" fillId="5" borderId="0" pivotButton="0" quotePrefix="0" xfId="0"/>
    <xf numFmtId="166" fontId="10" fillId="5" borderId="0" pivotButton="0" quotePrefix="0" xfId="0"/>
    <xf numFmtId="0" fontId="1" fillId="2" borderId="0" pivotButton="0" quotePrefix="0" xfId="0"/>
    <xf numFmtId="0" fontId="2" fillId="4" borderId="0" pivotButton="0" quotePrefix="0" xfId="0"/>
    <xf numFmtId="165" fontId="2" fillId="4" borderId="0" pivotButton="0" quotePrefix="0" xfId="0"/>
    <xf numFmtId="2" fontId="2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3" fillId="3" borderId="0" pivotButton="0" quotePrefix="0" xfId="0"/>
    <xf numFmtId="165" fontId="4" fillId="3" borderId="0" pivotButton="0" quotePrefix="0" xfId="0"/>
    <xf numFmtId="0" fontId="4" fillId="3" borderId="0" pivotButton="0" quotePrefix="0" xfId="0"/>
    <xf numFmtId="2" fontId="2" fillId="4" borderId="0" pivotButton="0" quotePrefix="0" xfId="0"/>
    <xf numFmtId="0" fontId="5" fillId="0" borderId="0" pivotButton="0" quotePrefix="0" xfId="0"/>
    <xf numFmtId="165" fontId="5" fillId="0" borderId="0" pivotButton="0" quotePrefix="0" xfId="0"/>
    <xf numFmtId="2" fontId="2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1C2"/>
        </patternFill>
      </fill>
    </dxf>
    <dxf>
      <fill>
        <patternFill patternType="solid">
          <fgColor rgb="00FFD9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Pesanan vs terbayar per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'Dashboard'!$A$18:$A$23</f>
            </numRef>
          </cat>
          <val>
            <numRef>
              <f>'Dashboard'!$B$18:$B$23</f>
            </numRef>
          </val>
        </ser>
        <ser>
          <idx val="1"/>
          <order val="1"/>
          <tx>
            <strRef>
              <f>'Dashboard'!C17</f>
            </strRef>
          </tx>
          <spPr>
            <a:ln>
              <a:prstDash val="solid"/>
            </a:ln>
          </spPr>
          <cat>
            <numRef>
              <f>'Dashboard'!$A$18:$A$23</f>
            </numRef>
          </cat>
          <val>
            <numRef>
              <f>'Dashboard'!$C$18:$C$23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30" customWidth="1" min="4" max="4"/>
    <col width="16" customWidth="1" min="5" max="5"/>
    <col width="4" customWidth="1" min="6" max="6"/>
    <col width="14" customWidth="1" min="7" max="7"/>
    <col width="14" customWidth="1" min="8" max="8"/>
  </cols>
  <sheetData>
    <row r="1">
      <c r="A1" s="1" t="inlineStr">
        <is>
          <t>MahaKarya Studio — Dashboard operasional</t>
        </is>
      </c>
    </row>
    <row r="2">
      <c r="A2" s="2" t="inlineStr">
        <is>
          <t>Bulan (yyyy-mm):</t>
        </is>
      </c>
      <c r="B2" s="3">
        <f>TEXT(TODAY(),"yyyy-mm")</f>
        <v/>
      </c>
      <c r="D2" s="4" t="inlineStr">
        <is>
          <t>Ubah B2 untuk melihat bulan lain. Semua angka dihitung dari tab Pesanan, Kas, Stok.</t>
        </is>
      </c>
    </row>
    <row r="4">
      <c r="A4" s="5" t="inlineStr">
        <is>
          <t>HARI INI (cek tiap pagi &amp; sore)</t>
        </is>
      </c>
      <c r="D4" s="5" t="inlineStr">
        <is>
          <t>BULAN INI</t>
        </is>
      </c>
    </row>
    <row r="5">
      <c r="A5" s="6" t="inlineStr">
        <is>
          <t>Chat belum dibalas (status Baru)</t>
        </is>
      </c>
      <c r="B5" s="7">
        <f>COUNTIF(Pesanan!$C$2:$C$501,"Baru")</f>
        <v/>
      </c>
      <c r="D5" s="6" t="inlineStr">
        <is>
          <t>Pesanan masuk</t>
        </is>
      </c>
      <c r="E5" s="7">
        <f>COUNTIF(Pesanan!$U$2:$U$501,$B$2)</f>
        <v/>
      </c>
    </row>
    <row r="6">
      <c r="A6" s="6" t="inlineStr">
        <is>
          <t>Menunggu bayar &gt; 1 hari</t>
        </is>
      </c>
      <c r="B6" s="7">
        <f>SUMPRODUCT((Pesanan!$C$2:$C$501="Tunggu bayar")*(Pesanan!$B$2:$B$501&lt;&gt;"")*(Pesanan!$B$2:$B$501&lt;TODAY()-1))</f>
        <v/>
      </c>
      <c r="D6" s="6" t="inlineStr">
        <is>
          <t>Terbayar (Cetak+Dikirim+Selesai)</t>
        </is>
      </c>
      <c r="E6" s="7">
        <f>COUNTIFS(Pesanan!$U$2:$U$501,$B$2,Pesanan!$C$2:$C$501,"Cetak")+COUNTIFS(Pesanan!$U$2:$U$501,$B$2,Pesanan!$C$2:$C$501,"Dikirim")+COUNTIFS(Pesanan!$U$2:$U$501,$B$2,Pesanan!$C$2:$C$501,"Selesai")</f>
        <v/>
      </c>
    </row>
    <row r="7">
      <c r="A7" s="6" t="inlineStr">
        <is>
          <t>Sedang dicetak</t>
        </is>
      </c>
      <c r="B7" s="7">
        <f>COUNTIF(Pesanan!$C$2:$C$501,"Cetak")</f>
        <v/>
      </c>
      <c r="D7" s="6" t="inlineStr">
        <is>
          <t>Konversi chat → bayar</t>
        </is>
      </c>
      <c r="E7" s="8">
        <f>IF(E5=0,0,E6/E5)</f>
        <v/>
      </c>
    </row>
    <row r="8">
      <c r="A8" s="6" t="inlineStr">
        <is>
          <t>Terlambat dari janji selesai</t>
        </is>
      </c>
      <c r="B8" s="7">
        <f>COUNTIF(Pesanan!$T$2:$T$501,"YA")</f>
        <v/>
      </c>
      <c r="D8" s="6" t="inlineStr">
        <is>
          <t>Omzet lampu terbayar</t>
        </is>
      </c>
      <c r="E8" s="9">
        <f>SUMIFS(Pesanan!$G$2:$G$501,Pesanan!$U$2:$U$501,$B$2,Pesanan!$C$2:$C$501,"Cetak")+SUMIFS(Pesanan!$G$2:$G$501,Pesanan!$U$2:$U$501,$B$2,Pesanan!$C$2:$C$501,"Dikirim")+SUMIFS(Pesanan!$G$2:$G$501,Pesanan!$U$2:$U$501,$B$2,Pesanan!$C$2:$C$501,"Selesai")</f>
        <v/>
      </c>
    </row>
    <row r="9">
      <c r="A9" s="6" t="inlineStr">
        <is>
          <t>Item stok harus dibeli</t>
        </is>
      </c>
      <c r="B9" s="7">
        <f>COUNTIF(Stok!$O$2:$O$501,"BELI")</f>
        <v/>
      </c>
      <c r="D9" s="6" t="inlineStr">
        <is>
          <t>Kas masuk</t>
        </is>
      </c>
      <c r="E9" s="9">
        <f>SUMIFS(Kas!$E$2:$E$501,Kas!$B$2:$B$501,"Masuk",Kas!$G$2:$G$501,$B$2)</f>
        <v/>
      </c>
    </row>
    <row r="10">
      <c r="A10" s="6" t="inlineStr">
        <is>
          <t>Dikirim, belum ditanya kabar (&gt;3 hari)</t>
        </is>
      </c>
      <c r="B10" s="7">
        <f>SUMPRODUCT((Pesanan!$C$2:$C$501="Dikirim")*(Pesanan!$O$2:$O$501&lt;&gt;"")*(Pesanan!$O$2:$O$501&lt;TODAY()-3))</f>
        <v/>
      </c>
      <c r="D10" s="6" t="inlineStr">
        <is>
          <t>Kas keluar</t>
        </is>
      </c>
      <c r="E10" s="9">
        <f>SUMIFS(Kas!$E$2:$E$501,Kas!$B$2:$B$501,"Keluar",Kas!$G$2:$G$501,$B$2)</f>
        <v/>
      </c>
    </row>
    <row r="11">
      <c r="D11" s="6" t="inlineStr">
        <is>
          <t>Arus kas bersih bulan ini</t>
        </is>
      </c>
      <c r="E11" s="9">
        <f>E9-E10</f>
        <v/>
      </c>
    </row>
    <row r="12">
      <c r="D12" s="6" t="inlineStr">
        <is>
          <t>Saldo kas (semua waktu)</t>
        </is>
      </c>
      <c r="E12" s="9">
        <f>SUMIF(Kas!$B$2:$B$501,"Masuk",Kas!$E$2:$E$501)-SUMIF(Kas!$B$2:$B$501,"Keluar",Kas!$E$2:$E$501)</f>
        <v/>
      </c>
    </row>
    <row r="13">
      <c r="D13" s="6" t="inlineStr">
        <is>
          <t>Nilai stok di gudang</t>
        </is>
      </c>
      <c r="E13" s="9">
        <f>Stok!K28</f>
        <v/>
      </c>
    </row>
    <row r="14">
      <c r="D14" s="6" t="inlineStr">
        <is>
          <t>Rata-rata hari bayar → kirim</t>
        </is>
      </c>
      <c r="E14" s="10">
        <f>IFERROR(SUMPRODUCT((Pesanan!$S$2:$S$501&lt;&gt;"")*(Pesanan!$U$2:$U$501=$B$2)*Pesanan!$S$2:$S$501)/SUMPRODUCT((Pesanan!$S$2:$S$501&lt;&gt;"")*(Pesanan!$U$2:$U$501=$B$2)),0)</f>
        <v/>
      </c>
    </row>
    <row r="16">
      <c r="A16" s="5" t="inlineStr">
        <is>
          <t>6 BULAN TERAKHIR</t>
        </is>
      </c>
    </row>
    <row r="17">
      <c r="A17" s="11" t="inlineStr">
        <is>
          <t>Bulan</t>
        </is>
      </c>
      <c r="B17" s="11" t="inlineStr">
        <is>
          <t>Pesanan</t>
        </is>
      </c>
      <c r="C17" s="11" t="inlineStr">
        <is>
          <t>Terbayar</t>
        </is>
      </c>
      <c r="D17" s="11" t="inlineStr">
        <is>
          <t>Omzet lampu</t>
        </is>
      </c>
      <c r="E17" s="11" t="inlineStr">
        <is>
          <t>Kas bersih</t>
        </is>
      </c>
    </row>
    <row r="18">
      <c r="A18" s="12">
        <f>TEXT(EDATE(DATE(VALUE(LEFT($B$2,4)),VALUE(RIGHT($B$2,2)),1),-5),"yyyy-mm")</f>
        <v/>
      </c>
      <c r="B18" s="12">
        <f>COUNTIF(Pesanan!$U$2:$U$501,A18)</f>
        <v/>
      </c>
      <c r="C18" s="12">
        <f>COUNTIFS(Pesanan!$U$2:$U$501,A18,Pesanan!$C$2:$C$501,"Cetak")+COUNTIFS(Pesanan!$U$2:$U$501,A18,Pesanan!$C$2:$C$501,"Dikirim")+COUNTIFS(Pesanan!$U$2:$U$501,A18,Pesanan!$C$2:$C$501,"Selesai")</f>
        <v/>
      </c>
      <c r="D18" s="13">
        <f>SUMIFS(Pesanan!$G$2:$G$501,Pesanan!$U$2:$U$501,A18,Pesanan!$C$2:$C$501,"Cetak")+SUMIFS(Pesanan!$G$2:$G$501,Pesanan!$U$2:$U$501,A18,Pesanan!$C$2:$C$501,"Dikirim")+SUMIFS(Pesanan!$G$2:$G$501,Pesanan!$U$2:$U$501,A18,Pesanan!$C$2:$C$501,"Selesai")</f>
        <v/>
      </c>
      <c r="E18" s="13">
        <f>SUMIFS(Kas!$E$2:$E$501,Kas!$B$2:$B$501,"Masuk",Kas!$G$2:$G$501,A18)-SUMIFS(Kas!$E$2:$E$501,Kas!$B$2:$B$501,"Keluar",Kas!$G$2:$G$501,A18)</f>
        <v/>
      </c>
    </row>
    <row r="19">
      <c r="A19" s="12">
        <f>TEXT(EDATE(DATE(VALUE(LEFT($B$2,4)),VALUE(RIGHT($B$2,2)),1),-4),"yyyy-mm")</f>
        <v/>
      </c>
      <c r="B19" s="12">
        <f>COUNTIF(Pesanan!$U$2:$U$501,A19)</f>
        <v/>
      </c>
      <c r="C19" s="12">
        <f>COUNTIFS(Pesanan!$U$2:$U$501,A19,Pesanan!$C$2:$C$501,"Cetak")+COUNTIFS(Pesanan!$U$2:$U$501,A19,Pesanan!$C$2:$C$501,"Dikirim")+COUNTIFS(Pesanan!$U$2:$U$501,A19,Pesanan!$C$2:$C$501,"Selesai")</f>
        <v/>
      </c>
      <c r="D19" s="13">
        <f>SUMIFS(Pesanan!$G$2:$G$501,Pesanan!$U$2:$U$501,A19,Pesanan!$C$2:$C$501,"Cetak")+SUMIFS(Pesanan!$G$2:$G$501,Pesanan!$U$2:$U$501,A19,Pesanan!$C$2:$C$501,"Dikirim")+SUMIFS(Pesanan!$G$2:$G$501,Pesanan!$U$2:$U$501,A19,Pesanan!$C$2:$C$501,"Selesai")</f>
        <v/>
      </c>
      <c r="E19" s="13">
        <f>SUMIFS(Kas!$E$2:$E$501,Kas!$B$2:$B$501,"Masuk",Kas!$G$2:$G$501,A19)-SUMIFS(Kas!$E$2:$E$501,Kas!$B$2:$B$501,"Keluar",Kas!$G$2:$G$501,A19)</f>
        <v/>
      </c>
    </row>
    <row r="20">
      <c r="A20" s="12">
        <f>TEXT(EDATE(DATE(VALUE(LEFT($B$2,4)),VALUE(RIGHT($B$2,2)),1),-3),"yyyy-mm")</f>
        <v/>
      </c>
      <c r="B20" s="12">
        <f>COUNTIF(Pesanan!$U$2:$U$501,A20)</f>
        <v/>
      </c>
      <c r="C20" s="12">
        <f>COUNTIFS(Pesanan!$U$2:$U$501,A20,Pesanan!$C$2:$C$501,"Cetak")+COUNTIFS(Pesanan!$U$2:$U$501,A20,Pesanan!$C$2:$C$501,"Dikirim")+COUNTIFS(Pesanan!$U$2:$U$501,A20,Pesanan!$C$2:$C$501,"Selesai")</f>
        <v/>
      </c>
      <c r="D20" s="13">
        <f>SUMIFS(Pesanan!$G$2:$G$501,Pesanan!$U$2:$U$501,A20,Pesanan!$C$2:$C$501,"Cetak")+SUMIFS(Pesanan!$G$2:$G$501,Pesanan!$U$2:$U$501,A20,Pesanan!$C$2:$C$501,"Dikirim")+SUMIFS(Pesanan!$G$2:$G$501,Pesanan!$U$2:$U$501,A20,Pesanan!$C$2:$C$501,"Selesai")</f>
        <v/>
      </c>
      <c r="E20" s="13">
        <f>SUMIFS(Kas!$E$2:$E$501,Kas!$B$2:$B$501,"Masuk",Kas!$G$2:$G$501,A20)-SUMIFS(Kas!$E$2:$E$501,Kas!$B$2:$B$501,"Keluar",Kas!$G$2:$G$501,A20)</f>
        <v/>
      </c>
    </row>
    <row r="21">
      <c r="A21" s="12">
        <f>TEXT(EDATE(DATE(VALUE(LEFT($B$2,4)),VALUE(RIGHT($B$2,2)),1),-2),"yyyy-mm")</f>
        <v/>
      </c>
      <c r="B21" s="12">
        <f>COUNTIF(Pesanan!$U$2:$U$501,A21)</f>
        <v/>
      </c>
      <c r="C21" s="12">
        <f>COUNTIFS(Pesanan!$U$2:$U$501,A21,Pesanan!$C$2:$C$501,"Cetak")+COUNTIFS(Pesanan!$U$2:$U$501,A21,Pesanan!$C$2:$C$501,"Dikirim")+COUNTIFS(Pesanan!$U$2:$U$501,A21,Pesanan!$C$2:$C$501,"Selesai")</f>
        <v/>
      </c>
      <c r="D21" s="13">
        <f>SUMIFS(Pesanan!$G$2:$G$501,Pesanan!$U$2:$U$501,A21,Pesanan!$C$2:$C$501,"Cetak")+SUMIFS(Pesanan!$G$2:$G$501,Pesanan!$U$2:$U$501,A21,Pesanan!$C$2:$C$501,"Dikirim")+SUMIFS(Pesanan!$G$2:$G$501,Pesanan!$U$2:$U$501,A21,Pesanan!$C$2:$C$501,"Selesai")</f>
        <v/>
      </c>
      <c r="E21" s="13">
        <f>SUMIFS(Kas!$E$2:$E$501,Kas!$B$2:$B$501,"Masuk",Kas!$G$2:$G$501,A21)-SUMIFS(Kas!$E$2:$E$501,Kas!$B$2:$B$501,"Keluar",Kas!$G$2:$G$501,A21)</f>
        <v/>
      </c>
    </row>
    <row r="22">
      <c r="A22" s="12">
        <f>TEXT(EDATE(DATE(VALUE(LEFT($B$2,4)),VALUE(RIGHT($B$2,2)),1),-1),"yyyy-mm")</f>
        <v/>
      </c>
      <c r="B22" s="12">
        <f>COUNTIF(Pesanan!$U$2:$U$501,A22)</f>
        <v/>
      </c>
      <c r="C22" s="12">
        <f>COUNTIFS(Pesanan!$U$2:$U$501,A22,Pesanan!$C$2:$C$501,"Cetak")+COUNTIFS(Pesanan!$U$2:$U$501,A22,Pesanan!$C$2:$C$501,"Dikirim")+COUNTIFS(Pesanan!$U$2:$U$501,A22,Pesanan!$C$2:$C$501,"Selesai")</f>
        <v/>
      </c>
      <c r="D22" s="13">
        <f>SUMIFS(Pesanan!$G$2:$G$501,Pesanan!$U$2:$U$501,A22,Pesanan!$C$2:$C$501,"Cetak")+SUMIFS(Pesanan!$G$2:$G$501,Pesanan!$U$2:$U$501,A22,Pesanan!$C$2:$C$501,"Dikirim")+SUMIFS(Pesanan!$G$2:$G$501,Pesanan!$U$2:$U$501,A22,Pesanan!$C$2:$C$501,"Selesai")</f>
        <v/>
      </c>
      <c r="E22" s="13">
        <f>SUMIFS(Kas!$E$2:$E$501,Kas!$B$2:$B$501,"Masuk",Kas!$G$2:$G$501,A22)-SUMIFS(Kas!$E$2:$E$501,Kas!$B$2:$B$501,"Keluar",Kas!$G$2:$G$501,A22)</f>
        <v/>
      </c>
    </row>
    <row r="23">
      <c r="A23" s="12">
        <f>TEXT(EDATE(DATE(VALUE(LEFT($B$2,4)),VALUE(RIGHT($B$2,2)),1),-0),"yyyy-mm")</f>
        <v/>
      </c>
      <c r="B23" s="12">
        <f>COUNTIF(Pesanan!$U$2:$U$501,A23)</f>
        <v/>
      </c>
      <c r="C23" s="12">
        <f>COUNTIFS(Pesanan!$U$2:$U$501,A23,Pesanan!$C$2:$C$501,"Cetak")+COUNTIFS(Pesanan!$U$2:$U$501,A23,Pesanan!$C$2:$C$501,"Dikirim")+COUNTIFS(Pesanan!$U$2:$U$501,A23,Pesanan!$C$2:$C$501,"Selesai")</f>
        <v/>
      </c>
      <c r="D23" s="13">
        <f>SUMIFS(Pesanan!$G$2:$G$501,Pesanan!$U$2:$U$501,A23,Pesanan!$C$2:$C$501,"Cetak")+SUMIFS(Pesanan!$G$2:$G$501,Pesanan!$U$2:$U$501,A23,Pesanan!$C$2:$C$501,"Dikirim")+SUMIFS(Pesanan!$G$2:$G$501,Pesanan!$U$2:$U$501,A23,Pesanan!$C$2:$C$501,"Selesai")</f>
        <v/>
      </c>
      <c r="E23" s="13">
        <f>SUMIFS(Kas!$E$2:$E$501,Kas!$B$2:$B$501,"Masuk",Kas!$G$2:$G$501,A23)-SUMIFS(Kas!$E$2:$E$501,Kas!$B$2:$B$501,"Keluar",Kas!$G$2:$G$501,A23)</f>
        <v/>
      </c>
    </row>
    <row r="26">
      <c r="A26" s="5" t="inlineStr">
        <is>
          <t>STOK YANG HARUS DIBELI (dari tab Stok)</t>
        </is>
      </c>
    </row>
    <row r="27">
      <c r="A27" s="11" t="inlineStr">
        <is>
          <t>Item</t>
        </is>
      </c>
      <c r="B27" s="11" t="inlineStr">
        <is>
          <t>Saldo</t>
        </is>
      </c>
      <c r="C27" s="11" t="inlineStr">
        <is>
          <t>Titik pesan ulang</t>
        </is>
      </c>
      <c r="D27" s="11" t="inlineStr">
        <is>
          <t>Status</t>
        </is>
      </c>
    </row>
    <row r="28">
      <c r="A28" s="2">
        <f>IF(Stok!O2="BELI",Stok!B2,"")</f>
        <v/>
      </c>
      <c r="B28" s="14">
        <f>IF(Stok!O2="BELI",Stok!J2,"")</f>
        <v/>
      </c>
      <c r="C28" s="14">
        <f>IF(Stok!O2="BELI",Stok!N2,"")</f>
        <v/>
      </c>
      <c r="D28" s="15">
        <f>IF(Stok!O2="BELI","BELI","")</f>
        <v/>
      </c>
    </row>
    <row r="29">
      <c r="A29" s="2">
        <f>IF(Stok!O3="BELI",Stok!B3,"")</f>
        <v/>
      </c>
      <c r="B29" s="14">
        <f>IF(Stok!O3="BELI",Stok!J3,"")</f>
        <v/>
      </c>
      <c r="C29" s="14">
        <f>IF(Stok!O3="BELI",Stok!N3,"")</f>
        <v/>
      </c>
      <c r="D29" s="15">
        <f>IF(Stok!O3="BELI","BELI","")</f>
        <v/>
      </c>
    </row>
    <row r="30">
      <c r="A30" s="2">
        <f>IF(Stok!O4="BELI",Stok!B4,"")</f>
        <v/>
      </c>
      <c r="B30" s="14">
        <f>IF(Stok!O4="BELI",Stok!J4,"")</f>
        <v/>
      </c>
      <c r="C30" s="14">
        <f>IF(Stok!O4="BELI",Stok!N4,"")</f>
        <v/>
      </c>
      <c r="D30" s="15">
        <f>IF(Stok!O4="BELI","BELI","")</f>
        <v/>
      </c>
    </row>
    <row r="31">
      <c r="A31" s="2">
        <f>IF(Stok!O5="BELI",Stok!B5,"")</f>
        <v/>
      </c>
      <c r="B31" s="14">
        <f>IF(Stok!O5="BELI",Stok!J5,"")</f>
        <v/>
      </c>
      <c r="C31" s="14">
        <f>IF(Stok!O5="BELI",Stok!N5,"")</f>
        <v/>
      </c>
      <c r="D31" s="15">
        <f>IF(Stok!O5="BELI","BELI","")</f>
        <v/>
      </c>
    </row>
    <row r="32">
      <c r="A32" s="2">
        <f>IF(Stok!O6="BELI",Stok!B6,"")</f>
        <v/>
      </c>
      <c r="B32" s="14">
        <f>IF(Stok!O6="BELI",Stok!J6,"")</f>
        <v/>
      </c>
      <c r="C32" s="14">
        <f>IF(Stok!O6="BELI",Stok!N6,"")</f>
        <v/>
      </c>
      <c r="D32" s="15">
        <f>IF(Stok!O6="BELI","BELI","")</f>
        <v/>
      </c>
    </row>
    <row r="33">
      <c r="A33" s="2">
        <f>IF(Stok!O7="BELI",Stok!B7,"")</f>
        <v/>
      </c>
      <c r="B33" s="14">
        <f>IF(Stok!O7="BELI",Stok!J7,"")</f>
        <v/>
      </c>
      <c r="C33" s="14">
        <f>IF(Stok!O7="BELI",Stok!N7,"")</f>
        <v/>
      </c>
      <c r="D33" s="15">
        <f>IF(Stok!O7="BELI","BELI","")</f>
        <v/>
      </c>
    </row>
    <row r="34">
      <c r="A34" s="2">
        <f>IF(Stok!O8="BELI",Stok!B8,"")</f>
        <v/>
      </c>
      <c r="B34" s="14">
        <f>IF(Stok!O8="BELI",Stok!J8,"")</f>
        <v/>
      </c>
      <c r="C34" s="14">
        <f>IF(Stok!O8="BELI",Stok!N8,"")</f>
        <v/>
      </c>
      <c r="D34" s="15">
        <f>IF(Stok!O8="BELI","BELI","")</f>
        <v/>
      </c>
    </row>
    <row r="35">
      <c r="A35" s="2">
        <f>IF(Stok!O9="BELI",Stok!B9,"")</f>
        <v/>
      </c>
      <c r="B35" s="14">
        <f>IF(Stok!O9="BELI",Stok!J9,"")</f>
        <v/>
      </c>
      <c r="C35" s="14">
        <f>IF(Stok!O9="BELI",Stok!N9,"")</f>
        <v/>
      </c>
      <c r="D35" s="15">
        <f>IF(Stok!O9="BELI","BELI","")</f>
        <v/>
      </c>
    </row>
    <row r="36">
      <c r="A36" s="2">
        <f>IF(Stok!O10="BELI",Stok!B10,"")</f>
        <v/>
      </c>
      <c r="B36" s="14">
        <f>IF(Stok!O10="BELI",Stok!J10,"")</f>
        <v/>
      </c>
      <c r="C36" s="14">
        <f>IF(Stok!O10="BELI",Stok!N10,"")</f>
        <v/>
      </c>
      <c r="D36" s="15">
        <f>IF(Stok!O10="BELI","BELI","")</f>
        <v/>
      </c>
    </row>
    <row r="37">
      <c r="A37" s="2">
        <f>IF(Stok!O11="BELI",Stok!B11,"")</f>
        <v/>
      </c>
      <c r="B37" s="14">
        <f>IF(Stok!O11="BELI",Stok!J11,"")</f>
        <v/>
      </c>
      <c r="C37" s="14">
        <f>IF(Stok!O11="BELI",Stok!N11,"")</f>
        <v/>
      </c>
      <c r="D37" s="15">
        <f>IF(Stok!O11="BELI","BELI","")</f>
        <v/>
      </c>
    </row>
    <row r="38">
      <c r="A38" s="2">
        <f>IF(Stok!O12="BELI",Stok!B12,"")</f>
        <v/>
      </c>
      <c r="B38" s="14">
        <f>IF(Stok!O12="BELI",Stok!J12,"")</f>
        <v/>
      </c>
      <c r="C38" s="14">
        <f>IF(Stok!O12="BELI",Stok!N12,"")</f>
        <v/>
      </c>
      <c r="D38" s="15">
        <f>IF(Stok!O12="BELI","BELI","")</f>
        <v/>
      </c>
    </row>
    <row r="39">
      <c r="A39" s="2">
        <f>IF(Stok!O13="BELI",Stok!B13,"")</f>
        <v/>
      </c>
      <c r="B39" s="14">
        <f>IF(Stok!O13="BELI",Stok!J13,"")</f>
        <v/>
      </c>
      <c r="C39" s="14">
        <f>IF(Stok!O13="BELI",Stok!N13,"")</f>
        <v/>
      </c>
      <c r="D39" s="15">
        <f>IF(Stok!O13="BELI","BELI","")</f>
        <v/>
      </c>
    </row>
    <row r="40">
      <c r="A40" s="2">
        <f>IF(Stok!O14="BELI",Stok!B14,"")</f>
        <v/>
      </c>
      <c r="B40" s="14">
        <f>IF(Stok!O14="BELI",Stok!J14,"")</f>
        <v/>
      </c>
      <c r="C40" s="14">
        <f>IF(Stok!O14="BELI",Stok!N14,"")</f>
        <v/>
      </c>
      <c r="D40" s="15">
        <f>IF(Stok!O14="BELI","BELI","")</f>
        <v/>
      </c>
    </row>
    <row r="41">
      <c r="A41" s="2">
        <f>IF(Stok!O15="BELI",Stok!B15,"")</f>
        <v/>
      </c>
      <c r="B41" s="14">
        <f>IF(Stok!O15="BELI",Stok!J15,"")</f>
        <v/>
      </c>
      <c r="C41" s="14">
        <f>IF(Stok!O15="BELI",Stok!N15,"")</f>
        <v/>
      </c>
      <c r="D41" s="15">
        <f>IF(Stok!O15="BELI","BELI","")</f>
        <v/>
      </c>
    </row>
    <row r="42">
      <c r="A42" s="2">
        <f>IF(Stok!O16="BELI",Stok!B16,"")</f>
        <v/>
      </c>
      <c r="B42" s="14">
        <f>IF(Stok!O16="BELI",Stok!J16,"")</f>
        <v/>
      </c>
      <c r="C42" s="14">
        <f>IF(Stok!O16="BELI",Stok!N16,"")</f>
        <v/>
      </c>
      <c r="D42" s="15">
        <f>IF(Stok!O16="BELI","BELI","")</f>
        <v/>
      </c>
    </row>
    <row r="43">
      <c r="A43" s="2">
        <f>IF(Stok!O17="BELI",Stok!B17,"")</f>
        <v/>
      </c>
      <c r="B43" s="14">
        <f>IF(Stok!O17="BELI",Stok!J17,"")</f>
        <v/>
      </c>
      <c r="C43" s="14">
        <f>IF(Stok!O17="BELI",Stok!N17,"")</f>
        <v/>
      </c>
      <c r="D43" s="15">
        <f>IF(Stok!O17="BELI","BELI","")</f>
        <v/>
      </c>
    </row>
    <row r="44">
      <c r="A44" s="2">
        <f>IF(Stok!O18="BELI",Stok!B18,"")</f>
        <v/>
      </c>
      <c r="B44" s="14">
        <f>IF(Stok!O18="BELI",Stok!J18,"")</f>
        <v/>
      </c>
      <c r="C44" s="14">
        <f>IF(Stok!O18="BELI",Stok!N18,"")</f>
        <v/>
      </c>
      <c r="D44" s="15">
        <f>IF(Stok!O18="BELI","BELI","")</f>
        <v/>
      </c>
    </row>
    <row r="45">
      <c r="A45" s="2">
        <f>IF(Stok!O19="BELI",Stok!B19,"")</f>
        <v/>
      </c>
      <c r="B45" s="14">
        <f>IF(Stok!O19="BELI",Stok!J19,"")</f>
        <v/>
      </c>
      <c r="C45" s="14">
        <f>IF(Stok!O19="BELI",Stok!N19,"")</f>
        <v/>
      </c>
      <c r="D45" s="15">
        <f>IF(Stok!O19="BELI","BELI","")</f>
        <v/>
      </c>
    </row>
    <row r="46">
      <c r="A46" s="2">
        <f>IF(Stok!O20="BELI",Stok!B20,"")</f>
        <v/>
      </c>
      <c r="B46" s="14">
        <f>IF(Stok!O20="BELI",Stok!J20,"")</f>
        <v/>
      </c>
      <c r="C46" s="14">
        <f>IF(Stok!O20="BELI",Stok!N20,"")</f>
        <v/>
      </c>
      <c r="D46" s="15">
        <f>IF(Stok!O20="BELI","BELI","")</f>
        <v/>
      </c>
    </row>
    <row r="47">
      <c r="A47" s="2">
        <f>IF(Stok!O21="BELI",Stok!B21,"")</f>
        <v/>
      </c>
      <c r="B47" s="14">
        <f>IF(Stok!O21="BELI",Stok!J21,"")</f>
        <v/>
      </c>
      <c r="C47" s="14">
        <f>IF(Stok!O21="BELI",Stok!N21,"")</f>
        <v/>
      </c>
      <c r="D47" s="15">
        <f>IF(Stok!O21="BELI","BELI","")</f>
        <v/>
      </c>
    </row>
    <row r="48">
      <c r="A48" s="2">
        <f>IF(Stok!O22="BELI",Stok!B22,"")</f>
        <v/>
      </c>
      <c r="B48" s="14">
        <f>IF(Stok!O22="BELI",Stok!J22,"")</f>
        <v/>
      </c>
      <c r="C48" s="14">
        <f>IF(Stok!O22="BELI",Stok!N22,"")</f>
        <v/>
      </c>
      <c r="D48" s="15">
        <f>IF(Stok!O22="BELI","BELI","")</f>
        <v/>
      </c>
    </row>
    <row r="49">
      <c r="A49" s="2">
        <f>IF(Stok!O23="BELI",Stok!B23,"")</f>
        <v/>
      </c>
      <c r="B49" s="14">
        <f>IF(Stok!O23="BELI",Stok!J23,"")</f>
        <v/>
      </c>
      <c r="C49" s="14">
        <f>IF(Stok!O23="BELI",Stok!N23,"")</f>
        <v/>
      </c>
      <c r="D49" s="15">
        <f>IF(Stok!O23="BELI","BELI","")</f>
        <v/>
      </c>
    </row>
    <row r="50">
      <c r="A50" s="2">
        <f>IF(Stok!O24="BELI",Stok!B24,"")</f>
        <v/>
      </c>
      <c r="B50" s="14">
        <f>IF(Stok!O24="BELI",Stok!J24,"")</f>
        <v/>
      </c>
      <c r="C50" s="14">
        <f>IF(Stok!O24="BELI",Stok!N24,"")</f>
        <v/>
      </c>
      <c r="D50" s="15">
        <f>IF(Stok!O24="BELI","BELI","")</f>
        <v/>
      </c>
    </row>
    <row r="51">
      <c r="A51" s="2">
        <f>IF(Stok!O25="BELI",Stok!B25,"")</f>
        <v/>
      </c>
      <c r="B51" s="14">
        <f>IF(Stok!O25="BELI",Stok!J25,"")</f>
        <v/>
      </c>
      <c r="C51" s="14">
        <f>IF(Stok!O25="BELI",Stok!N25,"")</f>
        <v/>
      </c>
      <c r="D51" s="15">
        <f>IF(Stok!O25="BELI","BELI","")</f>
        <v/>
      </c>
    </row>
    <row r="52">
      <c r="A52" s="2">
        <f>IF(Stok!O26="BELI",Stok!B26,"")</f>
        <v/>
      </c>
      <c r="B52" s="14">
        <f>IF(Stok!O26="BELI",Stok!J26,"")</f>
        <v/>
      </c>
      <c r="C52" s="14">
        <f>IF(Stok!O26="BELI",Stok!N26,"")</f>
        <v/>
      </c>
      <c r="D52" s="15">
        <f>IF(Stok!O26="BELI","BELI","")</f>
        <v/>
      </c>
    </row>
  </sheetData>
  <conditionalFormatting sqref="A5:B10">
    <cfRule type="expression" priority="1" dxfId="0">
      <formula>AND(ISNUMBER($B5),$B5&gt;0)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8" customWidth="1" min="4" max="4"/>
    <col width="14" customWidth="1" min="5" max="5"/>
    <col width="34" customWidth="1" min="6" max="6"/>
    <col width="13" customWidth="1" min="7" max="7"/>
    <col width="13" customWidth="1" min="8" max="8"/>
    <col width="11" customWidth="1" min="9" max="9"/>
    <col width="30" customWidth="1" min="10" max="10"/>
    <col width="11" customWidth="1" min="11" max="11"/>
    <col width="12" customWidth="1" min="12" max="12"/>
    <col width="12" customWidth="1" min="13" max="13"/>
    <col width="16" customWidth="1" min="14" max="14"/>
    <col width="13" customWidth="1" min="15" max="15"/>
    <col width="11" customWidth="1" min="16" max="16"/>
    <col width="24" customWidth="1" min="17" max="17"/>
    <col width="13" customWidth="1" min="18" max="18"/>
    <col width="12" customWidth="1" min="19" max="19"/>
    <col width="11" customWidth="1" min="20" max="20"/>
    <col width="9" customWidth="1" min="21" max="21"/>
  </cols>
  <sheetData>
    <row r="1" ht="30" customHeight="1">
      <c r="A1" s="16" t="inlineStr">
        <is>
          <t>ID</t>
        </is>
      </c>
      <c r="B1" s="16" t="inlineStr">
        <is>
          <t>Tanggal</t>
        </is>
      </c>
      <c r="C1" s="16" t="inlineStr">
        <is>
          <t>Status</t>
        </is>
      </c>
      <c r="D1" s="16" t="inlineStr">
        <is>
          <t>Nama</t>
        </is>
      </c>
      <c r="E1" s="16" t="inlineStr">
        <is>
          <t>No WA</t>
        </is>
      </c>
      <c r="F1" s="16" t="inlineStr">
        <is>
          <t>Kode rakitan</t>
        </is>
      </c>
      <c r="G1" s="16" t="inlineStr">
        <is>
          <t>Harga lampu</t>
        </is>
      </c>
      <c r="H1" s="16" t="inlineStr">
        <is>
          <t>Zona</t>
        </is>
      </c>
      <c r="I1" s="16" t="inlineStr">
        <is>
          <t>Ongkir</t>
        </is>
      </c>
      <c r="J1" s="16" t="inlineStr">
        <is>
          <t>Alamat</t>
        </is>
      </c>
      <c r="K1" s="16" t="inlineStr">
        <is>
          <t>Tgl bayar</t>
        </is>
      </c>
      <c r="L1" s="16" t="inlineStr">
        <is>
          <t>Janji selesai</t>
        </is>
      </c>
      <c r="M1" s="16" t="inlineStr">
        <is>
          <t>Kurir</t>
        </is>
      </c>
      <c r="N1" s="16" t="inlineStr">
        <is>
          <t>Resi</t>
        </is>
      </c>
      <c r="O1" s="16" t="inlineStr">
        <is>
          <t>Perkiraan tiba</t>
        </is>
      </c>
      <c r="P1" s="16" t="inlineStr">
        <is>
          <t>Tgl selesai</t>
        </is>
      </c>
      <c r="Q1" s="16" t="inlineStr">
        <is>
          <t>Catatan</t>
        </is>
      </c>
      <c r="R1" s="16" t="inlineStr">
        <is>
          <t>Total</t>
        </is>
      </c>
      <c r="S1" s="16" t="inlineStr">
        <is>
          <t>Hari bayar→kirim</t>
        </is>
      </c>
      <c r="T1" s="16" t="inlineStr">
        <is>
          <t>Terlambat?</t>
        </is>
      </c>
      <c r="U1" s="16" t="inlineStr">
        <is>
          <t>Bulan</t>
        </is>
      </c>
    </row>
    <row r="2">
      <c r="A2" s="17" t="inlineStr">
        <is>
          <t>P261006-01</t>
        </is>
      </c>
      <c r="B2" s="18" t="n">
        <v>46301</v>
      </c>
      <c r="C2" s="17" t="inlineStr">
        <is>
          <t>Cetak</t>
        </is>
      </c>
      <c r="D2" s="17" t="inlineStr">
        <is>
          <t>Contoh Pembeli</t>
        </is>
      </c>
      <c r="E2" s="17" t="inlineStr">
        <is>
          <t>6281xxxxxxx</t>
        </is>
      </c>
      <c r="F2" s="17" t="inlineStr">
        <is>
          <t>MK-PLIGAD-BOLZAI-CINKRE-KUBSAL-BULHIT</t>
        </is>
      </c>
      <c r="G2" s="19" t="n">
        <v>447000</v>
      </c>
      <c r="H2" s="17" t="inlineStr">
        <is>
          <t>Jabodetabek</t>
        </is>
      </c>
      <c r="I2" s="19" t="n">
        <v>20000</v>
      </c>
      <c r="J2" s="17" t="inlineStr">
        <is>
          <t>Jl. Contoh No. 1, Jakarta Selatan</t>
        </is>
      </c>
      <c r="K2" s="18" t="n">
        <v>46301</v>
      </c>
      <c r="L2" s="18" t="n">
        <v>46308</v>
      </c>
      <c r="M2" s="17" t="inlineStr"/>
      <c r="N2" s="17" t="inlineStr"/>
      <c r="O2" s="18" t="inlineStr"/>
      <c r="P2" s="18" t="inlineStr"/>
      <c r="Q2" s="17" t="inlineStr">
        <is>
          <t>Baris contoh, hapus</t>
        </is>
      </c>
      <c r="R2" s="13">
        <f>IF(A2="","",N(G2)+N(I2))</f>
        <v/>
      </c>
      <c r="S2" s="12">
        <f>IF(OR(K2="",O2=""),"",O2-K2)</f>
        <v/>
      </c>
      <c r="T2" s="12">
        <f>IF(AND(C2="Cetak",L2&lt;&gt;"",L2&lt;TODAY()),"YA","")</f>
        <v/>
      </c>
      <c r="U2" s="12">
        <f>IF(B2="","",TEXT(B2,"yyyy-mm"))</f>
        <v/>
      </c>
    </row>
    <row r="3">
      <c r="A3" s="17" t="n"/>
      <c r="B3" s="18" t="n"/>
      <c r="C3" s="17" t="n"/>
      <c r="D3" s="17" t="n"/>
      <c r="E3" s="17" t="n"/>
      <c r="F3" s="17" t="n"/>
      <c r="G3" s="19" t="n"/>
      <c r="H3" s="17" t="n"/>
      <c r="I3" s="19" t="n"/>
      <c r="J3" s="17" t="n"/>
      <c r="K3" s="18" t="n"/>
      <c r="L3" s="18" t="n"/>
      <c r="M3" s="17" t="n"/>
      <c r="N3" s="17" t="n"/>
      <c r="O3" s="18" t="n"/>
      <c r="P3" s="18" t="n"/>
      <c r="Q3" s="17" t="n"/>
      <c r="R3" s="13">
        <f>IF(A3="","",N(G3)+N(I3))</f>
        <v/>
      </c>
      <c r="S3" s="12">
        <f>IF(OR(K3="",O3=""),"",O3-K3)</f>
        <v/>
      </c>
      <c r="T3" s="12">
        <f>IF(AND(C3="Cetak",L3&lt;&gt;"",L3&lt;TODAY()),"YA","")</f>
        <v/>
      </c>
      <c r="U3" s="12">
        <f>IF(B3="","",TEXT(B3,"yyyy-mm"))</f>
        <v/>
      </c>
    </row>
    <row r="4">
      <c r="A4" s="17" t="n"/>
      <c r="B4" s="18" t="n"/>
      <c r="C4" s="17" t="n"/>
      <c r="D4" s="17" t="n"/>
      <c r="E4" s="17" t="n"/>
      <c r="F4" s="17" t="n"/>
      <c r="G4" s="19" t="n"/>
      <c r="H4" s="17" t="n"/>
      <c r="I4" s="19" t="n"/>
      <c r="J4" s="17" t="n"/>
      <c r="K4" s="18" t="n"/>
      <c r="L4" s="18" t="n"/>
      <c r="M4" s="17" t="n"/>
      <c r="N4" s="17" t="n"/>
      <c r="O4" s="18" t="n"/>
      <c r="P4" s="18" t="n"/>
      <c r="Q4" s="17" t="n"/>
      <c r="R4" s="13">
        <f>IF(A4="","",N(G4)+N(I4))</f>
        <v/>
      </c>
      <c r="S4" s="12">
        <f>IF(OR(K4="",O4=""),"",O4-K4)</f>
        <v/>
      </c>
      <c r="T4" s="12">
        <f>IF(AND(C4="Cetak",L4&lt;&gt;"",L4&lt;TODAY()),"YA","")</f>
        <v/>
      </c>
      <c r="U4" s="12">
        <f>IF(B4="","",TEXT(B4,"yyyy-mm"))</f>
        <v/>
      </c>
    </row>
    <row r="5">
      <c r="A5" s="17" t="n"/>
      <c r="B5" s="18" t="n"/>
      <c r="C5" s="17" t="n"/>
      <c r="D5" s="17" t="n"/>
      <c r="E5" s="17" t="n"/>
      <c r="F5" s="17" t="n"/>
      <c r="G5" s="19" t="n"/>
      <c r="H5" s="17" t="n"/>
      <c r="I5" s="19" t="n"/>
      <c r="J5" s="17" t="n"/>
      <c r="K5" s="18" t="n"/>
      <c r="L5" s="18" t="n"/>
      <c r="M5" s="17" t="n"/>
      <c r="N5" s="17" t="n"/>
      <c r="O5" s="18" t="n"/>
      <c r="P5" s="18" t="n"/>
      <c r="Q5" s="17" t="n"/>
      <c r="R5" s="13">
        <f>IF(A5="","",N(G5)+N(I5))</f>
        <v/>
      </c>
      <c r="S5" s="12">
        <f>IF(OR(K5="",O5=""),"",O5-K5)</f>
        <v/>
      </c>
      <c r="T5" s="12">
        <f>IF(AND(C5="Cetak",L5&lt;&gt;"",L5&lt;TODAY()),"YA","")</f>
        <v/>
      </c>
      <c r="U5" s="12">
        <f>IF(B5="","",TEXT(B5,"yyyy-mm"))</f>
        <v/>
      </c>
    </row>
    <row r="6">
      <c r="A6" s="17" t="n"/>
      <c r="B6" s="18" t="n"/>
      <c r="C6" s="17" t="n"/>
      <c r="D6" s="17" t="n"/>
      <c r="E6" s="17" t="n"/>
      <c r="F6" s="17" t="n"/>
      <c r="G6" s="19" t="n"/>
      <c r="H6" s="17" t="n"/>
      <c r="I6" s="19" t="n"/>
      <c r="J6" s="17" t="n"/>
      <c r="K6" s="18" t="n"/>
      <c r="L6" s="18" t="n"/>
      <c r="M6" s="17" t="n"/>
      <c r="N6" s="17" t="n"/>
      <c r="O6" s="18" t="n"/>
      <c r="P6" s="18" t="n"/>
      <c r="Q6" s="17" t="n"/>
      <c r="R6" s="13">
        <f>IF(A6="","",N(G6)+N(I6))</f>
        <v/>
      </c>
      <c r="S6" s="12">
        <f>IF(OR(K6="",O6=""),"",O6-K6)</f>
        <v/>
      </c>
      <c r="T6" s="12">
        <f>IF(AND(C6="Cetak",L6&lt;&gt;"",L6&lt;TODAY()),"YA","")</f>
        <v/>
      </c>
      <c r="U6" s="12">
        <f>IF(B6="","",TEXT(B6,"yyyy-mm"))</f>
        <v/>
      </c>
    </row>
    <row r="7">
      <c r="A7" s="17" t="n"/>
      <c r="B7" s="18" t="n"/>
      <c r="C7" s="17" t="n"/>
      <c r="D7" s="17" t="n"/>
      <c r="E7" s="17" t="n"/>
      <c r="F7" s="17" t="n"/>
      <c r="G7" s="19" t="n"/>
      <c r="H7" s="17" t="n"/>
      <c r="I7" s="19" t="n"/>
      <c r="J7" s="17" t="n"/>
      <c r="K7" s="18" t="n"/>
      <c r="L7" s="18" t="n"/>
      <c r="M7" s="17" t="n"/>
      <c r="N7" s="17" t="n"/>
      <c r="O7" s="18" t="n"/>
      <c r="P7" s="18" t="n"/>
      <c r="Q7" s="17" t="n"/>
      <c r="R7" s="13">
        <f>IF(A7="","",N(G7)+N(I7))</f>
        <v/>
      </c>
      <c r="S7" s="12">
        <f>IF(OR(K7="",O7=""),"",O7-K7)</f>
        <v/>
      </c>
      <c r="T7" s="12">
        <f>IF(AND(C7="Cetak",L7&lt;&gt;"",L7&lt;TODAY()),"YA","")</f>
        <v/>
      </c>
      <c r="U7" s="12">
        <f>IF(B7="","",TEXT(B7,"yyyy-mm"))</f>
        <v/>
      </c>
    </row>
    <row r="8">
      <c r="A8" s="17" t="n"/>
      <c r="B8" s="18" t="n"/>
      <c r="C8" s="17" t="n"/>
      <c r="D8" s="17" t="n"/>
      <c r="E8" s="17" t="n"/>
      <c r="F8" s="17" t="n"/>
      <c r="G8" s="19" t="n"/>
      <c r="H8" s="17" t="n"/>
      <c r="I8" s="19" t="n"/>
      <c r="J8" s="17" t="n"/>
      <c r="K8" s="18" t="n"/>
      <c r="L8" s="18" t="n"/>
      <c r="M8" s="17" t="n"/>
      <c r="N8" s="17" t="n"/>
      <c r="O8" s="18" t="n"/>
      <c r="P8" s="18" t="n"/>
      <c r="Q8" s="17" t="n"/>
      <c r="R8" s="13">
        <f>IF(A8="","",N(G8)+N(I8))</f>
        <v/>
      </c>
      <c r="S8" s="12">
        <f>IF(OR(K8="",O8=""),"",O8-K8)</f>
        <v/>
      </c>
      <c r="T8" s="12">
        <f>IF(AND(C8="Cetak",L8&lt;&gt;"",L8&lt;TODAY()),"YA","")</f>
        <v/>
      </c>
      <c r="U8" s="12">
        <f>IF(B8="","",TEXT(B8,"yyyy-mm"))</f>
        <v/>
      </c>
    </row>
    <row r="9">
      <c r="A9" s="17" t="n"/>
      <c r="B9" s="18" t="n"/>
      <c r="C9" s="17" t="n"/>
      <c r="D9" s="17" t="n"/>
      <c r="E9" s="17" t="n"/>
      <c r="F9" s="17" t="n"/>
      <c r="G9" s="19" t="n"/>
      <c r="H9" s="17" t="n"/>
      <c r="I9" s="19" t="n"/>
      <c r="J9" s="17" t="n"/>
      <c r="K9" s="18" t="n"/>
      <c r="L9" s="18" t="n"/>
      <c r="M9" s="17" t="n"/>
      <c r="N9" s="17" t="n"/>
      <c r="O9" s="18" t="n"/>
      <c r="P9" s="18" t="n"/>
      <c r="Q9" s="17" t="n"/>
      <c r="R9" s="13">
        <f>IF(A9="","",N(G9)+N(I9))</f>
        <v/>
      </c>
      <c r="S9" s="12">
        <f>IF(OR(K9="",O9=""),"",O9-K9)</f>
        <v/>
      </c>
      <c r="T9" s="12">
        <f>IF(AND(C9="Cetak",L9&lt;&gt;"",L9&lt;TODAY()),"YA","")</f>
        <v/>
      </c>
      <c r="U9" s="12">
        <f>IF(B9="","",TEXT(B9,"yyyy-mm"))</f>
        <v/>
      </c>
    </row>
    <row r="10">
      <c r="A10" s="17" t="n"/>
      <c r="B10" s="18" t="n"/>
      <c r="C10" s="17" t="n"/>
      <c r="D10" s="17" t="n"/>
      <c r="E10" s="17" t="n"/>
      <c r="F10" s="17" t="n"/>
      <c r="G10" s="19" t="n"/>
      <c r="H10" s="17" t="n"/>
      <c r="I10" s="19" t="n"/>
      <c r="J10" s="17" t="n"/>
      <c r="K10" s="18" t="n"/>
      <c r="L10" s="18" t="n"/>
      <c r="M10" s="17" t="n"/>
      <c r="N10" s="17" t="n"/>
      <c r="O10" s="18" t="n"/>
      <c r="P10" s="18" t="n"/>
      <c r="Q10" s="17" t="n"/>
      <c r="R10" s="13">
        <f>IF(A10="","",N(G10)+N(I10))</f>
        <v/>
      </c>
      <c r="S10" s="12">
        <f>IF(OR(K10="",O10=""),"",O10-K10)</f>
        <v/>
      </c>
      <c r="T10" s="12">
        <f>IF(AND(C10="Cetak",L10&lt;&gt;"",L10&lt;TODAY()),"YA","")</f>
        <v/>
      </c>
      <c r="U10" s="12">
        <f>IF(B10="","",TEXT(B10,"yyyy-mm"))</f>
        <v/>
      </c>
    </row>
    <row r="11">
      <c r="A11" s="17" t="n"/>
      <c r="B11" s="18" t="n"/>
      <c r="C11" s="17" t="n"/>
      <c r="D11" s="17" t="n"/>
      <c r="E11" s="17" t="n"/>
      <c r="F11" s="17" t="n"/>
      <c r="G11" s="19" t="n"/>
      <c r="H11" s="17" t="n"/>
      <c r="I11" s="19" t="n"/>
      <c r="J11" s="17" t="n"/>
      <c r="K11" s="18" t="n"/>
      <c r="L11" s="18" t="n"/>
      <c r="M11" s="17" t="n"/>
      <c r="N11" s="17" t="n"/>
      <c r="O11" s="18" t="n"/>
      <c r="P11" s="18" t="n"/>
      <c r="Q11" s="17" t="n"/>
      <c r="R11" s="13">
        <f>IF(A11="","",N(G11)+N(I11))</f>
        <v/>
      </c>
      <c r="S11" s="12">
        <f>IF(OR(K11="",O11=""),"",O11-K11)</f>
        <v/>
      </c>
      <c r="T11" s="12">
        <f>IF(AND(C11="Cetak",L11&lt;&gt;"",L11&lt;TODAY()),"YA","")</f>
        <v/>
      </c>
      <c r="U11" s="12">
        <f>IF(B11="","",TEXT(B11,"yyyy-mm"))</f>
        <v/>
      </c>
    </row>
    <row r="12">
      <c r="A12" s="17" t="n"/>
      <c r="B12" s="18" t="n"/>
      <c r="C12" s="17" t="n"/>
      <c r="D12" s="17" t="n"/>
      <c r="E12" s="17" t="n"/>
      <c r="F12" s="17" t="n"/>
      <c r="G12" s="19" t="n"/>
      <c r="H12" s="17" t="n"/>
      <c r="I12" s="19" t="n"/>
      <c r="J12" s="17" t="n"/>
      <c r="K12" s="18" t="n"/>
      <c r="L12" s="18" t="n"/>
      <c r="M12" s="17" t="n"/>
      <c r="N12" s="17" t="n"/>
      <c r="O12" s="18" t="n"/>
      <c r="P12" s="18" t="n"/>
      <c r="Q12" s="17" t="n"/>
      <c r="R12" s="13">
        <f>IF(A12="","",N(G12)+N(I12))</f>
        <v/>
      </c>
      <c r="S12" s="12">
        <f>IF(OR(K12="",O12=""),"",O12-K12)</f>
        <v/>
      </c>
      <c r="T12" s="12">
        <f>IF(AND(C12="Cetak",L12&lt;&gt;"",L12&lt;TODAY()),"YA","")</f>
        <v/>
      </c>
      <c r="U12" s="12">
        <f>IF(B12="","",TEXT(B12,"yyyy-mm"))</f>
        <v/>
      </c>
    </row>
    <row r="13">
      <c r="A13" s="17" t="n"/>
      <c r="B13" s="18" t="n"/>
      <c r="C13" s="17" t="n"/>
      <c r="D13" s="17" t="n"/>
      <c r="E13" s="17" t="n"/>
      <c r="F13" s="17" t="n"/>
      <c r="G13" s="19" t="n"/>
      <c r="H13" s="17" t="n"/>
      <c r="I13" s="19" t="n"/>
      <c r="J13" s="17" t="n"/>
      <c r="K13" s="18" t="n"/>
      <c r="L13" s="18" t="n"/>
      <c r="M13" s="17" t="n"/>
      <c r="N13" s="17" t="n"/>
      <c r="O13" s="18" t="n"/>
      <c r="P13" s="18" t="n"/>
      <c r="Q13" s="17" t="n"/>
      <c r="R13" s="13">
        <f>IF(A13="","",N(G13)+N(I13))</f>
        <v/>
      </c>
      <c r="S13" s="12">
        <f>IF(OR(K13="",O13=""),"",O13-K13)</f>
        <v/>
      </c>
      <c r="T13" s="12">
        <f>IF(AND(C13="Cetak",L13&lt;&gt;"",L13&lt;TODAY()),"YA","")</f>
        <v/>
      </c>
      <c r="U13" s="12">
        <f>IF(B13="","",TEXT(B13,"yyyy-mm"))</f>
        <v/>
      </c>
    </row>
    <row r="14">
      <c r="A14" s="17" t="n"/>
      <c r="B14" s="18" t="n"/>
      <c r="C14" s="17" t="n"/>
      <c r="D14" s="17" t="n"/>
      <c r="E14" s="17" t="n"/>
      <c r="F14" s="17" t="n"/>
      <c r="G14" s="19" t="n"/>
      <c r="H14" s="17" t="n"/>
      <c r="I14" s="19" t="n"/>
      <c r="J14" s="17" t="n"/>
      <c r="K14" s="18" t="n"/>
      <c r="L14" s="18" t="n"/>
      <c r="M14" s="17" t="n"/>
      <c r="N14" s="17" t="n"/>
      <c r="O14" s="18" t="n"/>
      <c r="P14" s="18" t="n"/>
      <c r="Q14" s="17" t="n"/>
      <c r="R14" s="13">
        <f>IF(A14="","",N(G14)+N(I14))</f>
        <v/>
      </c>
      <c r="S14" s="12">
        <f>IF(OR(K14="",O14=""),"",O14-K14)</f>
        <v/>
      </c>
      <c r="T14" s="12">
        <f>IF(AND(C14="Cetak",L14&lt;&gt;"",L14&lt;TODAY()),"YA","")</f>
        <v/>
      </c>
      <c r="U14" s="12">
        <f>IF(B14="","",TEXT(B14,"yyyy-mm"))</f>
        <v/>
      </c>
    </row>
    <row r="15">
      <c r="A15" s="17" t="n"/>
      <c r="B15" s="18" t="n"/>
      <c r="C15" s="17" t="n"/>
      <c r="D15" s="17" t="n"/>
      <c r="E15" s="17" t="n"/>
      <c r="F15" s="17" t="n"/>
      <c r="G15" s="19" t="n"/>
      <c r="H15" s="17" t="n"/>
      <c r="I15" s="19" t="n"/>
      <c r="J15" s="17" t="n"/>
      <c r="K15" s="18" t="n"/>
      <c r="L15" s="18" t="n"/>
      <c r="M15" s="17" t="n"/>
      <c r="N15" s="17" t="n"/>
      <c r="O15" s="18" t="n"/>
      <c r="P15" s="18" t="n"/>
      <c r="Q15" s="17" t="n"/>
      <c r="R15" s="13">
        <f>IF(A15="","",N(G15)+N(I15))</f>
        <v/>
      </c>
      <c r="S15" s="12">
        <f>IF(OR(K15="",O15=""),"",O15-K15)</f>
        <v/>
      </c>
      <c r="T15" s="12">
        <f>IF(AND(C15="Cetak",L15&lt;&gt;"",L15&lt;TODAY()),"YA","")</f>
        <v/>
      </c>
      <c r="U15" s="12">
        <f>IF(B15="","",TEXT(B15,"yyyy-mm"))</f>
        <v/>
      </c>
    </row>
    <row r="16">
      <c r="A16" s="17" t="n"/>
      <c r="B16" s="18" t="n"/>
      <c r="C16" s="17" t="n"/>
      <c r="D16" s="17" t="n"/>
      <c r="E16" s="17" t="n"/>
      <c r="F16" s="17" t="n"/>
      <c r="G16" s="19" t="n"/>
      <c r="H16" s="17" t="n"/>
      <c r="I16" s="19" t="n"/>
      <c r="J16" s="17" t="n"/>
      <c r="K16" s="18" t="n"/>
      <c r="L16" s="18" t="n"/>
      <c r="M16" s="17" t="n"/>
      <c r="N16" s="17" t="n"/>
      <c r="O16" s="18" t="n"/>
      <c r="P16" s="18" t="n"/>
      <c r="Q16" s="17" t="n"/>
      <c r="R16" s="13">
        <f>IF(A16="","",N(G16)+N(I16))</f>
        <v/>
      </c>
      <c r="S16" s="12">
        <f>IF(OR(K16="",O16=""),"",O16-K16)</f>
        <v/>
      </c>
      <c r="T16" s="12">
        <f>IF(AND(C16="Cetak",L16&lt;&gt;"",L16&lt;TODAY()),"YA","")</f>
        <v/>
      </c>
      <c r="U16" s="12">
        <f>IF(B16="","",TEXT(B16,"yyyy-mm"))</f>
        <v/>
      </c>
    </row>
    <row r="17">
      <c r="A17" s="17" t="n"/>
      <c r="B17" s="18" t="n"/>
      <c r="C17" s="17" t="n"/>
      <c r="D17" s="17" t="n"/>
      <c r="E17" s="17" t="n"/>
      <c r="F17" s="17" t="n"/>
      <c r="G17" s="19" t="n"/>
      <c r="H17" s="17" t="n"/>
      <c r="I17" s="19" t="n"/>
      <c r="J17" s="17" t="n"/>
      <c r="K17" s="18" t="n"/>
      <c r="L17" s="18" t="n"/>
      <c r="M17" s="17" t="n"/>
      <c r="N17" s="17" t="n"/>
      <c r="O17" s="18" t="n"/>
      <c r="P17" s="18" t="n"/>
      <c r="Q17" s="17" t="n"/>
      <c r="R17" s="13">
        <f>IF(A17="","",N(G17)+N(I17))</f>
        <v/>
      </c>
      <c r="S17" s="12">
        <f>IF(OR(K17="",O17=""),"",O17-K17)</f>
        <v/>
      </c>
      <c r="T17" s="12">
        <f>IF(AND(C17="Cetak",L17&lt;&gt;"",L17&lt;TODAY()),"YA","")</f>
        <v/>
      </c>
      <c r="U17" s="12">
        <f>IF(B17="","",TEXT(B17,"yyyy-mm"))</f>
        <v/>
      </c>
    </row>
    <row r="18">
      <c r="A18" s="17" t="n"/>
      <c r="B18" s="18" t="n"/>
      <c r="C18" s="17" t="n"/>
      <c r="D18" s="17" t="n"/>
      <c r="E18" s="17" t="n"/>
      <c r="F18" s="17" t="n"/>
      <c r="G18" s="19" t="n"/>
      <c r="H18" s="17" t="n"/>
      <c r="I18" s="19" t="n"/>
      <c r="J18" s="17" t="n"/>
      <c r="K18" s="18" t="n"/>
      <c r="L18" s="18" t="n"/>
      <c r="M18" s="17" t="n"/>
      <c r="N18" s="17" t="n"/>
      <c r="O18" s="18" t="n"/>
      <c r="P18" s="18" t="n"/>
      <c r="Q18" s="17" t="n"/>
      <c r="R18" s="13">
        <f>IF(A18="","",N(G18)+N(I18))</f>
        <v/>
      </c>
      <c r="S18" s="12">
        <f>IF(OR(K18="",O18=""),"",O18-K18)</f>
        <v/>
      </c>
      <c r="T18" s="12">
        <f>IF(AND(C18="Cetak",L18&lt;&gt;"",L18&lt;TODAY()),"YA","")</f>
        <v/>
      </c>
      <c r="U18" s="12">
        <f>IF(B18="","",TEXT(B18,"yyyy-mm"))</f>
        <v/>
      </c>
    </row>
    <row r="19">
      <c r="A19" s="17" t="n"/>
      <c r="B19" s="18" t="n"/>
      <c r="C19" s="17" t="n"/>
      <c r="D19" s="17" t="n"/>
      <c r="E19" s="17" t="n"/>
      <c r="F19" s="17" t="n"/>
      <c r="G19" s="19" t="n"/>
      <c r="H19" s="17" t="n"/>
      <c r="I19" s="19" t="n"/>
      <c r="J19" s="17" t="n"/>
      <c r="K19" s="18" t="n"/>
      <c r="L19" s="18" t="n"/>
      <c r="M19" s="17" t="n"/>
      <c r="N19" s="17" t="n"/>
      <c r="O19" s="18" t="n"/>
      <c r="P19" s="18" t="n"/>
      <c r="Q19" s="17" t="n"/>
      <c r="R19" s="13">
        <f>IF(A19="","",N(G19)+N(I19))</f>
        <v/>
      </c>
      <c r="S19" s="12">
        <f>IF(OR(K19="",O19=""),"",O19-K19)</f>
        <v/>
      </c>
      <c r="T19" s="12">
        <f>IF(AND(C19="Cetak",L19&lt;&gt;"",L19&lt;TODAY()),"YA","")</f>
        <v/>
      </c>
      <c r="U19" s="12">
        <f>IF(B19="","",TEXT(B19,"yyyy-mm"))</f>
        <v/>
      </c>
    </row>
    <row r="20">
      <c r="A20" s="17" t="n"/>
      <c r="B20" s="18" t="n"/>
      <c r="C20" s="17" t="n"/>
      <c r="D20" s="17" t="n"/>
      <c r="E20" s="17" t="n"/>
      <c r="F20" s="17" t="n"/>
      <c r="G20" s="19" t="n"/>
      <c r="H20" s="17" t="n"/>
      <c r="I20" s="19" t="n"/>
      <c r="J20" s="17" t="n"/>
      <c r="K20" s="18" t="n"/>
      <c r="L20" s="18" t="n"/>
      <c r="M20" s="17" t="n"/>
      <c r="N20" s="17" t="n"/>
      <c r="O20" s="18" t="n"/>
      <c r="P20" s="18" t="n"/>
      <c r="Q20" s="17" t="n"/>
      <c r="R20" s="13">
        <f>IF(A20="","",N(G20)+N(I20))</f>
        <v/>
      </c>
      <c r="S20" s="12">
        <f>IF(OR(K20="",O20=""),"",O20-K20)</f>
        <v/>
      </c>
      <c r="T20" s="12">
        <f>IF(AND(C20="Cetak",L20&lt;&gt;"",L20&lt;TODAY()),"YA","")</f>
        <v/>
      </c>
      <c r="U20" s="12">
        <f>IF(B20="","",TEXT(B20,"yyyy-mm"))</f>
        <v/>
      </c>
    </row>
    <row r="21">
      <c r="A21" s="17" t="n"/>
      <c r="B21" s="18" t="n"/>
      <c r="C21" s="17" t="n"/>
      <c r="D21" s="17" t="n"/>
      <c r="E21" s="17" t="n"/>
      <c r="F21" s="17" t="n"/>
      <c r="G21" s="19" t="n"/>
      <c r="H21" s="17" t="n"/>
      <c r="I21" s="19" t="n"/>
      <c r="J21" s="17" t="n"/>
      <c r="K21" s="18" t="n"/>
      <c r="L21" s="18" t="n"/>
      <c r="M21" s="17" t="n"/>
      <c r="N21" s="17" t="n"/>
      <c r="O21" s="18" t="n"/>
      <c r="P21" s="18" t="n"/>
      <c r="Q21" s="17" t="n"/>
      <c r="R21" s="13">
        <f>IF(A21="","",N(G21)+N(I21))</f>
        <v/>
      </c>
      <c r="S21" s="12">
        <f>IF(OR(K21="",O21=""),"",O21-K21)</f>
        <v/>
      </c>
      <c r="T21" s="12">
        <f>IF(AND(C21="Cetak",L21&lt;&gt;"",L21&lt;TODAY()),"YA","")</f>
        <v/>
      </c>
      <c r="U21" s="12">
        <f>IF(B21="","",TEXT(B21,"yyyy-mm"))</f>
        <v/>
      </c>
    </row>
    <row r="22">
      <c r="A22" s="17" t="n"/>
      <c r="B22" s="18" t="n"/>
      <c r="C22" s="17" t="n"/>
      <c r="D22" s="17" t="n"/>
      <c r="E22" s="17" t="n"/>
      <c r="F22" s="17" t="n"/>
      <c r="G22" s="19" t="n"/>
      <c r="H22" s="17" t="n"/>
      <c r="I22" s="19" t="n"/>
      <c r="J22" s="17" t="n"/>
      <c r="K22" s="18" t="n"/>
      <c r="L22" s="18" t="n"/>
      <c r="M22" s="17" t="n"/>
      <c r="N22" s="17" t="n"/>
      <c r="O22" s="18" t="n"/>
      <c r="P22" s="18" t="n"/>
      <c r="Q22" s="17" t="n"/>
      <c r="R22" s="13">
        <f>IF(A22="","",N(G22)+N(I22))</f>
        <v/>
      </c>
      <c r="S22" s="12">
        <f>IF(OR(K22="",O22=""),"",O22-K22)</f>
        <v/>
      </c>
      <c r="T22" s="12">
        <f>IF(AND(C22="Cetak",L22&lt;&gt;"",L22&lt;TODAY()),"YA","")</f>
        <v/>
      </c>
      <c r="U22" s="12">
        <f>IF(B22="","",TEXT(B22,"yyyy-mm"))</f>
        <v/>
      </c>
    </row>
    <row r="23">
      <c r="A23" s="17" t="n"/>
      <c r="B23" s="18" t="n"/>
      <c r="C23" s="17" t="n"/>
      <c r="D23" s="17" t="n"/>
      <c r="E23" s="17" t="n"/>
      <c r="F23" s="17" t="n"/>
      <c r="G23" s="19" t="n"/>
      <c r="H23" s="17" t="n"/>
      <c r="I23" s="19" t="n"/>
      <c r="J23" s="17" t="n"/>
      <c r="K23" s="18" t="n"/>
      <c r="L23" s="18" t="n"/>
      <c r="M23" s="17" t="n"/>
      <c r="N23" s="17" t="n"/>
      <c r="O23" s="18" t="n"/>
      <c r="P23" s="18" t="n"/>
      <c r="Q23" s="17" t="n"/>
      <c r="R23" s="13">
        <f>IF(A23="","",N(G23)+N(I23))</f>
        <v/>
      </c>
      <c r="S23" s="12">
        <f>IF(OR(K23="",O23=""),"",O23-K23)</f>
        <v/>
      </c>
      <c r="T23" s="12">
        <f>IF(AND(C23="Cetak",L23&lt;&gt;"",L23&lt;TODAY()),"YA","")</f>
        <v/>
      </c>
      <c r="U23" s="12">
        <f>IF(B23="","",TEXT(B23,"yyyy-mm"))</f>
        <v/>
      </c>
    </row>
    <row r="24">
      <c r="A24" s="17" t="n"/>
      <c r="B24" s="18" t="n"/>
      <c r="C24" s="17" t="n"/>
      <c r="D24" s="17" t="n"/>
      <c r="E24" s="17" t="n"/>
      <c r="F24" s="17" t="n"/>
      <c r="G24" s="19" t="n"/>
      <c r="H24" s="17" t="n"/>
      <c r="I24" s="19" t="n"/>
      <c r="J24" s="17" t="n"/>
      <c r="K24" s="18" t="n"/>
      <c r="L24" s="18" t="n"/>
      <c r="M24" s="17" t="n"/>
      <c r="N24" s="17" t="n"/>
      <c r="O24" s="18" t="n"/>
      <c r="P24" s="18" t="n"/>
      <c r="Q24" s="17" t="n"/>
      <c r="R24" s="13">
        <f>IF(A24="","",N(G24)+N(I24))</f>
        <v/>
      </c>
      <c r="S24" s="12">
        <f>IF(OR(K24="",O24=""),"",O24-K24)</f>
        <v/>
      </c>
      <c r="T24" s="12">
        <f>IF(AND(C24="Cetak",L24&lt;&gt;"",L24&lt;TODAY()),"YA","")</f>
        <v/>
      </c>
      <c r="U24" s="12">
        <f>IF(B24="","",TEXT(B24,"yyyy-mm"))</f>
        <v/>
      </c>
    </row>
    <row r="25">
      <c r="A25" s="17" t="n"/>
      <c r="B25" s="18" t="n"/>
      <c r="C25" s="17" t="n"/>
      <c r="D25" s="17" t="n"/>
      <c r="E25" s="17" t="n"/>
      <c r="F25" s="17" t="n"/>
      <c r="G25" s="19" t="n"/>
      <c r="H25" s="17" t="n"/>
      <c r="I25" s="19" t="n"/>
      <c r="J25" s="17" t="n"/>
      <c r="K25" s="18" t="n"/>
      <c r="L25" s="18" t="n"/>
      <c r="M25" s="17" t="n"/>
      <c r="N25" s="17" t="n"/>
      <c r="O25" s="18" t="n"/>
      <c r="P25" s="18" t="n"/>
      <c r="Q25" s="17" t="n"/>
      <c r="R25" s="13">
        <f>IF(A25="","",N(G25)+N(I25))</f>
        <v/>
      </c>
      <c r="S25" s="12">
        <f>IF(OR(K25="",O25=""),"",O25-K25)</f>
        <v/>
      </c>
      <c r="T25" s="12">
        <f>IF(AND(C25="Cetak",L25&lt;&gt;"",L25&lt;TODAY()),"YA","")</f>
        <v/>
      </c>
      <c r="U25" s="12">
        <f>IF(B25="","",TEXT(B25,"yyyy-mm"))</f>
        <v/>
      </c>
    </row>
    <row r="26">
      <c r="A26" s="17" t="n"/>
      <c r="B26" s="18" t="n"/>
      <c r="C26" s="17" t="n"/>
      <c r="D26" s="17" t="n"/>
      <c r="E26" s="17" t="n"/>
      <c r="F26" s="17" t="n"/>
      <c r="G26" s="19" t="n"/>
      <c r="H26" s="17" t="n"/>
      <c r="I26" s="19" t="n"/>
      <c r="J26" s="17" t="n"/>
      <c r="K26" s="18" t="n"/>
      <c r="L26" s="18" t="n"/>
      <c r="M26" s="17" t="n"/>
      <c r="N26" s="17" t="n"/>
      <c r="O26" s="18" t="n"/>
      <c r="P26" s="18" t="n"/>
      <c r="Q26" s="17" t="n"/>
      <c r="R26" s="13">
        <f>IF(A26="","",N(G26)+N(I26))</f>
        <v/>
      </c>
      <c r="S26" s="12">
        <f>IF(OR(K26="",O26=""),"",O26-K26)</f>
        <v/>
      </c>
      <c r="T26" s="12">
        <f>IF(AND(C26="Cetak",L26&lt;&gt;"",L26&lt;TODAY()),"YA","")</f>
        <v/>
      </c>
      <c r="U26" s="12">
        <f>IF(B26="","",TEXT(B26,"yyyy-mm"))</f>
        <v/>
      </c>
    </row>
    <row r="27">
      <c r="A27" s="17" t="n"/>
      <c r="B27" s="18" t="n"/>
      <c r="C27" s="17" t="n"/>
      <c r="D27" s="17" t="n"/>
      <c r="E27" s="17" t="n"/>
      <c r="F27" s="17" t="n"/>
      <c r="G27" s="19" t="n"/>
      <c r="H27" s="17" t="n"/>
      <c r="I27" s="19" t="n"/>
      <c r="J27" s="17" t="n"/>
      <c r="K27" s="18" t="n"/>
      <c r="L27" s="18" t="n"/>
      <c r="M27" s="17" t="n"/>
      <c r="N27" s="17" t="n"/>
      <c r="O27" s="18" t="n"/>
      <c r="P27" s="18" t="n"/>
      <c r="Q27" s="17" t="n"/>
      <c r="R27" s="13">
        <f>IF(A27="","",N(G27)+N(I27))</f>
        <v/>
      </c>
      <c r="S27" s="12">
        <f>IF(OR(K27="",O27=""),"",O27-K27)</f>
        <v/>
      </c>
      <c r="T27" s="12">
        <f>IF(AND(C27="Cetak",L27&lt;&gt;"",L27&lt;TODAY()),"YA","")</f>
        <v/>
      </c>
      <c r="U27" s="12">
        <f>IF(B27="","",TEXT(B27,"yyyy-mm"))</f>
        <v/>
      </c>
    </row>
    <row r="28">
      <c r="A28" s="17" t="n"/>
      <c r="B28" s="18" t="n"/>
      <c r="C28" s="17" t="n"/>
      <c r="D28" s="17" t="n"/>
      <c r="E28" s="17" t="n"/>
      <c r="F28" s="17" t="n"/>
      <c r="G28" s="19" t="n"/>
      <c r="H28" s="17" t="n"/>
      <c r="I28" s="19" t="n"/>
      <c r="J28" s="17" t="n"/>
      <c r="K28" s="18" t="n"/>
      <c r="L28" s="18" t="n"/>
      <c r="M28" s="17" t="n"/>
      <c r="N28" s="17" t="n"/>
      <c r="O28" s="18" t="n"/>
      <c r="P28" s="18" t="n"/>
      <c r="Q28" s="17" t="n"/>
      <c r="R28" s="13">
        <f>IF(A28="","",N(G28)+N(I28))</f>
        <v/>
      </c>
      <c r="S28" s="12">
        <f>IF(OR(K28="",O28=""),"",O28-K28)</f>
        <v/>
      </c>
      <c r="T28" s="12">
        <f>IF(AND(C28="Cetak",L28&lt;&gt;"",L28&lt;TODAY()),"YA","")</f>
        <v/>
      </c>
      <c r="U28" s="12">
        <f>IF(B28="","",TEXT(B28,"yyyy-mm"))</f>
        <v/>
      </c>
    </row>
    <row r="29">
      <c r="A29" s="17" t="n"/>
      <c r="B29" s="18" t="n"/>
      <c r="C29" s="17" t="n"/>
      <c r="D29" s="17" t="n"/>
      <c r="E29" s="17" t="n"/>
      <c r="F29" s="17" t="n"/>
      <c r="G29" s="19" t="n"/>
      <c r="H29" s="17" t="n"/>
      <c r="I29" s="19" t="n"/>
      <c r="J29" s="17" t="n"/>
      <c r="K29" s="18" t="n"/>
      <c r="L29" s="18" t="n"/>
      <c r="M29" s="17" t="n"/>
      <c r="N29" s="17" t="n"/>
      <c r="O29" s="18" t="n"/>
      <c r="P29" s="18" t="n"/>
      <c r="Q29" s="17" t="n"/>
      <c r="R29" s="13">
        <f>IF(A29="","",N(G29)+N(I29))</f>
        <v/>
      </c>
      <c r="S29" s="12">
        <f>IF(OR(K29="",O29=""),"",O29-K29)</f>
        <v/>
      </c>
      <c r="T29" s="12">
        <f>IF(AND(C29="Cetak",L29&lt;&gt;"",L29&lt;TODAY()),"YA","")</f>
        <v/>
      </c>
      <c r="U29" s="12">
        <f>IF(B29="","",TEXT(B29,"yyyy-mm"))</f>
        <v/>
      </c>
    </row>
    <row r="30">
      <c r="A30" s="17" t="n"/>
      <c r="B30" s="18" t="n"/>
      <c r="C30" s="17" t="n"/>
      <c r="D30" s="17" t="n"/>
      <c r="E30" s="17" t="n"/>
      <c r="F30" s="17" t="n"/>
      <c r="G30" s="19" t="n"/>
      <c r="H30" s="17" t="n"/>
      <c r="I30" s="19" t="n"/>
      <c r="J30" s="17" t="n"/>
      <c r="K30" s="18" t="n"/>
      <c r="L30" s="18" t="n"/>
      <c r="M30" s="17" t="n"/>
      <c r="N30" s="17" t="n"/>
      <c r="O30" s="18" t="n"/>
      <c r="P30" s="18" t="n"/>
      <c r="Q30" s="17" t="n"/>
      <c r="R30" s="13">
        <f>IF(A30="","",N(G30)+N(I30))</f>
        <v/>
      </c>
      <c r="S30" s="12">
        <f>IF(OR(K30="",O30=""),"",O30-K30)</f>
        <v/>
      </c>
      <c r="T30" s="12">
        <f>IF(AND(C30="Cetak",L30&lt;&gt;"",L30&lt;TODAY()),"YA","")</f>
        <v/>
      </c>
      <c r="U30" s="12">
        <f>IF(B30="","",TEXT(B30,"yyyy-mm"))</f>
        <v/>
      </c>
    </row>
    <row r="31">
      <c r="A31" s="17" t="n"/>
      <c r="B31" s="18" t="n"/>
      <c r="C31" s="17" t="n"/>
      <c r="D31" s="17" t="n"/>
      <c r="E31" s="17" t="n"/>
      <c r="F31" s="17" t="n"/>
      <c r="G31" s="19" t="n"/>
      <c r="H31" s="17" t="n"/>
      <c r="I31" s="19" t="n"/>
      <c r="J31" s="17" t="n"/>
      <c r="K31" s="18" t="n"/>
      <c r="L31" s="18" t="n"/>
      <c r="M31" s="17" t="n"/>
      <c r="N31" s="17" t="n"/>
      <c r="O31" s="18" t="n"/>
      <c r="P31" s="18" t="n"/>
      <c r="Q31" s="17" t="n"/>
      <c r="R31" s="13">
        <f>IF(A31="","",N(G31)+N(I31))</f>
        <v/>
      </c>
      <c r="S31" s="12">
        <f>IF(OR(K31="",O31=""),"",O31-K31)</f>
        <v/>
      </c>
      <c r="T31" s="12">
        <f>IF(AND(C31="Cetak",L31&lt;&gt;"",L31&lt;TODAY()),"YA","")</f>
        <v/>
      </c>
      <c r="U31" s="12">
        <f>IF(B31="","",TEXT(B31,"yyyy-mm"))</f>
        <v/>
      </c>
    </row>
    <row r="32">
      <c r="A32" s="17" t="n"/>
      <c r="B32" s="18" t="n"/>
      <c r="C32" s="17" t="n"/>
      <c r="D32" s="17" t="n"/>
      <c r="E32" s="17" t="n"/>
      <c r="F32" s="17" t="n"/>
      <c r="G32" s="19" t="n"/>
      <c r="H32" s="17" t="n"/>
      <c r="I32" s="19" t="n"/>
      <c r="J32" s="17" t="n"/>
      <c r="K32" s="18" t="n"/>
      <c r="L32" s="18" t="n"/>
      <c r="M32" s="17" t="n"/>
      <c r="N32" s="17" t="n"/>
      <c r="O32" s="18" t="n"/>
      <c r="P32" s="18" t="n"/>
      <c r="Q32" s="17" t="n"/>
      <c r="R32" s="13">
        <f>IF(A32="","",N(G32)+N(I32))</f>
        <v/>
      </c>
      <c r="S32" s="12">
        <f>IF(OR(K32="",O32=""),"",O32-K32)</f>
        <v/>
      </c>
      <c r="T32" s="12">
        <f>IF(AND(C32="Cetak",L32&lt;&gt;"",L32&lt;TODAY()),"YA","")</f>
        <v/>
      </c>
      <c r="U32" s="12">
        <f>IF(B32="","",TEXT(B32,"yyyy-mm"))</f>
        <v/>
      </c>
    </row>
    <row r="33">
      <c r="A33" s="17" t="n"/>
      <c r="B33" s="18" t="n"/>
      <c r="C33" s="17" t="n"/>
      <c r="D33" s="17" t="n"/>
      <c r="E33" s="17" t="n"/>
      <c r="F33" s="17" t="n"/>
      <c r="G33" s="19" t="n"/>
      <c r="H33" s="17" t="n"/>
      <c r="I33" s="19" t="n"/>
      <c r="J33" s="17" t="n"/>
      <c r="K33" s="18" t="n"/>
      <c r="L33" s="18" t="n"/>
      <c r="M33" s="17" t="n"/>
      <c r="N33" s="17" t="n"/>
      <c r="O33" s="18" t="n"/>
      <c r="P33" s="18" t="n"/>
      <c r="Q33" s="17" t="n"/>
      <c r="R33" s="13">
        <f>IF(A33="","",N(G33)+N(I33))</f>
        <v/>
      </c>
      <c r="S33" s="12">
        <f>IF(OR(K33="",O33=""),"",O33-K33)</f>
        <v/>
      </c>
      <c r="T33" s="12">
        <f>IF(AND(C33="Cetak",L33&lt;&gt;"",L33&lt;TODAY()),"YA","")</f>
        <v/>
      </c>
      <c r="U33" s="12">
        <f>IF(B33="","",TEXT(B33,"yyyy-mm"))</f>
        <v/>
      </c>
    </row>
    <row r="34">
      <c r="A34" s="17" t="n"/>
      <c r="B34" s="18" t="n"/>
      <c r="C34" s="17" t="n"/>
      <c r="D34" s="17" t="n"/>
      <c r="E34" s="17" t="n"/>
      <c r="F34" s="17" t="n"/>
      <c r="G34" s="19" t="n"/>
      <c r="H34" s="17" t="n"/>
      <c r="I34" s="19" t="n"/>
      <c r="J34" s="17" t="n"/>
      <c r="K34" s="18" t="n"/>
      <c r="L34" s="18" t="n"/>
      <c r="M34" s="17" t="n"/>
      <c r="N34" s="17" t="n"/>
      <c r="O34" s="18" t="n"/>
      <c r="P34" s="18" t="n"/>
      <c r="Q34" s="17" t="n"/>
      <c r="R34" s="13">
        <f>IF(A34="","",N(G34)+N(I34))</f>
        <v/>
      </c>
      <c r="S34" s="12">
        <f>IF(OR(K34="",O34=""),"",O34-K34)</f>
        <v/>
      </c>
      <c r="T34" s="12">
        <f>IF(AND(C34="Cetak",L34&lt;&gt;"",L34&lt;TODAY()),"YA","")</f>
        <v/>
      </c>
      <c r="U34" s="12">
        <f>IF(B34="","",TEXT(B34,"yyyy-mm"))</f>
        <v/>
      </c>
    </row>
    <row r="35">
      <c r="A35" s="17" t="n"/>
      <c r="B35" s="18" t="n"/>
      <c r="C35" s="17" t="n"/>
      <c r="D35" s="17" t="n"/>
      <c r="E35" s="17" t="n"/>
      <c r="F35" s="17" t="n"/>
      <c r="G35" s="19" t="n"/>
      <c r="H35" s="17" t="n"/>
      <c r="I35" s="19" t="n"/>
      <c r="J35" s="17" t="n"/>
      <c r="K35" s="18" t="n"/>
      <c r="L35" s="18" t="n"/>
      <c r="M35" s="17" t="n"/>
      <c r="N35" s="17" t="n"/>
      <c r="O35" s="18" t="n"/>
      <c r="P35" s="18" t="n"/>
      <c r="Q35" s="17" t="n"/>
      <c r="R35" s="13">
        <f>IF(A35="","",N(G35)+N(I35))</f>
        <v/>
      </c>
      <c r="S35" s="12">
        <f>IF(OR(K35="",O35=""),"",O35-K35)</f>
        <v/>
      </c>
      <c r="T35" s="12">
        <f>IF(AND(C35="Cetak",L35&lt;&gt;"",L35&lt;TODAY()),"YA","")</f>
        <v/>
      </c>
      <c r="U35" s="12">
        <f>IF(B35="","",TEXT(B35,"yyyy-mm"))</f>
        <v/>
      </c>
    </row>
    <row r="36">
      <c r="A36" s="17" t="n"/>
      <c r="B36" s="18" t="n"/>
      <c r="C36" s="17" t="n"/>
      <c r="D36" s="17" t="n"/>
      <c r="E36" s="17" t="n"/>
      <c r="F36" s="17" t="n"/>
      <c r="G36" s="19" t="n"/>
      <c r="H36" s="17" t="n"/>
      <c r="I36" s="19" t="n"/>
      <c r="J36" s="17" t="n"/>
      <c r="K36" s="18" t="n"/>
      <c r="L36" s="18" t="n"/>
      <c r="M36" s="17" t="n"/>
      <c r="N36" s="17" t="n"/>
      <c r="O36" s="18" t="n"/>
      <c r="P36" s="18" t="n"/>
      <c r="Q36" s="17" t="n"/>
      <c r="R36" s="13">
        <f>IF(A36="","",N(G36)+N(I36))</f>
        <v/>
      </c>
      <c r="S36" s="12">
        <f>IF(OR(K36="",O36=""),"",O36-K36)</f>
        <v/>
      </c>
      <c r="T36" s="12">
        <f>IF(AND(C36="Cetak",L36&lt;&gt;"",L36&lt;TODAY()),"YA","")</f>
        <v/>
      </c>
      <c r="U36" s="12">
        <f>IF(B36="","",TEXT(B36,"yyyy-mm"))</f>
        <v/>
      </c>
    </row>
    <row r="37">
      <c r="A37" s="17" t="n"/>
      <c r="B37" s="18" t="n"/>
      <c r="C37" s="17" t="n"/>
      <c r="D37" s="17" t="n"/>
      <c r="E37" s="17" t="n"/>
      <c r="F37" s="17" t="n"/>
      <c r="G37" s="19" t="n"/>
      <c r="H37" s="17" t="n"/>
      <c r="I37" s="19" t="n"/>
      <c r="J37" s="17" t="n"/>
      <c r="K37" s="18" t="n"/>
      <c r="L37" s="18" t="n"/>
      <c r="M37" s="17" t="n"/>
      <c r="N37" s="17" t="n"/>
      <c r="O37" s="18" t="n"/>
      <c r="P37" s="18" t="n"/>
      <c r="Q37" s="17" t="n"/>
      <c r="R37" s="13">
        <f>IF(A37="","",N(G37)+N(I37))</f>
        <v/>
      </c>
      <c r="S37" s="12">
        <f>IF(OR(K37="",O37=""),"",O37-K37)</f>
        <v/>
      </c>
      <c r="T37" s="12">
        <f>IF(AND(C37="Cetak",L37&lt;&gt;"",L37&lt;TODAY()),"YA","")</f>
        <v/>
      </c>
      <c r="U37" s="12">
        <f>IF(B37="","",TEXT(B37,"yyyy-mm"))</f>
        <v/>
      </c>
    </row>
    <row r="38">
      <c r="A38" s="17" t="n"/>
      <c r="B38" s="18" t="n"/>
      <c r="C38" s="17" t="n"/>
      <c r="D38" s="17" t="n"/>
      <c r="E38" s="17" t="n"/>
      <c r="F38" s="17" t="n"/>
      <c r="G38" s="19" t="n"/>
      <c r="H38" s="17" t="n"/>
      <c r="I38" s="19" t="n"/>
      <c r="J38" s="17" t="n"/>
      <c r="K38" s="18" t="n"/>
      <c r="L38" s="18" t="n"/>
      <c r="M38" s="17" t="n"/>
      <c r="N38" s="17" t="n"/>
      <c r="O38" s="18" t="n"/>
      <c r="P38" s="18" t="n"/>
      <c r="Q38" s="17" t="n"/>
      <c r="R38" s="13">
        <f>IF(A38="","",N(G38)+N(I38))</f>
        <v/>
      </c>
      <c r="S38" s="12">
        <f>IF(OR(K38="",O38=""),"",O38-K38)</f>
        <v/>
      </c>
      <c r="T38" s="12">
        <f>IF(AND(C38="Cetak",L38&lt;&gt;"",L38&lt;TODAY()),"YA","")</f>
        <v/>
      </c>
      <c r="U38" s="12">
        <f>IF(B38="","",TEXT(B38,"yyyy-mm"))</f>
        <v/>
      </c>
    </row>
    <row r="39">
      <c r="A39" s="17" t="n"/>
      <c r="B39" s="18" t="n"/>
      <c r="C39" s="17" t="n"/>
      <c r="D39" s="17" t="n"/>
      <c r="E39" s="17" t="n"/>
      <c r="F39" s="17" t="n"/>
      <c r="G39" s="19" t="n"/>
      <c r="H39" s="17" t="n"/>
      <c r="I39" s="19" t="n"/>
      <c r="J39" s="17" t="n"/>
      <c r="K39" s="18" t="n"/>
      <c r="L39" s="18" t="n"/>
      <c r="M39" s="17" t="n"/>
      <c r="N39" s="17" t="n"/>
      <c r="O39" s="18" t="n"/>
      <c r="P39" s="18" t="n"/>
      <c r="Q39" s="17" t="n"/>
      <c r="R39" s="13">
        <f>IF(A39="","",N(G39)+N(I39))</f>
        <v/>
      </c>
      <c r="S39" s="12">
        <f>IF(OR(K39="",O39=""),"",O39-K39)</f>
        <v/>
      </c>
      <c r="T39" s="12">
        <f>IF(AND(C39="Cetak",L39&lt;&gt;"",L39&lt;TODAY()),"YA","")</f>
        <v/>
      </c>
      <c r="U39" s="12">
        <f>IF(B39="","",TEXT(B39,"yyyy-mm"))</f>
        <v/>
      </c>
    </row>
    <row r="40">
      <c r="A40" s="17" t="n"/>
      <c r="B40" s="18" t="n"/>
      <c r="C40" s="17" t="n"/>
      <c r="D40" s="17" t="n"/>
      <c r="E40" s="17" t="n"/>
      <c r="F40" s="17" t="n"/>
      <c r="G40" s="19" t="n"/>
      <c r="H40" s="17" t="n"/>
      <c r="I40" s="19" t="n"/>
      <c r="J40" s="17" t="n"/>
      <c r="K40" s="18" t="n"/>
      <c r="L40" s="18" t="n"/>
      <c r="M40" s="17" t="n"/>
      <c r="N40" s="17" t="n"/>
      <c r="O40" s="18" t="n"/>
      <c r="P40" s="18" t="n"/>
      <c r="Q40" s="17" t="n"/>
      <c r="R40" s="13">
        <f>IF(A40="","",N(G40)+N(I40))</f>
        <v/>
      </c>
      <c r="S40" s="12">
        <f>IF(OR(K40="",O40=""),"",O40-K40)</f>
        <v/>
      </c>
      <c r="T40" s="12">
        <f>IF(AND(C40="Cetak",L40&lt;&gt;"",L40&lt;TODAY()),"YA","")</f>
        <v/>
      </c>
      <c r="U40" s="12">
        <f>IF(B40="","",TEXT(B40,"yyyy-mm"))</f>
        <v/>
      </c>
    </row>
    <row r="41">
      <c r="A41" s="17" t="n"/>
      <c r="B41" s="18" t="n"/>
      <c r="C41" s="17" t="n"/>
      <c r="D41" s="17" t="n"/>
      <c r="E41" s="17" t="n"/>
      <c r="F41" s="17" t="n"/>
      <c r="G41" s="19" t="n"/>
      <c r="H41" s="17" t="n"/>
      <c r="I41" s="19" t="n"/>
      <c r="J41" s="17" t="n"/>
      <c r="K41" s="18" t="n"/>
      <c r="L41" s="18" t="n"/>
      <c r="M41" s="17" t="n"/>
      <c r="N41" s="17" t="n"/>
      <c r="O41" s="18" t="n"/>
      <c r="P41" s="18" t="n"/>
      <c r="Q41" s="17" t="n"/>
      <c r="R41" s="13">
        <f>IF(A41="","",N(G41)+N(I41))</f>
        <v/>
      </c>
      <c r="S41" s="12">
        <f>IF(OR(K41="",O41=""),"",O41-K41)</f>
        <v/>
      </c>
      <c r="T41" s="12">
        <f>IF(AND(C41="Cetak",L41&lt;&gt;"",L41&lt;TODAY()),"YA","")</f>
        <v/>
      </c>
      <c r="U41" s="12">
        <f>IF(B41="","",TEXT(B41,"yyyy-mm"))</f>
        <v/>
      </c>
    </row>
    <row r="42">
      <c r="A42" s="17" t="n"/>
      <c r="B42" s="18" t="n"/>
      <c r="C42" s="17" t="n"/>
      <c r="D42" s="17" t="n"/>
      <c r="E42" s="17" t="n"/>
      <c r="F42" s="17" t="n"/>
      <c r="G42" s="19" t="n"/>
      <c r="H42" s="17" t="n"/>
      <c r="I42" s="19" t="n"/>
      <c r="J42" s="17" t="n"/>
      <c r="K42" s="18" t="n"/>
      <c r="L42" s="18" t="n"/>
      <c r="M42" s="17" t="n"/>
      <c r="N42" s="17" t="n"/>
      <c r="O42" s="18" t="n"/>
      <c r="P42" s="18" t="n"/>
      <c r="Q42" s="17" t="n"/>
      <c r="R42" s="13">
        <f>IF(A42="","",N(G42)+N(I42))</f>
        <v/>
      </c>
      <c r="S42" s="12">
        <f>IF(OR(K42="",O42=""),"",O42-K42)</f>
        <v/>
      </c>
      <c r="T42" s="12">
        <f>IF(AND(C42="Cetak",L42&lt;&gt;"",L42&lt;TODAY()),"YA","")</f>
        <v/>
      </c>
      <c r="U42" s="12">
        <f>IF(B42="","",TEXT(B42,"yyyy-mm"))</f>
        <v/>
      </c>
    </row>
    <row r="43">
      <c r="A43" s="17" t="n"/>
      <c r="B43" s="18" t="n"/>
      <c r="C43" s="17" t="n"/>
      <c r="D43" s="17" t="n"/>
      <c r="E43" s="17" t="n"/>
      <c r="F43" s="17" t="n"/>
      <c r="G43" s="19" t="n"/>
      <c r="H43" s="17" t="n"/>
      <c r="I43" s="19" t="n"/>
      <c r="J43" s="17" t="n"/>
      <c r="K43" s="18" t="n"/>
      <c r="L43" s="18" t="n"/>
      <c r="M43" s="17" t="n"/>
      <c r="N43" s="17" t="n"/>
      <c r="O43" s="18" t="n"/>
      <c r="P43" s="18" t="n"/>
      <c r="Q43" s="17" t="n"/>
      <c r="R43" s="13">
        <f>IF(A43="","",N(G43)+N(I43))</f>
        <v/>
      </c>
      <c r="S43" s="12">
        <f>IF(OR(K43="",O43=""),"",O43-K43)</f>
        <v/>
      </c>
      <c r="T43" s="12">
        <f>IF(AND(C43="Cetak",L43&lt;&gt;"",L43&lt;TODAY()),"YA","")</f>
        <v/>
      </c>
      <c r="U43" s="12">
        <f>IF(B43="","",TEXT(B43,"yyyy-mm"))</f>
        <v/>
      </c>
    </row>
    <row r="44">
      <c r="A44" s="17" t="n"/>
      <c r="B44" s="18" t="n"/>
      <c r="C44" s="17" t="n"/>
      <c r="D44" s="17" t="n"/>
      <c r="E44" s="17" t="n"/>
      <c r="F44" s="17" t="n"/>
      <c r="G44" s="19" t="n"/>
      <c r="H44" s="17" t="n"/>
      <c r="I44" s="19" t="n"/>
      <c r="J44" s="17" t="n"/>
      <c r="K44" s="18" t="n"/>
      <c r="L44" s="18" t="n"/>
      <c r="M44" s="17" t="n"/>
      <c r="N44" s="17" t="n"/>
      <c r="O44" s="18" t="n"/>
      <c r="P44" s="18" t="n"/>
      <c r="Q44" s="17" t="n"/>
      <c r="R44" s="13">
        <f>IF(A44="","",N(G44)+N(I44))</f>
        <v/>
      </c>
      <c r="S44" s="12">
        <f>IF(OR(K44="",O44=""),"",O44-K44)</f>
        <v/>
      </c>
      <c r="T44" s="12">
        <f>IF(AND(C44="Cetak",L44&lt;&gt;"",L44&lt;TODAY()),"YA","")</f>
        <v/>
      </c>
      <c r="U44" s="12">
        <f>IF(B44="","",TEXT(B44,"yyyy-mm"))</f>
        <v/>
      </c>
    </row>
    <row r="45">
      <c r="A45" s="17" t="n"/>
      <c r="B45" s="18" t="n"/>
      <c r="C45" s="17" t="n"/>
      <c r="D45" s="17" t="n"/>
      <c r="E45" s="17" t="n"/>
      <c r="F45" s="17" t="n"/>
      <c r="G45" s="19" t="n"/>
      <c r="H45" s="17" t="n"/>
      <c r="I45" s="19" t="n"/>
      <c r="J45" s="17" t="n"/>
      <c r="K45" s="18" t="n"/>
      <c r="L45" s="18" t="n"/>
      <c r="M45" s="17" t="n"/>
      <c r="N45" s="17" t="n"/>
      <c r="O45" s="18" t="n"/>
      <c r="P45" s="18" t="n"/>
      <c r="Q45" s="17" t="n"/>
      <c r="R45" s="13">
        <f>IF(A45="","",N(G45)+N(I45))</f>
        <v/>
      </c>
      <c r="S45" s="12">
        <f>IF(OR(K45="",O45=""),"",O45-K45)</f>
        <v/>
      </c>
      <c r="T45" s="12">
        <f>IF(AND(C45="Cetak",L45&lt;&gt;"",L45&lt;TODAY()),"YA","")</f>
        <v/>
      </c>
      <c r="U45" s="12">
        <f>IF(B45="","",TEXT(B45,"yyyy-mm"))</f>
        <v/>
      </c>
    </row>
    <row r="46">
      <c r="A46" s="17" t="n"/>
      <c r="B46" s="18" t="n"/>
      <c r="C46" s="17" t="n"/>
      <c r="D46" s="17" t="n"/>
      <c r="E46" s="17" t="n"/>
      <c r="F46" s="17" t="n"/>
      <c r="G46" s="19" t="n"/>
      <c r="H46" s="17" t="n"/>
      <c r="I46" s="19" t="n"/>
      <c r="J46" s="17" t="n"/>
      <c r="K46" s="18" t="n"/>
      <c r="L46" s="18" t="n"/>
      <c r="M46" s="17" t="n"/>
      <c r="N46" s="17" t="n"/>
      <c r="O46" s="18" t="n"/>
      <c r="P46" s="18" t="n"/>
      <c r="Q46" s="17" t="n"/>
      <c r="R46" s="13">
        <f>IF(A46="","",N(G46)+N(I46))</f>
        <v/>
      </c>
      <c r="S46" s="12">
        <f>IF(OR(K46="",O46=""),"",O46-K46)</f>
        <v/>
      </c>
      <c r="T46" s="12">
        <f>IF(AND(C46="Cetak",L46&lt;&gt;"",L46&lt;TODAY()),"YA","")</f>
        <v/>
      </c>
      <c r="U46" s="12">
        <f>IF(B46="","",TEXT(B46,"yyyy-mm"))</f>
        <v/>
      </c>
    </row>
    <row r="47">
      <c r="A47" s="17" t="n"/>
      <c r="B47" s="18" t="n"/>
      <c r="C47" s="17" t="n"/>
      <c r="D47" s="17" t="n"/>
      <c r="E47" s="17" t="n"/>
      <c r="F47" s="17" t="n"/>
      <c r="G47" s="19" t="n"/>
      <c r="H47" s="17" t="n"/>
      <c r="I47" s="19" t="n"/>
      <c r="J47" s="17" t="n"/>
      <c r="K47" s="18" t="n"/>
      <c r="L47" s="18" t="n"/>
      <c r="M47" s="17" t="n"/>
      <c r="N47" s="17" t="n"/>
      <c r="O47" s="18" t="n"/>
      <c r="P47" s="18" t="n"/>
      <c r="Q47" s="17" t="n"/>
      <c r="R47" s="13">
        <f>IF(A47="","",N(G47)+N(I47))</f>
        <v/>
      </c>
      <c r="S47" s="12">
        <f>IF(OR(K47="",O47=""),"",O47-K47)</f>
        <v/>
      </c>
      <c r="T47" s="12">
        <f>IF(AND(C47="Cetak",L47&lt;&gt;"",L47&lt;TODAY()),"YA","")</f>
        <v/>
      </c>
      <c r="U47" s="12">
        <f>IF(B47="","",TEXT(B47,"yyyy-mm"))</f>
        <v/>
      </c>
    </row>
    <row r="48">
      <c r="A48" s="17" t="n"/>
      <c r="B48" s="18" t="n"/>
      <c r="C48" s="17" t="n"/>
      <c r="D48" s="17" t="n"/>
      <c r="E48" s="17" t="n"/>
      <c r="F48" s="17" t="n"/>
      <c r="G48" s="19" t="n"/>
      <c r="H48" s="17" t="n"/>
      <c r="I48" s="19" t="n"/>
      <c r="J48" s="17" t="n"/>
      <c r="K48" s="18" t="n"/>
      <c r="L48" s="18" t="n"/>
      <c r="M48" s="17" t="n"/>
      <c r="N48" s="17" t="n"/>
      <c r="O48" s="18" t="n"/>
      <c r="P48" s="18" t="n"/>
      <c r="Q48" s="17" t="n"/>
      <c r="R48" s="13">
        <f>IF(A48="","",N(G48)+N(I48))</f>
        <v/>
      </c>
      <c r="S48" s="12">
        <f>IF(OR(K48="",O48=""),"",O48-K48)</f>
        <v/>
      </c>
      <c r="T48" s="12">
        <f>IF(AND(C48="Cetak",L48&lt;&gt;"",L48&lt;TODAY()),"YA","")</f>
        <v/>
      </c>
      <c r="U48" s="12">
        <f>IF(B48="","",TEXT(B48,"yyyy-mm"))</f>
        <v/>
      </c>
    </row>
    <row r="49">
      <c r="A49" s="17" t="n"/>
      <c r="B49" s="18" t="n"/>
      <c r="C49" s="17" t="n"/>
      <c r="D49" s="17" t="n"/>
      <c r="E49" s="17" t="n"/>
      <c r="F49" s="17" t="n"/>
      <c r="G49" s="19" t="n"/>
      <c r="H49" s="17" t="n"/>
      <c r="I49" s="19" t="n"/>
      <c r="J49" s="17" t="n"/>
      <c r="K49" s="18" t="n"/>
      <c r="L49" s="18" t="n"/>
      <c r="M49" s="17" t="n"/>
      <c r="N49" s="17" t="n"/>
      <c r="O49" s="18" t="n"/>
      <c r="P49" s="18" t="n"/>
      <c r="Q49" s="17" t="n"/>
      <c r="R49" s="13">
        <f>IF(A49="","",N(G49)+N(I49))</f>
        <v/>
      </c>
      <c r="S49" s="12">
        <f>IF(OR(K49="",O49=""),"",O49-K49)</f>
        <v/>
      </c>
      <c r="T49" s="12">
        <f>IF(AND(C49="Cetak",L49&lt;&gt;"",L49&lt;TODAY()),"YA","")</f>
        <v/>
      </c>
      <c r="U49" s="12">
        <f>IF(B49="","",TEXT(B49,"yyyy-mm"))</f>
        <v/>
      </c>
    </row>
    <row r="50">
      <c r="A50" s="17" t="n"/>
      <c r="B50" s="18" t="n"/>
      <c r="C50" s="17" t="n"/>
      <c r="D50" s="17" t="n"/>
      <c r="E50" s="17" t="n"/>
      <c r="F50" s="17" t="n"/>
      <c r="G50" s="19" t="n"/>
      <c r="H50" s="17" t="n"/>
      <c r="I50" s="19" t="n"/>
      <c r="J50" s="17" t="n"/>
      <c r="K50" s="18" t="n"/>
      <c r="L50" s="18" t="n"/>
      <c r="M50" s="17" t="n"/>
      <c r="N50" s="17" t="n"/>
      <c r="O50" s="18" t="n"/>
      <c r="P50" s="18" t="n"/>
      <c r="Q50" s="17" t="n"/>
      <c r="R50" s="13">
        <f>IF(A50="","",N(G50)+N(I50))</f>
        <v/>
      </c>
      <c r="S50" s="12">
        <f>IF(OR(K50="",O50=""),"",O50-K50)</f>
        <v/>
      </c>
      <c r="T50" s="12">
        <f>IF(AND(C50="Cetak",L50&lt;&gt;"",L50&lt;TODAY()),"YA","")</f>
        <v/>
      </c>
      <c r="U50" s="12">
        <f>IF(B50="","",TEXT(B50,"yyyy-mm"))</f>
        <v/>
      </c>
    </row>
    <row r="51">
      <c r="A51" s="17" t="n"/>
      <c r="B51" s="18" t="n"/>
      <c r="C51" s="17" t="n"/>
      <c r="D51" s="17" t="n"/>
      <c r="E51" s="17" t="n"/>
      <c r="F51" s="17" t="n"/>
      <c r="G51" s="19" t="n"/>
      <c r="H51" s="17" t="n"/>
      <c r="I51" s="19" t="n"/>
      <c r="J51" s="17" t="n"/>
      <c r="K51" s="18" t="n"/>
      <c r="L51" s="18" t="n"/>
      <c r="M51" s="17" t="n"/>
      <c r="N51" s="17" t="n"/>
      <c r="O51" s="18" t="n"/>
      <c r="P51" s="18" t="n"/>
      <c r="Q51" s="17" t="n"/>
      <c r="R51" s="13">
        <f>IF(A51="","",N(G51)+N(I51))</f>
        <v/>
      </c>
      <c r="S51" s="12">
        <f>IF(OR(K51="",O51=""),"",O51-K51)</f>
        <v/>
      </c>
      <c r="T51" s="12">
        <f>IF(AND(C51="Cetak",L51&lt;&gt;"",L51&lt;TODAY()),"YA","")</f>
        <v/>
      </c>
      <c r="U51" s="12">
        <f>IF(B51="","",TEXT(B51,"yyyy-mm"))</f>
        <v/>
      </c>
    </row>
    <row r="52">
      <c r="A52" s="17" t="n"/>
      <c r="B52" s="18" t="n"/>
      <c r="C52" s="17" t="n"/>
      <c r="D52" s="17" t="n"/>
      <c r="E52" s="17" t="n"/>
      <c r="F52" s="17" t="n"/>
      <c r="G52" s="19" t="n"/>
      <c r="H52" s="17" t="n"/>
      <c r="I52" s="19" t="n"/>
      <c r="J52" s="17" t="n"/>
      <c r="K52" s="18" t="n"/>
      <c r="L52" s="18" t="n"/>
      <c r="M52" s="17" t="n"/>
      <c r="N52" s="17" t="n"/>
      <c r="O52" s="18" t="n"/>
      <c r="P52" s="18" t="n"/>
      <c r="Q52" s="17" t="n"/>
      <c r="R52" s="13">
        <f>IF(A52="","",N(G52)+N(I52))</f>
        <v/>
      </c>
      <c r="S52" s="12">
        <f>IF(OR(K52="",O52=""),"",O52-K52)</f>
        <v/>
      </c>
      <c r="T52" s="12">
        <f>IF(AND(C52="Cetak",L52&lt;&gt;"",L52&lt;TODAY()),"YA","")</f>
        <v/>
      </c>
      <c r="U52" s="12">
        <f>IF(B52="","",TEXT(B52,"yyyy-mm"))</f>
        <v/>
      </c>
    </row>
    <row r="53">
      <c r="A53" s="17" t="n"/>
      <c r="B53" s="18" t="n"/>
      <c r="C53" s="17" t="n"/>
      <c r="D53" s="17" t="n"/>
      <c r="E53" s="17" t="n"/>
      <c r="F53" s="17" t="n"/>
      <c r="G53" s="19" t="n"/>
      <c r="H53" s="17" t="n"/>
      <c r="I53" s="19" t="n"/>
      <c r="J53" s="17" t="n"/>
      <c r="K53" s="18" t="n"/>
      <c r="L53" s="18" t="n"/>
      <c r="M53" s="17" t="n"/>
      <c r="N53" s="17" t="n"/>
      <c r="O53" s="18" t="n"/>
      <c r="P53" s="18" t="n"/>
      <c r="Q53" s="17" t="n"/>
      <c r="R53" s="13">
        <f>IF(A53="","",N(G53)+N(I53))</f>
        <v/>
      </c>
      <c r="S53" s="12">
        <f>IF(OR(K53="",O53=""),"",O53-K53)</f>
        <v/>
      </c>
      <c r="T53" s="12">
        <f>IF(AND(C53="Cetak",L53&lt;&gt;"",L53&lt;TODAY()),"YA","")</f>
        <v/>
      </c>
      <c r="U53" s="12">
        <f>IF(B53="","",TEXT(B53,"yyyy-mm"))</f>
        <v/>
      </c>
    </row>
    <row r="54">
      <c r="A54" s="17" t="n"/>
      <c r="B54" s="18" t="n"/>
      <c r="C54" s="17" t="n"/>
      <c r="D54" s="17" t="n"/>
      <c r="E54" s="17" t="n"/>
      <c r="F54" s="17" t="n"/>
      <c r="G54" s="19" t="n"/>
      <c r="H54" s="17" t="n"/>
      <c r="I54" s="19" t="n"/>
      <c r="J54" s="17" t="n"/>
      <c r="K54" s="18" t="n"/>
      <c r="L54" s="18" t="n"/>
      <c r="M54" s="17" t="n"/>
      <c r="N54" s="17" t="n"/>
      <c r="O54" s="18" t="n"/>
      <c r="P54" s="18" t="n"/>
      <c r="Q54" s="17" t="n"/>
      <c r="R54" s="13">
        <f>IF(A54="","",N(G54)+N(I54))</f>
        <v/>
      </c>
      <c r="S54" s="12">
        <f>IF(OR(K54="",O54=""),"",O54-K54)</f>
        <v/>
      </c>
      <c r="T54" s="12">
        <f>IF(AND(C54="Cetak",L54&lt;&gt;"",L54&lt;TODAY()),"YA","")</f>
        <v/>
      </c>
      <c r="U54" s="12">
        <f>IF(B54="","",TEXT(B54,"yyyy-mm"))</f>
        <v/>
      </c>
    </row>
    <row r="55">
      <c r="A55" s="17" t="n"/>
      <c r="B55" s="18" t="n"/>
      <c r="C55" s="17" t="n"/>
      <c r="D55" s="17" t="n"/>
      <c r="E55" s="17" t="n"/>
      <c r="F55" s="17" t="n"/>
      <c r="G55" s="19" t="n"/>
      <c r="H55" s="17" t="n"/>
      <c r="I55" s="19" t="n"/>
      <c r="J55" s="17" t="n"/>
      <c r="K55" s="18" t="n"/>
      <c r="L55" s="18" t="n"/>
      <c r="M55" s="17" t="n"/>
      <c r="N55" s="17" t="n"/>
      <c r="O55" s="18" t="n"/>
      <c r="P55" s="18" t="n"/>
      <c r="Q55" s="17" t="n"/>
      <c r="R55" s="13">
        <f>IF(A55="","",N(G55)+N(I55))</f>
        <v/>
      </c>
      <c r="S55" s="12">
        <f>IF(OR(K55="",O55=""),"",O55-K55)</f>
        <v/>
      </c>
      <c r="T55" s="12">
        <f>IF(AND(C55="Cetak",L55&lt;&gt;"",L55&lt;TODAY()),"YA","")</f>
        <v/>
      </c>
      <c r="U55" s="12">
        <f>IF(B55="","",TEXT(B55,"yyyy-mm"))</f>
        <v/>
      </c>
    </row>
    <row r="56">
      <c r="A56" s="17" t="n"/>
      <c r="B56" s="18" t="n"/>
      <c r="C56" s="17" t="n"/>
      <c r="D56" s="17" t="n"/>
      <c r="E56" s="17" t="n"/>
      <c r="F56" s="17" t="n"/>
      <c r="G56" s="19" t="n"/>
      <c r="H56" s="17" t="n"/>
      <c r="I56" s="19" t="n"/>
      <c r="J56" s="17" t="n"/>
      <c r="K56" s="18" t="n"/>
      <c r="L56" s="18" t="n"/>
      <c r="M56" s="17" t="n"/>
      <c r="N56" s="17" t="n"/>
      <c r="O56" s="18" t="n"/>
      <c r="P56" s="18" t="n"/>
      <c r="Q56" s="17" t="n"/>
      <c r="R56" s="13">
        <f>IF(A56="","",N(G56)+N(I56))</f>
        <v/>
      </c>
      <c r="S56" s="12">
        <f>IF(OR(K56="",O56=""),"",O56-K56)</f>
        <v/>
      </c>
      <c r="T56" s="12">
        <f>IF(AND(C56="Cetak",L56&lt;&gt;"",L56&lt;TODAY()),"YA","")</f>
        <v/>
      </c>
      <c r="U56" s="12">
        <f>IF(B56="","",TEXT(B56,"yyyy-mm"))</f>
        <v/>
      </c>
    </row>
    <row r="57">
      <c r="A57" s="17" t="n"/>
      <c r="B57" s="18" t="n"/>
      <c r="C57" s="17" t="n"/>
      <c r="D57" s="17" t="n"/>
      <c r="E57" s="17" t="n"/>
      <c r="F57" s="17" t="n"/>
      <c r="G57" s="19" t="n"/>
      <c r="H57" s="17" t="n"/>
      <c r="I57" s="19" t="n"/>
      <c r="J57" s="17" t="n"/>
      <c r="K57" s="18" t="n"/>
      <c r="L57" s="18" t="n"/>
      <c r="M57" s="17" t="n"/>
      <c r="N57" s="17" t="n"/>
      <c r="O57" s="18" t="n"/>
      <c r="P57" s="18" t="n"/>
      <c r="Q57" s="17" t="n"/>
      <c r="R57" s="13">
        <f>IF(A57="","",N(G57)+N(I57))</f>
        <v/>
      </c>
      <c r="S57" s="12">
        <f>IF(OR(K57="",O57=""),"",O57-K57)</f>
        <v/>
      </c>
      <c r="T57" s="12">
        <f>IF(AND(C57="Cetak",L57&lt;&gt;"",L57&lt;TODAY()),"YA","")</f>
        <v/>
      </c>
      <c r="U57" s="12">
        <f>IF(B57="","",TEXT(B57,"yyyy-mm"))</f>
        <v/>
      </c>
    </row>
    <row r="58">
      <c r="A58" s="17" t="n"/>
      <c r="B58" s="18" t="n"/>
      <c r="C58" s="17" t="n"/>
      <c r="D58" s="17" t="n"/>
      <c r="E58" s="17" t="n"/>
      <c r="F58" s="17" t="n"/>
      <c r="G58" s="19" t="n"/>
      <c r="H58" s="17" t="n"/>
      <c r="I58" s="19" t="n"/>
      <c r="J58" s="17" t="n"/>
      <c r="K58" s="18" t="n"/>
      <c r="L58" s="18" t="n"/>
      <c r="M58" s="17" t="n"/>
      <c r="N58" s="17" t="n"/>
      <c r="O58" s="18" t="n"/>
      <c r="P58" s="18" t="n"/>
      <c r="Q58" s="17" t="n"/>
      <c r="R58" s="13">
        <f>IF(A58="","",N(G58)+N(I58))</f>
        <v/>
      </c>
      <c r="S58" s="12">
        <f>IF(OR(K58="",O58=""),"",O58-K58)</f>
        <v/>
      </c>
      <c r="T58" s="12">
        <f>IF(AND(C58="Cetak",L58&lt;&gt;"",L58&lt;TODAY()),"YA","")</f>
        <v/>
      </c>
      <c r="U58" s="12">
        <f>IF(B58="","",TEXT(B58,"yyyy-mm"))</f>
        <v/>
      </c>
    </row>
    <row r="59">
      <c r="A59" s="17" t="n"/>
      <c r="B59" s="18" t="n"/>
      <c r="C59" s="17" t="n"/>
      <c r="D59" s="17" t="n"/>
      <c r="E59" s="17" t="n"/>
      <c r="F59" s="17" t="n"/>
      <c r="G59" s="19" t="n"/>
      <c r="H59" s="17" t="n"/>
      <c r="I59" s="19" t="n"/>
      <c r="J59" s="17" t="n"/>
      <c r="K59" s="18" t="n"/>
      <c r="L59" s="18" t="n"/>
      <c r="M59" s="17" t="n"/>
      <c r="N59" s="17" t="n"/>
      <c r="O59" s="18" t="n"/>
      <c r="P59" s="18" t="n"/>
      <c r="Q59" s="17" t="n"/>
      <c r="R59" s="13">
        <f>IF(A59="","",N(G59)+N(I59))</f>
        <v/>
      </c>
      <c r="S59" s="12">
        <f>IF(OR(K59="",O59=""),"",O59-K59)</f>
        <v/>
      </c>
      <c r="T59" s="12">
        <f>IF(AND(C59="Cetak",L59&lt;&gt;"",L59&lt;TODAY()),"YA","")</f>
        <v/>
      </c>
      <c r="U59" s="12">
        <f>IF(B59="","",TEXT(B59,"yyyy-mm"))</f>
        <v/>
      </c>
    </row>
    <row r="60">
      <c r="A60" s="17" t="n"/>
      <c r="B60" s="18" t="n"/>
      <c r="C60" s="17" t="n"/>
      <c r="D60" s="17" t="n"/>
      <c r="E60" s="17" t="n"/>
      <c r="F60" s="17" t="n"/>
      <c r="G60" s="19" t="n"/>
      <c r="H60" s="17" t="n"/>
      <c r="I60" s="19" t="n"/>
      <c r="J60" s="17" t="n"/>
      <c r="K60" s="18" t="n"/>
      <c r="L60" s="18" t="n"/>
      <c r="M60" s="17" t="n"/>
      <c r="N60" s="17" t="n"/>
      <c r="O60" s="18" t="n"/>
      <c r="P60" s="18" t="n"/>
      <c r="Q60" s="17" t="n"/>
      <c r="R60" s="13">
        <f>IF(A60="","",N(G60)+N(I60))</f>
        <v/>
      </c>
      <c r="S60" s="12">
        <f>IF(OR(K60="",O60=""),"",O60-K60)</f>
        <v/>
      </c>
      <c r="T60" s="12">
        <f>IF(AND(C60="Cetak",L60&lt;&gt;"",L60&lt;TODAY()),"YA","")</f>
        <v/>
      </c>
      <c r="U60" s="12">
        <f>IF(B60="","",TEXT(B60,"yyyy-mm"))</f>
        <v/>
      </c>
    </row>
    <row r="61">
      <c r="A61" s="17" t="n"/>
      <c r="B61" s="18" t="n"/>
      <c r="C61" s="17" t="n"/>
      <c r="D61" s="17" t="n"/>
      <c r="E61" s="17" t="n"/>
      <c r="F61" s="17" t="n"/>
      <c r="G61" s="19" t="n"/>
      <c r="H61" s="17" t="n"/>
      <c r="I61" s="19" t="n"/>
      <c r="J61" s="17" t="n"/>
      <c r="K61" s="18" t="n"/>
      <c r="L61" s="18" t="n"/>
      <c r="M61" s="17" t="n"/>
      <c r="N61" s="17" t="n"/>
      <c r="O61" s="18" t="n"/>
      <c r="P61" s="18" t="n"/>
      <c r="Q61" s="17" t="n"/>
      <c r="R61" s="13">
        <f>IF(A61="","",N(G61)+N(I61))</f>
        <v/>
      </c>
      <c r="S61" s="12">
        <f>IF(OR(K61="",O61=""),"",O61-K61)</f>
        <v/>
      </c>
      <c r="T61" s="12">
        <f>IF(AND(C61="Cetak",L61&lt;&gt;"",L61&lt;TODAY()),"YA","")</f>
        <v/>
      </c>
      <c r="U61" s="12">
        <f>IF(B61="","",TEXT(B61,"yyyy-mm"))</f>
        <v/>
      </c>
    </row>
    <row r="62">
      <c r="A62" s="17" t="n"/>
      <c r="B62" s="18" t="n"/>
      <c r="C62" s="17" t="n"/>
      <c r="D62" s="17" t="n"/>
      <c r="E62" s="17" t="n"/>
      <c r="F62" s="17" t="n"/>
      <c r="G62" s="19" t="n"/>
      <c r="H62" s="17" t="n"/>
      <c r="I62" s="19" t="n"/>
      <c r="J62" s="17" t="n"/>
      <c r="K62" s="18" t="n"/>
      <c r="L62" s="18" t="n"/>
      <c r="M62" s="17" t="n"/>
      <c r="N62" s="17" t="n"/>
      <c r="O62" s="18" t="n"/>
      <c r="P62" s="18" t="n"/>
      <c r="Q62" s="17" t="n"/>
      <c r="R62" s="13">
        <f>IF(A62="","",N(G62)+N(I62))</f>
        <v/>
      </c>
      <c r="S62" s="12">
        <f>IF(OR(K62="",O62=""),"",O62-K62)</f>
        <v/>
      </c>
      <c r="T62" s="12">
        <f>IF(AND(C62="Cetak",L62&lt;&gt;"",L62&lt;TODAY()),"YA","")</f>
        <v/>
      </c>
      <c r="U62" s="12">
        <f>IF(B62="","",TEXT(B62,"yyyy-mm"))</f>
        <v/>
      </c>
    </row>
    <row r="63">
      <c r="A63" s="17" t="n"/>
      <c r="B63" s="18" t="n"/>
      <c r="C63" s="17" t="n"/>
      <c r="D63" s="17" t="n"/>
      <c r="E63" s="17" t="n"/>
      <c r="F63" s="17" t="n"/>
      <c r="G63" s="19" t="n"/>
      <c r="H63" s="17" t="n"/>
      <c r="I63" s="19" t="n"/>
      <c r="J63" s="17" t="n"/>
      <c r="K63" s="18" t="n"/>
      <c r="L63" s="18" t="n"/>
      <c r="M63" s="17" t="n"/>
      <c r="N63" s="17" t="n"/>
      <c r="O63" s="18" t="n"/>
      <c r="P63" s="18" t="n"/>
      <c r="Q63" s="17" t="n"/>
      <c r="R63" s="13">
        <f>IF(A63="","",N(G63)+N(I63))</f>
        <v/>
      </c>
      <c r="S63" s="12">
        <f>IF(OR(K63="",O63=""),"",O63-K63)</f>
        <v/>
      </c>
      <c r="T63" s="12">
        <f>IF(AND(C63="Cetak",L63&lt;&gt;"",L63&lt;TODAY()),"YA","")</f>
        <v/>
      </c>
      <c r="U63" s="12">
        <f>IF(B63="","",TEXT(B63,"yyyy-mm"))</f>
        <v/>
      </c>
    </row>
    <row r="64">
      <c r="A64" s="17" t="n"/>
      <c r="B64" s="18" t="n"/>
      <c r="C64" s="17" t="n"/>
      <c r="D64" s="17" t="n"/>
      <c r="E64" s="17" t="n"/>
      <c r="F64" s="17" t="n"/>
      <c r="G64" s="19" t="n"/>
      <c r="H64" s="17" t="n"/>
      <c r="I64" s="19" t="n"/>
      <c r="J64" s="17" t="n"/>
      <c r="K64" s="18" t="n"/>
      <c r="L64" s="18" t="n"/>
      <c r="M64" s="17" t="n"/>
      <c r="N64" s="17" t="n"/>
      <c r="O64" s="18" t="n"/>
      <c r="P64" s="18" t="n"/>
      <c r="Q64" s="17" t="n"/>
      <c r="R64" s="13">
        <f>IF(A64="","",N(G64)+N(I64))</f>
        <v/>
      </c>
      <c r="S64" s="12">
        <f>IF(OR(K64="",O64=""),"",O64-K64)</f>
        <v/>
      </c>
      <c r="T64" s="12">
        <f>IF(AND(C64="Cetak",L64&lt;&gt;"",L64&lt;TODAY()),"YA","")</f>
        <v/>
      </c>
      <c r="U64" s="12">
        <f>IF(B64="","",TEXT(B64,"yyyy-mm"))</f>
        <v/>
      </c>
    </row>
    <row r="65">
      <c r="A65" s="17" t="n"/>
      <c r="B65" s="18" t="n"/>
      <c r="C65" s="17" t="n"/>
      <c r="D65" s="17" t="n"/>
      <c r="E65" s="17" t="n"/>
      <c r="F65" s="17" t="n"/>
      <c r="G65" s="19" t="n"/>
      <c r="H65" s="17" t="n"/>
      <c r="I65" s="19" t="n"/>
      <c r="J65" s="17" t="n"/>
      <c r="K65" s="18" t="n"/>
      <c r="L65" s="18" t="n"/>
      <c r="M65" s="17" t="n"/>
      <c r="N65" s="17" t="n"/>
      <c r="O65" s="18" t="n"/>
      <c r="P65" s="18" t="n"/>
      <c r="Q65" s="17" t="n"/>
      <c r="R65" s="13">
        <f>IF(A65="","",N(G65)+N(I65))</f>
        <v/>
      </c>
      <c r="S65" s="12">
        <f>IF(OR(K65="",O65=""),"",O65-K65)</f>
        <v/>
      </c>
      <c r="T65" s="12">
        <f>IF(AND(C65="Cetak",L65&lt;&gt;"",L65&lt;TODAY()),"YA","")</f>
        <v/>
      </c>
      <c r="U65" s="12">
        <f>IF(B65="","",TEXT(B65,"yyyy-mm"))</f>
        <v/>
      </c>
    </row>
    <row r="66">
      <c r="A66" s="17" t="n"/>
      <c r="B66" s="18" t="n"/>
      <c r="C66" s="17" t="n"/>
      <c r="D66" s="17" t="n"/>
      <c r="E66" s="17" t="n"/>
      <c r="F66" s="17" t="n"/>
      <c r="G66" s="19" t="n"/>
      <c r="H66" s="17" t="n"/>
      <c r="I66" s="19" t="n"/>
      <c r="J66" s="17" t="n"/>
      <c r="K66" s="18" t="n"/>
      <c r="L66" s="18" t="n"/>
      <c r="M66" s="17" t="n"/>
      <c r="N66" s="17" t="n"/>
      <c r="O66" s="18" t="n"/>
      <c r="P66" s="18" t="n"/>
      <c r="Q66" s="17" t="n"/>
      <c r="R66" s="13">
        <f>IF(A66="","",N(G66)+N(I66))</f>
        <v/>
      </c>
      <c r="S66" s="12">
        <f>IF(OR(K66="",O66=""),"",O66-K66)</f>
        <v/>
      </c>
      <c r="T66" s="12">
        <f>IF(AND(C66="Cetak",L66&lt;&gt;"",L66&lt;TODAY()),"YA","")</f>
        <v/>
      </c>
      <c r="U66" s="12">
        <f>IF(B66="","",TEXT(B66,"yyyy-mm"))</f>
        <v/>
      </c>
    </row>
    <row r="67">
      <c r="A67" s="17" t="n"/>
      <c r="B67" s="18" t="n"/>
      <c r="C67" s="17" t="n"/>
      <c r="D67" s="17" t="n"/>
      <c r="E67" s="17" t="n"/>
      <c r="F67" s="17" t="n"/>
      <c r="G67" s="19" t="n"/>
      <c r="H67" s="17" t="n"/>
      <c r="I67" s="19" t="n"/>
      <c r="J67" s="17" t="n"/>
      <c r="K67" s="18" t="n"/>
      <c r="L67" s="18" t="n"/>
      <c r="M67" s="17" t="n"/>
      <c r="N67" s="17" t="n"/>
      <c r="O67" s="18" t="n"/>
      <c r="P67" s="18" t="n"/>
      <c r="Q67" s="17" t="n"/>
      <c r="R67" s="13">
        <f>IF(A67="","",N(G67)+N(I67))</f>
        <v/>
      </c>
      <c r="S67" s="12">
        <f>IF(OR(K67="",O67=""),"",O67-K67)</f>
        <v/>
      </c>
      <c r="T67" s="12">
        <f>IF(AND(C67="Cetak",L67&lt;&gt;"",L67&lt;TODAY()),"YA","")</f>
        <v/>
      </c>
      <c r="U67" s="12">
        <f>IF(B67="","",TEXT(B67,"yyyy-mm"))</f>
        <v/>
      </c>
    </row>
    <row r="68">
      <c r="A68" s="17" t="n"/>
      <c r="B68" s="18" t="n"/>
      <c r="C68" s="17" t="n"/>
      <c r="D68" s="17" t="n"/>
      <c r="E68" s="17" t="n"/>
      <c r="F68" s="17" t="n"/>
      <c r="G68" s="19" t="n"/>
      <c r="H68" s="17" t="n"/>
      <c r="I68" s="19" t="n"/>
      <c r="J68" s="17" t="n"/>
      <c r="K68" s="18" t="n"/>
      <c r="L68" s="18" t="n"/>
      <c r="M68" s="17" t="n"/>
      <c r="N68" s="17" t="n"/>
      <c r="O68" s="18" t="n"/>
      <c r="P68" s="18" t="n"/>
      <c r="Q68" s="17" t="n"/>
      <c r="R68" s="13">
        <f>IF(A68="","",N(G68)+N(I68))</f>
        <v/>
      </c>
      <c r="S68" s="12">
        <f>IF(OR(K68="",O68=""),"",O68-K68)</f>
        <v/>
      </c>
      <c r="T68" s="12">
        <f>IF(AND(C68="Cetak",L68&lt;&gt;"",L68&lt;TODAY()),"YA","")</f>
        <v/>
      </c>
      <c r="U68" s="12">
        <f>IF(B68="","",TEXT(B68,"yyyy-mm"))</f>
        <v/>
      </c>
    </row>
    <row r="69">
      <c r="A69" s="17" t="n"/>
      <c r="B69" s="18" t="n"/>
      <c r="C69" s="17" t="n"/>
      <c r="D69" s="17" t="n"/>
      <c r="E69" s="17" t="n"/>
      <c r="F69" s="17" t="n"/>
      <c r="G69" s="19" t="n"/>
      <c r="H69" s="17" t="n"/>
      <c r="I69" s="19" t="n"/>
      <c r="J69" s="17" t="n"/>
      <c r="K69" s="18" t="n"/>
      <c r="L69" s="18" t="n"/>
      <c r="M69" s="17" t="n"/>
      <c r="N69" s="17" t="n"/>
      <c r="O69" s="18" t="n"/>
      <c r="P69" s="18" t="n"/>
      <c r="Q69" s="17" t="n"/>
      <c r="R69" s="13">
        <f>IF(A69="","",N(G69)+N(I69))</f>
        <v/>
      </c>
      <c r="S69" s="12">
        <f>IF(OR(K69="",O69=""),"",O69-K69)</f>
        <v/>
      </c>
      <c r="T69" s="12">
        <f>IF(AND(C69="Cetak",L69&lt;&gt;"",L69&lt;TODAY()),"YA","")</f>
        <v/>
      </c>
      <c r="U69" s="12">
        <f>IF(B69="","",TEXT(B69,"yyyy-mm"))</f>
        <v/>
      </c>
    </row>
    <row r="70">
      <c r="A70" s="17" t="n"/>
      <c r="B70" s="18" t="n"/>
      <c r="C70" s="17" t="n"/>
      <c r="D70" s="17" t="n"/>
      <c r="E70" s="17" t="n"/>
      <c r="F70" s="17" t="n"/>
      <c r="G70" s="19" t="n"/>
      <c r="H70" s="17" t="n"/>
      <c r="I70" s="19" t="n"/>
      <c r="J70" s="17" t="n"/>
      <c r="K70" s="18" t="n"/>
      <c r="L70" s="18" t="n"/>
      <c r="M70" s="17" t="n"/>
      <c r="N70" s="17" t="n"/>
      <c r="O70" s="18" t="n"/>
      <c r="P70" s="18" t="n"/>
      <c r="Q70" s="17" t="n"/>
      <c r="R70" s="13">
        <f>IF(A70="","",N(G70)+N(I70))</f>
        <v/>
      </c>
      <c r="S70" s="12">
        <f>IF(OR(K70="",O70=""),"",O70-K70)</f>
        <v/>
      </c>
      <c r="T70" s="12">
        <f>IF(AND(C70="Cetak",L70&lt;&gt;"",L70&lt;TODAY()),"YA","")</f>
        <v/>
      </c>
      <c r="U70" s="12">
        <f>IF(B70="","",TEXT(B70,"yyyy-mm"))</f>
        <v/>
      </c>
    </row>
    <row r="71">
      <c r="A71" s="17" t="n"/>
      <c r="B71" s="18" t="n"/>
      <c r="C71" s="17" t="n"/>
      <c r="D71" s="17" t="n"/>
      <c r="E71" s="17" t="n"/>
      <c r="F71" s="17" t="n"/>
      <c r="G71" s="19" t="n"/>
      <c r="H71" s="17" t="n"/>
      <c r="I71" s="19" t="n"/>
      <c r="J71" s="17" t="n"/>
      <c r="K71" s="18" t="n"/>
      <c r="L71" s="18" t="n"/>
      <c r="M71" s="17" t="n"/>
      <c r="N71" s="17" t="n"/>
      <c r="O71" s="18" t="n"/>
      <c r="P71" s="18" t="n"/>
      <c r="Q71" s="17" t="n"/>
      <c r="R71" s="13">
        <f>IF(A71="","",N(G71)+N(I71))</f>
        <v/>
      </c>
      <c r="S71" s="12">
        <f>IF(OR(K71="",O71=""),"",O71-K71)</f>
        <v/>
      </c>
      <c r="T71" s="12">
        <f>IF(AND(C71="Cetak",L71&lt;&gt;"",L71&lt;TODAY()),"YA","")</f>
        <v/>
      </c>
      <c r="U71" s="12">
        <f>IF(B71="","",TEXT(B71,"yyyy-mm"))</f>
        <v/>
      </c>
    </row>
    <row r="72">
      <c r="A72" s="17" t="n"/>
      <c r="B72" s="18" t="n"/>
      <c r="C72" s="17" t="n"/>
      <c r="D72" s="17" t="n"/>
      <c r="E72" s="17" t="n"/>
      <c r="F72" s="17" t="n"/>
      <c r="G72" s="19" t="n"/>
      <c r="H72" s="17" t="n"/>
      <c r="I72" s="19" t="n"/>
      <c r="J72" s="17" t="n"/>
      <c r="K72" s="18" t="n"/>
      <c r="L72" s="18" t="n"/>
      <c r="M72" s="17" t="n"/>
      <c r="N72" s="17" t="n"/>
      <c r="O72" s="18" t="n"/>
      <c r="P72" s="18" t="n"/>
      <c r="Q72" s="17" t="n"/>
      <c r="R72" s="13">
        <f>IF(A72="","",N(G72)+N(I72))</f>
        <v/>
      </c>
      <c r="S72" s="12">
        <f>IF(OR(K72="",O72=""),"",O72-K72)</f>
        <v/>
      </c>
      <c r="T72" s="12">
        <f>IF(AND(C72="Cetak",L72&lt;&gt;"",L72&lt;TODAY()),"YA","")</f>
        <v/>
      </c>
      <c r="U72" s="12">
        <f>IF(B72="","",TEXT(B72,"yyyy-mm"))</f>
        <v/>
      </c>
    </row>
    <row r="73">
      <c r="A73" s="17" t="n"/>
      <c r="B73" s="18" t="n"/>
      <c r="C73" s="17" t="n"/>
      <c r="D73" s="17" t="n"/>
      <c r="E73" s="17" t="n"/>
      <c r="F73" s="17" t="n"/>
      <c r="G73" s="19" t="n"/>
      <c r="H73" s="17" t="n"/>
      <c r="I73" s="19" t="n"/>
      <c r="J73" s="17" t="n"/>
      <c r="K73" s="18" t="n"/>
      <c r="L73" s="18" t="n"/>
      <c r="M73" s="17" t="n"/>
      <c r="N73" s="17" t="n"/>
      <c r="O73" s="18" t="n"/>
      <c r="P73" s="18" t="n"/>
      <c r="Q73" s="17" t="n"/>
      <c r="R73" s="13">
        <f>IF(A73="","",N(G73)+N(I73))</f>
        <v/>
      </c>
      <c r="S73" s="12">
        <f>IF(OR(K73="",O73=""),"",O73-K73)</f>
        <v/>
      </c>
      <c r="T73" s="12">
        <f>IF(AND(C73="Cetak",L73&lt;&gt;"",L73&lt;TODAY()),"YA","")</f>
        <v/>
      </c>
      <c r="U73" s="12">
        <f>IF(B73="","",TEXT(B73,"yyyy-mm"))</f>
        <v/>
      </c>
    </row>
    <row r="74">
      <c r="A74" s="17" t="n"/>
      <c r="B74" s="18" t="n"/>
      <c r="C74" s="17" t="n"/>
      <c r="D74" s="17" t="n"/>
      <c r="E74" s="17" t="n"/>
      <c r="F74" s="17" t="n"/>
      <c r="G74" s="19" t="n"/>
      <c r="H74" s="17" t="n"/>
      <c r="I74" s="19" t="n"/>
      <c r="J74" s="17" t="n"/>
      <c r="K74" s="18" t="n"/>
      <c r="L74" s="18" t="n"/>
      <c r="M74" s="17" t="n"/>
      <c r="N74" s="17" t="n"/>
      <c r="O74" s="18" t="n"/>
      <c r="P74" s="18" t="n"/>
      <c r="Q74" s="17" t="n"/>
      <c r="R74" s="13">
        <f>IF(A74="","",N(G74)+N(I74))</f>
        <v/>
      </c>
      <c r="S74" s="12">
        <f>IF(OR(K74="",O74=""),"",O74-K74)</f>
        <v/>
      </c>
      <c r="T74" s="12">
        <f>IF(AND(C74="Cetak",L74&lt;&gt;"",L74&lt;TODAY()),"YA","")</f>
        <v/>
      </c>
      <c r="U74" s="12">
        <f>IF(B74="","",TEXT(B74,"yyyy-mm"))</f>
        <v/>
      </c>
    </row>
    <row r="75">
      <c r="A75" s="17" t="n"/>
      <c r="B75" s="18" t="n"/>
      <c r="C75" s="17" t="n"/>
      <c r="D75" s="17" t="n"/>
      <c r="E75" s="17" t="n"/>
      <c r="F75" s="17" t="n"/>
      <c r="G75" s="19" t="n"/>
      <c r="H75" s="17" t="n"/>
      <c r="I75" s="19" t="n"/>
      <c r="J75" s="17" t="n"/>
      <c r="K75" s="18" t="n"/>
      <c r="L75" s="18" t="n"/>
      <c r="M75" s="17" t="n"/>
      <c r="N75" s="17" t="n"/>
      <c r="O75" s="18" t="n"/>
      <c r="P75" s="18" t="n"/>
      <c r="Q75" s="17" t="n"/>
      <c r="R75" s="13">
        <f>IF(A75="","",N(G75)+N(I75))</f>
        <v/>
      </c>
      <c r="S75" s="12">
        <f>IF(OR(K75="",O75=""),"",O75-K75)</f>
        <v/>
      </c>
      <c r="T75" s="12">
        <f>IF(AND(C75="Cetak",L75&lt;&gt;"",L75&lt;TODAY()),"YA","")</f>
        <v/>
      </c>
      <c r="U75" s="12">
        <f>IF(B75="","",TEXT(B75,"yyyy-mm"))</f>
        <v/>
      </c>
    </row>
    <row r="76">
      <c r="A76" s="17" t="n"/>
      <c r="B76" s="18" t="n"/>
      <c r="C76" s="17" t="n"/>
      <c r="D76" s="17" t="n"/>
      <c r="E76" s="17" t="n"/>
      <c r="F76" s="17" t="n"/>
      <c r="G76" s="19" t="n"/>
      <c r="H76" s="17" t="n"/>
      <c r="I76" s="19" t="n"/>
      <c r="J76" s="17" t="n"/>
      <c r="K76" s="18" t="n"/>
      <c r="L76" s="18" t="n"/>
      <c r="M76" s="17" t="n"/>
      <c r="N76" s="17" t="n"/>
      <c r="O76" s="18" t="n"/>
      <c r="P76" s="18" t="n"/>
      <c r="Q76" s="17" t="n"/>
      <c r="R76" s="13">
        <f>IF(A76="","",N(G76)+N(I76))</f>
        <v/>
      </c>
      <c r="S76" s="12">
        <f>IF(OR(K76="",O76=""),"",O76-K76)</f>
        <v/>
      </c>
      <c r="T76" s="12">
        <f>IF(AND(C76="Cetak",L76&lt;&gt;"",L76&lt;TODAY()),"YA","")</f>
        <v/>
      </c>
      <c r="U76" s="12">
        <f>IF(B76="","",TEXT(B76,"yyyy-mm"))</f>
        <v/>
      </c>
    </row>
    <row r="77">
      <c r="A77" s="17" t="n"/>
      <c r="B77" s="18" t="n"/>
      <c r="C77" s="17" t="n"/>
      <c r="D77" s="17" t="n"/>
      <c r="E77" s="17" t="n"/>
      <c r="F77" s="17" t="n"/>
      <c r="G77" s="19" t="n"/>
      <c r="H77" s="17" t="n"/>
      <c r="I77" s="19" t="n"/>
      <c r="J77" s="17" t="n"/>
      <c r="K77" s="18" t="n"/>
      <c r="L77" s="18" t="n"/>
      <c r="M77" s="17" t="n"/>
      <c r="N77" s="17" t="n"/>
      <c r="O77" s="18" t="n"/>
      <c r="P77" s="18" t="n"/>
      <c r="Q77" s="17" t="n"/>
      <c r="R77" s="13">
        <f>IF(A77="","",N(G77)+N(I77))</f>
        <v/>
      </c>
      <c r="S77" s="12">
        <f>IF(OR(K77="",O77=""),"",O77-K77)</f>
        <v/>
      </c>
      <c r="T77" s="12">
        <f>IF(AND(C77="Cetak",L77&lt;&gt;"",L77&lt;TODAY()),"YA","")</f>
        <v/>
      </c>
      <c r="U77" s="12">
        <f>IF(B77="","",TEXT(B77,"yyyy-mm"))</f>
        <v/>
      </c>
    </row>
    <row r="78">
      <c r="A78" s="17" t="n"/>
      <c r="B78" s="18" t="n"/>
      <c r="C78" s="17" t="n"/>
      <c r="D78" s="17" t="n"/>
      <c r="E78" s="17" t="n"/>
      <c r="F78" s="17" t="n"/>
      <c r="G78" s="19" t="n"/>
      <c r="H78" s="17" t="n"/>
      <c r="I78" s="19" t="n"/>
      <c r="J78" s="17" t="n"/>
      <c r="K78" s="18" t="n"/>
      <c r="L78" s="18" t="n"/>
      <c r="M78" s="17" t="n"/>
      <c r="N78" s="17" t="n"/>
      <c r="O78" s="18" t="n"/>
      <c r="P78" s="18" t="n"/>
      <c r="Q78" s="17" t="n"/>
      <c r="R78" s="13">
        <f>IF(A78="","",N(G78)+N(I78))</f>
        <v/>
      </c>
      <c r="S78" s="12">
        <f>IF(OR(K78="",O78=""),"",O78-K78)</f>
        <v/>
      </c>
      <c r="T78" s="12">
        <f>IF(AND(C78="Cetak",L78&lt;&gt;"",L78&lt;TODAY()),"YA","")</f>
        <v/>
      </c>
      <c r="U78" s="12">
        <f>IF(B78="","",TEXT(B78,"yyyy-mm"))</f>
        <v/>
      </c>
    </row>
    <row r="79">
      <c r="A79" s="17" t="n"/>
      <c r="B79" s="18" t="n"/>
      <c r="C79" s="17" t="n"/>
      <c r="D79" s="17" t="n"/>
      <c r="E79" s="17" t="n"/>
      <c r="F79" s="17" t="n"/>
      <c r="G79" s="19" t="n"/>
      <c r="H79" s="17" t="n"/>
      <c r="I79" s="19" t="n"/>
      <c r="J79" s="17" t="n"/>
      <c r="K79" s="18" t="n"/>
      <c r="L79" s="18" t="n"/>
      <c r="M79" s="17" t="n"/>
      <c r="N79" s="17" t="n"/>
      <c r="O79" s="18" t="n"/>
      <c r="P79" s="18" t="n"/>
      <c r="Q79" s="17" t="n"/>
      <c r="R79" s="13">
        <f>IF(A79="","",N(G79)+N(I79))</f>
        <v/>
      </c>
      <c r="S79" s="12">
        <f>IF(OR(K79="",O79=""),"",O79-K79)</f>
        <v/>
      </c>
      <c r="T79" s="12">
        <f>IF(AND(C79="Cetak",L79&lt;&gt;"",L79&lt;TODAY()),"YA","")</f>
        <v/>
      </c>
      <c r="U79" s="12">
        <f>IF(B79="","",TEXT(B79,"yyyy-mm"))</f>
        <v/>
      </c>
    </row>
    <row r="80">
      <c r="A80" s="17" t="n"/>
      <c r="B80" s="18" t="n"/>
      <c r="C80" s="17" t="n"/>
      <c r="D80" s="17" t="n"/>
      <c r="E80" s="17" t="n"/>
      <c r="F80" s="17" t="n"/>
      <c r="G80" s="19" t="n"/>
      <c r="H80" s="17" t="n"/>
      <c r="I80" s="19" t="n"/>
      <c r="J80" s="17" t="n"/>
      <c r="K80" s="18" t="n"/>
      <c r="L80" s="18" t="n"/>
      <c r="M80" s="17" t="n"/>
      <c r="N80" s="17" t="n"/>
      <c r="O80" s="18" t="n"/>
      <c r="P80" s="18" t="n"/>
      <c r="Q80" s="17" t="n"/>
      <c r="R80" s="13">
        <f>IF(A80="","",N(G80)+N(I80))</f>
        <v/>
      </c>
      <c r="S80" s="12">
        <f>IF(OR(K80="",O80=""),"",O80-K80)</f>
        <v/>
      </c>
      <c r="T80" s="12">
        <f>IF(AND(C80="Cetak",L80&lt;&gt;"",L80&lt;TODAY()),"YA","")</f>
        <v/>
      </c>
      <c r="U80" s="12">
        <f>IF(B80="","",TEXT(B80,"yyyy-mm"))</f>
        <v/>
      </c>
    </row>
    <row r="81">
      <c r="A81" s="17" t="n"/>
      <c r="B81" s="18" t="n"/>
      <c r="C81" s="17" t="n"/>
      <c r="D81" s="17" t="n"/>
      <c r="E81" s="17" t="n"/>
      <c r="F81" s="17" t="n"/>
      <c r="G81" s="19" t="n"/>
      <c r="H81" s="17" t="n"/>
      <c r="I81" s="19" t="n"/>
      <c r="J81" s="17" t="n"/>
      <c r="K81" s="18" t="n"/>
      <c r="L81" s="18" t="n"/>
      <c r="M81" s="17" t="n"/>
      <c r="N81" s="17" t="n"/>
      <c r="O81" s="18" t="n"/>
      <c r="P81" s="18" t="n"/>
      <c r="Q81" s="17" t="n"/>
      <c r="R81" s="13">
        <f>IF(A81="","",N(G81)+N(I81))</f>
        <v/>
      </c>
      <c r="S81" s="12">
        <f>IF(OR(K81="",O81=""),"",O81-K81)</f>
        <v/>
      </c>
      <c r="T81" s="12">
        <f>IF(AND(C81="Cetak",L81&lt;&gt;"",L81&lt;TODAY()),"YA","")</f>
        <v/>
      </c>
      <c r="U81" s="12">
        <f>IF(B81="","",TEXT(B81,"yyyy-mm"))</f>
        <v/>
      </c>
    </row>
    <row r="82">
      <c r="A82" s="17" t="n"/>
      <c r="B82" s="18" t="n"/>
      <c r="C82" s="17" t="n"/>
      <c r="D82" s="17" t="n"/>
      <c r="E82" s="17" t="n"/>
      <c r="F82" s="17" t="n"/>
      <c r="G82" s="19" t="n"/>
      <c r="H82" s="17" t="n"/>
      <c r="I82" s="19" t="n"/>
      <c r="J82" s="17" t="n"/>
      <c r="K82" s="18" t="n"/>
      <c r="L82" s="18" t="n"/>
      <c r="M82" s="17" t="n"/>
      <c r="N82" s="17" t="n"/>
      <c r="O82" s="18" t="n"/>
      <c r="P82" s="18" t="n"/>
      <c r="Q82" s="17" t="n"/>
      <c r="R82" s="13">
        <f>IF(A82="","",N(G82)+N(I82))</f>
        <v/>
      </c>
      <c r="S82" s="12">
        <f>IF(OR(K82="",O82=""),"",O82-K82)</f>
        <v/>
      </c>
      <c r="T82" s="12">
        <f>IF(AND(C82="Cetak",L82&lt;&gt;"",L82&lt;TODAY()),"YA","")</f>
        <v/>
      </c>
      <c r="U82" s="12">
        <f>IF(B82="","",TEXT(B82,"yyyy-mm"))</f>
        <v/>
      </c>
    </row>
    <row r="83">
      <c r="A83" s="17" t="n"/>
      <c r="B83" s="18" t="n"/>
      <c r="C83" s="17" t="n"/>
      <c r="D83" s="17" t="n"/>
      <c r="E83" s="17" t="n"/>
      <c r="F83" s="17" t="n"/>
      <c r="G83" s="19" t="n"/>
      <c r="H83" s="17" t="n"/>
      <c r="I83" s="19" t="n"/>
      <c r="J83" s="17" t="n"/>
      <c r="K83" s="18" t="n"/>
      <c r="L83" s="18" t="n"/>
      <c r="M83" s="17" t="n"/>
      <c r="N83" s="17" t="n"/>
      <c r="O83" s="18" t="n"/>
      <c r="P83" s="18" t="n"/>
      <c r="Q83" s="17" t="n"/>
      <c r="R83" s="13">
        <f>IF(A83="","",N(G83)+N(I83))</f>
        <v/>
      </c>
      <c r="S83" s="12">
        <f>IF(OR(K83="",O83=""),"",O83-K83)</f>
        <v/>
      </c>
      <c r="T83" s="12">
        <f>IF(AND(C83="Cetak",L83&lt;&gt;"",L83&lt;TODAY()),"YA","")</f>
        <v/>
      </c>
      <c r="U83" s="12">
        <f>IF(B83="","",TEXT(B83,"yyyy-mm"))</f>
        <v/>
      </c>
    </row>
    <row r="84">
      <c r="A84" s="17" t="n"/>
      <c r="B84" s="18" t="n"/>
      <c r="C84" s="17" t="n"/>
      <c r="D84" s="17" t="n"/>
      <c r="E84" s="17" t="n"/>
      <c r="F84" s="17" t="n"/>
      <c r="G84" s="19" t="n"/>
      <c r="H84" s="17" t="n"/>
      <c r="I84" s="19" t="n"/>
      <c r="J84" s="17" t="n"/>
      <c r="K84" s="18" t="n"/>
      <c r="L84" s="18" t="n"/>
      <c r="M84" s="17" t="n"/>
      <c r="N84" s="17" t="n"/>
      <c r="O84" s="18" t="n"/>
      <c r="P84" s="18" t="n"/>
      <c r="Q84" s="17" t="n"/>
      <c r="R84" s="13">
        <f>IF(A84="","",N(G84)+N(I84))</f>
        <v/>
      </c>
      <c r="S84" s="12">
        <f>IF(OR(K84="",O84=""),"",O84-K84)</f>
        <v/>
      </c>
      <c r="T84" s="12">
        <f>IF(AND(C84="Cetak",L84&lt;&gt;"",L84&lt;TODAY()),"YA","")</f>
        <v/>
      </c>
      <c r="U84" s="12">
        <f>IF(B84="","",TEXT(B84,"yyyy-mm"))</f>
        <v/>
      </c>
    </row>
    <row r="85">
      <c r="A85" s="17" t="n"/>
      <c r="B85" s="18" t="n"/>
      <c r="C85" s="17" t="n"/>
      <c r="D85" s="17" t="n"/>
      <c r="E85" s="17" t="n"/>
      <c r="F85" s="17" t="n"/>
      <c r="G85" s="19" t="n"/>
      <c r="H85" s="17" t="n"/>
      <c r="I85" s="19" t="n"/>
      <c r="J85" s="17" t="n"/>
      <c r="K85" s="18" t="n"/>
      <c r="L85" s="18" t="n"/>
      <c r="M85" s="17" t="n"/>
      <c r="N85" s="17" t="n"/>
      <c r="O85" s="18" t="n"/>
      <c r="P85" s="18" t="n"/>
      <c r="Q85" s="17" t="n"/>
      <c r="R85" s="13">
        <f>IF(A85="","",N(G85)+N(I85))</f>
        <v/>
      </c>
      <c r="S85" s="12">
        <f>IF(OR(K85="",O85=""),"",O85-K85)</f>
        <v/>
      </c>
      <c r="T85" s="12">
        <f>IF(AND(C85="Cetak",L85&lt;&gt;"",L85&lt;TODAY()),"YA","")</f>
        <v/>
      </c>
      <c r="U85" s="12">
        <f>IF(B85="","",TEXT(B85,"yyyy-mm"))</f>
        <v/>
      </c>
    </row>
    <row r="86">
      <c r="A86" s="17" t="n"/>
      <c r="B86" s="18" t="n"/>
      <c r="C86" s="17" t="n"/>
      <c r="D86" s="17" t="n"/>
      <c r="E86" s="17" t="n"/>
      <c r="F86" s="17" t="n"/>
      <c r="G86" s="19" t="n"/>
      <c r="H86" s="17" t="n"/>
      <c r="I86" s="19" t="n"/>
      <c r="J86" s="17" t="n"/>
      <c r="K86" s="18" t="n"/>
      <c r="L86" s="18" t="n"/>
      <c r="M86" s="17" t="n"/>
      <c r="N86" s="17" t="n"/>
      <c r="O86" s="18" t="n"/>
      <c r="P86" s="18" t="n"/>
      <c r="Q86" s="17" t="n"/>
      <c r="R86" s="13">
        <f>IF(A86="","",N(G86)+N(I86))</f>
        <v/>
      </c>
      <c r="S86" s="12">
        <f>IF(OR(K86="",O86=""),"",O86-K86)</f>
        <v/>
      </c>
      <c r="T86" s="12">
        <f>IF(AND(C86="Cetak",L86&lt;&gt;"",L86&lt;TODAY()),"YA","")</f>
        <v/>
      </c>
      <c r="U86" s="12">
        <f>IF(B86="","",TEXT(B86,"yyyy-mm"))</f>
        <v/>
      </c>
    </row>
    <row r="87">
      <c r="A87" s="17" t="n"/>
      <c r="B87" s="18" t="n"/>
      <c r="C87" s="17" t="n"/>
      <c r="D87" s="17" t="n"/>
      <c r="E87" s="17" t="n"/>
      <c r="F87" s="17" t="n"/>
      <c r="G87" s="19" t="n"/>
      <c r="H87" s="17" t="n"/>
      <c r="I87" s="19" t="n"/>
      <c r="J87" s="17" t="n"/>
      <c r="K87" s="18" t="n"/>
      <c r="L87" s="18" t="n"/>
      <c r="M87" s="17" t="n"/>
      <c r="N87" s="17" t="n"/>
      <c r="O87" s="18" t="n"/>
      <c r="P87" s="18" t="n"/>
      <c r="Q87" s="17" t="n"/>
      <c r="R87" s="13">
        <f>IF(A87="","",N(G87)+N(I87))</f>
        <v/>
      </c>
      <c r="S87" s="12">
        <f>IF(OR(K87="",O87=""),"",O87-K87)</f>
        <v/>
      </c>
      <c r="T87" s="12">
        <f>IF(AND(C87="Cetak",L87&lt;&gt;"",L87&lt;TODAY()),"YA","")</f>
        <v/>
      </c>
      <c r="U87" s="12">
        <f>IF(B87="","",TEXT(B87,"yyyy-mm"))</f>
        <v/>
      </c>
    </row>
    <row r="88">
      <c r="A88" s="17" t="n"/>
      <c r="B88" s="18" t="n"/>
      <c r="C88" s="17" t="n"/>
      <c r="D88" s="17" t="n"/>
      <c r="E88" s="17" t="n"/>
      <c r="F88" s="17" t="n"/>
      <c r="G88" s="19" t="n"/>
      <c r="H88" s="17" t="n"/>
      <c r="I88" s="19" t="n"/>
      <c r="J88" s="17" t="n"/>
      <c r="K88" s="18" t="n"/>
      <c r="L88" s="18" t="n"/>
      <c r="M88" s="17" t="n"/>
      <c r="N88" s="17" t="n"/>
      <c r="O88" s="18" t="n"/>
      <c r="P88" s="18" t="n"/>
      <c r="Q88" s="17" t="n"/>
      <c r="R88" s="13">
        <f>IF(A88="","",N(G88)+N(I88))</f>
        <v/>
      </c>
      <c r="S88" s="12">
        <f>IF(OR(K88="",O88=""),"",O88-K88)</f>
        <v/>
      </c>
      <c r="T88" s="12">
        <f>IF(AND(C88="Cetak",L88&lt;&gt;"",L88&lt;TODAY()),"YA","")</f>
        <v/>
      </c>
      <c r="U88" s="12">
        <f>IF(B88="","",TEXT(B88,"yyyy-mm"))</f>
        <v/>
      </c>
    </row>
    <row r="89">
      <c r="A89" s="17" t="n"/>
      <c r="B89" s="18" t="n"/>
      <c r="C89" s="17" t="n"/>
      <c r="D89" s="17" t="n"/>
      <c r="E89" s="17" t="n"/>
      <c r="F89" s="17" t="n"/>
      <c r="G89" s="19" t="n"/>
      <c r="H89" s="17" t="n"/>
      <c r="I89" s="19" t="n"/>
      <c r="J89" s="17" t="n"/>
      <c r="K89" s="18" t="n"/>
      <c r="L89" s="18" t="n"/>
      <c r="M89" s="17" t="n"/>
      <c r="N89" s="17" t="n"/>
      <c r="O89" s="18" t="n"/>
      <c r="P89" s="18" t="n"/>
      <c r="Q89" s="17" t="n"/>
      <c r="R89" s="13">
        <f>IF(A89="","",N(G89)+N(I89))</f>
        <v/>
      </c>
      <c r="S89" s="12">
        <f>IF(OR(K89="",O89=""),"",O89-K89)</f>
        <v/>
      </c>
      <c r="T89" s="12">
        <f>IF(AND(C89="Cetak",L89&lt;&gt;"",L89&lt;TODAY()),"YA","")</f>
        <v/>
      </c>
      <c r="U89" s="12">
        <f>IF(B89="","",TEXT(B89,"yyyy-mm"))</f>
        <v/>
      </c>
    </row>
    <row r="90">
      <c r="A90" s="17" t="n"/>
      <c r="B90" s="18" t="n"/>
      <c r="C90" s="17" t="n"/>
      <c r="D90" s="17" t="n"/>
      <c r="E90" s="17" t="n"/>
      <c r="F90" s="17" t="n"/>
      <c r="G90" s="19" t="n"/>
      <c r="H90" s="17" t="n"/>
      <c r="I90" s="19" t="n"/>
      <c r="J90" s="17" t="n"/>
      <c r="K90" s="18" t="n"/>
      <c r="L90" s="18" t="n"/>
      <c r="M90" s="17" t="n"/>
      <c r="N90" s="17" t="n"/>
      <c r="O90" s="18" t="n"/>
      <c r="P90" s="18" t="n"/>
      <c r="Q90" s="17" t="n"/>
      <c r="R90" s="13">
        <f>IF(A90="","",N(G90)+N(I90))</f>
        <v/>
      </c>
      <c r="S90" s="12">
        <f>IF(OR(K90="",O90=""),"",O90-K90)</f>
        <v/>
      </c>
      <c r="T90" s="12">
        <f>IF(AND(C90="Cetak",L90&lt;&gt;"",L90&lt;TODAY()),"YA","")</f>
        <v/>
      </c>
      <c r="U90" s="12">
        <f>IF(B90="","",TEXT(B90,"yyyy-mm"))</f>
        <v/>
      </c>
    </row>
    <row r="91">
      <c r="A91" s="17" t="n"/>
      <c r="B91" s="18" t="n"/>
      <c r="C91" s="17" t="n"/>
      <c r="D91" s="17" t="n"/>
      <c r="E91" s="17" t="n"/>
      <c r="F91" s="17" t="n"/>
      <c r="G91" s="19" t="n"/>
      <c r="H91" s="17" t="n"/>
      <c r="I91" s="19" t="n"/>
      <c r="J91" s="17" t="n"/>
      <c r="K91" s="18" t="n"/>
      <c r="L91" s="18" t="n"/>
      <c r="M91" s="17" t="n"/>
      <c r="N91" s="17" t="n"/>
      <c r="O91" s="18" t="n"/>
      <c r="P91" s="18" t="n"/>
      <c r="Q91" s="17" t="n"/>
      <c r="R91" s="13">
        <f>IF(A91="","",N(G91)+N(I91))</f>
        <v/>
      </c>
      <c r="S91" s="12">
        <f>IF(OR(K91="",O91=""),"",O91-K91)</f>
        <v/>
      </c>
      <c r="T91" s="12">
        <f>IF(AND(C91="Cetak",L91&lt;&gt;"",L91&lt;TODAY()),"YA","")</f>
        <v/>
      </c>
      <c r="U91" s="12">
        <f>IF(B91="","",TEXT(B91,"yyyy-mm"))</f>
        <v/>
      </c>
    </row>
    <row r="92">
      <c r="A92" s="17" t="n"/>
      <c r="B92" s="18" t="n"/>
      <c r="C92" s="17" t="n"/>
      <c r="D92" s="17" t="n"/>
      <c r="E92" s="17" t="n"/>
      <c r="F92" s="17" t="n"/>
      <c r="G92" s="19" t="n"/>
      <c r="H92" s="17" t="n"/>
      <c r="I92" s="19" t="n"/>
      <c r="J92" s="17" t="n"/>
      <c r="K92" s="18" t="n"/>
      <c r="L92" s="18" t="n"/>
      <c r="M92" s="17" t="n"/>
      <c r="N92" s="17" t="n"/>
      <c r="O92" s="18" t="n"/>
      <c r="P92" s="18" t="n"/>
      <c r="Q92" s="17" t="n"/>
      <c r="R92" s="13">
        <f>IF(A92="","",N(G92)+N(I92))</f>
        <v/>
      </c>
      <c r="S92" s="12">
        <f>IF(OR(K92="",O92=""),"",O92-K92)</f>
        <v/>
      </c>
      <c r="T92" s="12">
        <f>IF(AND(C92="Cetak",L92&lt;&gt;"",L92&lt;TODAY()),"YA","")</f>
        <v/>
      </c>
      <c r="U92" s="12">
        <f>IF(B92="","",TEXT(B92,"yyyy-mm"))</f>
        <v/>
      </c>
    </row>
    <row r="93">
      <c r="A93" s="17" t="n"/>
      <c r="B93" s="18" t="n"/>
      <c r="C93" s="17" t="n"/>
      <c r="D93" s="17" t="n"/>
      <c r="E93" s="17" t="n"/>
      <c r="F93" s="17" t="n"/>
      <c r="G93" s="19" t="n"/>
      <c r="H93" s="17" t="n"/>
      <c r="I93" s="19" t="n"/>
      <c r="J93" s="17" t="n"/>
      <c r="K93" s="18" t="n"/>
      <c r="L93" s="18" t="n"/>
      <c r="M93" s="17" t="n"/>
      <c r="N93" s="17" t="n"/>
      <c r="O93" s="18" t="n"/>
      <c r="P93" s="18" t="n"/>
      <c r="Q93" s="17" t="n"/>
      <c r="R93" s="13">
        <f>IF(A93="","",N(G93)+N(I93))</f>
        <v/>
      </c>
      <c r="S93" s="12">
        <f>IF(OR(K93="",O93=""),"",O93-K93)</f>
        <v/>
      </c>
      <c r="T93" s="12">
        <f>IF(AND(C93="Cetak",L93&lt;&gt;"",L93&lt;TODAY()),"YA","")</f>
        <v/>
      </c>
      <c r="U93" s="12">
        <f>IF(B93="","",TEXT(B93,"yyyy-mm"))</f>
        <v/>
      </c>
    </row>
    <row r="94">
      <c r="A94" s="17" t="n"/>
      <c r="B94" s="18" t="n"/>
      <c r="C94" s="17" t="n"/>
      <c r="D94" s="17" t="n"/>
      <c r="E94" s="17" t="n"/>
      <c r="F94" s="17" t="n"/>
      <c r="G94" s="19" t="n"/>
      <c r="H94" s="17" t="n"/>
      <c r="I94" s="19" t="n"/>
      <c r="J94" s="17" t="n"/>
      <c r="K94" s="18" t="n"/>
      <c r="L94" s="18" t="n"/>
      <c r="M94" s="17" t="n"/>
      <c r="N94" s="17" t="n"/>
      <c r="O94" s="18" t="n"/>
      <c r="P94" s="18" t="n"/>
      <c r="Q94" s="17" t="n"/>
      <c r="R94" s="13">
        <f>IF(A94="","",N(G94)+N(I94))</f>
        <v/>
      </c>
      <c r="S94" s="12">
        <f>IF(OR(K94="",O94=""),"",O94-K94)</f>
        <v/>
      </c>
      <c r="T94" s="12">
        <f>IF(AND(C94="Cetak",L94&lt;&gt;"",L94&lt;TODAY()),"YA","")</f>
        <v/>
      </c>
      <c r="U94" s="12">
        <f>IF(B94="","",TEXT(B94,"yyyy-mm"))</f>
        <v/>
      </c>
    </row>
    <row r="95">
      <c r="A95" s="17" t="n"/>
      <c r="B95" s="18" t="n"/>
      <c r="C95" s="17" t="n"/>
      <c r="D95" s="17" t="n"/>
      <c r="E95" s="17" t="n"/>
      <c r="F95" s="17" t="n"/>
      <c r="G95" s="19" t="n"/>
      <c r="H95" s="17" t="n"/>
      <c r="I95" s="19" t="n"/>
      <c r="J95" s="17" t="n"/>
      <c r="K95" s="18" t="n"/>
      <c r="L95" s="18" t="n"/>
      <c r="M95" s="17" t="n"/>
      <c r="N95" s="17" t="n"/>
      <c r="O95" s="18" t="n"/>
      <c r="P95" s="18" t="n"/>
      <c r="Q95" s="17" t="n"/>
      <c r="R95" s="13">
        <f>IF(A95="","",N(G95)+N(I95))</f>
        <v/>
      </c>
      <c r="S95" s="12">
        <f>IF(OR(K95="",O95=""),"",O95-K95)</f>
        <v/>
      </c>
      <c r="T95" s="12">
        <f>IF(AND(C95="Cetak",L95&lt;&gt;"",L95&lt;TODAY()),"YA","")</f>
        <v/>
      </c>
      <c r="U95" s="12">
        <f>IF(B95="","",TEXT(B95,"yyyy-mm"))</f>
        <v/>
      </c>
    </row>
    <row r="96">
      <c r="A96" s="17" t="n"/>
      <c r="B96" s="18" t="n"/>
      <c r="C96" s="17" t="n"/>
      <c r="D96" s="17" t="n"/>
      <c r="E96" s="17" t="n"/>
      <c r="F96" s="17" t="n"/>
      <c r="G96" s="19" t="n"/>
      <c r="H96" s="17" t="n"/>
      <c r="I96" s="19" t="n"/>
      <c r="J96" s="17" t="n"/>
      <c r="K96" s="18" t="n"/>
      <c r="L96" s="18" t="n"/>
      <c r="M96" s="17" t="n"/>
      <c r="N96" s="17" t="n"/>
      <c r="O96" s="18" t="n"/>
      <c r="P96" s="18" t="n"/>
      <c r="Q96" s="17" t="n"/>
      <c r="R96" s="13">
        <f>IF(A96="","",N(G96)+N(I96))</f>
        <v/>
      </c>
      <c r="S96" s="12">
        <f>IF(OR(K96="",O96=""),"",O96-K96)</f>
        <v/>
      </c>
      <c r="T96" s="12">
        <f>IF(AND(C96="Cetak",L96&lt;&gt;"",L96&lt;TODAY()),"YA","")</f>
        <v/>
      </c>
      <c r="U96" s="12">
        <f>IF(B96="","",TEXT(B96,"yyyy-mm"))</f>
        <v/>
      </c>
    </row>
    <row r="97">
      <c r="A97" s="17" t="n"/>
      <c r="B97" s="18" t="n"/>
      <c r="C97" s="17" t="n"/>
      <c r="D97" s="17" t="n"/>
      <c r="E97" s="17" t="n"/>
      <c r="F97" s="17" t="n"/>
      <c r="G97" s="19" t="n"/>
      <c r="H97" s="17" t="n"/>
      <c r="I97" s="19" t="n"/>
      <c r="J97" s="17" t="n"/>
      <c r="K97" s="18" t="n"/>
      <c r="L97" s="18" t="n"/>
      <c r="M97" s="17" t="n"/>
      <c r="N97" s="17" t="n"/>
      <c r="O97" s="18" t="n"/>
      <c r="P97" s="18" t="n"/>
      <c r="Q97" s="17" t="n"/>
      <c r="R97" s="13">
        <f>IF(A97="","",N(G97)+N(I97))</f>
        <v/>
      </c>
      <c r="S97" s="12">
        <f>IF(OR(K97="",O97=""),"",O97-K97)</f>
        <v/>
      </c>
      <c r="T97" s="12">
        <f>IF(AND(C97="Cetak",L97&lt;&gt;"",L97&lt;TODAY()),"YA","")</f>
        <v/>
      </c>
      <c r="U97" s="12">
        <f>IF(B97="","",TEXT(B97,"yyyy-mm"))</f>
        <v/>
      </c>
    </row>
    <row r="98">
      <c r="A98" s="17" t="n"/>
      <c r="B98" s="18" t="n"/>
      <c r="C98" s="17" t="n"/>
      <c r="D98" s="17" t="n"/>
      <c r="E98" s="17" t="n"/>
      <c r="F98" s="17" t="n"/>
      <c r="G98" s="19" t="n"/>
      <c r="H98" s="17" t="n"/>
      <c r="I98" s="19" t="n"/>
      <c r="J98" s="17" t="n"/>
      <c r="K98" s="18" t="n"/>
      <c r="L98" s="18" t="n"/>
      <c r="M98" s="17" t="n"/>
      <c r="N98" s="17" t="n"/>
      <c r="O98" s="18" t="n"/>
      <c r="P98" s="18" t="n"/>
      <c r="Q98" s="17" t="n"/>
      <c r="R98" s="13">
        <f>IF(A98="","",N(G98)+N(I98))</f>
        <v/>
      </c>
      <c r="S98" s="12">
        <f>IF(OR(K98="",O98=""),"",O98-K98)</f>
        <v/>
      </c>
      <c r="T98" s="12">
        <f>IF(AND(C98="Cetak",L98&lt;&gt;"",L98&lt;TODAY()),"YA","")</f>
        <v/>
      </c>
      <c r="U98" s="12">
        <f>IF(B98="","",TEXT(B98,"yyyy-mm"))</f>
        <v/>
      </c>
    </row>
    <row r="99">
      <c r="A99" s="17" t="n"/>
      <c r="B99" s="18" t="n"/>
      <c r="C99" s="17" t="n"/>
      <c r="D99" s="17" t="n"/>
      <c r="E99" s="17" t="n"/>
      <c r="F99" s="17" t="n"/>
      <c r="G99" s="19" t="n"/>
      <c r="H99" s="17" t="n"/>
      <c r="I99" s="19" t="n"/>
      <c r="J99" s="17" t="n"/>
      <c r="K99" s="18" t="n"/>
      <c r="L99" s="18" t="n"/>
      <c r="M99" s="17" t="n"/>
      <c r="N99" s="17" t="n"/>
      <c r="O99" s="18" t="n"/>
      <c r="P99" s="18" t="n"/>
      <c r="Q99" s="17" t="n"/>
      <c r="R99" s="13">
        <f>IF(A99="","",N(G99)+N(I99))</f>
        <v/>
      </c>
      <c r="S99" s="12">
        <f>IF(OR(K99="",O99=""),"",O99-K99)</f>
        <v/>
      </c>
      <c r="T99" s="12">
        <f>IF(AND(C99="Cetak",L99&lt;&gt;"",L99&lt;TODAY()),"YA","")</f>
        <v/>
      </c>
      <c r="U99" s="12">
        <f>IF(B99="","",TEXT(B99,"yyyy-mm"))</f>
        <v/>
      </c>
    </row>
    <row r="100">
      <c r="A100" s="17" t="n"/>
      <c r="B100" s="18" t="n"/>
      <c r="C100" s="17" t="n"/>
      <c r="D100" s="17" t="n"/>
      <c r="E100" s="17" t="n"/>
      <c r="F100" s="17" t="n"/>
      <c r="G100" s="19" t="n"/>
      <c r="H100" s="17" t="n"/>
      <c r="I100" s="19" t="n"/>
      <c r="J100" s="17" t="n"/>
      <c r="K100" s="18" t="n"/>
      <c r="L100" s="18" t="n"/>
      <c r="M100" s="17" t="n"/>
      <c r="N100" s="17" t="n"/>
      <c r="O100" s="18" t="n"/>
      <c r="P100" s="18" t="n"/>
      <c r="Q100" s="17" t="n"/>
      <c r="R100" s="13">
        <f>IF(A100="","",N(G100)+N(I100))</f>
        <v/>
      </c>
      <c r="S100" s="12">
        <f>IF(OR(K100="",O100=""),"",O100-K100)</f>
        <v/>
      </c>
      <c r="T100" s="12">
        <f>IF(AND(C100="Cetak",L100&lt;&gt;"",L100&lt;TODAY()),"YA","")</f>
        <v/>
      </c>
      <c r="U100" s="12">
        <f>IF(B100="","",TEXT(B100,"yyyy-mm"))</f>
        <v/>
      </c>
    </row>
    <row r="101">
      <c r="A101" s="17" t="n"/>
      <c r="B101" s="18" t="n"/>
      <c r="C101" s="17" t="n"/>
      <c r="D101" s="17" t="n"/>
      <c r="E101" s="17" t="n"/>
      <c r="F101" s="17" t="n"/>
      <c r="G101" s="19" t="n"/>
      <c r="H101" s="17" t="n"/>
      <c r="I101" s="19" t="n"/>
      <c r="J101" s="17" t="n"/>
      <c r="K101" s="18" t="n"/>
      <c r="L101" s="18" t="n"/>
      <c r="M101" s="17" t="n"/>
      <c r="N101" s="17" t="n"/>
      <c r="O101" s="18" t="n"/>
      <c r="P101" s="18" t="n"/>
      <c r="Q101" s="17" t="n"/>
      <c r="R101" s="13">
        <f>IF(A101="","",N(G101)+N(I101))</f>
        <v/>
      </c>
      <c r="S101" s="12">
        <f>IF(OR(K101="",O101=""),"",O101-K101)</f>
        <v/>
      </c>
      <c r="T101" s="12">
        <f>IF(AND(C101="Cetak",L101&lt;&gt;"",L101&lt;TODAY()),"YA","")</f>
        <v/>
      </c>
      <c r="U101" s="12">
        <f>IF(B101="","",TEXT(B101,"yyyy-mm"))</f>
        <v/>
      </c>
    </row>
    <row r="102">
      <c r="A102" s="17" t="n"/>
      <c r="B102" s="18" t="n"/>
      <c r="C102" s="17" t="n"/>
      <c r="D102" s="17" t="n"/>
      <c r="E102" s="17" t="n"/>
      <c r="F102" s="17" t="n"/>
      <c r="G102" s="19" t="n"/>
      <c r="H102" s="17" t="n"/>
      <c r="I102" s="19" t="n"/>
      <c r="J102" s="17" t="n"/>
      <c r="K102" s="18" t="n"/>
      <c r="L102" s="18" t="n"/>
      <c r="M102" s="17" t="n"/>
      <c r="N102" s="17" t="n"/>
      <c r="O102" s="18" t="n"/>
      <c r="P102" s="18" t="n"/>
      <c r="Q102" s="17" t="n"/>
      <c r="R102" s="13">
        <f>IF(A102="","",N(G102)+N(I102))</f>
        <v/>
      </c>
      <c r="S102" s="12">
        <f>IF(OR(K102="",O102=""),"",O102-K102)</f>
        <v/>
      </c>
      <c r="T102" s="12">
        <f>IF(AND(C102="Cetak",L102&lt;&gt;"",L102&lt;TODAY()),"YA","")</f>
        <v/>
      </c>
      <c r="U102" s="12">
        <f>IF(B102="","",TEXT(B102,"yyyy-mm"))</f>
        <v/>
      </c>
    </row>
    <row r="103">
      <c r="A103" s="17" t="n"/>
      <c r="B103" s="18" t="n"/>
      <c r="C103" s="17" t="n"/>
      <c r="D103" s="17" t="n"/>
      <c r="E103" s="17" t="n"/>
      <c r="F103" s="17" t="n"/>
      <c r="G103" s="19" t="n"/>
      <c r="H103" s="17" t="n"/>
      <c r="I103" s="19" t="n"/>
      <c r="J103" s="17" t="n"/>
      <c r="K103" s="18" t="n"/>
      <c r="L103" s="18" t="n"/>
      <c r="M103" s="17" t="n"/>
      <c r="N103" s="17" t="n"/>
      <c r="O103" s="18" t="n"/>
      <c r="P103" s="18" t="n"/>
      <c r="Q103" s="17" t="n"/>
      <c r="R103" s="13">
        <f>IF(A103="","",N(G103)+N(I103))</f>
        <v/>
      </c>
      <c r="S103" s="12">
        <f>IF(OR(K103="",O103=""),"",O103-K103)</f>
        <v/>
      </c>
      <c r="T103" s="12">
        <f>IF(AND(C103="Cetak",L103&lt;&gt;"",L103&lt;TODAY()),"YA","")</f>
        <v/>
      </c>
      <c r="U103" s="12">
        <f>IF(B103="","",TEXT(B103,"yyyy-mm"))</f>
        <v/>
      </c>
    </row>
    <row r="104">
      <c r="A104" s="17" t="n"/>
      <c r="B104" s="18" t="n"/>
      <c r="C104" s="17" t="n"/>
      <c r="D104" s="17" t="n"/>
      <c r="E104" s="17" t="n"/>
      <c r="F104" s="17" t="n"/>
      <c r="G104" s="19" t="n"/>
      <c r="H104" s="17" t="n"/>
      <c r="I104" s="19" t="n"/>
      <c r="J104" s="17" t="n"/>
      <c r="K104" s="18" t="n"/>
      <c r="L104" s="18" t="n"/>
      <c r="M104" s="17" t="n"/>
      <c r="N104" s="17" t="n"/>
      <c r="O104" s="18" t="n"/>
      <c r="P104" s="18" t="n"/>
      <c r="Q104" s="17" t="n"/>
      <c r="R104" s="13">
        <f>IF(A104="","",N(G104)+N(I104))</f>
        <v/>
      </c>
      <c r="S104" s="12">
        <f>IF(OR(K104="",O104=""),"",O104-K104)</f>
        <v/>
      </c>
      <c r="T104" s="12">
        <f>IF(AND(C104="Cetak",L104&lt;&gt;"",L104&lt;TODAY()),"YA","")</f>
        <v/>
      </c>
      <c r="U104" s="12">
        <f>IF(B104="","",TEXT(B104,"yyyy-mm"))</f>
        <v/>
      </c>
    </row>
    <row r="105">
      <c r="A105" s="17" t="n"/>
      <c r="B105" s="18" t="n"/>
      <c r="C105" s="17" t="n"/>
      <c r="D105" s="17" t="n"/>
      <c r="E105" s="17" t="n"/>
      <c r="F105" s="17" t="n"/>
      <c r="G105" s="19" t="n"/>
      <c r="H105" s="17" t="n"/>
      <c r="I105" s="19" t="n"/>
      <c r="J105" s="17" t="n"/>
      <c r="K105" s="18" t="n"/>
      <c r="L105" s="18" t="n"/>
      <c r="M105" s="17" t="n"/>
      <c r="N105" s="17" t="n"/>
      <c r="O105" s="18" t="n"/>
      <c r="P105" s="18" t="n"/>
      <c r="Q105" s="17" t="n"/>
      <c r="R105" s="13">
        <f>IF(A105="","",N(G105)+N(I105))</f>
        <v/>
      </c>
      <c r="S105" s="12">
        <f>IF(OR(K105="",O105=""),"",O105-K105)</f>
        <v/>
      </c>
      <c r="T105" s="12">
        <f>IF(AND(C105="Cetak",L105&lt;&gt;"",L105&lt;TODAY()),"YA","")</f>
        <v/>
      </c>
      <c r="U105" s="12">
        <f>IF(B105="","",TEXT(B105,"yyyy-mm"))</f>
        <v/>
      </c>
    </row>
    <row r="106">
      <c r="A106" s="17" t="n"/>
      <c r="B106" s="18" t="n"/>
      <c r="C106" s="17" t="n"/>
      <c r="D106" s="17" t="n"/>
      <c r="E106" s="17" t="n"/>
      <c r="F106" s="17" t="n"/>
      <c r="G106" s="19" t="n"/>
      <c r="H106" s="17" t="n"/>
      <c r="I106" s="19" t="n"/>
      <c r="J106" s="17" t="n"/>
      <c r="K106" s="18" t="n"/>
      <c r="L106" s="18" t="n"/>
      <c r="M106" s="17" t="n"/>
      <c r="N106" s="17" t="n"/>
      <c r="O106" s="18" t="n"/>
      <c r="P106" s="18" t="n"/>
      <c r="Q106" s="17" t="n"/>
      <c r="R106" s="13">
        <f>IF(A106="","",N(G106)+N(I106))</f>
        <v/>
      </c>
      <c r="S106" s="12">
        <f>IF(OR(K106="",O106=""),"",O106-K106)</f>
        <v/>
      </c>
      <c r="T106" s="12">
        <f>IF(AND(C106="Cetak",L106&lt;&gt;"",L106&lt;TODAY()),"YA","")</f>
        <v/>
      </c>
      <c r="U106" s="12">
        <f>IF(B106="","",TEXT(B106,"yyyy-mm"))</f>
        <v/>
      </c>
    </row>
    <row r="107">
      <c r="A107" s="17" t="n"/>
      <c r="B107" s="18" t="n"/>
      <c r="C107" s="17" t="n"/>
      <c r="D107" s="17" t="n"/>
      <c r="E107" s="17" t="n"/>
      <c r="F107" s="17" t="n"/>
      <c r="G107" s="19" t="n"/>
      <c r="H107" s="17" t="n"/>
      <c r="I107" s="19" t="n"/>
      <c r="J107" s="17" t="n"/>
      <c r="K107" s="18" t="n"/>
      <c r="L107" s="18" t="n"/>
      <c r="M107" s="17" t="n"/>
      <c r="N107" s="17" t="n"/>
      <c r="O107" s="18" t="n"/>
      <c r="P107" s="18" t="n"/>
      <c r="Q107" s="17" t="n"/>
      <c r="R107" s="13">
        <f>IF(A107="","",N(G107)+N(I107))</f>
        <v/>
      </c>
      <c r="S107" s="12">
        <f>IF(OR(K107="",O107=""),"",O107-K107)</f>
        <v/>
      </c>
      <c r="T107" s="12">
        <f>IF(AND(C107="Cetak",L107&lt;&gt;"",L107&lt;TODAY()),"YA","")</f>
        <v/>
      </c>
      <c r="U107" s="12">
        <f>IF(B107="","",TEXT(B107,"yyyy-mm"))</f>
        <v/>
      </c>
    </row>
    <row r="108">
      <c r="A108" s="17" t="n"/>
      <c r="B108" s="18" t="n"/>
      <c r="C108" s="17" t="n"/>
      <c r="D108" s="17" t="n"/>
      <c r="E108" s="17" t="n"/>
      <c r="F108" s="17" t="n"/>
      <c r="G108" s="19" t="n"/>
      <c r="H108" s="17" t="n"/>
      <c r="I108" s="19" t="n"/>
      <c r="J108" s="17" t="n"/>
      <c r="K108" s="18" t="n"/>
      <c r="L108" s="18" t="n"/>
      <c r="M108" s="17" t="n"/>
      <c r="N108" s="17" t="n"/>
      <c r="O108" s="18" t="n"/>
      <c r="P108" s="18" t="n"/>
      <c r="Q108" s="17" t="n"/>
      <c r="R108" s="13">
        <f>IF(A108="","",N(G108)+N(I108))</f>
        <v/>
      </c>
      <c r="S108" s="12">
        <f>IF(OR(K108="",O108=""),"",O108-K108)</f>
        <v/>
      </c>
      <c r="T108" s="12">
        <f>IF(AND(C108="Cetak",L108&lt;&gt;"",L108&lt;TODAY()),"YA","")</f>
        <v/>
      </c>
      <c r="U108" s="12">
        <f>IF(B108="","",TEXT(B108,"yyyy-mm"))</f>
        <v/>
      </c>
    </row>
    <row r="109">
      <c r="A109" s="17" t="n"/>
      <c r="B109" s="18" t="n"/>
      <c r="C109" s="17" t="n"/>
      <c r="D109" s="17" t="n"/>
      <c r="E109" s="17" t="n"/>
      <c r="F109" s="17" t="n"/>
      <c r="G109" s="19" t="n"/>
      <c r="H109" s="17" t="n"/>
      <c r="I109" s="19" t="n"/>
      <c r="J109" s="17" t="n"/>
      <c r="K109" s="18" t="n"/>
      <c r="L109" s="18" t="n"/>
      <c r="M109" s="17" t="n"/>
      <c r="N109" s="17" t="n"/>
      <c r="O109" s="18" t="n"/>
      <c r="P109" s="18" t="n"/>
      <c r="Q109" s="17" t="n"/>
      <c r="R109" s="13">
        <f>IF(A109="","",N(G109)+N(I109))</f>
        <v/>
      </c>
      <c r="S109" s="12">
        <f>IF(OR(K109="",O109=""),"",O109-K109)</f>
        <v/>
      </c>
      <c r="T109" s="12">
        <f>IF(AND(C109="Cetak",L109&lt;&gt;"",L109&lt;TODAY()),"YA","")</f>
        <v/>
      </c>
      <c r="U109" s="12">
        <f>IF(B109="","",TEXT(B109,"yyyy-mm"))</f>
        <v/>
      </c>
    </row>
    <row r="110">
      <c r="A110" s="17" t="n"/>
      <c r="B110" s="18" t="n"/>
      <c r="C110" s="17" t="n"/>
      <c r="D110" s="17" t="n"/>
      <c r="E110" s="17" t="n"/>
      <c r="F110" s="17" t="n"/>
      <c r="G110" s="19" t="n"/>
      <c r="H110" s="17" t="n"/>
      <c r="I110" s="19" t="n"/>
      <c r="J110" s="17" t="n"/>
      <c r="K110" s="18" t="n"/>
      <c r="L110" s="18" t="n"/>
      <c r="M110" s="17" t="n"/>
      <c r="N110" s="17" t="n"/>
      <c r="O110" s="18" t="n"/>
      <c r="P110" s="18" t="n"/>
      <c r="Q110" s="17" t="n"/>
      <c r="R110" s="13">
        <f>IF(A110="","",N(G110)+N(I110))</f>
        <v/>
      </c>
      <c r="S110" s="12">
        <f>IF(OR(K110="",O110=""),"",O110-K110)</f>
        <v/>
      </c>
      <c r="T110" s="12">
        <f>IF(AND(C110="Cetak",L110&lt;&gt;"",L110&lt;TODAY()),"YA","")</f>
        <v/>
      </c>
      <c r="U110" s="12">
        <f>IF(B110="","",TEXT(B110,"yyyy-mm"))</f>
        <v/>
      </c>
    </row>
    <row r="111">
      <c r="A111" s="17" t="n"/>
      <c r="B111" s="18" t="n"/>
      <c r="C111" s="17" t="n"/>
      <c r="D111" s="17" t="n"/>
      <c r="E111" s="17" t="n"/>
      <c r="F111" s="17" t="n"/>
      <c r="G111" s="19" t="n"/>
      <c r="H111" s="17" t="n"/>
      <c r="I111" s="19" t="n"/>
      <c r="J111" s="17" t="n"/>
      <c r="K111" s="18" t="n"/>
      <c r="L111" s="18" t="n"/>
      <c r="M111" s="17" t="n"/>
      <c r="N111" s="17" t="n"/>
      <c r="O111" s="18" t="n"/>
      <c r="P111" s="18" t="n"/>
      <c r="Q111" s="17" t="n"/>
      <c r="R111" s="13">
        <f>IF(A111="","",N(G111)+N(I111))</f>
        <v/>
      </c>
      <c r="S111" s="12">
        <f>IF(OR(K111="",O111=""),"",O111-K111)</f>
        <v/>
      </c>
      <c r="T111" s="12">
        <f>IF(AND(C111="Cetak",L111&lt;&gt;"",L111&lt;TODAY()),"YA","")</f>
        <v/>
      </c>
      <c r="U111" s="12">
        <f>IF(B111="","",TEXT(B111,"yyyy-mm"))</f>
        <v/>
      </c>
    </row>
    <row r="112">
      <c r="A112" s="17" t="n"/>
      <c r="B112" s="18" t="n"/>
      <c r="C112" s="17" t="n"/>
      <c r="D112" s="17" t="n"/>
      <c r="E112" s="17" t="n"/>
      <c r="F112" s="17" t="n"/>
      <c r="G112" s="19" t="n"/>
      <c r="H112" s="17" t="n"/>
      <c r="I112" s="19" t="n"/>
      <c r="J112" s="17" t="n"/>
      <c r="K112" s="18" t="n"/>
      <c r="L112" s="18" t="n"/>
      <c r="M112" s="17" t="n"/>
      <c r="N112" s="17" t="n"/>
      <c r="O112" s="18" t="n"/>
      <c r="P112" s="18" t="n"/>
      <c r="Q112" s="17" t="n"/>
      <c r="R112" s="13">
        <f>IF(A112="","",N(G112)+N(I112))</f>
        <v/>
      </c>
      <c r="S112" s="12">
        <f>IF(OR(K112="",O112=""),"",O112-K112)</f>
        <v/>
      </c>
      <c r="T112" s="12">
        <f>IF(AND(C112="Cetak",L112&lt;&gt;"",L112&lt;TODAY()),"YA","")</f>
        <v/>
      </c>
      <c r="U112" s="12">
        <f>IF(B112="","",TEXT(B112,"yyyy-mm"))</f>
        <v/>
      </c>
    </row>
    <row r="113">
      <c r="A113" s="17" t="n"/>
      <c r="B113" s="18" t="n"/>
      <c r="C113" s="17" t="n"/>
      <c r="D113" s="17" t="n"/>
      <c r="E113" s="17" t="n"/>
      <c r="F113" s="17" t="n"/>
      <c r="G113" s="19" t="n"/>
      <c r="H113" s="17" t="n"/>
      <c r="I113" s="19" t="n"/>
      <c r="J113" s="17" t="n"/>
      <c r="K113" s="18" t="n"/>
      <c r="L113" s="18" t="n"/>
      <c r="M113" s="17" t="n"/>
      <c r="N113" s="17" t="n"/>
      <c r="O113" s="18" t="n"/>
      <c r="P113" s="18" t="n"/>
      <c r="Q113" s="17" t="n"/>
      <c r="R113" s="13">
        <f>IF(A113="","",N(G113)+N(I113))</f>
        <v/>
      </c>
      <c r="S113" s="12">
        <f>IF(OR(K113="",O113=""),"",O113-K113)</f>
        <v/>
      </c>
      <c r="T113" s="12">
        <f>IF(AND(C113="Cetak",L113&lt;&gt;"",L113&lt;TODAY()),"YA","")</f>
        <v/>
      </c>
      <c r="U113" s="12">
        <f>IF(B113="","",TEXT(B113,"yyyy-mm"))</f>
        <v/>
      </c>
    </row>
    <row r="114">
      <c r="A114" s="17" t="n"/>
      <c r="B114" s="18" t="n"/>
      <c r="C114" s="17" t="n"/>
      <c r="D114" s="17" t="n"/>
      <c r="E114" s="17" t="n"/>
      <c r="F114" s="17" t="n"/>
      <c r="G114" s="19" t="n"/>
      <c r="H114" s="17" t="n"/>
      <c r="I114" s="19" t="n"/>
      <c r="J114" s="17" t="n"/>
      <c r="K114" s="18" t="n"/>
      <c r="L114" s="18" t="n"/>
      <c r="M114" s="17" t="n"/>
      <c r="N114" s="17" t="n"/>
      <c r="O114" s="18" t="n"/>
      <c r="P114" s="18" t="n"/>
      <c r="Q114" s="17" t="n"/>
      <c r="R114" s="13">
        <f>IF(A114="","",N(G114)+N(I114))</f>
        <v/>
      </c>
      <c r="S114" s="12">
        <f>IF(OR(K114="",O114=""),"",O114-K114)</f>
        <v/>
      </c>
      <c r="T114" s="12">
        <f>IF(AND(C114="Cetak",L114&lt;&gt;"",L114&lt;TODAY()),"YA","")</f>
        <v/>
      </c>
      <c r="U114" s="12">
        <f>IF(B114="","",TEXT(B114,"yyyy-mm"))</f>
        <v/>
      </c>
    </row>
    <row r="115">
      <c r="A115" s="17" t="n"/>
      <c r="B115" s="18" t="n"/>
      <c r="C115" s="17" t="n"/>
      <c r="D115" s="17" t="n"/>
      <c r="E115" s="17" t="n"/>
      <c r="F115" s="17" t="n"/>
      <c r="G115" s="19" t="n"/>
      <c r="H115" s="17" t="n"/>
      <c r="I115" s="19" t="n"/>
      <c r="J115" s="17" t="n"/>
      <c r="K115" s="18" t="n"/>
      <c r="L115" s="18" t="n"/>
      <c r="M115" s="17" t="n"/>
      <c r="N115" s="17" t="n"/>
      <c r="O115" s="18" t="n"/>
      <c r="P115" s="18" t="n"/>
      <c r="Q115" s="17" t="n"/>
      <c r="R115" s="13">
        <f>IF(A115="","",N(G115)+N(I115))</f>
        <v/>
      </c>
      <c r="S115" s="12">
        <f>IF(OR(K115="",O115=""),"",O115-K115)</f>
        <v/>
      </c>
      <c r="T115" s="12">
        <f>IF(AND(C115="Cetak",L115&lt;&gt;"",L115&lt;TODAY()),"YA","")</f>
        <v/>
      </c>
      <c r="U115" s="12">
        <f>IF(B115="","",TEXT(B115,"yyyy-mm"))</f>
        <v/>
      </c>
    </row>
    <row r="116">
      <c r="A116" s="17" t="n"/>
      <c r="B116" s="18" t="n"/>
      <c r="C116" s="17" t="n"/>
      <c r="D116" s="17" t="n"/>
      <c r="E116" s="17" t="n"/>
      <c r="F116" s="17" t="n"/>
      <c r="G116" s="19" t="n"/>
      <c r="H116" s="17" t="n"/>
      <c r="I116" s="19" t="n"/>
      <c r="J116" s="17" t="n"/>
      <c r="K116" s="18" t="n"/>
      <c r="L116" s="18" t="n"/>
      <c r="M116" s="17" t="n"/>
      <c r="N116" s="17" t="n"/>
      <c r="O116" s="18" t="n"/>
      <c r="P116" s="18" t="n"/>
      <c r="Q116" s="17" t="n"/>
      <c r="R116" s="13">
        <f>IF(A116="","",N(G116)+N(I116))</f>
        <v/>
      </c>
      <c r="S116" s="12">
        <f>IF(OR(K116="",O116=""),"",O116-K116)</f>
        <v/>
      </c>
      <c r="T116" s="12">
        <f>IF(AND(C116="Cetak",L116&lt;&gt;"",L116&lt;TODAY()),"YA","")</f>
        <v/>
      </c>
      <c r="U116" s="12">
        <f>IF(B116="","",TEXT(B116,"yyyy-mm"))</f>
        <v/>
      </c>
    </row>
    <row r="117">
      <c r="A117" s="17" t="n"/>
      <c r="B117" s="18" t="n"/>
      <c r="C117" s="17" t="n"/>
      <c r="D117" s="17" t="n"/>
      <c r="E117" s="17" t="n"/>
      <c r="F117" s="17" t="n"/>
      <c r="G117" s="19" t="n"/>
      <c r="H117" s="17" t="n"/>
      <c r="I117" s="19" t="n"/>
      <c r="J117" s="17" t="n"/>
      <c r="K117" s="18" t="n"/>
      <c r="L117" s="18" t="n"/>
      <c r="M117" s="17" t="n"/>
      <c r="N117" s="17" t="n"/>
      <c r="O117" s="18" t="n"/>
      <c r="P117" s="18" t="n"/>
      <c r="Q117" s="17" t="n"/>
      <c r="R117" s="13">
        <f>IF(A117="","",N(G117)+N(I117))</f>
        <v/>
      </c>
      <c r="S117" s="12">
        <f>IF(OR(K117="",O117=""),"",O117-K117)</f>
        <v/>
      </c>
      <c r="T117" s="12">
        <f>IF(AND(C117="Cetak",L117&lt;&gt;"",L117&lt;TODAY()),"YA","")</f>
        <v/>
      </c>
      <c r="U117" s="12">
        <f>IF(B117="","",TEXT(B117,"yyyy-mm"))</f>
        <v/>
      </c>
    </row>
    <row r="118">
      <c r="A118" s="17" t="n"/>
      <c r="B118" s="18" t="n"/>
      <c r="C118" s="17" t="n"/>
      <c r="D118" s="17" t="n"/>
      <c r="E118" s="17" t="n"/>
      <c r="F118" s="17" t="n"/>
      <c r="G118" s="19" t="n"/>
      <c r="H118" s="17" t="n"/>
      <c r="I118" s="19" t="n"/>
      <c r="J118" s="17" t="n"/>
      <c r="K118" s="18" t="n"/>
      <c r="L118" s="18" t="n"/>
      <c r="M118" s="17" t="n"/>
      <c r="N118" s="17" t="n"/>
      <c r="O118" s="18" t="n"/>
      <c r="P118" s="18" t="n"/>
      <c r="Q118" s="17" t="n"/>
      <c r="R118" s="13">
        <f>IF(A118="","",N(G118)+N(I118))</f>
        <v/>
      </c>
      <c r="S118" s="12">
        <f>IF(OR(K118="",O118=""),"",O118-K118)</f>
        <v/>
      </c>
      <c r="T118" s="12">
        <f>IF(AND(C118="Cetak",L118&lt;&gt;"",L118&lt;TODAY()),"YA","")</f>
        <v/>
      </c>
      <c r="U118" s="12">
        <f>IF(B118="","",TEXT(B118,"yyyy-mm"))</f>
        <v/>
      </c>
    </row>
    <row r="119">
      <c r="A119" s="17" t="n"/>
      <c r="B119" s="18" t="n"/>
      <c r="C119" s="17" t="n"/>
      <c r="D119" s="17" t="n"/>
      <c r="E119" s="17" t="n"/>
      <c r="F119" s="17" t="n"/>
      <c r="G119" s="19" t="n"/>
      <c r="H119" s="17" t="n"/>
      <c r="I119" s="19" t="n"/>
      <c r="J119" s="17" t="n"/>
      <c r="K119" s="18" t="n"/>
      <c r="L119" s="18" t="n"/>
      <c r="M119" s="17" t="n"/>
      <c r="N119" s="17" t="n"/>
      <c r="O119" s="18" t="n"/>
      <c r="P119" s="18" t="n"/>
      <c r="Q119" s="17" t="n"/>
      <c r="R119" s="13">
        <f>IF(A119="","",N(G119)+N(I119))</f>
        <v/>
      </c>
      <c r="S119" s="12">
        <f>IF(OR(K119="",O119=""),"",O119-K119)</f>
        <v/>
      </c>
      <c r="T119" s="12">
        <f>IF(AND(C119="Cetak",L119&lt;&gt;"",L119&lt;TODAY()),"YA","")</f>
        <v/>
      </c>
      <c r="U119" s="12">
        <f>IF(B119="","",TEXT(B119,"yyyy-mm"))</f>
        <v/>
      </c>
    </row>
    <row r="120">
      <c r="A120" s="17" t="n"/>
      <c r="B120" s="18" t="n"/>
      <c r="C120" s="17" t="n"/>
      <c r="D120" s="17" t="n"/>
      <c r="E120" s="17" t="n"/>
      <c r="F120" s="17" t="n"/>
      <c r="G120" s="19" t="n"/>
      <c r="H120" s="17" t="n"/>
      <c r="I120" s="19" t="n"/>
      <c r="J120" s="17" t="n"/>
      <c r="K120" s="18" t="n"/>
      <c r="L120" s="18" t="n"/>
      <c r="M120" s="17" t="n"/>
      <c r="N120" s="17" t="n"/>
      <c r="O120" s="18" t="n"/>
      <c r="P120" s="18" t="n"/>
      <c r="Q120" s="17" t="n"/>
      <c r="R120" s="13">
        <f>IF(A120="","",N(G120)+N(I120))</f>
        <v/>
      </c>
      <c r="S120" s="12">
        <f>IF(OR(K120="",O120=""),"",O120-K120)</f>
        <v/>
      </c>
      <c r="T120" s="12">
        <f>IF(AND(C120="Cetak",L120&lt;&gt;"",L120&lt;TODAY()),"YA","")</f>
        <v/>
      </c>
      <c r="U120" s="12">
        <f>IF(B120="","",TEXT(B120,"yyyy-mm"))</f>
        <v/>
      </c>
    </row>
    <row r="121">
      <c r="A121" s="17" t="n"/>
      <c r="B121" s="18" t="n"/>
      <c r="C121" s="17" t="n"/>
      <c r="D121" s="17" t="n"/>
      <c r="E121" s="17" t="n"/>
      <c r="F121" s="17" t="n"/>
      <c r="G121" s="19" t="n"/>
      <c r="H121" s="17" t="n"/>
      <c r="I121" s="19" t="n"/>
      <c r="J121" s="17" t="n"/>
      <c r="K121" s="18" t="n"/>
      <c r="L121" s="18" t="n"/>
      <c r="M121" s="17" t="n"/>
      <c r="N121" s="17" t="n"/>
      <c r="O121" s="18" t="n"/>
      <c r="P121" s="18" t="n"/>
      <c r="Q121" s="17" t="n"/>
      <c r="R121" s="13">
        <f>IF(A121="","",N(G121)+N(I121))</f>
        <v/>
      </c>
      <c r="S121" s="12">
        <f>IF(OR(K121="",O121=""),"",O121-K121)</f>
        <v/>
      </c>
      <c r="T121" s="12">
        <f>IF(AND(C121="Cetak",L121&lt;&gt;"",L121&lt;TODAY()),"YA","")</f>
        <v/>
      </c>
      <c r="U121" s="12">
        <f>IF(B121="","",TEXT(B121,"yyyy-mm"))</f>
        <v/>
      </c>
    </row>
    <row r="122">
      <c r="A122" s="17" t="n"/>
      <c r="B122" s="18" t="n"/>
      <c r="C122" s="17" t="n"/>
      <c r="D122" s="17" t="n"/>
      <c r="E122" s="17" t="n"/>
      <c r="F122" s="17" t="n"/>
      <c r="G122" s="19" t="n"/>
      <c r="H122" s="17" t="n"/>
      <c r="I122" s="19" t="n"/>
      <c r="J122" s="17" t="n"/>
      <c r="K122" s="18" t="n"/>
      <c r="L122" s="18" t="n"/>
      <c r="M122" s="17" t="n"/>
      <c r="N122" s="17" t="n"/>
      <c r="O122" s="18" t="n"/>
      <c r="P122" s="18" t="n"/>
      <c r="Q122" s="17" t="n"/>
      <c r="R122" s="13">
        <f>IF(A122="","",N(G122)+N(I122))</f>
        <v/>
      </c>
      <c r="S122" s="12">
        <f>IF(OR(K122="",O122=""),"",O122-K122)</f>
        <v/>
      </c>
      <c r="T122" s="12">
        <f>IF(AND(C122="Cetak",L122&lt;&gt;"",L122&lt;TODAY()),"YA","")</f>
        <v/>
      </c>
      <c r="U122" s="12">
        <f>IF(B122="","",TEXT(B122,"yyyy-mm"))</f>
        <v/>
      </c>
    </row>
    <row r="123">
      <c r="A123" s="17" t="n"/>
      <c r="B123" s="18" t="n"/>
      <c r="C123" s="17" t="n"/>
      <c r="D123" s="17" t="n"/>
      <c r="E123" s="17" t="n"/>
      <c r="F123" s="17" t="n"/>
      <c r="G123" s="19" t="n"/>
      <c r="H123" s="17" t="n"/>
      <c r="I123" s="19" t="n"/>
      <c r="J123" s="17" t="n"/>
      <c r="K123" s="18" t="n"/>
      <c r="L123" s="18" t="n"/>
      <c r="M123" s="17" t="n"/>
      <c r="N123" s="17" t="n"/>
      <c r="O123" s="18" t="n"/>
      <c r="P123" s="18" t="n"/>
      <c r="Q123" s="17" t="n"/>
      <c r="R123" s="13">
        <f>IF(A123="","",N(G123)+N(I123))</f>
        <v/>
      </c>
      <c r="S123" s="12">
        <f>IF(OR(K123="",O123=""),"",O123-K123)</f>
        <v/>
      </c>
      <c r="T123" s="12">
        <f>IF(AND(C123="Cetak",L123&lt;&gt;"",L123&lt;TODAY()),"YA","")</f>
        <v/>
      </c>
      <c r="U123" s="12">
        <f>IF(B123="","",TEXT(B123,"yyyy-mm"))</f>
        <v/>
      </c>
    </row>
    <row r="124">
      <c r="A124" s="17" t="n"/>
      <c r="B124" s="18" t="n"/>
      <c r="C124" s="17" t="n"/>
      <c r="D124" s="17" t="n"/>
      <c r="E124" s="17" t="n"/>
      <c r="F124" s="17" t="n"/>
      <c r="G124" s="19" t="n"/>
      <c r="H124" s="17" t="n"/>
      <c r="I124" s="19" t="n"/>
      <c r="J124" s="17" t="n"/>
      <c r="K124" s="18" t="n"/>
      <c r="L124" s="18" t="n"/>
      <c r="M124" s="17" t="n"/>
      <c r="N124" s="17" t="n"/>
      <c r="O124" s="18" t="n"/>
      <c r="P124" s="18" t="n"/>
      <c r="Q124" s="17" t="n"/>
      <c r="R124" s="13">
        <f>IF(A124="","",N(G124)+N(I124))</f>
        <v/>
      </c>
      <c r="S124" s="12">
        <f>IF(OR(K124="",O124=""),"",O124-K124)</f>
        <v/>
      </c>
      <c r="T124" s="12">
        <f>IF(AND(C124="Cetak",L124&lt;&gt;"",L124&lt;TODAY()),"YA","")</f>
        <v/>
      </c>
      <c r="U124" s="12">
        <f>IF(B124="","",TEXT(B124,"yyyy-mm"))</f>
        <v/>
      </c>
    </row>
    <row r="125">
      <c r="A125" s="17" t="n"/>
      <c r="B125" s="18" t="n"/>
      <c r="C125" s="17" t="n"/>
      <c r="D125" s="17" t="n"/>
      <c r="E125" s="17" t="n"/>
      <c r="F125" s="17" t="n"/>
      <c r="G125" s="19" t="n"/>
      <c r="H125" s="17" t="n"/>
      <c r="I125" s="19" t="n"/>
      <c r="J125" s="17" t="n"/>
      <c r="K125" s="18" t="n"/>
      <c r="L125" s="18" t="n"/>
      <c r="M125" s="17" t="n"/>
      <c r="N125" s="17" t="n"/>
      <c r="O125" s="18" t="n"/>
      <c r="P125" s="18" t="n"/>
      <c r="Q125" s="17" t="n"/>
      <c r="R125" s="13">
        <f>IF(A125="","",N(G125)+N(I125))</f>
        <v/>
      </c>
      <c r="S125" s="12">
        <f>IF(OR(K125="",O125=""),"",O125-K125)</f>
        <v/>
      </c>
      <c r="T125" s="12">
        <f>IF(AND(C125="Cetak",L125&lt;&gt;"",L125&lt;TODAY()),"YA","")</f>
        <v/>
      </c>
      <c r="U125" s="12">
        <f>IF(B125="","",TEXT(B125,"yyyy-mm"))</f>
        <v/>
      </c>
    </row>
    <row r="126">
      <c r="A126" s="17" t="n"/>
      <c r="B126" s="18" t="n"/>
      <c r="C126" s="17" t="n"/>
      <c r="D126" s="17" t="n"/>
      <c r="E126" s="17" t="n"/>
      <c r="F126" s="17" t="n"/>
      <c r="G126" s="19" t="n"/>
      <c r="H126" s="17" t="n"/>
      <c r="I126" s="19" t="n"/>
      <c r="J126" s="17" t="n"/>
      <c r="K126" s="18" t="n"/>
      <c r="L126" s="18" t="n"/>
      <c r="M126" s="17" t="n"/>
      <c r="N126" s="17" t="n"/>
      <c r="O126" s="18" t="n"/>
      <c r="P126" s="18" t="n"/>
      <c r="Q126" s="17" t="n"/>
      <c r="R126" s="13">
        <f>IF(A126="","",N(G126)+N(I126))</f>
        <v/>
      </c>
      <c r="S126" s="12">
        <f>IF(OR(K126="",O126=""),"",O126-K126)</f>
        <v/>
      </c>
      <c r="T126" s="12">
        <f>IF(AND(C126="Cetak",L126&lt;&gt;"",L126&lt;TODAY()),"YA","")</f>
        <v/>
      </c>
      <c r="U126" s="12">
        <f>IF(B126="","",TEXT(B126,"yyyy-mm"))</f>
        <v/>
      </c>
    </row>
    <row r="127">
      <c r="A127" s="17" t="n"/>
      <c r="B127" s="18" t="n"/>
      <c r="C127" s="17" t="n"/>
      <c r="D127" s="17" t="n"/>
      <c r="E127" s="17" t="n"/>
      <c r="F127" s="17" t="n"/>
      <c r="G127" s="19" t="n"/>
      <c r="H127" s="17" t="n"/>
      <c r="I127" s="19" t="n"/>
      <c r="J127" s="17" t="n"/>
      <c r="K127" s="18" t="n"/>
      <c r="L127" s="18" t="n"/>
      <c r="M127" s="17" t="n"/>
      <c r="N127" s="17" t="n"/>
      <c r="O127" s="18" t="n"/>
      <c r="P127" s="18" t="n"/>
      <c r="Q127" s="17" t="n"/>
      <c r="R127" s="13">
        <f>IF(A127="","",N(G127)+N(I127))</f>
        <v/>
      </c>
      <c r="S127" s="12">
        <f>IF(OR(K127="",O127=""),"",O127-K127)</f>
        <v/>
      </c>
      <c r="T127" s="12">
        <f>IF(AND(C127="Cetak",L127&lt;&gt;"",L127&lt;TODAY()),"YA","")</f>
        <v/>
      </c>
      <c r="U127" s="12">
        <f>IF(B127="","",TEXT(B127,"yyyy-mm"))</f>
        <v/>
      </c>
    </row>
    <row r="128">
      <c r="A128" s="17" t="n"/>
      <c r="B128" s="18" t="n"/>
      <c r="C128" s="17" t="n"/>
      <c r="D128" s="17" t="n"/>
      <c r="E128" s="17" t="n"/>
      <c r="F128" s="17" t="n"/>
      <c r="G128" s="19" t="n"/>
      <c r="H128" s="17" t="n"/>
      <c r="I128" s="19" t="n"/>
      <c r="J128" s="17" t="n"/>
      <c r="K128" s="18" t="n"/>
      <c r="L128" s="18" t="n"/>
      <c r="M128" s="17" t="n"/>
      <c r="N128" s="17" t="n"/>
      <c r="O128" s="18" t="n"/>
      <c r="P128" s="18" t="n"/>
      <c r="Q128" s="17" t="n"/>
      <c r="R128" s="13">
        <f>IF(A128="","",N(G128)+N(I128))</f>
        <v/>
      </c>
      <c r="S128" s="12">
        <f>IF(OR(K128="",O128=""),"",O128-K128)</f>
        <v/>
      </c>
      <c r="T128" s="12">
        <f>IF(AND(C128="Cetak",L128&lt;&gt;"",L128&lt;TODAY()),"YA","")</f>
        <v/>
      </c>
      <c r="U128" s="12">
        <f>IF(B128="","",TEXT(B128,"yyyy-mm"))</f>
        <v/>
      </c>
    </row>
    <row r="129">
      <c r="A129" s="17" t="n"/>
      <c r="B129" s="18" t="n"/>
      <c r="C129" s="17" t="n"/>
      <c r="D129" s="17" t="n"/>
      <c r="E129" s="17" t="n"/>
      <c r="F129" s="17" t="n"/>
      <c r="G129" s="19" t="n"/>
      <c r="H129" s="17" t="n"/>
      <c r="I129" s="19" t="n"/>
      <c r="J129" s="17" t="n"/>
      <c r="K129" s="18" t="n"/>
      <c r="L129" s="18" t="n"/>
      <c r="M129" s="17" t="n"/>
      <c r="N129" s="17" t="n"/>
      <c r="O129" s="18" t="n"/>
      <c r="P129" s="18" t="n"/>
      <c r="Q129" s="17" t="n"/>
      <c r="R129" s="13">
        <f>IF(A129="","",N(G129)+N(I129))</f>
        <v/>
      </c>
      <c r="S129" s="12">
        <f>IF(OR(K129="",O129=""),"",O129-K129)</f>
        <v/>
      </c>
      <c r="T129" s="12">
        <f>IF(AND(C129="Cetak",L129&lt;&gt;"",L129&lt;TODAY()),"YA","")</f>
        <v/>
      </c>
      <c r="U129" s="12">
        <f>IF(B129="","",TEXT(B129,"yyyy-mm"))</f>
        <v/>
      </c>
    </row>
    <row r="130">
      <c r="A130" s="17" t="n"/>
      <c r="B130" s="18" t="n"/>
      <c r="C130" s="17" t="n"/>
      <c r="D130" s="17" t="n"/>
      <c r="E130" s="17" t="n"/>
      <c r="F130" s="17" t="n"/>
      <c r="G130" s="19" t="n"/>
      <c r="H130" s="17" t="n"/>
      <c r="I130" s="19" t="n"/>
      <c r="J130" s="17" t="n"/>
      <c r="K130" s="18" t="n"/>
      <c r="L130" s="18" t="n"/>
      <c r="M130" s="17" t="n"/>
      <c r="N130" s="17" t="n"/>
      <c r="O130" s="18" t="n"/>
      <c r="P130" s="18" t="n"/>
      <c r="Q130" s="17" t="n"/>
      <c r="R130" s="13">
        <f>IF(A130="","",N(G130)+N(I130))</f>
        <v/>
      </c>
      <c r="S130" s="12">
        <f>IF(OR(K130="",O130=""),"",O130-K130)</f>
        <v/>
      </c>
      <c r="T130" s="12">
        <f>IF(AND(C130="Cetak",L130&lt;&gt;"",L130&lt;TODAY()),"YA","")</f>
        <v/>
      </c>
      <c r="U130" s="12">
        <f>IF(B130="","",TEXT(B130,"yyyy-mm"))</f>
        <v/>
      </c>
    </row>
    <row r="131">
      <c r="A131" s="17" t="n"/>
      <c r="B131" s="18" t="n"/>
      <c r="C131" s="17" t="n"/>
      <c r="D131" s="17" t="n"/>
      <c r="E131" s="17" t="n"/>
      <c r="F131" s="17" t="n"/>
      <c r="G131" s="19" t="n"/>
      <c r="H131" s="17" t="n"/>
      <c r="I131" s="19" t="n"/>
      <c r="J131" s="17" t="n"/>
      <c r="K131" s="18" t="n"/>
      <c r="L131" s="18" t="n"/>
      <c r="M131" s="17" t="n"/>
      <c r="N131" s="17" t="n"/>
      <c r="O131" s="18" t="n"/>
      <c r="P131" s="18" t="n"/>
      <c r="Q131" s="17" t="n"/>
      <c r="R131" s="13">
        <f>IF(A131="","",N(G131)+N(I131))</f>
        <v/>
      </c>
      <c r="S131" s="12">
        <f>IF(OR(K131="",O131=""),"",O131-K131)</f>
        <v/>
      </c>
      <c r="T131" s="12">
        <f>IF(AND(C131="Cetak",L131&lt;&gt;"",L131&lt;TODAY()),"YA","")</f>
        <v/>
      </c>
      <c r="U131" s="12">
        <f>IF(B131="","",TEXT(B131,"yyyy-mm"))</f>
        <v/>
      </c>
    </row>
    <row r="132">
      <c r="A132" s="17" t="n"/>
      <c r="B132" s="18" t="n"/>
      <c r="C132" s="17" t="n"/>
      <c r="D132" s="17" t="n"/>
      <c r="E132" s="17" t="n"/>
      <c r="F132" s="17" t="n"/>
      <c r="G132" s="19" t="n"/>
      <c r="H132" s="17" t="n"/>
      <c r="I132" s="19" t="n"/>
      <c r="J132" s="17" t="n"/>
      <c r="K132" s="18" t="n"/>
      <c r="L132" s="18" t="n"/>
      <c r="M132" s="17" t="n"/>
      <c r="N132" s="17" t="n"/>
      <c r="O132" s="18" t="n"/>
      <c r="P132" s="18" t="n"/>
      <c r="Q132" s="17" t="n"/>
      <c r="R132" s="13">
        <f>IF(A132="","",N(G132)+N(I132))</f>
        <v/>
      </c>
      <c r="S132" s="12">
        <f>IF(OR(K132="",O132=""),"",O132-K132)</f>
        <v/>
      </c>
      <c r="T132" s="12">
        <f>IF(AND(C132="Cetak",L132&lt;&gt;"",L132&lt;TODAY()),"YA","")</f>
        <v/>
      </c>
      <c r="U132" s="12">
        <f>IF(B132="","",TEXT(B132,"yyyy-mm"))</f>
        <v/>
      </c>
    </row>
    <row r="133">
      <c r="A133" s="17" t="n"/>
      <c r="B133" s="18" t="n"/>
      <c r="C133" s="17" t="n"/>
      <c r="D133" s="17" t="n"/>
      <c r="E133" s="17" t="n"/>
      <c r="F133" s="17" t="n"/>
      <c r="G133" s="19" t="n"/>
      <c r="H133" s="17" t="n"/>
      <c r="I133" s="19" t="n"/>
      <c r="J133" s="17" t="n"/>
      <c r="K133" s="18" t="n"/>
      <c r="L133" s="18" t="n"/>
      <c r="M133" s="17" t="n"/>
      <c r="N133" s="17" t="n"/>
      <c r="O133" s="18" t="n"/>
      <c r="P133" s="18" t="n"/>
      <c r="Q133" s="17" t="n"/>
      <c r="R133" s="13">
        <f>IF(A133="","",N(G133)+N(I133))</f>
        <v/>
      </c>
      <c r="S133" s="12">
        <f>IF(OR(K133="",O133=""),"",O133-K133)</f>
        <v/>
      </c>
      <c r="T133" s="12">
        <f>IF(AND(C133="Cetak",L133&lt;&gt;"",L133&lt;TODAY()),"YA","")</f>
        <v/>
      </c>
      <c r="U133" s="12">
        <f>IF(B133="","",TEXT(B133,"yyyy-mm"))</f>
        <v/>
      </c>
    </row>
    <row r="134">
      <c r="A134" s="17" t="n"/>
      <c r="B134" s="18" t="n"/>
      <c r="C134" s="17" t="n"/>
      <c r="D134" s="17" t="n"/>
      <c r="E134" s="17" t="n"/>
      <c r="F134" s="17" t="n"/>
      <c r="G134" s="19" t="n"/>
      <c r="H134" s="17" t="n"/>
      <c r="I134" s="19" t="n"/>
      <c r="J134" s="17" t="n"/>
      <c r="K134" s="18" t="n"/>
      <c r="L134" s="18" t="n"/>
      <c r="M134" s="17" t="n"/>
      <c r="N134" s="17" t="n"/>
      <c r="O134" s="18" t="n"/>
      <c r="P134" s="18" t="n"/>
      <c r="Q134" s="17" t="n"/>
      <c r="R134" s="13">
        <f>IF(A134="","",N(G134)+N(I134))</f>
        <v/>
      </c>
      <c r="S134" s="12">
        <f>IF(OR(K134="",O134=""),"",O134-K134)</f>
        <v/>
      </c>
      <c r="T134" s="12">
        <f>IF(AND(C134="Cetak",L134&lt;&gt;"",L134&lt;TODAY()),"YA","")</f>
        <v/>
      </c>
      <c r="U134" s="12">
        <f>IF(B134="","",TEXT(B134,"yyyy-mm"))</f>
        <v/>
      </c>
    </row>
    <row r="135">
      <c r="A135" s="17" t="n"/>
      <c r="B135" s="18" t="n"/>
      <c r="C135" s="17" t="n"/>
      <c r="D135" s="17" t="n"/>
      <c r="E135" s="17" t="n"/>
      <c r="F135" s="17" t="n"/>
      <c r="G135" s="19" t="n"/>
      <c r="H135" s="17" t="n"/>
      <c r="I135" s="19" t="n"/>
      <c r="J135" s="17" t="n"/>
      <c r="K135" s="18" t="n"/>
      <c r="L135" s="18" t="n"/>
      <c r="M135" s="17" t="n"/>
      <c r="N135" s="17" t="n"/>
      <c r="O135" s="18" t="n"/>
      <c r="P135" s="18" t="n"/>
      <c r="Q135" s="17" t="n"/>
      <c r="R135" s="13">
        <f>IF(A135="","",N(G135)+N(I135))</f>
        <v/>
      </c>
      <c r="S135" s="12">
        <f>IF(OR(K135="",O135=""),"",O135-K135)</f>
        <v/>
      </c>
      <c r="T135" s="12">
        <f>IF(AND(C135="Cetak",L135&lt;&gt;"",L135&lt;TODAY()),"YA","")</f>
        <v/>
      </c>
      <c r="U135" s="12">
        <f>IF(B135="","",TEXT(B135,"yyyy-mm"))</f>
        <v/>
      </c>
    </row>
    <row r="136">
      <c r="A136" s="17" t="n"/>
      <c r="B136" s="18" t="n"/>
      <c r="C136" s="17" t="n"/>
      <c r="D136" s="17" t="n"/>
      <c r="E136" s="17" t="n"/>
      <c r="F136" s="17" t="n"/>
      <c r="G136" s="19" t="n"/>
      <c r="H136" s="17" t="n"/>
      <c r="I136" s="19" t="n"/>
      <c r="J136" s="17" t="n"/>
      <c r="K136" s="18" t="n"/>
      <c r="L136" s="18" t="n"/>
      <c r="M136" s="17" t="n"/>
      <c r="N136" s="17" t="n"/>
      <c r="O136" s="18" t="n"/>
      <c r="P136" s="18" t="n"/>
      <c r="Q136" s="17" t="n"/>
      <c r="R136" s="13">
        <f>IF(A136="","",N(G136)+N(I136))</f>
        <v/>
      </c>
      <c r="S136" s="12">
        <f>IF(OR(K136="",O136=""),"",O136-K136)</f>
        <v/>
      </c>
      <c r="T136" s="12">
        <f>IF(AND(C136="Cetak",L136&lt;&gt;"",L136&lt;TODAY()),"YA","")</f>
        <v/>
      </c>
      <c r="U136" s="12">
        <f>IF(B136="","",TEXT(B136,"yyyy-mm"))</f>
        <v/>
      </c>
    </row>
    <row r="137">
      <c r="A137" s="17" t="n"/>
      <c r="B137" s="18" t="n"/>
      <c r="C137" s="17" t="n"/>
      <c r="D137" s="17" t="n"/>
      <c r="E137" s="17" t="n"/>
      <c r="F137" s="17" t="n"/>
      <c r="G137" s="19" t="n"/>
      <c r="H137" s="17" t="n"/>
      <c r="I137" s="19" t="n"/>
      <c r="J137" s="17" t="n"/>
      <c r="K137" s="18" t="n"/>
      <c r="L137" s="18" t="n"/>
      <c r="M137" s="17" t="n"/>
      <c r="N137" s="17" t="n"/>
      <c r="O137" s="18" t="n"/>
      <c r="P137" s="18" t="n"/>
      <c r="Q137" s="17" t="n"/>
      <c r="R137" s="13">
        <f>IF(A137="","",N(G137)+N(I137))</f>
        <v/>
      </c>
      <c r="S137" s="12">
        <f>IF(OR(K137="",O137=""),"",O137-K137)</f>
        <v/>
      </c>
      <c r="T137" s="12">
        <f>IF(AND(C137="Cetak",L137&lt;&gt;"",L137&lt;TODAY()),"YA","")</f>
        <v/>
      </c>
      <c r="U137" s="12">
        <f>IF(B137="","",TEXT(B137,"yyyy-mm"))</f>
        <v/>
      </c>
    </row>
    <row r="138">
      <c r="A138" s="17" t="n"/>
      <c r="B138" s="18" t="n"/>
      <c r="C138" s="17" t="n"/>
      <c r="D138" s="17" t="n"/>
      <c r="E138" s="17" t="n"/>
      <c r="F138" s="17" t="n"/>
      <c r="G138" s="19" t="n"/>
      <c r="H138" s="17" t="n"/>
      <c r="I138" s="19" t="n"/>
      <c r="J138" s="17" t="n"/>
      <c r="K138" s="18" t="n"/>
      <c r="L138" s="18" t="n"/>
      <c r="M138" s="17" t="n"/>
      <c r="N138" s="17" t="n"/>
      <c r="O138" s="18" t="n"/>
      <c r="P138" s="18" t="n"/>
      <c r="Q138" s="17" t="n"/>
      <c r="R138" s="13">
        <f>IF(A138="","",N(G138)+N(I138))</f>
        <v/>
      </c>
      <c r="S138" s="12">
        <f>IF(OR(K138="",O138=""),"",O138-K138)</f>
        <v/>
      </c>
      <c r="T138" s="12">
        <f>IF(AND(C138="Cetak",L138&lt;&gt;"",L138&lt;TODAY()),"YA","")</f>
        <v/>
      </c>
      <c r="U138" s="12">
        <f>IF(B138="","",TEXT(B138,"yyyy-mm"))</f>
        <v/>
      </c>
    </row>
    <row r="139">
      <c r="A139" s="17" t="n"/>
      <c r="B139" s="18" t="n"/>
      <c r="C139" s="17" t="n"/>
      <c r="D139" s="17" t="n"/>
      <c r="E139" s="17" t="n"/>
      <c r="F139" s="17" t="n"/>
      <c r="G139" s="19" t="n"/>
      <c r="H139" s="17" t="n"/>
      <c r="I139" s="19" t="n"/>
      <c r="J139" s="17" t="n"/>
      <c r="K139" s="18" t="n"/>
      <c r="L139" s="18" t="n"/>
      <c r="M139" s="17" t="n"/>
      <c r="N139" s="17" t="n"/>
      <c r="O139" s="18" t="n"/>
      <c r="P139" s="18" t="n"/>
      <c r="Q139" s="17" t="n"/>
      <c r="R139" s="13">
        <f>IF(A139="","",N(G139)+N(I139))</f>
        <v/>
      </c>
      <c r="S139" s="12">
        <f>IF(OR(K139="",O139=""),"",O139-K139)</f>
        <v/>
      </c>
      <c r="T139" s="12">
        <f>IF(AND(C139="Cetak",L139&lt;&gt;"",L139&lt;TODAY()),"YA","")</f>
        <v/>
      </c>
      <c r="U139" s="12">
        <f>IF(B139="","",TEXT(B139,"yyyy-mm"))</f>
        <v/>
      </c>
    </row>
    <row r="140">
      <c r="A140" s="17" t="n"/>
      <c r="B140" s="18" t="n"/>
      <c r="C140" s="17" t="n"/>
      <c r="D140" s="17" t="n"/>
      <c r="E140" s="17" t="n"/>
      <c r="F140" s="17" t="n"/>
      <c r="G140" s="19" t="n"/>
      <c r="H140" s="17" t="n"/>
      <c r="I140" s="19" t="n"/>
      <c r="J140" s="17" t="n"/>
      <c r="K140" s="18" t="n"/>
      <c r="L140" s="18" t="n"/>
      <c r="M140" s="17" t="n"/>
      <c r="N140" s="17" t="n"/>
      <c r="O140" s="18" t="n"/>
      <c r="P140" s="18" t="n"/>
      <c r="Q140" s="17" t="n"/>
      <c r="R140" s="13">
        <f>IF(A140="","",N(G140)+N(I140))</f>
        <v/>
      </c>
      <c r="S140" s="12">
        <f>IF(OR(K140="",O140=""),"",O140-K140)</f>
        <v/>
      </c>
      <c r="T140" s="12">
        <f>IF(AND(C140="Cetak",L140&lt;&gt;"",L140&lt;TODAY()),"YA","")</f>
        <v/>
      </c>
      <c r="U140" s="12">
        <f>IF(B140="","",TEXT(B140,"yyyy-mm"))</f>
        <v/>
      </c>
    </row>
    <row r="141">
      <c r="A141" s="17" t="n"/>
      <c r="B141" s="18" t="n"/>
      <c r="C141" s="17" t="n"/>
      <c r="D141" s="17" t="n"/>
      <c r="E141" s="17" t="n"/>
      <c r="F141" s="17" t="n"/>
      <c r="G141" s="19" t="n"/>
      <c r="H141" s="17" t="n"/>
      <c r="I141" s="19" t="n"/>
      <c r="J141" s="17" t="n"/>
      <c r="K141" s="18" t="n"/>
      <c r="L141" s="18" t="n"/>
      <c r="M141" s="17" t="n"/>
      <c r="N141" s="17" t="n"/>
      <c r="O141" s="18" t="n"/>
      <c r="P141" s="18" t="n"/>
      <c r="Q141" s="17" t="n"/>
      <c r="R141" s="13">
        <f>IF(A141="","",N(G141)+N(I141))</f>
        <v/>
      </c>
      <c r="S141" s="12">
        <f>IF(OR(K141="",O141=""),"",O141-K141)</f>
        <v/>
      </c>
      <c r="T141" s="12">
        <f>IF(AND(C141="Cetak",L141&lt;&gt;"",L141&lt;TODAY()),"YA","")</f>
        <v/>
      </c>
      <c r="U141" s="12">
        <f>IF(B141="","",TEXT(B141,"yyyy-mm"))</f>
        <v/>
      </c>
    </row>
    <row r="142">
      <c r="A142" s="17" t="n"/>
      <c r="B142" s="18" t="n"/>
      <c r="C142" s="17" t="n"/>
      <c r="D142" s="17" t="n"/>
      <c r="E142" s="17" t="n"/>
      <c r="F142" s="17" t="n"/>
      <c r="G142" s="19" t="n"/>
      <c r="H142" s="17" t="n"/>
      <c r="I142" s="19" t="n"/>
      <c r="J142" s="17" t="n"/>
      <c r="K142" s="18" t="n"/>
      <c r="L142" s="18" t="n"/>
      <c r="M142" s="17" t="n"/>
      <c r="N142" s="17" t="n"/>
      <c r="O142" s="18" t="n"/>
      <c r="P142" s="18" t="n"/>
      <c r="Q142" s="17" t="n"/>
      <c r="R142" s="13">
        <f>IF(A142="","",N(G142)+N(I142))</f>
        <v/>
      </c>
      <c r="S142" s="12">
        <f>IF(OR(K142="",O142=""),"",O142-K142)</f>
        <v/>
      </c>
      <c r="T142" s="12">
        <f>IF(AND(C142="Cetak",L142&lt;&gt;"",L142&lt;TODAY()),"YA","")</f>
        <v/>
      </c>
      <c r="U142" s="12">
        <f>IF(B142="","",TEXT(B142,"yyyy-mm"))</f>
        <v/>
      </c>
    </row>
    <row r="143">
      <c r="A143" s="17" t="n"/>
      <c r="B143" s="18" t="n"/>
      <c r="C143" s="17" t="n"/>
      <c r="D143" s="17" t="n"/>
      <c r="E143" s="17" t="n"/>
      <c r="F143" s="17" t="n"/>
      <c r="G143" s="19" t="n"/>
      <c r="H143" s="17" t="n"/>
      <c r="I143" s="19" t="n"/>
      <c r="J143" s="17" t="n"/>
      <c r="K143" s="18" t="n"/>
      <c r="L143" s="18" t="n"/>
      <c r="M143" s="17" t="n"/>
      <c r="N143" s="17" t="n"/>
      <c r="O143" s="18" t="n"/>
      <c r="P143" s="18" t="n"/>
      <c r="Q143" s="17" t="n"/>
      <c r="R143" s="13">
        <f>IF(A143="","",N(G143)+N(I143))</f>
        <v/>
      </c>
      <c r="S143" s="12">
        <f>IF(OR(K143="",O143=""),"",O143-K143)</f>
        <v/>
      </c>
      <c r="T143" s="12">
        <f>IF(AND(C143="Cetak",L143&lt;&gt;"",L143&lt;TODAY()),"YA","")</f>
        <v/>
      </c>
      <c r="U143" s="12">
        <f>IF(B143="","",TEXT(B143,"yyyy-mm"))</f>
        <v/>
      </c>
    </row>
    <row r="144">
      <c r="A144" s="17" t="n"/>
      <c r="B144" s="18" t="n"/>
      <c r="C144" s="17" t="n"/>
      <c r="D144" s="17" t="n"/>
      <c r="E144" s="17" t="n"/>
      <c r="F144" s="17" t="n"/>
      <c r="G144" s="19" t="n"/>
      <c r="H144" s="17" t="n"/>
      <c r="I144" s="19" t="n"/>
      <c r="J144" s="17" t="n"/>
      <c r="K144" s="18" t="n"/>
      <c r="L144" s="18" t="n"/>
      <c r="M144" s="17" t="n"/>
      <c r="N144" s="17" t="n"/>
      <c r="O144" s="18" t="n"/>
      <c r="P144" s="18" t="n"/>
      <c r="Q144" s="17" t="n"/>
      <c r="R144" s="13">
        <f>IF(A144="","",N(G144)+N(I144))</f>
        <v/>
      </c>
      <c r="S144" s="12">
        <f>IF(OR(K144="",O144=""),"",O144-K144)</f>
        <v/>
      </c>
      <c r="T144" s="12">
        <f>IF(AND(C144="Cetak",L144&lt;&gt;"",L144&lt;TODAY()),"YA","")</f>
        <v/>
      </c>
      <c r="U144" s="12">
        <f>IF(B144="","",TEXT(B144,"yyyy-mm"))</f>
        <v/>
      </c>
    </row>
    <row r="145">
      <c r="A145" s="17" t="n"/>
      <c r="B145" s="18" t="n"/>
      <c r="C145" s="17" t="n"/>
      <c r="D145" s="17" t="n"/>
      <c r="E145" s="17" t="n"/>
      <c r="F145" s="17" t="n"/>
      <c r="G145" s="19" t="n"/>
      <c r="H145" s="17" t="n"/>
      <c r="I145" s="19" t="n"/>
      <c r="J145" s="17" t="n"/>
      <c r="K145" s="18" t="n"/>
      <c r="L145" s="18" t="n"/>
      <c r="M145" s="17" t="n"/>
      <c r="N145" s="17" t="n"/>
      <c r="O145" s="18" t="n"/>
      <c r="P145" s="18" t="n"/>
      <c r="Q145" s="17" t="n"/>
      <c r="R145" s="13">
        <f>IF(A145="","",N(G145)+N(I145))</f>
        <v/>
      </c>
      <c r="S145" s="12">
        <f>IF(OR(K145="",O145=""),"",O145-K145)</f>
        <v/>
      </c>
      <c r="T145" s="12">
        <f>IF(AND(C145="Cetak",L145&lt;&gt;"",L145&lt;TODAY()),"YA","")</f>
        <v/>
      </c>
      <c r="U145" s="12">
        <f>IF(B145="","",TEXT(B145,"yyyy-mm"))</f>
        <v/>
      </c>
    </row>
    <row r="146">
      <c r="A146" s="17" t="n"/>
      <c r="B146" s="18" t="n"/>
      <c r="C146" s="17" t="n"/>
      <c r="D146" s="17" t="n"/>
      <c r="E146" s="17" t="n"/>
      <c r="F146" s="17" t="n"/>
      <c r="G146" s="19" t="n"/>
      <c r="H146" s="17" t="n"/>
      <c r="I146" s="19" t="n"/>
      <c r="J146" s="17" t="n"/>
      <c r="K146" s="18" t="n"/>
      <c r="L146" s="18" t="n"/>
      <c r="M146" s="17" t="n"/>
      <c r="N146" s="17" t="n"/>
      <c r="O146" s="18" t="n"/>
      <c r="P146" s="18" t="n"/>
      <c r="Q146" s="17" t="n"/>
      <c r="R146" s="13">
        <f>IF(A146="","",N(G146)+N(I146))</f>
        <v/>
      </c>
      <c r="S146" s="12">
        <f>IF(OR(K146="",O146=""),"",O146-K146)</f>
        <v/>
      </c>
      <c r="T146" s="12">
        <f>IF(AND(C146="Cetak",L146&lt;&gt;"",L146&lt;TODAY()),"YA","")</f>
        <v/>
      </c>
      <c r="U146" s="12">
        <f>IF(B146="","",TEXT(B146,"yyyy-mm"))</f>
        <v/>
      </c>
    </row>
    <row r="147">
      <c r="A147" s="17" t="n"/>
      <c r="B147" s="18" t="n"/>
      <c r="C147" s="17" t="n"/>
      <c r="D147" s="17" t="n"/>
      <c r="E147" s="17" t="n"/>
      <c r="F147" s="17" t="n"/>
      <c r="G147" s="19" t="n"/>
      <c r="H147" s="17" t="n"/>
      <c r="I147" s="19" t="n"/>
      <c r="J147" s="17" t="n"/>
      <c r="K147" s="18" t="n"/>
      <c r="L147" s="18" t="n"/>
      <c r="M147" s="17" t="n"/>
      <c r="N147" s="17" t="n"/>
      <c r="O147" s="18" t="n"/>
      <c r="P147" s="18" t="n"/>
      <c r="Q147" s="17" t="n"/>
      <c r="R147" s="13">
        <f>IF(A147="","",N(G147)+N(I147))</f>
        <v/>
      </c>
      <c r="S147" s="12">
        <f>IF(OR(K147="",O147=""),"",O147-K147)</f>
        <v/>
      </c>
      <c r="T147" s="12">
        <f>IF(AND(C147="Cetak",L147&lt;&gt;"",L147&lt;TODAY()),"YA","")</f>
        <v/>
      </c>
      <c r="U147" s="12">
        <f>IF(B147="","",TEXT(B147,"yyyy-mm"))</f>
        <v/>
      </c>
    </row>
    <row r="148">
      <c r="A148" s="17" t="n"/>
      <c r="B148" s="18" t="n"/>
      <c r="C148" s="17" t="n"/>
      <c r="D148" s="17" t="n"/>
      <c r="E148" s="17" t="n"/>
      <c r="F148" s="17" t="n"/>
      <c r="G148" s="19" t="n"/>
      <c r="H148" s="17" t="n"/>
      <c r="I148" s="19" t="n"/>
      <c r="J148" s="17" t="n"/>
      <c r="K148" s="18" t="n"/>
      <c r="L148" s="18" t="n"/>
      <c r="M148" s="17" t="n"/>
      <c r="N148" s="17" t="n"/>
      <c r="O148" s="18" t="n"/>
      <c r="P148" s="18" t="n"/>
      <c r="Q148" s="17" t="n"/>
      <c r="R148" s="13">
        <f>IF(A148="","",N(G148)+N(I148))</f>
        <v/>
      </c>
      <c r="S148" s="12">
        <f>IF(OR(K148="",O148=""),"",O148-K148)</f>
        <v/>
      </c>
      <c r="T148" s="12">
        <f>IF(AND(C148="Cetak",L148&lt;&gt;"",L148&lt;TODAY()),"YA","")</f>
        <v/>
      </c>
      <c r="U148" s="12">
        <f>IF(B148="","",TEXT(B148,"yyyy-mm"))</f>
        <v/>
      </c>
    </row>
    <row r="149">
      <c r="A149" s="17" t="n"/>
      <c r="B149" s="18" t="n"/>
      <c r="C149" s="17" t="n"/>
      <c r="D149" s="17" t="n"/>
      <c r="E149" s="17" t="n"/>
      <c r="F149" s="17" t="n"/>
      <c r="G149" s="19" t="n"/>
      <c r="H149" s="17" t="n"/>
      <c r="I149" s="19" t="n"/>
      <c r="J149" s="17" t="n"/>
      <c r="K149" s="18" t="n"/>
      <c r="L149" s="18" t="n"/>
      <c r="M149" s="17" t="n"/>
      <c r="N149" s="17" t="n"/>
      <c r="O149" s="18" t="n"/>
      <c r="P149" s="18" t="n"/>
      <c r="Q149" s="17" t="n"/>
      <c r="R149" s="13">
        <f>IF(A149="","",N(G149)+N(I149))</f>
        <v/>
      </c>
      <c r="S149" s="12">
        <f>IF(OR(K149="",O149=""),"",O149-K149)</f>
        <v/>
      </c>
      <c r="T149" s="12">
        <f>IF(AND(C149="Cetak",L149&lt;&gt;"",L149&lt;TODAY()),"YA","")</f>
        <v/>
      </c>
      <c r="U149" s="12">
        <f>IF(B149="","",TEXT(B149,"yyyy-mm"))</f>
        <v/>
      </c>
    </row>
    <row r="150">
      <c r="A150" s="17" t="n"/>
      <c r="B150" s="18" t="n"/>
      <c r="C150" s="17" t="n"/>
      <c r="D150" s="17" t="n"/>
      <c r="E150" s="17" t="n"/>
      <c r="F150" s="17" t="n"/>
      <c r="G150" s="19" t="n"/>
      <c r="H150" s="17" t="n"/>
      <c r="I150" s="19" t="n"/>
      <c r="J150" s="17" t="n"/>
      <c r="K150" s="18" t="n"/>
      <c r="L150" s="18" t="n"/>
      <c r="M150" s="17" t="n"/>
      <c r="N150" s="17" t="n"/>
      <c r="O150" s="18" t="n"/>
      <c r="P150" s="18" t="n"/>
      <c r="Q150" s="17" t="n"/>
      <c r="R150" s="13">
        <f>IF(A150="","",N(G150)+N(I150))</f>
        <v/>
      </c>
      <c r="S150" s="12">
        <f>IF(OR(K150="",O150=""),"",O150-K150)</f>
        <v/>
      </c>
      <c r="T150" s="12">
        <f>IF(AND(C150="Cetak",L150&lt;&gt;"",L150&lt;TODAY()),"YA","")</f>
        <v/>
      </c>
      <c r="U150" s="12">
        <f>IF(B150="","",TEXT(B150,"yyyy-mm"))</f>
        <v/>
      </c>
    </row>
    <row r="151">
      <c r="A151" s="17" t="n"/>
      <c r="B151" s="18" t="n"/>
      <c r="C151" s="17" t="n"/>
      <c r="D151" s="17" t="n"/>
      <c r="E151" s="17" t="n"/>
      <c r="F151" s="17" t="n"/>
      <c r="G151" s="19" t="n"/>
      <c r="H151" s="17" t="n"/>
      <c r="I151" s="19" t="n"/>
      <c r="J151" s="17" t="n"/>
      <c r="K151" s="18" t="n"/>
      <c r="L151" s="18" t="n"/>
      <c r="M151" s="17" t="n"/>
      <c r="N151" s="17" t="n"/>
      <c r="O151" s="18" t="n"/>
      <c r="P151" s="18" t="n"/>
      <c r="Q151" s="17" t="n"/>
      <c r="R151" s="13">
        <f>IF(A151="","",N(G151)+N(I151))</f>
        <v/>
      </c>
      <c r="S151" s="12">
        <f>IF(OR(K151="",O151=""),"",O151-K151)</f>
        <v/>
      </c>
      <c r="T151" s="12">
        <f>IF(AND(C151="Cetak",L151&lt;&gt;"",L151&lt;TODAY()),"YA","")</f>
        <v/>
      </c>
      <c r="U151" s="12">
        <f>IF(B151="","",TEXT(B151,"yyyy-mm"))</f>
        <v/>
      </c>
    </row>
    <row r="152">
      <c r="A152" s="17" t="n"/>
      <c r="B152" s="18" t="n"/>
      <c r="C152" s="17" t="n"/>
      <c r="D152" s="17" t="n"/>
      <c r="E152" s="17" t="n"/>
      <c r="F152" s="17" t="n"/>
      <c r="G152" s="19" t="n"/>
      <c r="H152" s="17" t="n"/>
      <c r="I152" s="19" t="n"/>
      <c r="J152" s="17" t="n"/>
      <c r="K152" s="18" t="n"/>
      <c r="L152" s="18" t="n"/>
      <c r="M152" s="17" t="n"/>
      <c r="N152" s="17" t="n"/>
      <c r="O152" s="18" t="n"/>
      <c r="P152" s="18" t="n"/>
      <c r="Q152" s="17" t="n"/>
      <c r="R152" s="13">
        <f>IF(A152="","",N(G152)+N(I152))</f>
        <v/>
      </c>
      <c r="S152" s="12">
        <f>IF(OR(K152="",O152=""),"",O152-K152)</f>
        <v/>
      </c>
      <c r="T152" s="12">
        <f>IF(AND(C152="Cetak",L152&lt;&gt;"",L152&lt;TODAY()),"YA","")</f>
        <v/>
      </c>
      <c r="U152" s="12">
        <f>IF(B152="","",TEXT(B152,"yyyy-mm"))</f>
        <v/>
      </c>
    </row>
    <row r="153">
      <c r="A153" s="17" t="n"/>
      <c r="B153" s="18" t="n"/>
      <c r="C153" s="17" t="n"/>
      <c r="D153" s="17" t="n"/>
      <c r="E153" s="17" t="n"/>
      <c r="F153" s="17" t="n"/>
      <c r="G153" s="19" t="n"/>
      <c r="H153" s="17" t="n"/>
      <c r="I153" s="19" t="n"/>
      <c r="J153" s="17" t="n"/>
      <c r="K153" s="18" t="n"/>
      <c r="L153" s="18" t="n"/>
      <c r="M153" s="17" t="n"/>
      <c r="N153" s="17" t="n"/>
      <c r="O153" s="18" t="n"/>
      <c r="P153" s="18" t="n"/>
      <c r="Q153" s="17" t="n"/>
      <c r="R153" s="13">
        <f>IF(A153="","",N(G153)+N(I153))</f>
        <v/>
      </c>
      <c r="S153" s="12">
        <f>IF(OR(K153="",O153=""),"",O153-K153)</f>
        <v/>
      </c>
      <c r="T153" s="12">
        <f>IF(AND(C153="Cetak",L153&lt;&gt;"",L153&lt;TODAY()),"YA","")</f>
        <v/>
      </c>
      <c r="U153" s="12">
        <f>IF(B153="","",TEXT(B153,"yyyy-mm"))</f>
        <v/>
      </c>
    </row>
    <row r="154">
      <c r="A154" s="17" t="n"/>
      <c r="B154" s="18" t="n"/>
      <c r="C154" s="17" t="n"/>
      <c r="D154" s="17" t="n"/>
      <c r="E154" s="17" t="n"/>
      <c r="F154" s="17" t="n"/>
      <c r="G154" s="19" t="n"/>
      <c r="H154" s="17" t="n"/>
      <c r="I154" s="19" t="n"/>
      <c r="J154" s="17" t="n"/>
      <c r="K154" s="18" t="n"/>
      <c r="L154" s="18" t="n"/>
      <c r="M154" s="17" t="n"/>
      <c r="N154" s="17" t="n"/>
      <c r="O154" s="18" t="n"/>
      <c r="P154" s="18" t="n"/>
      <c r="Q154" s="17" t="n"/>
      <c r="R154" s="13">
        <f>IF(A154="","",N(G154)+N(I154))</f>
        <v/>
      </c>
      <c r="S154" s="12">
        <f>IF(OR(K154="",O154=""),"",O154-K154)</f>
        <v/>
      </c>
      <c r="T154" s="12">
        <f>IF(AND(C154="Cetak",L154&lt;&gt;"",L154&lt;TODAY()),"YA","")</f>
        <v/>
      </c>
      <c r="U154" s="12">
        <f>IF(B154="","",TEXT(B154,"yyyy-mm"))</f>
        <v/>
      </c>
    </row>
    <row r="155">
      <c r="A155" s="17" t="n"/>
      <c r="B155" s="18" t="n"/>
      <c r="C155" s="17" t="n"/>
      <c r="D155" s="17" t="n"/>
      <c r="E155" s="17" t="n"/>
      <c r="F155" s="17" t="n"/>
      <c r="G155" s="19" t="n"/>
      <c r="H155" s="17" t="n"/>
      <c r="I155" s="19" t="n"/>
      <c r="J155" s="17" t="n"/>
      <c r="K155" s="18" t="n"/>
      <c r="L155" s="18" t="n"/>
      <c r="M155" s="17" t="n"/>
      <c r="N155" s="17" t="n"/>
      <c r="O155" s="18" t="n"/>
      <c r="P155" s="18" t="n"/>
      <c r="Q155" s="17" t="n"/>
      <c r="R155" s="13">
        <f>IF(A155="","",N(G155)+N(I155))</f>
        <v/>
      </c>
      <c r="S155" s="12">
        <f>IF(OR(K155="",O155=""),"",O155-K155)</f>
        <v/>
      </c>
      <c r="T155" s="12">
        <f>IF(AND(C155="Cetak",L155&lt;&gt;"",L155&lt;TODAY()),"YA","")</f>
        <v/>
      </c>
      <c r="U155" s="12">
        <f>IF(B155="","",TEXT(B155,"yyyy-mm"))</f>
        <v/>
      </c>
    </row>
    <row r="156">
      <c r="A156" s="17" t="n"/>
      <c r="B156" s="18" t="n"/>
      <c r="C156" s="17" t="n"/>
      <c r="D156" s="17" t="n"/>
      <c r="E156" s="17" t="n"/>
      <c r="F156" s="17" t="n"/>
      <c r="G156" s="19" t="n"/>
      <c r="H156" s="17" t="n"/>
      <c r="I156" s="19" t="n"/>
      <c r="J156" s="17" t="n"/>
      <c r="K156" s="18" t="n"/>
      <c r="L156" s="18" t="n"/>
      <c r="M156" s="17" t="n"/>
      <c r="N156" s="17" t="n"/>
      <c r="O156" s="18" t="n"/>
      <c r="P156" s="18" t="n"/>
      <c r="Q156" s="17" t="n"/>
      <c r="R156" s="13">
        <f>IF(A156="","",N(G156)+N(I156))</f>
        <v/>
      </c>
      <c r="S156" s="12">
        <f>IF(OR(K156="",O156=""),"",O156-K156)</f>
        <v/>
      </c>
      <c r="T156" s="12">
        <f>IF(AND(C156="Cetak",L156&lt;&gt;"",L156&lt;TODAY()),"YA","")</f>
        <v/>
      </c>
      <c r="U156" s="12">
        <f>IF(B156="","",TEXT(B156,"yyyy-mm"))</f>
        <v/>
      </c>
    </row>
    <row r="157">
      <c r="A157" s="17" t="n"/>
      <c r="B157" s="18" t="n"/>
      <c r="C157" s="17" t="n"/>
      <c r="D157" s="17" t="n"/>
      <c r="E157" s="17" t="n"/>
      <c r="F157" s="17" t="n"/>
      <c r="G157" s="19" t="n"/>
      <c r="H157" s="17" t="n"/>
      <c r="I157" s="19" t="n"/>
      <c r="J157" s="17" t="n"/>
      <c r="K157" s="18" t="n"/>
      <c r="L157" s="18" t="n"/>
      <c r="M157" s="17" t="n"/>
      <c r="N157" s="17" t="n"/>
      <c r="O157" s="18" t="n"/>
      <c r="P157" s="18" t="n"/>
      <c r="Q157" s="17" t="n"/>
      <c r="R157" s="13">
        <f>IF(A157="","",N(G157)+N(I157))</f>
        <v/>
      </c>
      <c r="S157" s="12">
        <f>IF(OR(K157="",O157=""),"",O157-K157)</f>
        <v/>
      </c>
      <c r="T157" s="12">
        <f>IF(AND(C157="Cetak",L157&lt;&gt;"",L157&lt;TODAY()),"YA","")</f>
        <v/>
      </c>
      <c r="U157" s="12">
        <f>IF(B157="","",TEXT(B157,"yyyy-mm"))</f>
        <v/>
      </c>
    </row>
    <row r="158">
      <c r="A158" s="17" t="n"/>
      <c r="B158" s="18" t="n"/>
      <c r="C158" s="17" t="n"/>
      <c r="D158" s="17" t="n"/>
      <c r="E158" s="17" t="n"/>
      <c r="F158" s="17" t="n"/>
      <c r="G158" s="19" t="n"/>
      <c r="H158" s="17" t="n"/>
      <c r="I158" s="19" t="n"/>
      <c r="J158" s="17" t="n"/>
      <c r="K158" s="18" t="n"/>
      <c r="L158" s="18" t="n"/>
      <c r="M158" s="17" t="n"/>
      <c r="N158" s="17" t="n"/>
      <c r="O158" s="18" t="n"/>
      <c r="P158" s="18" t="n"/>
      <c r="Q158" s="17" t="n"/>
      <c r="R158" s="13">
        <f>IF(A158="","",N(G158)+N(I158))</f>
        <v/>
      </c>
      <c r="S158" s="12">
        <f>IF(OR(K158="",O158=""),"",O158-K158)</f>
        <v/>
      </c>
      <c r="T158" s="12">
        <f>IF(AND(C158="Cetak",L158&lt;&gt;"",L158&lt;TODAY()),"YA","")</f>
        <v/>
      </c>
      <c r="U158" s="12">
        <f>IF(B158="","",TEXT(B158,"yyyy-mm"))</f>
        <v/>
      </c>
    </row>
    <row r="159">
      <c r="A159" s="17" t="n"/>
      <c r="B159" s="18" t="n"/>
      <c r="C159" s="17" t="n"/>
      <c r="D159" s="17" t="n"/>
      <c r="E159" s="17" t="n"/>
      <c r="F159" s="17" t="n"/>
      <c r="G159" s="19" t="n"/>
      <c r="H159" s="17" t="n"/>
      <c r="I159" s="19" t="n"/>
      <c r="J159" s="17" t="n"/>
      <c r="K159" s="18" t="n"/>
      <c r="L159" s="18" t="n"/>
      <c r="M159" s="17" t="n"/>
      <c r="N159" s="17" t="n"/>
      <c r="O159" s="18" t="n"/>
      <c r="P159" s="18" t="n"/>
      <c r="Q159" s="17" t="n"/>
      <c r="R159" s="13">
        <f>IF(A159="","",N(G159)+N(I159))</f>
        <v/>
      </c>
      <c r="S159" s="12">
        <f>IF(OR(K159="",O159=""),"",O159-K159)</f>
        <v/>
      </c>
      <c r="T159" s="12">
        <f>IF(AND(C159="Cetak",L159&lt;&gt;"",L159&lt;TODAY()),"YA","")</f>
        <v/>
      </c>
      <c r="U159" s="12">
        <f>IF(B159="","",TEXT(B159,"yyyy-mm"))</f>
        <v/>
      </c>
    </row>
    <row r="160">
      <c r="A160" s="17" t="n"/>
      <c r="B160" s="18" t="n"/>
      <c r="C160" s="17" t="n"/>
      <c r="D160" s="17" t="n"/>
      <c r="E160" s="17" t="n"/>
      <c r="F160" s="17" t="n"/>
      <c r="G160" s="19" t="n"/>
      <c r="H160" s="17" t="n"/>
      <c r="I160" s="19" t="n"/>
      <c r="J160" s="17" t="n"/>
      <c r="K160" s="18" t="n"/>
      <c r="L160" s="18" t="n"/>
      <c r="M160" s="17" t="n"/>
      <c r="N160" s="17" t="n"/>
      <c r="O160" s="18" t="n"/>
      <c r="P160" s="18" t="n"/>
      <c r="Q160" s="17" t="n"/>
      <c r="R160" s="13">
        <f>IF(A160="","",N(G160)+N(I160))</f>
        <v/>
      </c>
      <c r="S160" s="12">
        <f>IF(OR(K160="",O160=""),"",O160-K160)</f>
        <v/>
      </c>
      <c r="T160" s="12">
        <f>IF(AND(C160="Cetak",L160&lt;&gt;"",L160&lt;TODAY()),"YA","")</f>
        <v/>
      </c>
      <c r="U160" s="12">
        <f>IF(B160="","",TEXT(B160,"yyyy-mm"))</f>
        <v/>
      </c>
    </row>
    <row r="161">
      <c r="A161" s="17" t="n"/>
      <c r="B161" s="18" t="n"/>
      <c r="C161" s="17" t="n"/>
      <c r="D161" s="17" t="n"/>
      <c r="E161" s="17" t="n"/>
      <c r="F161" s="17" t="n"/>
      <c r="G161" s="19" t="n"/>
      <c r="H161" s="17" t="n"/>
      <c r="I161" s="19" t="n"/>
      <c r="J161" s="17" t="n"/>
      <c r="K161" s="18" t="n"/>
      <c r="L161" s="18" t="n"/>
      <c r="M161" s="17" t="n"/>
      <c r="N161" s="17" t="n"/>
      <c r="O161" s="18" t="n"/>
      <c r="P161" s="18" t="n"/>
      <c r="Q161" s="17" t="n"/>
      <c r="R161" s="13">
        <f>IF(A161="","",N(G161)+N(I161))</f>
        <v/>
      </c>
      <c r="S161" s="12">
        <f>IF(OR(K161="",O161=""),"",O161-K161)</f>
        <v/>
      </c>
      <c r="T161" s="12">
        <f>IF(AND(C161="Cetak",L161&lt;&gt;"",L161&lt;TODAY()),"YA","")</f>
        <v/>
      </c>
      <c r="U161" s="12">
        <f>IF(B161="","",TEXT(B161,"yyyy-mm"))</f>
        <v/>
      </c>
    </row>
    <row r="162">
      <c r="A162" s="17" t="n"/>
      <c r="B162" s="18" t="n"/>
      <c r="C162" s="17" t="n"/>
      <c r="D162" s="17" t="n"/>
      <c r="E162" s="17" t="n"/>
      <c r="F162" s="17" t="n"/>
      <c r="G162" s="19" t="n"/>
      <c r="H162" s="17" t="n"/>
      <c r="I162" s="19" t="n"/>
      <c r="J162" s="17" t="n"/>
      <c r="K162" s="18" t="n"/>
      <c r="L162" s="18" t="n"/>
      <c r="M162" s="17" t="n"/>
      <c r="N162" s="17" t="n"/>
      <c r="O162" s="18" t="n"/>
      <c r="P162" s="18" t="n"/>
      <c r="Q162" s="17" t="n"/>
      <c r="R162" s="13">
        <f>IF(A162="","",N(G162)+N(I162))</f>
        <v/>
      </c>
      <c r="S162" s="12">
        <f>IF(OR(K162="",O162=""),"",O162-K162)</f>
        <v/>
      </c>
      <c r="T162" s="12">
        <f>IF(AND(C162="Cetak",L162&lt;&gt;"",L162&lt;TODAY()),"YA","")</f>
        <v/>
      </c>
      <c r="U162" s="12">
        <f>IF(B162="","",TEXT(B162,"yyyy-mm"))</f>
        <v/>
      </c>
    </row>
    <row r="163">
      <c r="A163" s="17" t="n"/>
      <c r="B163" s="18" t="n"/>
      <c r="C163" s="17" t="n"/>
      <c r="D163" s="17" t="n"/>
      <c r="E163" s="17" t="n"/>
      <c r="F163" s="17" t="n"/>
      <c r="G163" s="19" t="n"/>
      <c r="H163" s="17" t="n"/>
      <c r="I163" s="19" t="n"/>
      <c r="J163" s="17" t="n"/>
      <c r="K163" s="18" t="n"/>
      <c r="L163" s="18" t="n"/>
      <c r="M163" s="17" t="n"/>
      <c r="N163" s="17" t="n"/>
      <c r="O163" s="18" t="n"/>
      <c r="P163" s="18" t="n"/>
      <c r="Q163" s="17" t="n"/>
      <c r="R163" s="13">
        <f>IF(A163="","",N(G163)+N(I163))</f>
        <v/>
      </c>
      <c r="S163" s="12">
        <f>IF(OR(K163="",O163=""),"",O163-K163)</f>
        <v/>
      </c>
      <c r="T163" s="12">
        <f>IF(AND(C163="Cetak",L163&lt;&gt;"",L163&lt;TODAY()),"YA","")</f>
        <v/>
      </c>
      <c r="U163" s="12">
        <f>IF(B163="","",TEXT(B163,"yyyy-mm"))</f>
        <v/>
      </c>
    </row>
    <row r="164">
      <c r="A164" s="17" t="n"/>
      <c r="B164" s="18" t="n"/>
      <c r="C164" s="17" t="n"/>
      <c r="D164" s="17" t="n"/>
      <c r="E164" s="17" t="n"/>
      <c r="F164" s="17" t="n"/>
      <c r="G164" s="19" t="n"/>
      <c r="H164" s="17" t="n"/>
      <c r="I164" s="19" t="n"/>
      <c r="J164" s="17" t="n"/>
      <c r="K164" s="18" t="n"/>
      <c r="L164" s="18" t="n"/>
      <c r="M164" s="17" t="n"/>
      <c r="N164" s="17" t="n"/>
      <c r="O164" s="18" t="n"/>
      <c r="P164" s="18" t="n"/>
      <c r="Q164" s="17" t="n"/>
      <c r="R164" s="13">
        <f>IF(A164="","",N(G164)+N(I164))</f>
        <v/>
      </c>
      <c r="S164" s="12">
        <f>IF(OR(K164="",O164=""),"",O164-K164)</f>
        <v/>
      </c>
      <c r="T164" s="12">
        <f>IF(AND(C164="Cetak",L164&lt;&gt;"",L164&lt;TODAY()),"YA","")</f>
        <v/>
      </c>
      <c r="U164" s="12">
        <f>IF(B164="","",TEXT(B164,"yyyy-mm"))</f>
        <v/>
      </c>
    </row>
    <row r="165">
      <c r="A165" s="17" t="n"/>
      <c r="B165" s="18" t="n"/>
      <c r="C165" s="17" t="n"/>
      <c r="D165" s="17" t="n"/>
      <c r="E165" s="17" t="n"/>
      <c r="F165" s="17" t="n"/>
      <c r="G165" s="19" t="n"/>
      <c r="H165" s="17" t="n"/>
      <c r="I165" s="19" t="n"/>
      <c r="J165" s="17" t="n"/>
      <c r="K165" s="18" t="n"/>
      <c r="L165" s="18" t="n"/>
      <c r="M165" s="17" t="n"/>
      <c r="N165" s="17" t="n"/>
      <c r="O165" s="18" t="n"/>
      <c r="P165" s="18" t="n"/>
      <c r="Q165" s="17" t="n"/>
      <c r="R165" s="13">
        <f>IF(A165="","",N(G165)+N(I165))</f>
        <v/>
      </c>
      <c r="S165" s="12">
        <f>IF(OR(K165="",O165=""),"",O165-K165)</f>
        <v/>
      </c>
      <c r="T165" s="12">
        <f>IF(AND(C165="Cetak",L165&lt;&gt;"",L165&lt;TODAY()),"YA","")</f>
        <v/>
      </c>
      <c r="U165" s="12">
        <f>IF(B165="","",TEXT(B165,"yyyy-mm"))</f>
        <v/>
      </c>
    </row>
    <row r="166">
      <c r="A166" s="17" t="n"/>
      <c r="B166" s="18" t="n"/>
      <c r="C166" s="17" t="n"/>
      <c r="D166" s="17" t="n"/>
      <c r="E166" s="17" t="n"/>
      <c r="F166" s="17" t="n"/>
      <c r="G166" s="19" t="n"/>
      <c r="H166" s="17" t="n"/>
      <c r="I166" s="19" t="n"/>
      <c r="J166" s="17" t="n"/>
      <c r="K166" s="18" t="n"/>
      <c r="L166" s="18" t="n"/>
      <c r="M166" s="17" t="n"/>
      <c r="N166" s="17" t="n"/>
      <c r="O166" s="18" t="n"/>
      <c r="P166" s="18" t="n"/>
      <c r="Q166" s="17" t="n"/>
      <c r="R166" s="13">
        <f>IF(A166="","",N(G166)+N(I166))</f>
        <v/>
      </c>
      <c r="S166" s="12">
        <f>IF(OR(K166="",O166=""),"",O166-K166)</f>
        <v/>
      </c>
      <c r="T166" s="12">
        <f>IF(AND(C166="Cetak",L166&lt;&gt;"",L166&lt;TODAY()),"YA","")</f>
        <v/>
      </c>
      <c r="U166" s="12">
        <f>IF(B166="","",TEXT(B166,"yyyy-mm"))</f>
        <v/>
      </c>
    </row>
    <row r="167">
      <c r="A167" s="17" t="n"/>
      <c r="B167" s="18" t="n"/>
      <c r="C167" s="17" t="n"/>
      <c r="D167" s="17" t="n"/>
      <c r="E167" s="17" t="n"/>
      <c r="F167" s="17" t="n"/>
      <c r="G167" s="19" t="n"/>
      <c r="H167" s="17" t="n"/>
      <c r="I167" s="19" t="n"/>
      <c r="J167" s="17" t="n"/>
      <c r="K167" s="18" t="n"/>
      <c r="L167" s="18" t="n"/>
      <c r="M167" s="17" t="n"/>
      <c r="N167" s="17" t="n"/>
      <c r="O167" s="18" t="n"/>
      <c r="P167" s="18" t="n"/>
      <c r="Q167" s="17" t="n"/>
      <c r="R167" s="13">
        <f>IF(A167="","",N(G167)+N(I167))</f>
        <v/>
      </c>
      <c r="S167" s="12">
        <f>IF(OR(K167="",O167=""),"",O167-K167)</f>
        <v/>
      </c>
      <c r="T167" s="12">
        <f>IF(AND(C167="Cetak",L167&lt;&gt;"",L167&lt;TODAY()),"YA","")</f>
        <v/>
      </c>
      <c r="U167" s="12">
        <f>IF(B167="","",TEXT(B167,"yyyy-mm"))</f>
        <v/>
      </c>
    </row>
    <row r="168">
      <c r="A168" s="17" t="n"/>
      <c r="B168" s="18" t="n"/>
      <c r="C168" s="17" t="n"/>
      <c r="D168" s="17" t="n"/>
      <c r="E168" s="17" t="n"/>
      <c r="F168" s="17" t="n"/>
      <c r="G168" s="19" t="n"/>
      <c r="H168" s="17" t="n"/>
      <c r="I168" s="19" t="n"/>
      <c r="J168" s="17" t="n"/>
      <c r="K168" s="18" t="n"/>
      <c r="L168" s="18" t="n"/>
      <c r="M168" s="17" t="n"/>
      <c r="N168" s="17" t="n"/>
      <c r="O168" s="18" t="n"/>
      <c r="P168" s="18" t="n"/>
      <c r="Q168" s="17" t="n"/>
      <c r="R168" s="13">
        <f>IF(A168="","",N(G168)+N(I168))</f>
        <v/>
      </c>
      <c r="S168" s="12">
        <f>IF(OR(K168="",O168=""),"",O168-K168)</f>
        <v/>
      </c>
      <c r="T168" s="12">
        <f>IF(AND(C168="Cetak",L168&lt;&gt;"",L168&lt;TODAY()),"YA","")</f>
        <v/>
      </c>
      <c r="U168" s="12">
        <f>IF(B168="","",TEXT(B168,"yyyy-mm"))</f>
        <v/>
      </c>
    </row>
    <row r="169">
      <c r="A169" s="17" t="n"/>
      <c r="B169" s="18" t="n"/>
      <c r="C169" s="17" t="n"/>
      <c r="D169" s="17" t="n"/>
      <c r="E169" s="17" t="n"/>
      <c r="F169" s="17" t="n"/>
      <c r="G169" s="19" t="n"/>
      <c r="H169" s="17" t="n"/>
      <c r="I169" s="19" t="n"/>
      <c r="J169" s="17" t="n"/>
      <c r="K169" s="18" t="n"/>
      <c r="L169" s="18" t="n"/>
      <c r="M169" s="17" t="n"/>
      <c r="N169" s="17" t="n"/>
      <c r="O169" s="18" t="n"/>
      <c r="P169" s="18" t="n"/>
      <c r="Q169" s="17" t="n"/>
      <c r="R169" s="13">
        <f>IF(A169="","",N(G169)+N(I169))</f>
        <v/>
      </c>
      <c r="S169" s="12">
        <f>IF(OR(K169="",O169=""),"",O169-K169)</f>
        <v/>
      </c>
      <c r="T169" s="12">
        <f>IF(AND(C169="Cetak",L169&lt;&gt;"",L169&lt;TODAY()),"YA","")</f>
        <v/>
      </c>
      <c r="U169" s="12">
        <f>IF(B169="","",TEXT(B169,"yyyy-mm"))</f>
        <v/>
      </c>
    </row>
    <row r="170">
      <c r="A170" s="17" t="n"/>
      <c r="B170" s="18" t="n"/>
      <c r="C170" s="17" t="n"/>
      <c r="D170" s="17" t="n"/>
      <c r="E170" s="17" t="n"/>
      <c r="F170" s="17" t="n"/>
      <c r="G170" s="19" t="n"/>
      <c r="H170" s="17" t="n"/>
      <c r="I170" s="19" t="n"/>
      <c r="J170" s="17" t="n"/>
      <c r="K170" s="18" t="n"/>
      <c r="L170" s="18" t="n"/>
      <c r="M170" s="17" t="n"/>
      <c r="N170" s="17" t="n"/>
      <c r="O170" s="18" t="n"/>
      <c r="P170" s="18" t="n"/>
      <c r="Q170" s="17" t="n"/>
      <c r="R170" s="13">
        <f>IF(A170="","",N(G170)+N(I170))</f>
        <v/>
      </c>
      <c r="S170" s="12">
        <f>IF(OR(K170="",O170=""),"",O170-K170)</f>
        <v/>
      </c>
      <c r="T170" s="12">
        <f>IF(AND(C170="Cetak",L170&lt;&gt;"",L170&lt;TODAY()),"YA","")</f>
        <v/>
      </c>
      <c r="U170" s="12">
        <f>IF(B170="","",TEXT(B170,"yyyy-mm"))</f>
        <v/>
      </c>
    </row>
    <row r="171">
      <c r="A171" s="17" t="n"/>
      <c r="B171" s="18" t="n"/>
      <c r="C171" s="17" t="n"/>
      <c r="D171" s="17" t="n"/>
      <c r="E171" s="17" t="n"/>
      <c r="F171" s="17" t="n"/>
      <c r="G171" s="19" t="n"/>
      <c r="H171" s="17" t="n"/>
      <c r="I171" s="19" t="n"/>
      <c r="J171" s="17" t="n"/>
      <c r="K171" s="18" t="n"/>
      <c r="L171" s="18" t="n"/>
      <c r="M171" s="17" t="n"/>
      <c r="N171" s="17" t="n"/>
      <c r="O171" s="18" t="n"/>
      <c r="P171" s="18" t="n"/>
      <c r="Q171" s="17" t="n"/>
      <c r="R171" s="13">
        <f>IF(A171="","",N(G171)+N(I171))</f>
        <v/>
      </c>
      <c r="S171" s="12">
        <f>IF(OR(K171="",O171=""),"",O171-K171)</f>
        <v/>
      </c>
      <c r="T171" s="12">
        <f>IF(AND(C171="Cetak",L171&lt;&gt;"",L171&lt;TODAY()),"YA","")</f>
        <v/>
      </c>
      <c r="U171" s="12">
        <f>IF(B171="","",TEXT(B171,"yyyy-mm"))</f>
        <v/>
      </c>
    </row>
    <row r="172">
      <c r="A172" s="17" t="n"/>
      <c r="B172" s="18" t="n"/>
      <c r="C172" s="17" t="n"/>
      <c r="D172" s="17" t="n"/>
      <c r="E172" s="17" t="n"/>
      <c r="F172" s="17" t="n"/>
      <c r="G172" s="19" t="n"/>
      <c r="H172" s="17" t="n"/>
      <c r="I172" s="19" t="n"/>
      <c r="J172" s="17" t="n"/>
      <c r="K172" s="18" t="n"/>
      <c r="L172" s="18" t="n"/>
      <c r="M172" s="17" t="n"/>
      <c r="N172" s="17" t="n"/>
      <c r="O172" s="18" t="n"/>
      <c r="P172" s="18" t="n"/>
      <c r="Q172" s="17" t="n"/>
      <c r="R172" s="13">
        <f>IF(A172="","",N(G172)+N(I172))</f>
        <v/>
      </c>
      <c r="S172" s="12">
        <f>IF(OR(K172="",O172=""),"",O172-K172)</f>
        <v/>
      </c>
      <c r="T172" s="12">
        <f>IF(AND(C172="Cetak",L172&lt;&gt;"",L172&lt;TODAY()),"YA","")</f>
        <v/>
      </c>
      <c r="U172" s="12">
        <f>IF(B172="","",TEXT(B172,"yyyy-mm"))</f>
        <v/>
      </c>
    </row>
    <row r="173">
      <c r="A173" s="17" t="n"/>
      <c r="B173" s="18" t="n"/>
      <c r="C173" s="17" t="n"/>
      <c r="D173" s="17" t="n"/>
      <c r="E173" s="17" t="n"/>
      <c r="F173" s="17" t="n"/>
      <c r="G173" s="19" t="n"/>
      <c r="H173" s="17" t="n"/>
      <c r="I173" s="19" t="n"/>
      <c r="J173" s="17" t="n"/>
      <c r="K173" s="18" t="n"/>
      <c r="L173" s="18" t="n"/>
      <c r="M173" s="17" t="n"/>
      <c r="N173" s="17" t="n"/>
      <c r="O173" s="18" t="n"/>
      <c r="P173" s="18" t="n"/>
      <c r="Q173" s="17" t="n"/>
      <c r="R173" s="13">
        <f>IF(A173="","",N(G173)+N(I173))</f>
        <v/>
      </c>
      <c r="S173" s="12">
        <f>IF(OR(K173="",O173=""),"",O173-K173)</f>
        <v/>
      </c>
      <c r="T173" s="12">
        <f>IF(AND(C173="Cetak",L173&lt;&gt;"",L173&lt;TODAY()),"YA","")</f>
        <v/>
      </c>
      <c r="U173" s="12">
        <f>IF(B173="","",TEXT(B173,"yyyy-mm"))</f>
        <v/>
      </c>
    </row>
    <row r="174">
      <c r="A174" s="17" t="n"/>
      <c r="B174" s="18" t="n"/>
      <c r="C174" s="17" t="n"/>
      <c r="D174" s="17" t="n"/>
      <c r="E174" s="17" t="n"/>
      <c r="F174" s="17" t="n"/>
      <c r="G174" s="19" t="n"/>
      <c r="H174" s="17" t="n"/>
      <c r="I174" s="19" t="n"/>
      <c r="J174" s="17" t="n"/>
      <c r="K174" s="18" t="n"/>
      <c r="L174" s="18" t="n"/>
      <c r="M174" s="17" t="n"/>
      <c r="N174" s="17" t="n"/>
      <c r="O174" s="18" t="n"/>
      <c r="P174" s="18" t="n"/>
      <c r="Q174" s="17" t="n"/>
      <c r="R174" s="13">
        <f>IF(A174="","",N(G174)+N(I174))</f>
        <v/>
      </c>
      <c r="S174" s="12">
        <f>IF(OR(K174="",O174=""),"",O174-K174)</f>
        <v/>
      </c>
      <c r="T174" s="12">
        <f>IF(AND(C174="Cetak",L174&lt;&gt;"",L174&lt;TODAY()),"YA","")</f>
        <v/>
      </c>
      <c r="U174" s="12">
        <f>IF(B174="","",TEXT(B174,"yyyy-mm"))</f>
        <v/>
      </c>
    </row>
    <row r="175">
      <c r="A175" s="17" t="n"/>
      <c r="B175" s="18" t="n"/>
      <c r="C175" s="17" t="n"/>
      <c r="D175" s="17" t="n"/>
      <c r="E175" s="17" t="n"/>
      <c r="F175" s="17" t="n"/>
      <c r="G175" s="19" t="n"/>
      <c r="H175" s="17" t="n"/>
      <c r="I175" s="19" t="n"/>
      <c r="J175" s="17" t="n"/>
      <c r="K175" s="18" t="n"/>
      <c r="L175" s="18" t="n"/>
      <c r="M175" s="17" t="n"/>
      <c r="N175" s="17" t="n"/>
      <c r="O175" s="18" t="n"/>
      <c r="P175" s="18" t="n"/>
      <c r="Q175" s="17" t="n"/>
      <c r="R175" s="13">
        <f>IF(A175="","",N(G175)+N(I175))</f>
        <v/>
      </c>
      <c r="S175" s="12">
        <f>IF(OR(K175="",O175=""),"",O175-K175)</f>
        <v/>
      </c>
      <c r="T175" s="12">
        <f>IF(AND(C175="Cetak",L175&lt;&gt;"",L175&lt;TODAY()),"YA","")</f>
        <v/>
      </c>
      <c r="U175" s="12">
        <f>IF(B175="","",TEXT(B175,"yyyy-mm"))</f>
        <v/>
      </c>
    </row>
    <row r="176">
      <c r="A176" s="17" t="n"/>
      <c r="B176" s="18" t="n"/>
      <c r="C176" s="17" t="n"/>
      <c r="D176" s="17" t="n"/>
      <c r="E176" s="17" t="n"/>
      <c r="F176" s="17" t="n"/>
      <c r="G176" s="19" t="n"/>
      <c r="H176" s="17" t="n"/>
      <c r="I176" s="19" t="n"/>
      <c r="J176" s="17" t="n"/>
      <c r="K176" s="18" t="n"/>
      <c r="L176" s="18" t="n"/>
      <c r="M176" s="17" t="n"/>
      <c r="N176" s="17" t="n"/>
      <c r="O176" s="18" t="n"/>
      <c r="P176" s="18" t="n"/>
      <c r="Q176" s="17" t="n"/>
      <c r="R176" s="13">
        <f>IF(A176="","",N(G176)+N(I176))</f>
        <v/>
      </c>
      <c r="S176" s="12">
        <f>IF(OR(K176="",O176=""),"",O176-K176)</f>
        <v/>
      </c>
      <c r="T176" s="12">
        <f>IF(AND(C176="Cetak",L176&lt;&gt;"",L176&lt;TODAY()),"YA","")</f>
        <v/>
      </c>
      <c r="U176" s="12">
        <f>IF(B176="","",TEXT(B176,"yyyy-mm"))</f>
        <v/>
      </c>
    </row>
    <row r="177">
      <c r="A177" s="17" t="n"/>
      <c r="B177" s="18" t="n"/>
      <c r="C177" s="17" t="n"/>
      <c r="D177" s="17" t="n"/>
      <c r="E177" s="17" t="n"/>
      <c r="F177" s="17" t="n"/>
      <c r="G177" s="19" t="n"/>
      <c r="H177" s="17" t="n"/>
      <c r="I177" s="19" t="n"/>
      <c r="J177" s="17" t="n"/>
      <c r="K177" s="18" t="n"/>
      <c r="L177" s="18" t="n"/>
      <c r="M177" s="17" t="n"/>
      <c r="N177" s="17" t="n"/>
      <c r="O177" s="18" t="n"/>
      <c r="P177" s="18" t="n"/>
      <c r="Q177" s="17" t="n"/>
      <c r="R177" s="13">
        <f>IF(A177="","",N(G177)+N(I177))</f>
        <v/>
      </c>
      <c r="S177" s="12">
        <f>IF(OR(K177="",O177=""),"",O177-K177)</f>
        <v/>
      </c>
      <c r="T177" s="12">
        <f>IF(AND(C177="Cetak",L177&lt;&gt;"",L177&lt;TODAY()),"YA","")</f>
        <v/>
      </c>
      <c r="U177" s="12">
        <f>IF(B177="","",TEXT(B177,"yyyy-mm"))</f>
        <v/>
      </c>
    </row>
    <row r="178">
      <c r="A178" s="17" t="n"/>
      <c r="B178" s="18" t="n"/>
      <c r="C178" s="17" t="n"/>
      <c r="D178" s="17" t="n"/>
      <c r="E178" s="17" t="n"/>
      <c r="F178" s="17" t="n"/>
      <c r="G178" s="19" t="n"/>
      <c r="H178" s="17" t="n"/>
      <c r="I178" s="19" t="n"/>
      <c r="J178" s="17" t="n"/>
      <c r="K178" s="18" t="n"/>
      <c r="L178" s="18" t="n"/>
      <c r="M178" s="17" t="n"/>
      <c r="N178" s="17" t="n"/>
      <c r="O178" s="18" t="n"/>
      <c r="P178" s="18" t="n"/>
      <c r="Q178" s="17" t="n"/>
      <c r="R178" s="13">
        <f>IF(A178="","",N(G178)+N(I178))</f>
        <v/>
      </c>
      <c r="S178" s="12">
        <f>IF(OR(K178="",O178=""),"",O178-K178)</f>
        <v/>
      </c>
      <c r="T178" s="12">
        <f>IF(AND(C178="Cetak",L178&lt;&gt;"",L178&lt;TODAY()),"YA","")</f>
        <v/>
      </c>
      <c r="U178" s="12">
        <f>IF(B178="","",TEXT(B178,"yyyy-mm"))</f>
        <v/>
      </c>
    </row>
    <row r="179">
      <c r="A179" s="17" t="n"/>
      <c r="B179" s="18" t="n"/>
      <c r="C179" s="17" t="n"/>
      <c r="D179" s="17" t="n"/>
      <c r="E179" s="17" t="n"/>
      <c r="F179" s="17" t="n"/>
      <c r="G179" s="19" t="n"/>
      <c r="H179" s="17" t="n"/>
      <c r="I179" s="19" t="n"/>
      <c r="J179" s="17" t="n"/>
      <c r="K179" s="18" t="n"/>
      <c r="L179" s="18" t="n"/>
      <c r="M179" s="17" t="n"/>
      <c r="N179" s="17" t="n"/>
      <c r="O179" s="18" t="n"/>
      <c r="P179" s="18" t="n"/>
      <c r="Q179" s="17" t="n"/>
      <c r="R179" s="13">
        <f>IF(A179="","",N(G179)+N(I179))</f>
        <v/>
      </c>
      <c r="S179" s="12">
        <f>IF(OR(K179="",O179=""),"",O179-K179)</f>
        <v/>
      </c>
      <c r="T179" s="12">
        <f>IF(AND(C179="Cetak",L179&lt;&gt;"",L179&lt;TODAY()),"YA","")</f>
        <v/>
      </c>
      <c r="U179" s="12">
        <f>IF(B179="","",TEXT(B179,"yyyy-mm"))</f>
        <v/>
      </c>
    </row>
    <row r="180">
      <c r="A180" s="17" t="n"/>
      <c r="B180" s="18" t="n"/>
      <c r="C180" s="17" t="n"/>
      <c r="D180" s="17" t="n"/>
      <c r="E180" s="17" t="n"/>
      <c r="F180" s="17" t="n"/>
      <c r="G180" s="19" t="n"/>
      <c r="H180" s="17" t="n"/>
      <c r="I180" s="19" t="n"/>
      <c r="J180" s="17" t="n"/>
      <c r="K180" s="18" t="n"/>
      <c r="L180" s="18" t="n"/>
      <c r="M180" s="17" t="n"/>
      <c r="N180" s="17" t="n"/>
      <c r="O180" s="18" t="n"/>
      <c r="P180" s="18" t="n"/>
      <c r="Q180" s="17" t="n"/>
      <c r="R180" s="13">
        <f>IF(A180="","",N(G180)+N(I180))</f>
        <v/>
      </c>
      <c r="S180" s="12">
        <f>IF(OR(K180="",O180=""),"",O180-K180)</f>
        <v/>
      </c>
      <c r="T180" s="12">
        <f>IF(AND(C180="Cetak",L180&lt;&gt;"",L180&lt;TODAY()),"YA","")</f>
        <v/>
      </c>
      <c r="U180" s="12">
        <f>IF(B180="","",TEXT(B180,"yyyy-mm"))</f>
        <v/>
      </c>
    </row>
    <row r="181">
      <c r="A181" s="17" t="n"/>
      <c r="B181" s="18" t="n"/>
      <c r="C181" s="17" t="n"/>
      <c r="D181" s="17" t="n"/>
      <c r="E181" s="17" t="n"/>
      <c r="F181" s="17" t="n"/>
      <c r="G181" s="19" t="n"/>
      <c r="H181" s="17" t="n"/>
      <c r="I181" s="19" t="n"/>
      <c r="J181" s="17" t="n"/>
      <c r="K181" s="18" t="n"/>
      <c r="L181" s="18" t="n"/>
      <c r="M181" s="17" t="n"/>
      <c r="N181" s="17" t="n"/>
      <c r="O181" s="18" t="n"/>
      <c r="P181" s="18" t="n"/>
      <c r="Q181" s="17" t="n"/>
      <c r="R181" s="13">
        <f>IF(A181="","",N(G181)+N(I181))</f>
        <v/>
      </c>
      <c r="S181" s="12">
        <f>IF(OR(K181="",O181=""),"",O181-K181)</f>
        <v/>
      </c>
      <c r="T181" s="12">
        <f>IF(AND(C181="Cetak",L181&lt;&gt;"",L181&lt;TODAY()),"YA","")</f>
        <v/>
      </c>
      <c r="U181" s="12">
        <f>IF(B181="","",TEXT(B181,"yyyy-mm"))</f>
        <v/>
      </c>
    </row>
    <row r="182">
      <c r="A182" s="17" t="n"/>
      <c r="B182" s="18" t="n"/>
      <c r="C182" s="17" t="n"/>
      <c r="D182" s="17" t="n"/>
      <c r="E182" s="17" t="n"/>
      <c r="F182" s="17" t="n"/>
      <c r="G182" s="19" t="n"/>
      <c r="H182" s="17" t="n"/>
      <c r="I182" s="19" t="n"/>
      <c r="J182" s="17" t="n"/>
      <c r="K182" s="18" t="n"/>
      <c r="L182" s="18" t="n"/>
      <c r="M182" s="17" t="n"/>
      <c r="N182" s="17" t="n"/>
      <c r="O182" s="18" t="n"/>
      <c r="P182" s="18" t="n"/>
      <c r="Q182" s="17" t="n"/>
      <c r="R182" s="13">
        <f>IF(A182="","",N(G182)+N(I182))</f>
        <v/>
      </c>
      <c r="S182" s="12">
        <f>IF(OR(K182="",O182=""),"",O182-K182)</f>
        <v/>
      </c>
      <c r="T182" s="12">
        <f>IF(AND(C182="Cetak",L182&lt;&gt;"",L182&lt;TODAY()),"YA","")</f>
        <v/>
      </c>
      <c r="U182" s="12">
        <f>IF(B182="","",TEXT(B182,"yyyy-mm"))</f>
        <v/>
      </c>
    </row>
    <row r="183">
      <c r="A183" s="17" t="n"/>
      <c r="B183" s="18" t="n"/>
      <c r="C183" s="17" t="n"/>
      <c r="D183" s="17" t="n"/>
      <c r="E183" s="17" t="n"/>
      <c r="F183" s="17" t="n"/>
      <c r="G183" s="19" t="n"/>
      <c r="H183" s="17" t="n"/>
      <c r="I183" s="19" t="n"/>
      <c r="J183" s="17" t="n"/>
      <c r="K183" s="18" t="n"/>
      <c r="L183" s="18" t="n"/>
      <c r="M183" s="17" t="n"/>
      <c r="N183" s="17" t="n"/>
      <c r="O183" s="18" t="n"/>
      <c r="P183" s="18" t="n"/>
      <c r="Q183" s="17" t="n"/>
      <c r="R183" s="13">
        <f>IF(A183="","",N(G183)+N(I183))</f>
        <v/>
      </c>
      <c r="S183" s="12">
        <f>IF(OR(K183="",O183=""),"",O183-K183)</f>
        <v/>
      </c>
      <c r="T183" s="12">
        <f>IF(AND(C183="Cetak",L183&lt;&gt;"",L183&lt;TODAY()),"YA","")</f>
        <v/>
      </c>
      <c r="U183" s="12">
        <f>IF(B183="","",TEXT(B183,"yyyy-mm"))</f>
        <v/>
      </c>
    </row>
    <row r="184">
      <c r="A184" s="17" t="n"/>
      <c r="B184" s="18" t="n"/>
      <c r="C184" s="17" t="n"/>
      <c r="D184" s="17" t="n"/>
      <c r="E184" s="17" t="n"/>
      <c r="F184" s="17" t="n"/>
      <c r="G184" s="19" t="n"/>
      <c r="H184" s="17" t="n"/>
      <c r="I184" s="19" t="n"/>
      <c r="J184" s="17" t="n"/>
      <c r="K184" s="18" t="n"/>
      <c r="L184" s="18" t="n"/>
      <c r="M184" s="17" t="n"/>
      <c r="N184" s="17" t="n"/>
      <c r="O184" s="18" t="n"/>
      <c r="P184" s="18" t="n"/>
      <c r="Q184" s="17" t="n"/>
      <c r="R184" s="13">
        <f>IF(A184="","",N(G184)+N(I184))</f>
        <v/>
      </c>
      <c r="S184" s="12">
        <f>IF(OR(K184="",O184=""),"",O184-K184)</f>
        <v/>
      </c>
      <c r="T184" s="12">
        <f>IF(AND(C184="Cetak",L184&lt;&gt;"",L184&lt;TODAY()),"YA","")</f>
        <v/>
      </c>
      <c r="U184" s="12">
        <f>IF(B184="","",TEXT(B184,"yyyy-mm"))</f>
        <v/>
      </c>
    </row>
    <row r="185">
      <c r="A185" s="17" t="n"/>
      <c r="B185" s="18" t="n"/>
      <c r="C185" s="17" t="n"/>
      <c r="D185" s="17" t="n"/>
      <c r="E185" s="17" t="n"/>
      <c r="F185" s="17" t="n"/>
      <c r="G185" s="19" t="n"/>
      <c r="H185" s="17" t="n"/>
      <c r="I185" s="19" t="n"/>
      <c r="J185" s="17" t="n"/>
      <c r="K185" s="18" t="n"/>
      <c r="L185" s="18" t="n"/>
      <c r="M185" s="17" t="n"/>
      <c r="N185" s="17" t="n"/>
      <c r="O185" s="18" t="n"/>
      <c r="P185" s="18" t="n"/>
      <c r="Q185" s="17" t="n"/>
      <c r="R185" s="13">
        <f>IF(A185="","",N(G185)+N(I185))</f>
        <v/>
      </c>
      <c r="S185" s="12">
        <f>IF(OR(K185="",O185=""),"",O185-K185)</f>
        <v/>
      </c>
      <c r="T185" s="12">
        <f>IF(AND(C185="Cetak",L185&lt;&gt;"",L185&lt;TODAY()),"YA","")</f>
        <v/>
      </c>
      <c r="U185" s="12">
        <f>IF(B185="","",TEXT(B185,"yyyy-mm"))</f>
        <v/>
      </c>
    </row>
    <row r="186">
      <c r="A186" s="17" t="n"/>
      <c r="B186" s="18" t="n"/>
      <c r="C186" s="17" t="n"/>
      <c r="D186" s="17" t="n"/>
      <c r="E186" s="17" t="n"/>
      <c r="F186" s="17" t="n"/>
      <c r="G186" s="19" t="n"/>
      <c r="H186" s="17" t="n"/>
      <c r="I186" s="19" t="n"/>
      <c r="J186" s="17" t="n"/>
      <c r="K186" s="18" t="n"/>
      <c r="L186" s="18" t="n"/>
      <c r="M186" s="17" t="n"/>
      <c r="N186" s="17" t="n"/>
      <c r="O186" s="18" t="n"/>
      <c r="P186" s="18" t="n"/>
      <c r="Q186" s="17" t="n"/>
      <c r="R186" s="13">
        <f>IF(A186="","",N(G186)+N(I186))</f>
        <v/>
      </c>
      <c r="S186" s="12">
        <f>IF(OR(K186="",O186=""),"",O186-K186)</f>
        <v/>
      </c>
      <c r="T186" s="12">
        <f>IF(AND(C186="Cetak",L186&lt;&gt;"",L186&lt;TODAY()),"YA","")</f>
        <v/>
      </c>
      <c r="U186" s="12">
        <f>IF(B186="","",TEXT(B186,"yyyy-mm"))</f>
        <v/>
      </c>
    </row>
    <row r="187">
      <c r="A187" s="17" t="n"/>
      <c r="B187" s="18" t="n"/>
      <c r="C187" s="17" t="n"/>
      <c r="D187" s="17" t="n"/>
      <c r="E187" s="17" t="n"/>
      <c r="F187" s="17" t="n"/>
      <c r="G187" s="19" t="n"/>
      <c r="H187" s="17" t="n"/>
      <c r="I187" s="19" t="n"/>
      <c r="J187" s="17" t="n"/>
      <c r="K187" s="18" t="n"/>
      <c r="L187" s="18" t="n"/>
      <c r="M187" s="17" t="n"/>
      <c r="N187" s="17" t="n"/>
      <c r="O187" s="18" t="n"/>
      <c r="P187" s="18" t="n"/>
      <c r="Q187" s="17" t="n"/>
      <c r="R187" s="13">
        <f>IF(A187="","",N(G187)+N(I187))</f>
        <v/>
      </c>
      <c r="S187" s="12">
        <f>IF(OR(K187="",O187=""),"",O187-K187)</f>
        <v/>
      </c>
      <c r="T187" s="12">
        <f>IF(AND(C187="Cetak",L187&lt;&gt;"",L187&lt;TODAY()),"YA","")</f>
        <v/>
      </c>
      <c r="U187" s="12">
        <f>IF(B187="","",TEXT(B187,"yyyy-mm"))</f>
        <v/>
      </c>
    </row>
    <row r="188">
      <c r="A188" s="17" t="n"/>
      <c r="B188" s="18" t="n"/>
      <c r="C188" s="17" t="n"/>
      <c r="D188" s="17" t="n"/>
      <c r="E188" s="17" t="n"/>
      <c r="F188" s="17" t="n"/>
      <c r="G188" s="19" t="n"/>
      <c r="H188" s="17" t="n"/>
      <c r="I188" s="19" t="n"/>
      <c r="J188" s="17" t="n"/>
      <c r="K188" s="18" t="n"/>
      <c r="L188" s="18" t="n"/>
      <c r="M188" s="17" t="n"/>
      <c r="N188" s="17" t="n"/>
      <c r="O188" s="18" t="n"/>
      <c r="P188" s="18" t="n"/>
      <c r="Q188" s="17" t="n"/>
      <c r="R188" s="13">
        <f>IF(A188="","",N(G188)+N(I188))</f>
        <v/>
      </c>
      <c r="S188" s="12">
        <f>IF(OR(K188="",O188=""),"",O188-K188)</f>
        <v/>
      </c>
      <c r="T188" s="12">
        <f>IF(AND(C188="Cetak",L188&lt;&gt;"",L188&lt;TODAY()),"YA","")</f>
        <v/>
      </c>
      <c r="U188" s="12">
        <f>IF(B188="","",TEXT(B188,"yyyy-mm"))</f>
        <v/>
      </c>
    </row>
    <row r="189">
      <c r="A189" s="17" t="n"/>
      <c r="B189" s="18" t="n"/>
      <c r="C189" s="17" t="n"/>
      <c r="D189" s="17" t="n"/>
      <c r="E189" s="17" t="n"/>
      <c r="F189" s="17" t="n"/>
      <c r="G189" s="19" t="n"/>
      <c r="H189" s="17" t="n"/>
      <c r="I189" s="19" t="n"/>
      <c r="J189" s="17" t="n"/>
      <c r="K189" s="18" t="n"/>
      <c r="L189" s="18" t="n"/>
      <c r="M189" s="17" t="n"/>
      <c r="N189" s="17" t="n"/>
      <c r="O189" s="18" t="n"/>
      <c r="P189" s="18" t="n"/>
      <c r="Q189" s="17" t="n"/>
      <c r="R189" s="13">
        <f>IF(A189="","",N(G189)+N(I189))</f>
        <v/>
      </c>
      <c r="S189" s="12">
        <f>IF(OR(K189="",O189=""),"",O189-K189)</f>
        <v/>
      </c>
      <c r="T189" s="12">
        <f>IF(AND(C189="Cetak",L189&lt;&gt;"",L189&lt;TODAY()),"YA","")</f>
        <v/>
      </c>
      <c r="U189" s="12">
        <f>IF(B189="","",TEXT(B189,"yyyy-mm"))</f>
        <v/>
      </c>
    </row>
    <row r="190">
      <c r="A190" s="17" t="n"/>
      <c r="B190" s="18" t="n"/>
      <c r="C190" s="17" t="n"/>
      <c r="D190" s="17" t="n"/>
      <c r="E190" s="17" t="n"/>
      <c r="F190" s="17" t="n"/>
      <c r="G190" s="19" t="n"/>
      <c r="H190" s="17" t="n"/>
      <c r="I190" s="19" t="n"/>
      <c r="J190" s="17" t="n"/>
      <c r="K190" s="18" t="n"/>
      <c r="L190" s="18" t="n"/>
      <c r="M190" s="17" t="n"/>
      <c r="N190" s="17" t="n"/>
      <c r="O190" s="18" t="n"/>
      <c r="P190" s="18" t="n"/>
      <c r="Q190" s="17" t="n"/>
      <c r="R190" s="13">
        <f>IF(A190="","",N(G190)+N(I190))</f>
        <v/>
      </c>
      <c r="S190" s="12">
        <f>IF(OR(K190="",O190=""),"",O190-K190)</f>
        <v/>
      </c>
      <c r="T190" s="12">
        <f>IF(AND(C190="Cetak",L190&lt;&gt;"",L190&lt;TODAY()),"YA","")</f>
        <v/>
      </c>
      <c r="U190" s="12">
        <f>IF(B190="","",TEXT(B190,"yyyy-mm"))</f>
        <v/>
      </c>
    </row>
    <row r="191">
      <c r="A191" s="17" t="n"/>
      <c r="B191" s="18" t="n"/>
      <c r="C191" s="17" t="n"/>
      <c r="D191" s="17" t="n"/>
      <c r="E191" s="17" t="n"/>
      <c r="F191" s="17" t="n"/>
      <c r="G191" s="19" t="n"/>
      <c r="H191" s="17" t="n"/>
      <c r="I191" s="19" t="n"/>
      <c r="J191" s="17" t="n"/>
      <c r="K191" s="18" t="n"/>
      <c r="L191" s="18" t="n"/>
      <c r="M191" s="17" t="n"/>
      <c r="N191" s="17" t="n"/>
      <c r="O191" s="18" t="n"/>
      <c r="P191" s="18" t="n"/>
      <c r="Q191" s="17" t="n"/>
      <c r="R191" s="13">
        <f>IF(A191="","",N(G191)+N(I191))</f>
        <v/>
      </c>
      <c r="S191" s="12">
        <f>IF(OR(K191="",O191=""),"",O191-K191)</f>
        <v/>
      </c>
      <c r="T191" s="12">
        <f>IF(AND(C191="Cetak",L191&lt;&gt;"",L191&lt;TODAY()),"YA","")</f>
        <v/>
      </c>
      <c r="U191" s="12">
        <f>IF(B191="","",TEXT(B191,"yyyy-mm"))</f>
        <v/>
      </c>
    </row>
    <row r="192">
      <c r="A192" s="17" t="n"/>
      <c r="B192" s="18" t="n"/>
      <c r="C192" s="17" t="n"/>
      <c r="D192" s="17" t="n"/>
      <c r="E192" s="17" t="n"/>
      <c r="F192" s="17" t="n"/>
      <c r="G192" s="19" t="n"/>
      <c r="H192" s="17" t="n"/>
      <c r="I192" s="19" t="n"/>
      <c r="J192" s="17" t="n"/>
      <c r="K192" s="18" t="n"/>
      <c r="L192" s="18" t="n"/>
      <c r="M192" s="17" t="n"/>
      <c r="N192" s="17" t="n"/>
      <c r="O192" s="18" t="n"/>
      <c r="P192" s="18" t="n"/>
      <c r="Q192" s="17" t="n"/>
      <c r="R192" s="13">
        <f>IF(A192="","",N(G192)+N(I192))</f>
        <v/>
      </c>
      <c r="S192" s="12">
        <f>IF(OR(K192="",O192=""),"",O192-K192)</f>
        <v/>
      </c>
      <c r="T192" s="12">
        <f>IF(AND(C192="Cetak",L192&lt;&gt;"",L192&lt;TODAY()),"YA","")</f>
        <v/>
      </c>
      <c r="U192" s="12">
        <f>IF(B192="","",TEXT(B192,"yyyy-mm"))</f>
        <v/>
      </c>
    </row>
    <row r="193">
      <c r="A193" s="17" t="n"/>
      <c r="B193" s="18" t="n"/>
      <c r="C193" s="17" t="n"/>
      <c r="D193" s="17" t="n"/>
      <c r="E193" s="17" t="n"/>
      <c r="F193" s="17" t="n"/>
      <c r="G193" s="19" t="n"/>
      <c r="H193" s="17" t="n"/>
      <c r="I193" s="19" t="n"/>
      <c r="J193" s="17" t="n"/>
      <c r="K193" s="18" t="n"/>
      <c r="L193" s="18" t="n"/>
      <c r="M193" s="17" t="n"/>
      <c r="N193" s="17" t="n"/>
      <c r="O193" s="18" t="n"/>
      <c r="P193" s="18" t="n"/>
      <c r="Q193" s="17" t="n"/>
      <c r="R193" s="13">
        <f>IF(A193="","",N(G193)+N(I193))</f>
        <v/>
      </c>
      <c r="S193" s="12">
        <f>IF(OR(K193="",O193=""),"",O193-K193)</f>
        <v/>
      </c>
      <c r="T193" s="12">
        <f>IF(AND(C193="Cetak",L193&lt;&gt;"",L193&lt;TODAY()),"YA","")</f>
        <v/>
      </c>
      <c r="U193" s="12">
        <f>IF(B193="","",TEXT(B193,"yyyy-mm"))</f>
        <v/>
      </c>
    </row>
    <row r="194">
      <c r="A194" s="17" t="n"/>
      <c r="B194" s="18" t="n"/>
      <c r="C194" s="17" t="n"/>
      <c r="D194" s="17" t="n"/>
      <c r="E194" s="17" t="n"/>
      <c r="F194" s="17" t="n"/>
      <c r="G194" s="19" t="n"/>
      <c r="H194" s="17" t="n"/>
      <c r="I194" s="19" t="n"/>
      <c r="J194" s="17" t="n"/>
      <c r="K194" s="18" t="n"/>
      <c r="L194" s="18" t="n"/>
      <c r="M194" s="17" t="n"/>
      <c r="N194" s="17" t="n"/>
      <c r="O194" s="18" t="n"/>
      <c r="P194" s="18" t="n"/>
      <c r="Q194" s="17" t="n"/>
      <c r="R194" s="13">
        <f>IF(A194="","",N(G194)+N(I194))</f>
        <v/>
      </c>
      <c r="S194" s="12">
        <f>IF(OR(K194="",O194=""),"",O194-K194)</f>
        <v/>
      </c>
      <c r="T194" s="12">
        <f>IF(AND(C194="Cetak",L194&lt;&gt;"",L194&lt;TODAY()),"YA","")</f>
        <v/>
      </c>
      <c r="U194" s="12">
        <f>IF(B194="","",TEXT(B194,"yyyy-mm"))</f>
        <v/>
      </c>
    </row>
    <row r="195">
      <c r="A195" s="17" t="n"/>
      <c r="B195" s="18" t="n"/>
      <c r="C195" s="17" t="n"/>
      <c r="D195" s="17" t="n"/>
      <c r="E195" s="17" t="n"/>
      <c r="F195" s="17" t="n"/>
      <c r="G195" s="19" t="n"/>
      <c r="H195" s="17" t="n"/>
      <c r="I195" s="19" t="n"/>
      <c r="J195" s="17" t="n"/>
      <c r="K195" s="18" t="n"/>
      <c r="L195" s="18" t="n"/>
      <c r="M195" s="17" t="n"/>
      <c r="N195" s="17" t="n"/>
      <c r="O195" s="18" t="n"/>
      <c r="P195" s="18" t="n"/>
      <c r="Q195" s="17" t="n"/>
      <c r="R195" s="13">
        <f>IF(A195="","",N(G195)+N(I195))</f>
        <v/>
      </c>
      <c r="S195" s="12">
        <f>IF(OR(K195="",O195=""),"",O195-K195)</f>
        <v/>
      </c>
      <c r="T195" s="12">
        <f>IF(AND(C195="Cetak",L195&lt;&gt;"",L195&lt;TODAY()),"YA","")</f>
        <v/>
      </c>
      <c r="U195" s="12">
        <f>IF(B195="","",TEXT(B195,"yyyy-mm"))</f>
        <v/>
      </c>
    </row>
    <row r="196">
      <c r="A196" s="17" t="n"/>
      <c r="B196" s="18" t="n"/>
      <c r="C196" s="17" t="n"/>
      <c r="D196" s="17" t="n"/>
      <c r="E196" s="17" t="n"/>
      <c r="F196" s="17" t="n"/>
      <c r="G196" s="19" t="n"/>
      <c r="H196" s="17" t="n"/>
      <c r="I196" s="19" t="n"/>
      <c r="J196" s="17" t="n"/>
      <c r="K196" s="18" t="n"/>
      <c r="L196" s="18" t="n"/>
      <c r="M196" s="17" t="n"/>
      <c r="N196" s="17" t="n"/>
      <c r="O196" s="18" t="n"/>
      <c r="P196" s="18" t="n"/>
      <c r="Q196" s="17" t="n"/>
      <c r="R196" s="13">
        <f>IF(A196="","",N(G196)+N(I196))</f>
        <v/>
      </c>
      <c r="S196" s="12">
        <f>IF(OR(K196="",O196=""),"",O196-K196)</f>
        <v/>
      </c>
      <c r="T196" s="12">
        <f>IF(AND(C196="Cetak",L196&lt;&gt;"",L196&lt;TODAY()),"YA","")</f>
        <v/>
      </c>
      <c r="U196" s="12">
        <f>IF(B196="","",TEXT(B196,"yyyy-mm"))</f>
        <v/>
      </c>
    </row>
    <row r="197">
      <c r="A197" s="17" t="n"/>
      <c r="B197" s="18" t="n"/>
      <c r="C197" s="17" t="n"/>
      <c r="D197" s="17" t="n"/>
      <c r="E197" s="17" t="n"/>
      <c r="F197" s="17" t="n"/>
      <c r="G197" s="19" t="n"/>
      <c r="H197" s="17" t="n"/>
      <c r="I197" s="19" t="n"/>
      <c r="J197" s="17" t="n"/>
      <c r="K197" s="18" t="n"/>
      <c r="L197" s="18" t="n"/>
      <c r="M197" s="17" t="n"/>
      <c r="N197" s="17" t="n"/>
      <c r="O197" s="18" t="n"/>
      <c r="P197" s="18" t="n"/>
      <c r="Q197" s="17" t="n"/>
      <c r="R197" s="13">
        <f>IF(A197="","",N(G197)+N(I197))</f>
        <v/>
      </c>
      <c r="S197" s="12">
        <f>IF(OR(K197="",O197=""),"",O197-K197)</f>
        <v/>
      </c>
      <c r="T197" s="12">
        <f>IF(AND(C197="Cetak",L197&lt;&gt;"",L197&lt;TODAY()),"YA","")</f>
        <v/>
      </c>
      <c r="U197" s="12">
        <f>IF(B197="","",TEXT(B197,"yyyy-mm"))</f>
        <v/>
      </c>
    </row>
    <row r="198">
      <c r="A198" s="17" t="n"/>
      <c r="B198" s="18" t="n"/>
      <c r="C198" s="17" t="n"/>
      <c r="D198" s="17" t="n"/>
      <c r="E198" s="17" t="n"/>
      <c r="F198" s="17" t="n"/>
      <c r="G198" s="19" t="n"/>
      <c r="H198" s="17" t="n"/>
      <c r="I198" s="19" t="n"/>
      <c r="J198" s="17" t="n"/>
      <c r="K198" s="18" t="n"/>
      <c r="L198" s="18" t="n"/>
      <c r="M198" s="17" t="n"/>
      <c r="N198" s="17" t="n"/>
      <c r="O198" s="18" t="n"/>
      <c r="P198" s="18" t="n"/>
      <c r="Q198" s="17" t="n"/>
      <c r="R198" s="13">
        <f>IF(A198="","",N(G198)+N(I198))</f>
        <v/>
      </c>
      <c r="S198" s="12">
        <f>IF(OR(K198="",O198=""),"",O198-K198)</f>
        <v/>
      </c>
      <c r="T198" s="12">
        <f>IF(AND(C198="Cetak",L198&lt;&gt;"",L198&lt;TODAY()),"YA","")</f>
        <v/>
      </c>
      <c r="U198" s="12">
        <f>IF(B198="","",TEXT(B198,"yyyy-mm"))</f>
        <v/>
      </c>
    </row>
    <row r="199">
      <c r="A199" s="17" t="n"/>
      <c r="B199" s="18" t="n"/>
      <c r="C199" s="17" t="n"/>
      <c r="D199" s="17" t="n"/>
      <c r="E199" s="17" t="n"/>
      <c r="F199" s="17" t="n"/>
      <c r="G199" s="19" t="n"/>
      <c r="H199" s="17" t="n"/>
      <c r="I199" s="19" t="n"/>
      <c r="J199" s="17" t="n"/>
      <c r="K199" s="18" t="n"/>
      <c r="L199" s="18" t="n"/>
      <c r="M199" s="17" t="n"/>
      <c r="N199" s="17" t="n"/>
      <c r="O199" s="18" t="n"/>
      <c r="P199" s="18" t="n"/>
      <c r="Q199" s="17" t="n"/>
      <c r="R199" s="13">
        <f>IF(A199="","",N(G199)+N(I199))</f>
        <v/>
      </c>
      <c r="S199" s="12">
        <f>IF(OR(K199="",O199=""),"",O199-K199)</f>
        <v/>
      </c>
      <c r="T199" s="12">
        <f>IF(AND(C199="Cetak",L199&lt;&gt;"",L199&lt;TODAY()),"YA","")</f>
        <v/>
      </c>
      <c r="U199" s="12">
        <f>IF(B199="","",TEXT(B199,"yyyy-mm"))</f>
        <v/>
      </c>
    </row>
    <row r="200">
      <c r="A200" s="17" t="n"/>
      <c r="B200" s="18" t="n"/>
      <c r="C200" s="17" t="n"/>
      <c r="D200" s="17" t="n"/>
      <c r="E200" s="17" t="n"/>
      <c r="F200" s="17" t="n"/>
      <c r="G200" s="19" t="n"/>
      <c r="H200" s="17" t="n"/>
      <c r="I200" s="19" t="n"/>
      <c r="J200" s="17" t="n"/>
      <c r="K200" s="18" t="n"/>
      <c r="L200" s="18" t="n"/>
      <c r="M200" s="17" t="n"/>
      <c r="N200" s="17" t="n"/>
      <c r="O200" s="18" t="n"/>
      <c r="P200" s="18" t="n"/>
      <c r="Q200" s="17" t="n"/>
      <c r="R200" s="13">
        <f>IF(A200="","",N(G200)+N(I200))</f>
        <v/>
      </c>
      <c r="S200" s="12">
        <f>IF(OR(K200="",O200=""),"",O200-K200)</f>
        <v/>
      </c>
      <c r="T200" s="12">
        <f>IF(AND(C200="Cetak",L200&lt;&gt;"",L200&lt;TODAY()),"YA","")</f>
        <v/>
      </c>
      <c r="U200" s="12">
        <f>IF(B200="","",TEXT(B200,"yyyy-mm"))</f>
        <v/>
      </c>
    </row>
    <row r="201">
      <c r="A201" s="17" t="n"/>
      <c r="B201" s="18" t="n"/>
      <c r="C201" s="17" t="n"/>
      <c r="D201" s="17" t="n"/>
      <c r="E201" s="17" t="n"/>
      <c r="F201" s="17" t="n"/>
      <c r="G201" s="19" t="n"/>
      <c r="H201" s="17" t="n"/>
      <c r="I201" s="19" t="n"/>
      <c r="J201" s="17" t="n"/>
      <c r="K201" s="18" t="n"/>
      <c r="L201" s="18" t="n"/>
      <c r="M201" s="17" t="n"/>
      <c r="N201" s="17" t="n"/>
      <c r="O201" s="18" t="n"/>
      <c r="P201" s="18" t="n"/>
      <c r="Q201" s="17" t="n"/>
      <c r="R201" s="13">
        <f>IF(A201="","",N(G201)+N(I201))</f>
        <v/>
      </c>
      <c r="S201" s="12">
        <f>IF(OR(K201="",O201=""),"",O201-K201)</f>
        <v/>
      </c>
      <c r="T201" s="12">
        <f>IF(AND(C201="Cetak",L201&lt;&gt;"",L201&lt;TODAY()),"YA","")</f>
        <v/>
      </c>
      <c r="U201" s="12">
        <f>IF(B201="","",TEXT(B201,"yyyy-mm"))</f>
        <v/>
      </c>
    </row>
    <row r="202">
      <c r="A202" s="17" t="n"/>
      <c r="B202" s="18" t="n"/>
      <c r="C202" s="17" t="n"/>
      <c r="D202" s="17" t="n"/>
      <c r="E202" s="17" t="n"/>
      <c r="F202" s="17" t="n"/>
      <c r="G202" s="19" t="n"/>
      <c r="H202" s="17" t="n"/>
      <c r="I202" s="19" t="n"/>
      <c r="J202" s="17" t="n"/>
      <c r="K202" s="18" t="n"/>
      <c r="L202" s="18" t="n"/>
      <c r="M202" s="17" t="n"/>
      <c r="N202" s="17" t="n"/>
      <c r="O202" s="18" t="n"/>
      <c r="P202" s="18" t="n"/>
      <c r="Q202" s="17" t="n"/>
      <c r="R202" s="13">
        <f>IF(A202="","",N(G202)+N(I202))</f>
        <v/>
      </c>
      <c r="S202" s="12">
        <f>IF(OR(K202="",O202=""),"",O202-K202)</f>
        <v/>
      </c>
      <c r="T202" s="12">
        <f>IF(AND(C202="Cetak",L202&lt;&gt;"",L202&lt;TODAY()),"YA","")</f>
        <v/>
      </c>
      <c r="U202" s="12">
        <f>IF(B202="","",TEXT(B202,"yyyy-mm"))</f>
        <v/>
      </c>
    </row>
    <row r="203">
      <c r="A203" s="17" t="n"/>
      <c r="B203" s="18" t="n"/>
      <c r="C203" s="17" t="n"/>
      <c r="D203" s="17" t="n"/>
      <c r="E203" s="17" t="n"/>
      <c r="F203" s="17" t="n"/>
      <c r="G203" s="19" t="n"/>
      <c r="H203" s="17" t="n"/>
      <c r="I203" s="19" t="n"/>
      <c r="J203" s="17" t="n"/>
      <c r="K203" s="18" t="n"/>
      <c r="L203" s="18" t="n"/>
      <c r="M203" s="17" t="n"/>
      <c r="N203" s="17" t="n"/>
      <c r="O203" s="18" t="n"/>
      <c r="P203" s="18" t="n"/>
      <c r="Q203" s="17" t="n"/>
      <c r="R203" s="13">
        <f>IF(A203="","",N(G203)+N(I203))</f>
        <v/>
      </c>
      <c r="S203" s="12">
        <f>IF(OR(K203="",O203=""),"",O203-K203)</f>
        <v/>
      </c>
      <c r="T203" s="12">
        <f>IF(AND(C203="Cetak",L203&lt;&gt;"",L203&lt;TODAY()),"YA","")</f>
        <v/>
      </c>
      <c r="U203" s="12">
        <f>IF(B203="","",TEXT(B203,"yyyy-mm"))</f>
        <v/>
      </c>
    </row>
    <row r="204">
      <c r="A204" s="17" t="n"/>
      <c r="B204" s="18" t="n"/>
      <c r="C204" s="17" t="n"/>
      <c r="D204" s="17" t="n"/>
      <c r="E204" s="17" t="n"/>
      <c r="F204" s="17" t="n"/>
      <c r="G204" s="19" t="n"/>
      <c r="H204" s="17" t="n"/>
      <c r="I204" s="19" t="n"/>
      <c r="J204" s="17" t="n"/>
      <c r="K204" s="18" t="n"/>
      <c r="L204" s="18" t="n"/>
      <c r="M204" s="17" t="n"/>
      <c r="N204" s="17" t="n"/>
      <c r="O204" s="18" t="n"/>
      <c r="P204" s="18" t="n"/>
      <c r="Q204" s="17" t="n"/>
      <c r="R204" s="13">
        <f>IF(A204="","",N(G204)+N(I204))</f>
        <v/>
      </c>
      <c r="S204" s="12">
        <f>IF(OR(K204="",O204=""),"",O204-K204)</f>
        <v/>
      </c>
      <c r="T204" s="12">
        <f>IF(AND(C204="Cetak",L204&lt;&gt;"",L204&lt;TODAY()),"YA","")</f>
        <v/>
      </c>
      <c r="U204" s="12">
        <f>IF(B204="","",TEXT(B204,"yyyy-mm"))</f>
        <v/>
      </c>
    </row>
    <row r="205">
      <c r="A205" s="17" t="n"/>
      <c r="B205" s="18" t="n"/>
      <c r="C205" s="17" t="n"/>
      <c r="D205" s="17" t="n"/>
      <c r="E205" s="17" t="n"/>
      <c r="F205" s="17" t="n"/>
      <c r="G205" s="19" t="n"/>
      <c r="H205" s="17" t="n"/>
      <c r="I205" s="19" t="n"/>
      <c r="J205" s="17" t="n"/>
      <c r="K205" s="18" t="n"/>
      <c r="L205" s="18" t="n"/>
      <c r="M205" s="17" t="n"/>
      <c r="N205" s="17" t="n"/>
      <c r="O205" s="18" t="n"/>
      <c r="P205" s="18" t="n"/>
      <c r="Q205" s="17" t="n"/>
      <c r="R205" s="13">
        <f>IF(A205="","",N(G205)+N(I205))</f>
        <v/>
      </c>
      <c r="S205" s="12">
        <f>IF(OR(K205="",O205=""),"",O205-K205)</f>
        <v/>
      </c>
      <c r="T205" s="12">
        <f>IF(AND(C205="Cetak",L205&lt;&gt;"",L205&lt;TODAY()),"YA","")</f>
        <v/>
      </c>
      <c r="U205" s="12">
        <f>IF(B205="","",TEXT(B205,"yyyy-mm"))</f>
        <v/>
      </c>
    </row>
    <row r="206">
      <c r="A206" s="17" t="n"/>
      <c r="B206" s="18" t="n"/>
      <c r="C206" s="17" t="n"/>
      <c r="D206" s="17" t="n"/>
      <c r="E206" s="17" t="n"/>
      <c r="F206" s="17" t="n"/>
      <c r="G206" s="19" t="n"/>
      <c r="H206" s="17" t="n"/>
      <c r="I206" s="19" t="n"/>
      <c r="J206" s="17" t="n"/>
      <c r="K206" s="18" t="n"/>
      <c r="L206" s="18" t="n"/>
      <c r="M206" s="17" t="n"/>
      <c r="N206" s="17" t="n"/>
      <c r="O206" s="18" t="n"/>
      <c r="P206" s="18" t="n"/>
      <c r="Q206" s="17" t="n"/>
      <c r="R206" s="13">
        <f>IF(A206="","",N(G206)+N(I206))</f>
        <v/>
      </c>
      <c r="S206" s="12">
        <f>IF(OR(K206="",O206=""),"",O206-K206)</f>
        <v/>
      </c>
      <c r="T206" s="12">
        <f>IF(AND(C206="Cetak",L206&lt;&gt;"",L206&lt;TODAY()),"YA","")</f>
        <v/>
      </c>
      <c r="U206" s="12">
        <f>IF(B206="","",TEXT(B206,"yyyy-mm"))</f>
        <v/>
      </c>
    </row>
    <row r="207">
      <c r="A207" s="17" t="n"/>
      <c r="B207" s="18" t="n"/>
      <c r="C207" s="17" t="n"/>
      <c r="D207" s="17" t="n"/>
      <c r="E207" s="17" t="n"/>
      <c r="F207" s="17" t="n"/>
      <c r="G207" s="19" t="n"/>
      <c r="H207" s="17" t="n"/>
      <c r="I207" s="19" t="n"/>
      <c r="J207" s="17" t="n"/>
      <c r="K207" s="18" t="n"/>
      <c r="L207" s="18" t="n"/>
      <c r="M207" s="17" t="n"/>
      <c r="N207" s="17" t="n"/>
      <c r="O207" s="18" t="n"/>
      <c r="P207" s="18" t="n"/>
      <c r="Q207" s="17" t="n"/>
      <c r="R207" s="13">
        <f>IF(A207="","",N(G207)+N(I207))</f>
        <v/>
      </c>
      <c r="S207" s="12">
        <f>IF(OR(K207="",O207=""),"",O207-K207)</f>
        <v/>
      </c>
      <c r="T207" s="12">
        <f>IF(AND(C207="Cetak",L207&lt;&gt;"",L207&lt;TODAY()),"YA","")</f>
        <v/>
      </c>
      <c r="U207" s="12">
        <f>IF(B207="","",TEXT(B207,"yyyy-mm"))</f>
        <v/>
      </c>
    </row>
    <row r="208">
      <c r="A208" s="17" t="n"/>
      <c r="B208" s="18" t="n"/>
      <c r="C208" s="17" t="n"/>
      <c r="D208" s="17" t="n"/>
      <c r="E208" s="17" t="n"/>
      <c r="F208" s="17" t="n"/>
      <c r="G208" s="19" t="n"/>
      <c r="H208" s="17" t="n"/>
      <c r="I208" s="19" t="n"/>
      <c r="J208" s="17" t="n"/>
      <c r="K208" s="18" t="n"/>
      <c r="L208" s="18" t="n"/>
      <c r="M208" s="17" t="n"/>
      <c r="N208" s="17" t="n"/>
      <c r="O208" s="18" t="n"/>
      <c r="P208" s="18" t="n"/>
      <c r="Q208" s="17" t="n"/>
      <c r="R208" s="13">
        <f>IF(A208="","",N(G208)+N(I208))</f>
        <v/>
      </c>
      <c r="S208" s="12">
        <f>IF(OR(K208="",O208=""),"",O208-K208)</f>
        <v/>
      </c>
      <c r="T208" s="12">
        <f>IF(AND(C208="Cetak",L208&lt;&gt;"",L208&lt;TODAY()),"YA","")</f>
        <v/>
      </c>
      <c r="U208" s="12">
        <f>IF(B208="","",TEXT(B208,"yyyy-mm"))</f>
        <v/>
      </c>
    </row>
    <row r="209">
      <c r="A209" s="17" t="n"/>
      <c r="B209" s="18" t="n"/>
      <c r="C209" s="17" t="n"/>
      <c r="D209" s="17" t="n"/>
      <c r="E209" s="17" t="n"/>
      <c r="F209" s="17" t="n"/>
      <c r="G209" s="19" t="n"/>
      <c r="H209" s="17" t="n"/>
      <c r="I209" s="19" t="n"/>
      <c r="J209" s="17" t="n"/>
      <c r="K209" s="18" t="n"/>
      <c r="L209" s="18" t="n"/>
      <c r="M209" s="17" t="n"/>
      <c r="N209" s="17" t="n"/>
      <c r="O209" s="18" t="n"/>
      <c r="P209" s="18" t="n"/>
      <c r="Q209" s="17" t="n"/>
      <c r="R209" s="13">
        <f>IF(A209="","",N(G209)+N(I209))</f>
        <v/>
      </c>
      <c r="S209" s="12">
        <f>IF(OR(K209="",O209=""),"",O209-K209)</f>
        <v/>
      </c>
      <c r="T209" s="12">
        <f>IF(AND(C209="Cetak",L209&lt;&gt;"",L209&lt;TODAY()),"YA","")</f>
        <v/>
      </c>
      <c r="U209" s="12">
        <f>IF(B209="","",TEXT(B209,"yyyy-mm"))</f>
        <v/>
      </c>
    </row>
    <row r="210">
      <c r="A210" s="17" t="n"/>
      <c r="B210" s="18" t="n"/>
      <c r="C210" s="17" t="n"/>
      <c r="D210" s="17" t="n"/>
      <c r="E210" s="17" t="n"/>
      <c r="F210" s="17" t="n"/>
      <c r="G210" s="19" t="n"/>
      <c r="H210" s="17" t="n"/>
      <c r="I210" s="19" t="n"/>
      <c r="J210" s="17" t="n"/>
      <c r="K210" s="18" t="n"/>
      <c r="L210" s="18" t="n"/>
      <c r="M210" s="17" t="n"/>
      <c r="N210" s="17" t="n"/>
      <c r="O210" s="18" t="n"/>
      <c r="P210" s="18" t="n"/>
      <c r="Q210" s="17" t="n"/>
      <c r="R210" s="13">
        <f>IF(A210="","",N(G210)+N(I210))</f>
        <v/>
      </c>
      <c r="S210" s="12">
        <f>IF(OR(K210="",O210=""),"",O210-K210)</f>
        <v/>
      </c>
      <c r="T210" s="12">
        <f>IF(AND(C210="Cetak",L210&lt;&gt;"",L210&lt;TODAY()),"YA","")</f>
        <v/>
      </c>
      <c r="U210" s="12">
        <f>IF(B210="","",TEXT(B210,"yyyy-mm"))</f>
        <v/>
      </c>
    </row>
    <row r="211">
      <c r="A211" s="17" t="n"/>
      <c r="B211" s="18" t="n"/>
      <c r="C211" s="17" t="n"/>
      <c r="D211" s="17" t="n"/>
      <c r="E211" s="17" t="n"/>
      <c r="F211" s="17" t="n"/>
      <c r="G211" s="19" t="n"/>
      <c r="H211" s="17" t="n"/>
      <c r="I211" s="19" t="n"/>
      <c r="J211" s="17" t="n"/>
      <c r="K211" s="18" t="n"/>
      <c r="L211" s="18" t="n"/>
      <c r="M211" s="17" t="n"/>
      <c r="N211" s="17" t="n"/>
      <c r="O211" s="18" t="n"/>
      <c r="P211" s="18" t="n"/>
      <c r="Q211" s="17" t="n"/>
      <c r="R211" s="13">
        <f>IF(A211="","",N(G211)+N(I211))</f>
        <v/>
      </c>
      <c r="S211" s="12">
        <f>IF(OR(K211="",O211=""),"",O211-K211)</f>
        <v/>
      </c>
      <c r="T211" s="12">
        <f>IF(AND(C211="Cetak",L211&lt;&gt;"",L211&lt;TODAY()),"YA","")</f>
        <v/>
      </c>
      <c r="U211" s="12">
        <f>IF(B211="","",TEXT(B211,"yyyy-mm"))</f>
        <v/>
      </c>
    </row>
    <row r="212">
      <c r="A212" s="17" t="n"/>
      <c r="B212" s="18" t="n"/>
      <c r="C212" s="17" t="n"/>
      <c r="D212" s="17" t="n"/>
      <c r="E212" s="17" t="n"/>
      <c r="F212" s="17" t="n"/>
      <c r="G212" s="19" t="n"/>
      <c r="H212" s="17" t="n"/>
      <c r="I212" s="19" t="n"/>
      <c r="J212" s="17" t="n"/>
      <c r="K212" s="18" t="n"/>
      <c r="L212" s="18" t="n"/>
      <c r="M212" s="17" t="n"/>
      <c r="N212" s="17" t="n"/>
      <c r="O212" s="18" t="n"/>
      <c r="P212" s="18" t="n"/>
      <c r="Q212" s="17" t="n"/>
      <c r="R212" s="13">
        <f>IF(A212="","",N(G212)+N(I212))</f>
        <v/>
      </c>
      <c r="S212" s="12">
        <f>IF(OR(K212="",O212=""),"",O212-K212)</f>
        <v/>
      </c>
      <c r="T212" s="12">
        <f>IF(AND(C212="Cetak",L212&lt;&gt;"",L212&lt;TODAY()),"YA","")</f>
        <v/>
      </c>
      <c r="U212" s="12">
        <f>IF(B212="","",TEXT(B212,"yyyy-mm"))</f>
        <v/>
      </c>
    </row>
    <row r="213">
      <c r="A213" s="17" t="n"/>
      <c r="B213" s="18" t="n"/>
      <c r="C213" s="17" t="n"/>
      <c r="D213" s="17" t="n"/>
      <c r="E213" s="17" t="n"/>
      <c r="F213" s="17" t="n"/>
      <c r="G213" s="19" t="n"/>
      <c r="H213" s="17" t="n"/>
      <c r="I213" s="19" t="n"/>
      <c r="J213" s="17" t="n"/>
      <c r="K213" s="18" t="n"/>
      <c r="L213" s="18" t="n"/>
      <c r="M213" s="17" t="n"/>
      <c r="N213" s="17" t="n"/>
      <c r="O213" s="18" t="n"/>
      <c r="P213" s="18" t="n"/>
      <c r="Q213" s="17" t="n"/>
      <c r="R213" s="13">
        <f>IF(A213="","",N(G213)+N(I213))</f>
        <v/>
      </c>
      <c r="S213" s="12">
        <f>IF(OR(K213="",O213=""),"",O213-K213)</f>
        <v/>
      </c>
      <c r="T213" s="12">
        <f>IF(AND(C213="Cetak",L213&lt;&gt;"",L213&lt;TODAY()),"YA","")</f>
        <v/>
      </c>
      <c r="U213" s="12">
        <f>IF(B213="","",TEXT(B213,"yyyy-mm"))</f>
        <v/>
      </c>
    </row>
    <row r="214">
      <c r="A214" s="17" t="n"/>
      <c r="B214" s="18" t="n"/>
      <c r="C214" s="17" t="n"/>
      <c r="D214" s="17" t="n"/>
      <c r="E214" s="17" t="n"/>
      <c r="F214" s="17" t="n"/>
      <c r="G214" s="19" t="n"/>
      <c r="H214" s="17" t="n"/>
      <c r="I214" s="19" t="n"/>
      <c r="J214" s="17" t="n"/>
      <c r="K214" s="18" t="n"/>
      <c r="L214" s="18" t="n"/>
      <c r="M214" s="17" t="n"/>
      <c r="N214" s="17" t="n"/>
      <c r="O214" s="18" t="n"/>
      <c r="P214" s="18" t="n"/>
      <c r="Q214" s="17" t="n"/>
      <c r="R214" s="13">
        <f>IF(A214="","",N(G214)+N(I214))</f>
        <v/>
      </c>
      <c r="S214" s="12">
        <f>IF(OR(K214="",O214=""),"",O214-K214)</f>
        <v/>
      </c>
      <c r="T214" s="12">
        <f>IF(AND(C214="Cetak",L214&lt;&gt;"",L214&lt;TODAY()),"YA","")</f>
        <v/>
      </c>
      <c r="U214" s="12">
        <f>IF(B214="","",TEXT(B214,"yyyy-mm"))</f>
        <v/>
      </c>
    </row>
    <row r="215">
      <c r="A215" s="17" t="n"/>
      <c r="B215" s="18" t="n"/>
      <c r="C215" s="17" t="n"/>
      <c r="D215" s="17" t="n"/>
      <c r="E215" s="17" t="n"/>
      <c r="F215" s="17" t="n"/>
      <c r="G215" s="19" t="n"/>
      <c r="H215" s="17" t="n"/>
      <c r="I215" s="19" t="n"/>
      <c r="J215" s="17" t="n"/>
      <c r="K215" s="18" t="n"/>
      <c r="L215" s="18" t="n"/>
      <c r="M215" s="17" t="n"/>
      <c r="N215" s="17" t="n"/>
      <c r="O215" s="18" t="n"/>
      <c r="P215" s="18" t="n"/>
      <c r="Q215" s="17" t="n"/>
      <c r="R215" s="13">
        <f>IF(A215="","",N(G215)+N(I215))</f>
        <v/>
      </c>
      <c r="S215" s="12">
        <f>IF(OR(K215="",O215=""),"",O215-K215)</f>
        <v/>
      </c>
      <c r="T215" s="12">
        <f>IF(AND(C215="Cetak",L215&lt;&gt;"",L215&lt;TODAY()),"YA","")</f>
        <v/>
      </c>
      <c r="U215" s="12">
        <f>IF(B215="","",TEXT(B215,"yyyy-mm"))</f>
        <v/>
      </c>
    </row>
    <row r="216">
      <c r="A216" s="17" t="n"/>
      <c r="B216" s="18" t="n"/>
      <c r="C216" s="17" t="n"/>
      <c r="D216" s="17" t="n"/>
      <c r="E216" s="17" t="n"/>
      <c r="F216" s="17" t="n"/>
      <c r="G216" s="19" t="n"/>
      <c r="H216" s="17" t="n"/>
      <c r="I216" s="19" t="n"/>
      <c r="J216" s="17" t="n"/>
      <c r="K216" s="18" t="n"/>
      <c r="L216" s="18" t="n"/>
      <c r="M216" s="17" t="n"/>
      <c r="N216" s="17" t="n"/>
      <c r="O216" s="18" t="n"/>
      <c r="P216" s="18" t="n"/>
      <c r="Q216" s="17" t="n"/>
      <c r="R216" s="13">
        <f>IF(A216="","",N(G216)+N(I216))</f>
        <v/>
      </c>
      <c r="S216" s="12">
        <f>IF(OR(K216="",O216=""),"",O216-K216)</f>
        <v/>
      </c>
      <c r="T216" s="12">
        <f>IF(AND(C216="Cetak",L216&lt;&gt;"",L216&lt;TODAY()),"YA","")</f>
        <v/>
      </c>
      <c r="U216" s="12">
        <f>IF(B216="","",TEXT(B216,"yyyy-mm"))</f>
        <v/>
      </c>
    </row>
    <row r="217">
      <c r="A217" s="17" t="n"/>
      <c r="B217" s="18" t="n"/>
      <c r="C217" s="17" t="n"/>
      <c r="D217" s="17" t="n"/>
      <c r="E217" s="17" t="n"/>
      <c r="F217" s="17" t="n"/>
      <c r="G217" s="19" t="n"/>
      <c r="H217" s="17" t="n"/>
      <c r="I217" s="19" t="n"/>
      <c r="J217" s="17" t="n"/>
      <c r="K217" s="18" t="n"/>
      <c r="L217" s="18" t="n"/>
      <c r="M217" s="17" t="n"/>
      <c r="N217" s="17" t="n"/>
      <c r="O217" s="18" t="n"/>
      <c r="P217" s="18" t="n"/>
      <c r="Q217" s="17" t="n"/>
      <c r="R217" s="13">
        <f>IF(A217="","",N(G217)+N(I217))</f>
        <v/>
      </c>
      <c r="S217" s="12">
        <f>IF(OR(K217="",O217=""),"",O217-K217)</f>
        <v/>
      </c>
      <c r="T217" s="12">
        <f>IF(AND(C217="Cetak",L217&lt;&gt;"",L217&lt;TODAY()),"YA","")</f>
        <v/>
      </c>
      <c r="U217" s="12">
        <f>IF(B217="","",TEXT(B217,"yyyy-mm"))</f>
        <v/>
      </c>
    </row>
    <row r="218">
      <c r="A218" s="17" t="n"/>
      <c r="B218" s="18" t="n"/>
      <c r="C218" s="17" t="n"/>
      <c r="D218" s="17" t="n"/>
      <c r="E218" s="17" t="n"/>
      <c r="F218" s="17" t="n"/>
      <c r="G218" s="19" t="n"/>
      <c r="H218" s="17" t="n"/>
      <c r="I218" s="19" t="n"/>
      <c r="J218" s="17" t="n"/>
      <c r="K218" s="18" t="n"/>
      <c r="L218" s="18" t="n"/>
      <c r="M218" s="17" t="n"/>
      <c r="N218" s="17" t="n"/>
      <c r="O218" s="18" t="n"/>
      <c r="P218" s="18" t="n"/>
      <c r="Q218" s="17" t="n"/>
      <c r="R218" s="13">
        <f>IF(A218="","",N(G218)+N(I218))</f>
        <v/>
      </c>
      <c r="S218" s="12">
        <f>IF(OR(K218="",O218=""),"",O218-K218)</f>
        <v/>
      </c>
      <c r="T218" s="12">
        <f>IF(AND(C218="Cetak",L218&lt;&gt;"",L218&lt;TODAY()),"YA","")</f>
        <v/>
      </c>
      <c r="U218" s="12">
        <f>IF(B218="","",TEXT(B218,"yyyy-mm"))</f>
        <v/>
      </c>
    </row>
    <row r="219">
      <c r="A219" s="17" t="n"/>
      <c r="B219" s="18" t="n"/>
      <c r="C219" s="17" t="n"/>
      <c r="D219" s="17" t="n"/>
      <c r="E219" s="17" t="n"/>
      <c r="F219" s="17" t="n"/>
      <c r="G219" s="19" t="n"/>
      <c r="H219" s="17" t="n"/>
      <c r="I219" s="19" t="n"/>
      <c r="J219" s="17" t="n"/>
      <c r="K219" s="18" t="n"/>
      <c r="L219" s="18" t="n"/>
      <c r="M219" s="17" t="n"/>
      <c r="N219" s="17" t="n"/>
      <c r="O219" s="18" t="n"/>
      <c r="P219" s="18" t="n"/>
      <c r="Q219" s="17" t="n"/>
      <c r="R219" s="13">
        <f>IF(A219="","",N(G219)+N(I219))</f>
        <v/>
      </c>
      <c r="S219" s="12">
        <f>IF(OR(K219="",O219=""),"",O219-K219)</f>
        <v/>
      </c>
      <c r="T219" s="12">
        <f>IF(AND(C219="Cetak",L219&lt;&gt;"",L219&lt;TODAY()),"YA","")</f>
        <v/>
      </c>
      <c r="U219" s="12">
        <f>IF(B219="","",TEXT(B219,"yyyy-mm"))</f>
        <v/>
      </c>
    </row>
    <row r="220">
      <c r="A220" s="17" t="n"/>
      <c r="B220" s="18" t="n"/>
      <c r="C220" s="17" t="n"/>
      <c r="D220" s="17" t="n"/>
      <c r="E220" s="17" t="n"/>
      <c r="F220" s="17" t="n"/>
      <c r="G220" s="19" t="n"/>
      <c r="H220" s="17" t="n"/>
      <c r="I220" s="19" t="n"/>
      <c r="J220" s="17" t="n"/>
      <c r="K220" s="18" t="n"/>
      <c r="L220" s="18" t="n"/>
      <c r="M220" s="17" t="n"/>
      <c r="N220" s="17" t="n"/>
      <c r="O220" s="18" t="n"/>
      <c r="P220" s="18" t="n"/>
      <c r="Q220" s="17" t="n"/>
      <c r="R220" s="13">
        <f>IF(A220="","",N(G220)+N(I220))</f>
        <v/>
      </c>
      <c r="S220" s="12">
        <f>IF(OR(K220="",O220=""),"",O220-K220)</f>
        <v/>
      </c>
      <c r="T220" s="12">
        <f>IF(AND(C220="Cetak",L220&lt;&gt;"",L220&lt;TODAY()),"YA","")</f>
        <v/>
      </c>
      <c r="U220" s="12">
        <f>IF(B220="","",TEXT(B220,"yyyy-mm"))</f>
        <v/>
      </c>
    </row>
    <row r="221">
      <c r="A221" s="17" t="n"/>
      <c r="B221" s="18" t="n"/>
      <c r="C221" s="17" t="n"/>
      <c r="D221" s="17" t="n"/>
      <c r="E221" s="17" t="n"/>
      <c r="F221" s="17" t="n"/>
      <c r="G221" s="19" t="n"/>
      <c r="H221" s="17" t="n"/>
      <c r="I221" s="19" t="n"/>
      <c r="J221" s="17" t="n"/>
      <c r="K221" s="18" t="n"/>
      <c r="L221" s="18" t="n"/>
      <c r="M221" s="17" t="n"/>
      <c r="N221" s="17" t="n"/>
      <c r="O221" s="18" t="n"/>
      <c r="P221" s="18" t="n"/>
      <c r="Q221" s="17" t="n"/>
      <c r="R221" s="13">
        <f>IF(A221="","",N(G221)+N(I221))</f>
        <v/>
      </c>
      <c r="S221" s="12">
        <f>IF(OR(K221="",O221=""),"",O221-K221)</f>
        <v/>
      </c>
      <c r="T221" s="12">
        <f>IF(AND(C221="Cetak",L221&lt;&gt;"",L221&lt;TODAY()),"YA","")</f>
        <v/>
      </c>
      <c r="U221" s="12">
        <f>IF(B221="","",TEXT(B221,"yyyy-mm"))</f>
        <v/>
      </c>
    </row>
    <row r="222">
      <c r="A222" s="17" t="n"/>
      <c r="B222" s="18" t="n"/>
      <c r="C222" s="17" t="n"/>
      <c r="D222" s="17" t="n"/>
      <c r="E222" s="17" t="n"/>
      <c r="F222" s="17" t="n"/>
      <c r="G222" s="19" t="n"/>
      <c r="H222" s="17" t="n"/>
      <c r="I222" s="19" t="n"/>
      <c r="J222" s="17" t="n"/>
      <c r="K222" s="18" t="n"/>
      <c r="L222" s="18" t="n"/>
      <c r="M222" s="17" t="n"/>
      <c r="N222" s="17" t="n"/>
      <c r="O222" s="18" t="n"/>
      <c r="P222" s="18" t="n"/>
      <c r="Q222" s="17" t="n"/>
      <c r="R222" s="13">
        <f>IF(A222="","",N(G222)+N(I222))</f>
        <v/>
      </c>
      <c r="S222" s="12">
        <f>IF(OR(K222="",O222=""),"",O222-K222)</f>
        <v/>
      </c>
      <c r="T222" s="12">
        <f>IF(AND(C222="Cetak",L222&lt;&gt;"",L222&lt;TODAY()),"YA","")</f>
        <v/>
      </c>
      <c r="U222" s="12">
        <f>IF(B222="","",TEXT(B222,"yyyy-mm"))</f>
        <v/>
      </c>
    </row>
    <row r="223">
      <c r="A223" s="17" t="n"/>
      <c r="B223" s="18" t="n"/>
      <c r="C223" s="17" t="n"/>
      <c r="D223" s="17" t="n"/>
      <c r="E223" s="17" t="n"/>
      <c r="F223" s="17" t="n"/>
      <c r="G223" s="19" t="n"/>
      <c r="H223" s="17" t="n"/>
      <c r="I223" s="19" t="n"/>
      <c r="J223" s="17" t="n"/>
      <c r="K223" s="18" t="n"/>
      <c r="L223" s="18" t="n"/>
      <c r="M223" s="17" t="n"/>
      <c r="N223" s="17" t="n"/>
      <c r="O223" s="18" t="n"/>
      <c r="P223" s="18" t="n"/>
      <c r="Q223" s="17" t="n"/>
      <c r="R223" s="13">
        <f>IF(A223="","",N(G223)+N(I223))</f>
        <v/>
      </c>
      <c r="S223" s="12">
        <f>IF(OR(K223="",O223=""),"",O223-K223)</f>
        <v/>
      </c>
      <c r="T223" s="12">
        <f>IF(AND(C223="Cetak",L223&lt;&gt;"",L223&lt;TODAY()),"YA","")</f>
        <v/>
      </c>
      <c r="U223" s="12">
        <f>IF(B223="","",TEXT(B223,"yyyy-mm"))</f>
        <v/>
      </c>
    </row>
    <row r="224">
      <c r="A224" s="17" t="n"/>
      <c r="B224" s="18" t="n"/>
      <c r="C224" s="17" t="n"/>
      <c r="D224" s="17" t="n"/>
      <c r="E224" s="17" t="n"/>
      <c r="F224" s="17" t="n"/>
      <c r="G224" s="19" t="n"/>
      <c r="H224" s="17" t="n"/>
      <c r="I224" s="19" t="n"/>
      <c r="J224" s="17" t="n"/>
      <c r="K224" s="18" t="n"/>
      <c r="L224" s="18" t="n"/>
      <c r="M224" s="17" t="n"/>
      <c r="N224" s="17" t="n"/>
      <c r="O224" s="18" t="n"/>
      <c r="P224" s="18" t="n"/>
      <c r="Q224" s="17" t="n"/>
      <c r="R224" s="13">
        <f>IF(A224="","",N(G224)+N(I224))</f>
        <v/>
      </c>
      <c r="S224" s="12">
        <f>IF(OR(K224="",O224=""),"",O224-K224)</f>
        <v/>
      </c>
      <c r="T224" s="12">
        <f>IF(AND(C224="Cetak",L224&lt;&gt;"",L224&lt;TODAY()),"YA","")</f>
        <v/>
      </c>
      <c r="U224" s="12">
        <f>IF(B224="","",TEXT(B224,"yyyy-mm"))</f>
        <v/>
      </c>
    </row>
    <row r="225">
      <c r="A225" s="17" t="n"/>
      <c r="B225" s="18" t="n"/>
      <c r="C225" s="17" t="n"/>
      <c r="D225" s="17" t="n"/>
      <c r="E225" s="17" t="n"/>
      <c r="F225" s="17" t="n"/>
      <c r="G225" s="19" t="n"/>
      <c r="H225" s="17" t="n"/>
      <c r="I225" s="19" t="n"/>
      <c r="J225" s="17" t="n"/>
      <c r="K225" s="18" t="n"/>
      <c r="L225" s="18" t="n"/>
      <c r="M225" s="17" t="n"/>
      <c r="N225" s="17" t="n"/>
      <c r="O225" s="18" t="n"/>
      <c r="P225" s="18" t="n"/>
      <c r="Q225" s="17" t="n"/>
      <c r="R225" s="13">
        <f>IF(A225="","",N(G225)+N(I225))</f>
        <v/>
      </c>
      <c r="S225" s="12">
        <f>IF(OR(K225="",O225=""),"",O225-K225)</f>
        <v/>
      </c>
      <c r="T225" s="12">
        <f>IF(AND(C225="Cetak",L225&lt;&gt;"",L225&lt;TODAY()),"YA","")</f>
        <v/>
      </c>
      <c r="U225" s="12">
        <f>IF(B225="","",TEXT(B225,"yyyy-mm"))</f>
        <v/>
      </c>
    </row>
    <row r="226">
      <c r="A226" s="17" t="n"/>
      <c r="B226" s="18" t="n"/>
      <c r="C226" s="17" t="n"/>
      <c r="D226" s="17" t="n"/>
      <c r="E226" s="17" t="n"/>
      <c r="F226" s="17" t="n"/>
      <c r="G226" s="19" t="n"/>
      <c r="H226" s="17" t="n"/>
      <c r="I226" s="19" t="n"/>
      <c r="J226" s="17" t="n"/>
      <c r="K226" s="18" t="n"/>
      <c r="L226" s="18" t="n"/>
      <c r="M226" s="17" t="n"/>
      <c r="N226" s="17" t="n"/>
      <c r="O226" s="18" t="n"/>
      <c r="P226" s="18" t="n"/>
      <c r="Q226" s="17" t="n"/>
      <c r="R226" s="13">
        <f>IF(A226="","",N(G226)+N(I226))</f>
        <v/>
      </c>
      <c r="S226" s="12">
        <f>IF(OR(K226="",O226=""),"",O226-K226)</f>
        <v/>
      </c>
      <c r="T226" s="12">
        <f>IF(AND(C226="Cetak",L226&lt;&gt;"",L226&lt;TODAY()),"YA","")</f>
        <v/>
      </c>
      <c r="U226" s="12">
        <f>IF(B226="","",TEXT(B226,"yyyy-mm"))</f>
        <v/>
      </c>
    </row>
    <row r="227">
      <c r="A227" s="17" t="n"/>
      <c r="B227" s="18" t="n"/>
      <c r="C227" s="17" t="n"/>
      <c r="D227" s="17" t="n"/>
      <c r="E227" s="17" t="n"/>
      <c r="F227" s="17" t="n"/>
      <c r="G227" s="19" t="n"/>
      <c r="H227" s="17" t="n"/>
      <c r="I227" s="19" t="n"/>
      <c r="J227" s="17" t="n"/>
      <c r="K227" s="18" t="n"/>
      <c r="L227" s="18" t="n"/>
      <c r="M227" s="17" t="n"/>
      <c r="N227" s="17" t="n"/>
      <c r="O227" s="18" t="n"/>
      <c r="P227" s="18" t="n"/>
      <c r="Q227" s="17" t="n"/>
      <c r="R227" s="13">
        <f>IF(A227="","",N(G227)+N(I227))</f>
        <v/>
      </c>
      <c r="S227" s="12">
        <f>IF(OR(K227="",O227=""),"",O227-K227)</f>
        <v/>
      </c>
      <c r="T227" s="12">
        <f>IF(AND(C227="Cetak",L227&lt;&gt;"",L227&lt;TODAY()),"YA","")</f>
        <v/>
      </c>
      <c r="U227" s="12">
        <f>IF(B227="","",TEXT(B227,"yyyy-mm"))</f>
        <v/>
      </c>
    </row>
    <row r="228">
      <c r="A228" s="17" t="n"/>
      <c r="B228" s="18" t="n"/>
      <c r="C228" s="17" t="n"/>
      <c r="D228" s="17" t="n"/>
      <c r="E228" s="17" t="n"/>
      <c r="F228" s="17" t="n"/>
      <c r="G228" s="19" t="n"/>
      <c r="H228" s="17" t="n"/>
      <c r="I228" s="19" t="n"/>
      <c r="J228" s="17" t="n"/>
      <c r="K228" s="18" t="n"/>
      <c r="L228" s="18" t="n"/>
      <c r="M228" s="17" t="n"/>
      <c r="N228" s="17" t="n"/>
      <c r="O228" s="18" t="n"/>
      <c r="P228" s="18" t="n"/>
      <c r="Q228" s="17" t="n"/>
      <c r="R228" s="13">
        <f>IF(A228="","",N(G228)+N(I228))</f>
        <v/>
      </c>
      <c r="S228" s="12">
        <f>IF(OR(K228="",O228=""),"",O228-K228)</f>
        <v/>
      </c>
      <c r="T228" s="12">
        <f>IF(AND(C228="Cetak",L228&lt;&gt;"",L228&lt;TODAY()),"YA","")</f>
        <v/>
      </c>
      <c r="U228" s="12">
        <f>IF(B228="","",TEXT(B228,"yyyy-mm"))</f>
        <v/>
      </c>
    </row>
    <row r="229">
      <c r="A229" s="17" t="n"/>
      <c r="B229" s="18" t="n"/>
      <c r="C229" s="17" t="n"/>
      <c r="D229" s="17" t="n"/>
      <c r="E229" s="17" t="n"/>
      <c r="F229" s="17" t="n"/>
      <c r="G229" s="19" t="n"/>
      <c r="H229" s="17" t="n"/>
      <c r="I229" s="19" t="n"/>
      <c r="J229" s="17" t="n"/>
      <c r="K229" s="18" t="n"/>
      <c r="L229" s="18" t="n"/>
      <c r="M229" s="17" t="n"/>
      <c r="N229" s="17" t="n"/>
      <c r="O229" s="18" t="n"/>
      <c r="P229" s="18" t="n"/>
      <c r="Q229" s="17" t="n"/>
      <c r="R229" s="13">
        <f>IF(A229="","",N(G229)+N(I229))</f>
        <v/>
      </c>
      <c r="S229" s="12">
        <f>IF(OR(K229="",O229=""),"",O229-K229)</f>
        <v/>
      </c>
      <c r="T229" s="12">
        <f>IF(AND(C229="Cetak",L229&lt;&gt;"",L229&lt;TODAY()),"YA","")</f>
        <v/>
      </c>
      <c r="U229" s="12">
        <f>IF(B229="","",TEXT(B229,"yyyy-mm"))</f>
        <v/>
      </c>
    </row>
    <row r="230">
      <c r="A230" s="17" t="n"/>
      <c r="B230" s="18" t="n"/>
      <c r="C230" s="17" t="n"/>
      <c r="D230" s="17" t="n"/>
      <c r="E230" s="17" t="n"/>
      <c r="F230" s="17" t="n"/>
      <c r="G230" s="19" t="n"/>
      <c r="H230" s="17" t="n"/>
      <c r="I230" s="19" t="n"/>
      <c r="J230" s="17" t="n"/>
      <c r="K230" s="18" t="n"/>
      <c r="L230" s="18" t="n"/>
      <c r="M230" s="17" t="n"/>
      <c r="N230" s="17" t="n"/>
      <c r="O230" s="18" t="n"/>
      <c r="P230" s="18" t="n"/>
      <c r="Q230" s="17" t="n"/>
      <c r="R230" s="13">
        <f>IF(A230="","",N(G230)+N(I230))</f>
        <v/>
      </c>
      <c r="S230" s="12">
        <f>IF(OR(K230="",O230=""),"",O230-K230)</f>
        <v/>
      </c>
      <c r="T230" s="12">
        <f>IF(AND(C230="Cetak",L230&lt;&gt;"",L230&lt;TODAY()),"YA","")</f>
        <v/>
      </c>
      <c r="U230" s="12">
        <f>IF(B230="","",TEXT(B230,"yyyy-mm"))</f>
        <v/>
      </c>
    </row>
    <row r="231">
      <c r="A231" s="17" t="n"/>
      <c r="B231" s="18" t="n"/>
      <c r="C231" s="17" t="n"/>
      <c r="D231" s="17" t="n"/>
      <c r="E231" s="17" t="n"/>
      <c r="F231" s="17" t="n"/>
      <c r="G231" s="19" t="n"/>
      <c r="H231" s="17" t="n"/>
      <c r="I231" s="19" t="n"/>
      <c r="J231" s="17" t="n"/>
      <c r="K231" s="18" t="n"/>
      <c r="L231" s="18" t="n"/>
      <c r="M231" s="17" t="n"/>
      <c r="N231" s="17" t="n"/>
      <c r="O231" s="18" t="n"/>
      <c r="P231" s="18" t="n"/>
      <c r="Q231" s="17" t="n"/>
      <c r="R231" s="13">
        <f>IF(A231="","",N(G231)+N(I231))</f>
        <v/>
      </c>
      <c r="S231" s="12">
        <f>IF(OR(K231="",O231=""),"",O231-K231)</f>
        <v/>
      </c>
      <c r="T231" s="12">
        <f>IF(AND(C231="Cetak",L231&lt;&gt;"",L231&lt;TODAY()),"YA","")</f>
        <v/>
      </c>
      <c r="U231" s="12">
        <f>IF(B231="","",TEXT(B231,"yyyy-mm"))</f>
        <v/>
      </c>
    </row>
    <row r="232">
      <c r="A232" s="17" t="n"/>
      <c r="B232" s="18" t="n"/>
      <c r="C232" s="17" t="n"/>
      <c r="D232" s="17" t="n"/>
      <c r="E232" s="17" t="n"/>
      <c r="F232" s="17" t="n"/>
      <c r="G232" s="19" t="n"/>
      <c r="H232" s="17" t="n"/>
      <c r="I232" s="19" t="n"/>
      <c r="J232" s="17" t="n"/>
      <c r="K232" s="18" t="n"/>
      <c r="L232" s="18" t="n"/>
      <c r="M232" s="17" t="n"/>
      <c r="N232" s="17" t="n"/>
      <c r="O232" s="18" t="n"/>
      <c r="P232" s="18" t="n"/>
      <c r="Q232" s="17" t="n"/>
      <c r="R232" s="13">
        <f>IF(A232="","",N(G232)+N(I232))</f>
        <v/>
      </c>
      <c r="S232" s="12">
        <f>IF(OR(K232="",O232=""),"",O232-K232)</f>
        <v/>
      </c>
      <c r="T232" s="12">
        <f>IF(AND(C232="Cetak",L232&lt;&gt;"",L232&lt;TODAY()),"YA","")</f>
        <v/>
      </c>
      <c r="U232" s="12">
        <f>IF(B232="","",TEXT(B232,"yyyy-mm"))</f>
        <v/>
      </c>
    </row>
    <row r="233">
      <c r="A233" s="17" t="n"/>
      <c r="B233" s="18" t="n"/>
      <c r="C233" s="17" t="n"/>
      <c r="D233" s="17" t="n"/>
      <c r="E233" s="17" t="n"/>
      <c r="F233" s="17" t="n"/>
      <c r="G233" s="19" t="n"/>
      <c r="H233" s="17" t="n"/>
      <c r="I233" s="19" t="n"/>
      <c r="J233" s="17" t="n"/>
      <c r="K233" s="18" t="n"/>
      <c r="L233" s="18" t="n"/>
      <c r="M233" s="17" t="n"/>
      <c r="N233" s="17" t="n"/>
      <c r="O233" s="18" t="n"/>
      <c r="P233" s="18" t="n"/>
      <c r="Q233" s="17" t="n"/>
      <c r="R233" s="13">
        <f>IF(A233="","",N(G233)+N(I233))</f>
        <v/>
      </c>
      <c r="S233" s="12">
        <f>IF(OR(K233="",O233=""),"",O233-K233)</f>
        <v/>
      </c>
      <c r="T233" s="12">
        <f>IF(AND(C233="Cetak",L233&lt;&gt;"",L233&lt;TODAY()),"YA","")</f>
        <v/>
      </c>
      <c r="U233" s="12">
        <f>IF(B233="","",TEXT(B233,"yyyy-mm"))</f>
        <v/>
      </c>
    </row>
    <row r="234">
      <c r="A234" s="17" t="n"/>
      <c r="B234" s="18" t="n"/>
      <c r="C234" s="17" t="n"/>
      <c r="D234" s="17" t="n"/>
      <c r="E234" s="17" t="n"/>
      <c r="F234" s="17" t="n"/>
      <c r="G234" s="19" t="n"/>
      <c r="H234" s="17" t="n"/>
      <c r="I234" s="19" t="n"/>
      <c r="J234" s="17" t="n"/>
      <c r="K234" s="18" t="n"/>
      <c r="L234" s="18" t="n"/>
      <c r="M234" s="17" t="n"/>
      <c r="N234" s="17" t="n"/>
      <c r="O234" s="18" t="n"/>
      <c r="P234" s="18" t="n"/>
      <c r="Q234" s="17" t="n"/>
      <c r="R234" s="13">
        <f>IF(A234="","",N(G234)+N(I234))</f>
        <v/>
      </c>
      <c r="S234" s="12">
        <f>IF(OR(K234="",O234=""),"",O234-K234)</f>
        <v/>
      </c>
      <c r="T234" s="12">
        <f>IF(AND(C234="Cetak",L234&lt;&gt;"",L234&lt;TODAY()),"YA","")</f>
        <v/>
      </c>
      <c r="U234" s="12">
        <f>IF(B234="","",TEXT(B234,"yyyy-mm"))</f>
        <v/>
      </c>
    </row>
    <row r="235">
      <c r="A235" s="17" t="n"/>
      <c r="B235" s="18" t="n"/>
      <c r="C235" s="17" t="n"/>
      <c r="D235" s="17" t="n"/>
      <c r="E235" s="17" t="n"/>
      <c r="F235" s="17" t="n"/>
      <c r="G235" s="19" t="n"/>
      <c r="H235" s="17" t="n"/>
      <c r="I235" s="19" t="n"/>
      <c r="J235" s="17" t="n"/>
      <c r="K235" s="18" t="n"/>
      <c r="L235" s="18" t="n"/>
      <c r="M235" s="17" t="n"/>
      <c r="N235" s="17" t="n"/>
      <c r="O235" s="18" t="n"/>
      <c r="P235" s="18" t="n"/>
      <c r="Q235" s="17" t="n"/>
      <c r="R235" s="13">
        <f>IF(A235="","",N(G235)+N(I235))</f>
        <v/>
      </c>
      <c r="S235" s="12">
        <f>IF(OR(K235="",O235=""),"",O235-K235)</f>
        <v/>
      </c>
      <c r="T235" s="12">
        <f>IF(AND(C235="Cetak",L235&lt;&gt;"",L235&lt;TODAY()),"YA","")</f>
        <v/>
      </c>
      <c r="U235" s="12">
        <f>IF(B235="","",TEXT(B235,"yyyy-mm"))</f>
        <v/>
      </c>
    </row>
    <row r="236">
      <c r="A236" s="17" t="n"/>
      <c r="B236" s="18" t="n"/>
      <c r="C236" s="17" t="n"/>
      <c r="D236" s="17" t="n"/>
      <c r="E236" s="17" t="n"/>
      <c r="F236" s="17" t="n"/>
      <c r="G236" s="19" t="n"/>
      <c r="H236" s="17" t="n"/>
      <c r="I236" s="19" t="n"/>
      <c r="J236" s="17" t="n"/>
      <c r="K236" s="18" t="n"/>
      <c r="L236" s="18" t="n"/>
      <c r="M236" s="17" t="n"/>
      <c r="N236" s="17" t="n"/>
      <c r="O236" s="18" t="n"/>
      <c r="P236" s="18" t="n"/>
      <c r="Q236" s="17" t="n"/>
      <c r="R236" s="13">
        <f>IF(A236="","",N(G236)+N(I236))</f>
        <v/>
      </c>
      <c r="S236" s="12">
        <f>IF(OR(K236="",O236=""),"",O236-K236)</f>
        <v/>
      </c>
      <c r="T236" s="12">
        <f>IF(AND(C236="Cetak",L236&lt;&gt;"",L236&lt;TODAY()),"YA","")</f>
        <v/>
      </c>
      <c r="U236" s="12">
        <f>IF(B236="","",TEXT(B236,"yyyy-mm"))</f>
        <v/>
      </c>
    </row>
    <row r="237">
      <c r="A237" s="17" t="n"/>
      <c r="B237" s="18" t="n"/>
      <c r="C237" s="17" t="n"/>
      <c r="D237" s="17" t="n"/>
      <c r="E237" s="17" t="n"/>
      <c r="F237" s="17" t="n"/>
      <c r="G237" s="19" t="n"/>
      <c r="H237" s="17" t="n"/>
      <c r="I237" s="19" t="n"/>
      <c r="J237" s="17" t="n"/>
      <c r="K237" s="18" t="n"/>
      <c r="L237" s="18" t="n"/>
      <c r="M237" s="17" t="n"/>
      <c r="N237" s="17" t="n"/>
      <c r="O237" s="18" t="n"/>
      <c r="P237" s="18" t="n"/>
      <c r="Q237" s="17" t="n"/>
      <c r="R237" s="13">
        <f>IF(A237="","",N(G237)+N(I237))</f>
        <v/>
      </c>
      <c r="S237" s="12">
        <f>IF(OR(K237="",O237=""),"",O237-K237)</f>
        <v/>
      </c>
      <c r="T237" s="12">
        <f>IF(AND(C237="Cetak",L237&lt;&gt;"",L237&lt;TODAY()),"YA","")</f>
        <v/>
      </c>
      <c r="U237" s="12">
        <f>IF(B237="","",TEXT(B237,"yyyy-mm"))</f>
        <v/>
      </c>
    </row>
    <row r="238">
      <c r="A238" s="17" t="n"/>
      <c r="B238" s="18" t="n"/>
      <c r="C238" s="17" t="n"/>
      <c r="D238" s="17" t="n"/>
      <c r="E238" s="17" t="n"/>
      <c r="F238" s="17" t="n"/>
      <c r="G238" s="19" t="n"/>
      <c r="H238" s="17" t="n"/>
      <c r="I238" s="19" t="n"/>
      <c r="J238" s="17" t="n"/>
      <c r="K238" s="18" t="n"/>
      <c r="L238" s="18" t="n"/>
      <c r="M238" s="17" t="n"/>
      <c r="N238" s="17" t="n"/>
      <c r="O238" s="18" t="n"/>
      <c r="P238" s="18" t="n"/>
      <c r="Q238" s="17" t="n"/>
      <c r="R238" s="13">
        <f>IF(A238="","",N(G238)+N(I238))</f>
        <v/>
      </c>
      <c r="S238" s="12">
        <f>IF(OR(K238="",O238=""),"",O238-K238)</f>
        <v/>
      </c>
      <c r="T238" s="12">
        <f>IF(AND(C238="Cetak",L238&lt;&gt;"",L238&lt;TODAY()),"YA","")</f>
        <v/>
      </c>
      <c r="U238" s="12">
        <f>IF(B238="","",TEXT(B238,"yyyy-mm"))</f>
        <v/>
      </c>
    </row>
    <row r="239">
      <c r="A239" s="17" t="n"/>
      <c r="B239" s="18" t="n"/>
      <c r="C239" s="17" t="n"/>
      <c r="D239" s="17" t="n"/>
      <c r="E239" s="17" t="n"/>
      <c r="F239" s="17" t="n"/>
      <c r="G239" s="19" t="n"/>
      <c r="H239" s="17" t="n"/>
      <c r="I239" s="19" t="n"/>
      <c r="J239" s="17" t="n"/>
      <c r="K239" s="18" t="n"/>
      <c r="L239" s="18" t="n"/>
      <c r="M239" s="17" t="n"/>
      <c r="N239" s="17" t="n"/>
      <c r="O239" s="18" t="n"/>
      <c r="P239" s="18" t="n"/>
      <c r="Q239" s="17" t="n"/>
      <c r="R239" s="13">
        <f>IF(A239="","",N(G239)+N(I239))</f>
        <v/>
      </c>
      <c r="S239" s="12">
        <f>IF(OR(K239="",O239=""),"",O239-K239)</f>
        <v/>
      </c>
      <c r="T239" s="12">
        <f>IF(AND(C239="Cetak",L239&lt;&gt;"",L239&lt;TODAY()),"YA","")</f>
        <v/>
      </c>
      <c r="U239" s="12">
        <f>IF(B239="","",TEXT(B239,"yyyy-mm"))</f>
        <v/>
      </c>
    </row>
    <row r="240">
      <c r="A240" s="17" t="n"/>
      <c r="B240" s="18" t="n"/>
      <c r="C240" s="17" t="n"/>
      <c r="D240" s="17" t="n"/>
      <c r="E240" s="17" t="n"/>
      <c r="F240" s="17" t="n"/>
      <c r="G240" s="19" t="n"/>
      <c r="H240" s="17" t="n"/>
      <c r="I240" s="19" t="n"/>
      <c r="J240" s="17" t="n"/>
      <c r="K240" s="18" t="n"/>
      <c r="L240" s="18" t="n"/>
      <c r="M240" s="17" t="n"/>
      <c r="N240" s="17" t="n"/>
      <c r="O240" s="18" t="n"/>
      <c r="P240" s="18" t="n"/>
      <c r="Q240" s="17" t="n"/>
      <c r="R240" s="13">
        <f>IF(A240="","",N(G240)+N(I240))</f>
        <v/>
      </c>
      <c r="S240" s="12">
        <f>IF(OR(K240="",O240=""),"",O240-K240)</f>
        <v/>
      </c>
      <c r="T240" s="12">
        <f>IF(AND(C240="Cetak",L240&lt;&gt;"",L240&lt;TODAY()),"YA","")</f>
        <v/>
      </c>
      <c r="U240" s="12">
        <f>IF(B240="","",TEXT(B240,"yyyy-mm"))</f>
        <v/>
      </c>
    </row>
    <row r="241">
      <c r="A241" s="17" t="n"/>
      <c r="B241" s="18" t="n"/>
      <c r="C241" s="17" t="n"/>
      <c r="D241" s="17" t="n"/>
      <c r="E241" s="17" t="n"/>
      <c r="F241" s="17" t="n"/>
      <c r="G241" s="19" t="n"/>
      <c r="H241" s="17" t="n"/>
      <c r="I241" s="19" t="n"/>
      <c r="J241" s="17" t="n"/>
      <c r="K241" s="18" t="n"/>
      <c r="L241" s="18" t="n"/>
      <c r="M241" s="17" t="n"/>
      <c r="N241" s="17" t="n"/>
      <c r="O241" s="18" t="n"/>
      <c r="P241" s="18" t="n"/>
      <c r="Q241" s="17" t="n"/>
      <c r="R241" s="13">
        <f>IF(A241="","",N(G241)+N(I241))</f>
        <v/>
      </c>
      <c r="S241" s="12">
        <f>IF(OR(K241="",O241=""),"",O241-K241)</f>
        <v/>
      </c>
      <c r="T241" s="12">
        <f>IF(AND(C241="Cetak",L241&lt;&gt;"",L241&lt;TODAY()),"YA","")</f>
        <v/>
      </c>
      <c r="U241" s="12">
        <f>IF(B241="","",TEXT(B241,"yyyy-mm"))</f>
        <v/>
      </c>
    </row>
    <row r="242">
      <c r="A242" s="17" t="n"/>
      <c r="B242" s="18" t="n"/>
      <c r="C242" s="17" t="n"/>
      <c r="D242" s="17" t="n"/>
      <c r="E242" s="17" t="n"/>
      <c r="F242" s="17" t="n"/>
      <c r="G242" s="19" t="n"/>
      <c r="H242" s="17" t="n"/>
      <c r="I242" s="19" t="n"/>
      <c r="J242" s="17" t="n"/>
      <c r="K242" s="18" t="n"/>
      <c r="L242" s="18" t="n"/>
      <c r="M242" s="17" t="n"/>
      <c r="N242" s="17" t="n"/>
      <c r="O242" s="18" t="n"/>
      <c r="P242" s="18" t="n"/>
      <c r="Q242" s="17" t="n"/>
      <c r="R242" s="13">
        <f>IF(A242="","",N(G242)+N(I242))</f>
        <v/>
      </c>
      <c r="S242" s="12">
        <f>IF(OR(K242="",O242=""),"",O242-K242)</f>
        <v/>
      </c>
      <c r="T242" s="12">
        <f>IF(AND(C242="Cetak",L242&lt;&gt;"",L242&lt;TODAY()),"YA","")</f>
        <v/>
      </c>
      <c r="U242" s="12">
        <f>IF(B242="","",TEXT(B242,"yyyy-mm"))</f>
        <v/>
      </c>
    </row>
    <row r="243">
      <c r="A243" s="17" t="n"/>
      <c r="B243" s="18" t="n"/>
      <c r="C243" s="17" t="n"/>
      <c r="D243" s="17" t="n"/>
      <c r="E243" s="17" t="n"/>
      <c r="F243" s="17" t="n"/>
      <c r="G243" s="19" t="n"/>
      <c r="H243" s="17" t="n"/>
      <c r="I243" s="19" t="n"/>
      <c r="J243" s="17" t="n"/>
      <c r="K243" s="18" t="n"/>
      <c r="L243" s="18" t="n"/>
      <c r="M243" s="17" t="n"/>
      <c r="N243" s="17" t="n"/>
      <c r="O243" s="18" t="n"/>
      <c r="P243" s="18" t="n"/>
      <c r="Q243" s="17" t="n"/>
      <c r="R243" s="13">
        <f>IF(A243="","",N(G243)+N(I243))</f>
        <v/>
      </c>
      <c r="S243" s="12">
        <f>IF(OR(K243="",O243=""),"",O243-K243)</f>
        <v/>
      </c>
      <c r="T243" s="12">
        <f>IF(AND(C243="Cetak",L243&lt;&gt;"",L243&lt;TODAY()),"YA","")</f>
        <v/>
      </c>
      <c r="U243" s="12">
        <f>IF(B243="","",TEXT(B243,"yyyy-mm"))</f>
        <v/>
      </c>
    </row>
    <row r="244">
      <c r="A244" s="17" t="n"/>
      <c r="B244" s="18" t="n"/>
      <c r="C244" s="17" t="n"/>
      <c r="D244" s="17" t="n"/>
      <c r="E244" s="17" t="n"/>
      <c r="F244" s="17" t="n"/>
      <c r="G244" s="19" t="n"/>
      <c r="H244" s="17" t="n"/>
      <c r="I244" s="19" t="n"/>
      <c r="J244" s="17" t="n"/>
      <c r="K244" s="18" t="n"/>
      <c r="L244" s="18" t="n"/>
      <c r="M244" s="17" t="n"/>
      <c r="N244" s="17" t="n"/>
      <c r="O244" s="18" t="n"/>
      <c r="P244" s="18" t="n"/>
      <c r="Q244" s="17" t="n"/>
      <c r="R244" s="13">
        <f>IF(A244="","",N(G244)+N(I244))</f>
        <v/>
      </c>
      <c r="S244" s="12">
        <f>IF(OR(K244="",O244=""),"",O244-K244)</f>
        <v/>
      </c>
      <c r="T244" s="12">
        <f>IF(AND(C244="Cetak",L244&lt;&gt;"",L244&lt;TODAY()),"YA","")</f>
        <v/>
      </c>
      <c r="U244" s="12">
        <f>IF(B244="","",TEXT(B244,"yyyy-mm"))</f>
        <v/>
      </c>
    </row>
    <row r="245">
      <c r="A245" s="17" t="n"/>
      <c r="B245" s="18" t="n"/>
      <c r="C245" s="17" t="n"/>
      <c r="D245" s="17" t="n"/>
      <c r="E245" s="17" t="n"/>
      <c r="F245" s="17" t="n"/>
      <c r="G245" s="19" t="n"/>
      <c r="H245" s="17" t="n"/>
      <c r="I245" s="19" t="n"/>
      <c r="J245" s="17" t="n"/>
      <c r="K245" s="18" t="n"/>
      <c r="L245" s="18" t="n"/>
      <c r="M245" s="17" t="n"/>
      <c r="N245" s="17" t="n"/>
      <c r="O245" s="18" t="n"/>
      <c r="P245" s="18" t="n"/>
      <c r="Q245" s="17" t="n"/>
      <c r="R245" s="13">
        <f>IF(A245="","",N(G245)+N(I245))</f>
        <v/>
      </c>
      <c r="S245" s="12">
        <f>IF(OR(K245="",O245=""),"",O245-K245)</f>
        <v/>
      </c>
      <c r="T245" s="12">
        <f>IF(AND(C245="Cetak",L245&lt;&gt;"",L245&lt;TODAY()),"YA","")</f>
        <v/>
      </c>
      <c r="U245" s="12">
        <f>IF(B245="","",TEXT(B245,"yyyy-mm"))</f>
        <v/>
      </c>
    </row>
    <row r="246">
      <c r="A246" s="17" t="n"/>
      <c r="B246" s="18" t="n"/>
      <c r="C246" s="17" t="n"/>
      <c r="D246" s="17" t="n"/>
      <c r="E246" s="17" t="n"/>
      <c r="F246" s="17" t="n"/>
      <c r="G246" s="19" t="n"/>
      <c r="H246" s="17" t="n"/>
      <c r="I246" s="19" t="n"/>
      <c r="J246" s="17" t="n"/>
      <c r="K246" s="18" t="n"/>
      <c r="L246" s="18" t="n"/>
      <c r="M246" s="17" t="n"/>
      <c r="N246" s="17" t="n"/>
      <c r="O246" s="18" t="n"/>
      <c r="P246" s="18" t="n"/>
      <c r="Q246" s="17" t="n"/>
      <c r="R246" s="13">
        <f>IF(A246="","",N(G246)+N(I246))</f>
        <v/>
      </c>
      <c r="S246" s="12">
        <f>IF(OR(K246="",O246=""),"",O246-K246)</f>
        <v/>
      </c>
      <c r="T246" s="12">
        <f>IF(AND(C246="Cetak",L246&lt;&gt;"",L246&lt;TODAY()),"YA","")</f>
        <v/>
      </c>
      <c r="U246" s="12">
        <f>IF(B246="","",TEXT(B246,"yyyy-mm"))</f>
        <v/>
      </c>
    </row>
    <row r="247">
      <c r="A247" s="17" t="n"/>
      <c r="B247" s="18" t="n"/>
      <c r="C247" s="17" t="n"/>
      <c r="D247" s="17" t="n"/>
      <c r="E247" s="17" t="n"/>
      <c r="F247" s="17" t="n"/>
      <c r="G247" s="19" t="n"/>
      <c r="H247" s="17" t="n"/>
      <c r="I247" s="19" t="n"/>
      <c r="J247" s="17" t="n"/>
      <c r="K247" s="18" t="n"/>
      <c r="L247" s="18" t="n"/>
      <c r="M247" s="17" t="n"/>
      <c r="N247" s="17" t="n"/>
      <c r="O247" s="18" t="n"/>
      <c r="P247" s="18" t="n"/>
      <c r="Q247" s="17" t="n"/>
      <c r="R247" s="13">
        <f>IF(A247="","",N(G247)+N(I247))</f>
        <v/>
      </c>
      <c r="S247" s="12">
        <f>IF(OR(K247="",O247=""),"",O247-K247)</f>
        <v/>
      </c>
      <c r="T247" s="12">
        <f>IF(AND(C247="Cetak",L247&lt;&gt;"",L247&lt;TODAY()),"YA","")</f>
        <v/>
      </c>
      <c r="U247" s="12">
        <f>IF(B247="","",TEXT(B247,"yyyy-mm"))</f>
        <v/>
      </c>
    </row>
    <row r="248">
      <c r="A248" s="17" t="n"/>
      <c r="B248" s="18" t="n"/>
      <c r="C248" s="17" t="n"/>
      <c r="D248" s="17" t="n"/>
      <c r="E248" s="17" t="n"/>
      <c r="F248" s="17" t="n"/>
      <c r="G248" s="19" t="n"/>
      <c r="H248" s="17" t="n"/>
      <c r="I248" s="19" t="n"/>
      <c r="J248" s="17" t="n"/>
      <c r="K248" s="18" t="n"/>
      <c r="L248" s="18" t="n"/>
      <c r="M248" s="17" t="n"/>
      <c r="N248" s="17" t="n"/>
      <c r="O248" s="18" t="n"/>
      <c r="P248" s="18" t="n"/>
      <c r="Q248" s="17" t="n"/>
      <c r="R248" s="13">
        <f>IF(A248="","",N(G248)+N(I248))</f>
        <v/>
      </c>
      <c r="S248" s="12">
        <f>IF(OR(K248="",O248=""),"",O248-K248)</f>
        <v/>
      </c>
      <c r="T248" s="12">
        <f>IF(AND(C248="Cetak",L248&lt;&gt;"",L248&lt;TODAY()),"YA","")</f>
        <v/>
      </c>
      <c r="U248" s="12">
        <f>IF(B248="","",TEXT(B248,"yyyy-mm"))</f>
        <v/>
      </c>
    </row>
    <row r="249">
      <c r="A249" s="17" t="n"/>
      <c r="B249" s="18" t="n"/>
      <c r="C249" s="17" t="n"/>
      <c r="D249" s="17" t="n"/>
      <c r="E249" s="17" t="n"/>
      <c r="F249" s="17" t="n"/>
      <c r="G249" s="19" t="n"/>
      <c r="H249" s="17" t="n"/>
      <c r="I249" s="19" t="n"/>
      <c r="J249" s="17" t="n"/>
      <c r="K249" s="18" t="n"/>
      <c r="L249" s="18" t="n"/>
      <c r="M249" s="17" t="n"/>
      <c r="N249" s="17" t="n"/>
      <c r="O249" s="18" t="n"/>
      <c r="P249" s="18" t="n"/>
      <c r="Q249" s="17" t="n"/>
      <c r="R249" s="13">
        <f>IF(A249="","",N(G249)+N(I249))</f>
        <v/>
      </c>
      <c r="S249" s="12">
        <f>IF(OR(K249="",O249=""),"",O249-K249)</f>
        <v/>
      </c>
      <c r="T249" s="12">
        <f>IF(AND(C249="Cetak",L249&lt;&gt;"",L249&lt;TODAY()),"YA","")</f>
        <v/>
      </c>
      <c r="U249" s="12">
        <f>IF(B249="","",TEXT(B249,"yyyy-mm"))</f>
        <v/>
      </c>
    </row>
    <row r="250">
      <c r="A250" s="17" t="n"/>
      <c r="B250" s="18" t="n"/>
      <c r="C250" s="17" t="n"/>
      <c r="D250" s="17" t="n"/>
      <c r="E250" s="17" t="n"/>
      <c r="F250" s="17" t="n"/>
      <c r="G250" s="19" t="n"/>
      <c r="H250" s="17" t="n"/>
      <c r="I250" s="19" t="n"/>
      <c r="J250" s="17" t="n"/>
      <c r="K250" s="18" t="n"/>
      <c r="L250" s="18" t="n"/>
      <c r="M250" s="17" t="n"/>
      <c r="N250" s="17" t="n"/>
      <c r="O250" s="18" t="n"/>
      <c r="P250" s="18" t="n"/>
      <c r="Q250" s="17" t="n"/>
      <c r="R250" s="13">
        <f>IF(A250="","",N(G250)+N(I250))</f>
        <v/>
      </c>
      <c r="S250" s="12">
        <f>IF(OR(K250="",O250=""),"",O250-K250)</f>
        <v/>
      </c>
      <c r="T250" s="12">
        <f>IF(AND(C250="Cetak",L250&lt;&gt;"",L250&lt;TODAY()),"YA","")</f>
        <v/>
      </c>
      <c r="U250" s="12">
        <f>IF(B250="","",TEXT(B250,"yyyy-mm"))</f>
        <v/>
      </c>
    </row>
    <row r="251">
      <c r="A251" s="17" t="n"/>
      <c r="B251" s="18" t="n"/>
      <c r="C251" s="17" t="n"/>
      <c r="D251" s="17" t="n"/>
      <c r="E251" s="17" t="n"/>
      <c r="F251" s="17" t="n"/>
      <c r="G251" s="19" t="n"/>
      <c r="H251" s="17" t="n"/>
      <c r="I251" s="19" t="n"/>
      <c r="J251" s="17" t="n"/>
      <c r="K251" s="18" t="n"/>
      <c r="L251" s="18" t="n"/>
      <c r="M251" s="17" t="n"/>
      <c r="N251" s="17" t="n"/>
      <c r="O251" s="18" t="n"/>
      <c r="P251" s="18" t="n"/>
      <c r="Q251" s="17" t="n"/>
      <c r="R251" s="13">
        <f>IF(A251="","",N(G251)+N(I251))</f>
        <v/>
      </c>
      <c r="S251" s="12">
        <f>IF(OR(K251="",O251=""),"",O251-K251)</f>
        <v/>
      </c>
      <c r="T251" s="12">
        <f>IF(AND(C251="Cetak",L251&lt;&gt;"",L251&lt;TODAY()),"YA","")</f>
        <v/>
      </c>
      <c r="U251" s="12">
        <f>IF(B251="","",TEXT(B251,"yyyy-mm"))</f>
        <v/>
      </c>
    </row>
    <row r="252">
      <c r="A252" s="17" t="n"/>
      <c r="B252" s="18" t="n"/>
      <c r="C252" s="17" t="n"/>
      <c r="D252" s="17" t="n"/>
      <c r="E252" s="17" t="n"/>
      <c r="F252" s="17" t="n"/>
      <c r="G252" s="19" t="n"/>
      <c r="H252" s="17" t="n"/>
      <c r="I252" s="19" t="n"/>
      <c r="J252" s="17" t="n"/>
      <c r="K252" s="18" t="n"/>
      <c r="L252" s="18" t="n"/>
      <c r="M252" s="17" t="n"/>
      <c r="N252" s="17" t="n"/>
      <c r="O252" s="18" t="n"/>
      <c r="P252" s="18" t="n"/>
      <c r="Q252" s="17" t="n"/>
      <c r="R252" s="13">
        <f>IF(A252="","",N(G252)+N(I252))</f>
        <v/>
      </c>
      <c r="S252" s="12">
        <f>IF(OR(K252="",O252=""),"",O252-K252)</f>
        <v/>
      </c>
      <c r="T252" s="12">
        <f>IF(AND(C252="Cetak",L252&lt;&gt;"",L252&lt;TODAY()),"YA","")</f>
        <v/>
      </c>
      <c r="U252" s="12">
        <f>IF(B252="","",TEXT(B252,"yyyy-mm"))</f>
        <v/>
      </c>
    </row>
    <row r="253">
      <c r="A253" s="17" t="n"/>
      <c r="B253" s="18" t="n"/>
      <c r="C253" s="17" t="n"/>
      <c r="D253" s="17" t="n"/>
      <c r="E253" s="17" t="n"/>
      <c r="F253" s="17" t="n"/>
      <c r="G253" s="19" t="n"/>
      <c r="H253" s="17" t="n"/>
      <c r="I253" s="19" t="n"/>
      <c r="J253" s="17" t="n"/>
      <c r="K253" s="18" t="n"/>
      <c r="L253" s="18" t="n"/>
      <c r="M253" s="17" t="n"/>
      <c r="N253" s="17" t="n"/>
      <c r="O253" s="18" t="n"/>
      <c r="P253" s="18" t="n"/>
      <c r="Q253" s="17" t="n"/>
      <c r="R253" s="13">
        <f>IF(A253="","",N(G253)+N(I253))</f>
        <v/>
      </c>
      <c r="S253" s="12">
        <f>IF(OR(K253="",O253=""),"",O253-K253)</f>
        <v/>
      </c>
      <c r="T253" s="12">
        <f>IF(AND(C253="Cetak",L253&lt;&gt;"",L253&lt;TODAY()),"YA","")</f>
        <v/>
      </c>
      <c r="U253" s="12">
        <f>IF(B253="","",TEXT(B253,"yyyy-mm"))</f>
        <v/>
      </c>
    </row>
    <row r="254">
      <c r="A254" s="17" t="n"/>
      <c r="B254" s="18" t="n"/>
      <c r="C254" s="17" t="n"/>
      <c r="D254" s="17" t="n"/>
      <c r="E254" s="17" t="n"/>
      <c r="F254" s="17" t="n"/>
      <c r="G254" s="19" t="n"/>
      <c r="H254" s="17" t="n"/>
      <c r="I254" s="19" t="n"/>
      <c r="J254" s="17" t="n"/>
      <c r="K254" s="18" t="n"/>
      <c r="L254" s="18" t="n"/>
      <c r="M254" s="17" t="n"/>
      <c r="N254" s="17" t="n"/>
      <c r="O254" s="18" t="n"/>
      <c r="P254" s="18" t="n"/>
      <c r="Q254" s="17" t="n"/>
      <c r="R254" s="13">
        <f>IF(A254="","",N(G254)+N(I254))</f>
        <v/>
      </c>
      <c r="S254" s="12">
        <f>IF(OR(K254="",O254=""),"",O254-K254)</f>
        <v/>
      </c>
      <c r="T254" s="12">
        <f>IF(AND(C254="Cetak",L254&lt;&gt;"",L254&lt;TODAY()),"YA","")</f>
        <v/>
      </c>
      <c r="U254" s="12">
        <f>IF(B254="","",TEXT(B254,"yyyy-mm"))</f>
        <v/>
      </c>
    </row>
    <row r="255">
      <c r="A255" s="17" t="n"/>
      <c r="B255" s="18" t="n"/>
      <c r="C255" s="17" t="n"/>
      <c r="D255" s="17" t="n"/>
      <c r="E255" s="17" t="n"/>
      <c r="F255" s="17" t="n"/>
      <c r="G255" s="19" t="n"/>
      <c r="H255" s="17" t="n"/>
      <c r="I255" s="19" t="n"/>
      <c r="J255" s="17" t="n"/>
      <c r="K255" s="18" t="n"/>
      <c r="L255" s="18" t="n"/>
      <c r="M255" s="17" t="n"/>
      <c r="N255" s="17" t="n"/>
      <c r="O255" s="18" t="n"/>
      <c r="P255" s="18" t="n"/>
      <c r="Q255" s="17" t="n"/>
      <c r="R255" s="13">
        <f>IF(A255="","",N(G255)+N(I255))</f>
        <v/>
      </c>
      <c r="S255" s="12">
        <f>IF(OR(K255="",O255=""),"",O255-K255)</f>
        <v/>
      </c>
      <c r="T255" s="12">
        <f>IF(AND(C255="Cetak",L255&lt;&gt;"",L255&lt;TODAY()),"YA","")</f>
        <v/>
      </c>
      <c r="U255" s="12">
        <f>IF(B255="","",TEXT(B255,"yyyy-mm"))</f>
        <v/>
      </c>
    </row>
    <row r="256">
      <c r="A256" s="17" t="n"/>
      <c r="B256" s="18" t="n"/>
      <c r="C256" s="17" t="n"/>
      <c r="D256" s="17" t="n"/>
      <c r="E256" s="17" t="n"/>
      <c r="F256" s="17" t="n"/>
      <c r="G256" s="19" t="n"/>
      <c r="H256" s="17" t="n"/>
      <c r="I256" s="19" t="n"/>
      <c r="J256" s="17" t="n"/>
      <c r="K256" s="18" t="n"/>
      <c r="L256" s="18" t="n"/>
      <c r="M256" s="17" t="n"/>
      <c r="N256" s="17" t="n"/>
      <c r="O256" s="18" t="n"/>
      <c r="P256" s="18" t="n"/>
      <c r="Q256" s="17" t="n"/>
      <c r="R256" s="13">
        <f>IF(A256="","",N(G256)+N(I256))</f>
        <v/>
      </c>
      <c r="S256" s="12">
        <f>IF(OR(K256="",O256=""),"",O256-K256)</f>
        <v/>
      </c>
      <c r="T256" s="12">
        <f>IF(AND(C256="Cetak",L256&lt;&gt;"",L256&lt;TODAY()),"YA","")</f>
        <v/>
      </c>
      <c r="U256" s="12">
        <f>IF(B256="","",TEXT(B256,"yyyy-mm"))</f>
        <v/>
      </c>
    </row>
    <row r="257">
      <c r="A257" s="17" t="n"/>
      <c r="B257" s="18" t="n"/>
      <c r="C257" s="17" t="n"/>
      <c r="D257" s="17" t="n"/>
      <c r="E257" s="17" t="n"/>
      <c r="F257" s="17" t="n"/>
      <c r="G257" s="19" t="n"/>
      <c r="H257" s="17" t="n"/>
      <c r="I257" s="19" t="n"/>
      <c r="J257" s="17" t="n"/>
      <c r="K257" s="18" t="n"/>
      <c r="L257" s="18" t="n"/>
      <c r="M257" s="17" t="n"/>
      <c r="N257" s="17" t="n"/>
      <c r="O257" s="18" t="n"/>
      <c r="P257" s="18" t="n"/>
      <c r="Q257" s="17" t="n"/>
      <c r="R257" s="13">
        <f>IF(A257="","",N(G257)+N(I257))</f>
        <v/>
      </c>
      <c r="S257" s="12">
        <f>IF(OR(K257="",O257=""),"",O257-K257)</f>
        <v/>
      </c>
      <c r="T257" s="12">
        <f>IF(AND(C257="Cetak",L257&lt;&gt;"",L257&lt;TODAY()),"YA","")</f>
        <v/>
      </c>
      <c r="U257" s="12">
        <f>IF(B257="","",TEXT(B257,"yyyy-mm"))</f>
        <v/>
      </c>
    </row>
    <row r="258">
      <c r="A258" s="17" t="n"/>
      <c r="B258" s="18" t="n"/>
      <c r="C258" s="17" t="n"/>
      <c r="D258" s="17" t="n"/>
      <c r="E258" s="17" t="n"/>
      <c r="F258" s="17" t="n"/>
      <c r="G258" s="19" t="n"/>
      <c r="H258" s="17" t="n"/>
      <c r="I258" s="19" t="n"/>
      <c r="J258" s="17" t="n"/>
      <c r="K258" s="18" t="n"/>
      <c r="L258" s="18" t="n"/>
      <c r="M258" s="17" t="n"/>
      <c r="N258" s="17" t="n"/>
      <c r="O258" s="18" t="n"/>
      <c r="P258" s="18" t="n"/>
      <c r="Q258" s="17" t="n"/>
      <c r="R258" s="13">
        <f>IF(A258="","",N(G258)+N(I258))</f>
        <v/>
      </c>
      <c r="S258" s="12">
        <f>IF(OR(K258="",O258=""),"",O258-K258)</f>
        <v/>
      </c>
      <c r="T258" s="12">
        <f>IF(AND(C258="Cetak",L258&lt;&gt;"",L258&lt;TODAY()),"YA","")</f>
        <v/>
      </c>
      <c r="U258" s="12">
        <f>IF(B258="","",TEXT(B258,"yyyy-mm"))</f>
        <v/>
      </c>
    </row>
    <row r="259">
      <c r="A259" s="17" t="n"/>
      <c r="B259" s="18" t="n"/>
      <c r="C259" s="17" t="n"/>
      <c r="D259" s="17" t="n"/>
      <c r="E259" s="17" t="n"/>
      <c r="F259" s="17" t="n"/>
      <c r="G259" s="19" t="n"/>
      <c r="H259" s="17" t="n"/>
      <c r="I259" s="19" t="n"/>
      <c r="J259" s="17" t="n"/>
      <c r="K259" s="18" t="n"/>
      <c r="L259" s="18" t="n"/>
      <c r="M259" s="17" t="n"/>
      <c r="N259" s="17" t="n"/>
      <c r="O259" s="18" t="n"/>
      <c r="P259" s="18" t="n"/>
      <c r="Q259" s="17" t="n"/>
      <c r="R259" s="13">
        <f>IF(A259="","",N(G259)+N(I259))</f>
        <v/>
      </c>
      <c r="S259" s="12">
        <f>IF(OR(K259="",O259=""),"",O259-K259)</f>
        <v/>
      </c>
      <c r="T259" s="12">
        <f>IF(AND(C259="Cetak",L259&lt;&gt;"",L259&lt;TODAY()),"YA","")</f>
        <v/>
      </c>
      <c r="U259" s="12">
        <f>IF(B259="","",TEXT(B259,"yyyy-mm"))</f>
        <v/>
      </c>
    </row>
    <row r="260">
      <c r="A260" s="17" t="n"/>
      <c r="B260" s="18" t="n"/>
      <c r="C260" s="17" t="n"/>
      <c r="D260" s="17" t="n"/>
      <c r="E260" s="17" t="n"/>
      <c r="F260" s="17" t="n"/>
      <c r="G260" s="19" t="n"/>
      <c r="H260" s="17" t="n"/>
      <c r="I260" s="19" t="n"/>
      <c r="J260" s="17" t="n"/>
      <c r="K260" s="18" t="n"/>
      <c r="L260" s="18" t="n"/>
      <c r="M260" s="17" t="n"/>
      <c r="N260" s="17" t="n"/>
      <c r="O260" s="18" t="n"/>
      <c r="P260" s="18" t="n"/>
      <c r="Q260" s="17" t="n"/>
      <c r="R260" s="13">
        <f>IF(A260="","",N(G260)+N(I260))</f>
        <v/>
      </c>
      <c r="S260" s="12">
        <f>IF(OR(K260="",O260=""),"",O260-K260)</f>
        <v/>
      </c>
      <c r="T260" s="12">
        <f>IF(AND(C260="Cetak",L260&lt;&gt;"",L260&lt;TODAY()),"YA","")</f>
        <v/>
      </c>
      <c r="U260" s="12">
        <f>IF(B260="","",TEXT(B260,"yyyy-mm"))</f>
        <v/>
      </c>
    </row>
    <row r="261">
      <c r="A261" s="17" t="n"/>
      <c r="B261" s="18" t="n"/>
      <c r="C261" s="17" t="n"/>
      <c r="D261" s="17" t="n"/>
      <c r="E261" s="17" t="n"/>
      <c r="F261" s="17" t="n"/>
      <c r="G261" s="19" t="n"/>
      <c r="H261" s="17" t="n"/>
      <c r="I261" s="19" t="n"/>
      <c r="J261" s="17" t="n"/>
      <c r="K261" s="18" t="n"/>
      <c r="L261" s="18" t="n"/>
      <c r="M261" s="17" t="n"/>
      <c r="N261" s="17" t="n"/>
      <c r="O261" s="18" t="n"/>
      <c r="P261" s="18" t="n"/>
      <c r="Q261" s="17" t="n"/>
      <c r="R261" s="13">
        <f>IF(A261="","",N(G261)+N(I261))</f>
        <v/>
      </c>
      <c r="S261" s="12">
        <f>IF(OR(K261="",O261=""),"",O261-K261)</f>
        <v/>
      </c>
      <c r="T261" s="12">
        <f>IF(AND(C261="Cetak",L261&lt;&gt;"",L261&lt;TODAY()),"YA","")</f>
        <v/>
      </c>
      <c r="U261" s="12">
        <f>IF(B261="","",TEXT(B261,"yyyy-mm"))</f>
        <v/>
      </c>
    </row>
    <row r="262">
      <c r="A262" s="17" t="n"/>
      <c r="B262" s="18" t="n"/>
      <c r="C262" s="17" t="n"/>
      <c r="D262" s="17" t="n"/>
      <c r="E262" s="17" t="n"/>
      <c r="F262" s="17" t="n"/>
      <c r="G262" s="19" t="n"/>
      <c r="H262" s="17" t="n"/>
      <c r="I262" s="19" t="n"/>
      <c r="J262" s="17" t="n"/>
      <c r="K262" s="18" t="n"/>
      <c r="L262" s="18" t="n"/>
      <c r="M262" s="17" t="n"/>
      <c r="N262" s="17" t="n"/>
      <c r="O262" s="18" t="n"/>
      <c r="P262" s="18" t="n"/>
      <c r="Q262" s="17" t="n"/>
      <c r="R262" s="13">
        <f>IF(A262="","",N(G262)+N(I262))</f>
        <v/>
      </c>
      <c r="S262" s="12">
        <f>IF(OR(K262="",O262=""),"",O262-K262)</f>
        <v/>
      </c>
      <c r="T262" s="12">
        <f>IF(AND(C262="Cetak",L262&lt;&gt;"",L262&lt;TODAY()),"YA","")</f>
        <v/>
      </c>
      <c r="U262" s="12">
        <f>IF(B262="","",TEXT(B262,"yyyy-mm"))</f>
        <v/>
      </c>
    </row>
    <row r="263">
      <c r="A263" s="17" t="n"/>
      <c r="B263" s="18" t="n"/>
      <c r="C263" s="17" t="n"/>
      <c r="D263" s="17" t="n"/>
      <c r="E263" s="17" t="n"/>
      <c r="F263" s="17" t="n"/>
      <c r="G263" s="19" t="n"/>
      <c r="H263" s="17" t="n"/>
      <c r="I263" s="19" t="n"/>
      <c r="J263" s="17" t="n"/>
      <c r="K263" s="18" t="n"/>
      <c r="L263" s="18" t="n"/>
      <c r="M263" s="17" t="n"/>
      <c r="N263" s="17" t="n"/>
      <c r="O263" s="18" t="n"/>
      <c r="P263" s="18" t="n"/>
      <c r="Q263" s="17" t="n"/>
      <c r="R263" s="13">
        <f>IF(A263="","",N(G263)+N(I263))</f>
        <v/>
      </c>
      <c r="S263" s="12">
        <f>IF(OR(K263="",O263=""),"",O263-K263)</f>
        <v/>
      </c>
      <c r="T263" s="12">
        <f>IF(AND(C263="Cetak",L263&lt;&gt;"",L263&lt;TODAY()),"YA","")</f>
        <v/>
      </c>
      <c r="U263" s="12">
        <f>IF(B263="","",TEXT(B263,"yyyy-mm"))</f>
        <v/>
      </c>
    </row>
    <row r="264">
      <c r="A264" s="17" t="n"/>
      <c r="B264" s="18" t="n"/>
      <c r="C264" s="17" t="n"/>
      <c r="D264" s="17" t="n"/>
      <c r="E264" s="17" t="n"/>
      <c r="F264" s="17" t="n"/>
      <c r="G264" s="19" t="n"/>
      <c r="H264" s="17" t="n"/>
      <c r="I264" s="19" t="n"/>
      <c r="J264" s="17" t="n"/>
      <c r="K264" s="18" t="n"/>
      <c r="L264" s="18" t="n"/>
      <c r="M264" s="17" t="n"/>
      <c r="N264" s="17" t="n"/>
      <c r="O264" s="18" t="n"/>
      <c r="P264" s="18" t="n"/>
      <c r="Q264" s="17" t="n"/>
      <c r="R264" s="13">
        <f>IF(A264="","",N(G264)+N(I264))</f>
        <v/>
      </c>
      <c r="S264" s="12">
        <f>IF(OR(K264="",O264=""),"",O264-K264)</f>
        <v/>
      </c>
      <c r="T264" s="12">
        <f>IF(AND(C264="Cetak",L264&lt;&gt;"",L264&lt;TODAY()),"YA","")</f>
        <v/>
      </c>
      <c r="U264" s="12">
        <f>IF(B264="","",TEXT(B264,"yyyy-mm"))</f>
        <v/>
      </c>
    </row>
    <row r="265">
      <c r="A265" s="17" t="n"/>
      <c r="B265" s="18" t="n"/>
      <c r="C265" s="17" t="n"/>
      <c r="D265" s="17" t="n"/>
      <c r="E265" s="17" t="n"/>
      <c r="F265" s="17" t="n"/>
      <c r="G265" s="19" t="n"/>
      <c r="H265" s="17" t="n"/>
      <c r="I265" s="19" t="n"/>
      <c r="J265" s="17" t="n"/>
      <c r="K265" s="18" t="n"/>
      <c r="L265" s="18" t="n"/>
      <c r="M265" s="17" t="n"/>
      <c r="N265" s="17" t="n"/>
      <c r="O265" s="18" t="n"/>
      <c r="P265" s="18" t="n"/>
      <c r="Q265" s="17" t="n"/>
      <c r="R265" s="13">
        <f>IF(A265="","",N(G265)+N(I265))</f>
        <v/>
      </c>
      <c r="S265" s="12">
        <f>IF(OR(K265="",O265=""),"",O265-K265)</f>
        <v/>
      </c>
      <c r="T265" s="12">
        <f>IF(AND(C265="Cetak",L265&lt;&gt;"",L265&lt;TODAY()),"YA","")</f>
        <v/>
      </c>
      <c r="U265" s="12">
        <f>IF(B265="","",TEXT(B265,"yyyy-mm"))</f>
        <v/>
      </c>
    </row>
    <row r="266">
      <c r="A266" s="17" t="n"/>
      <c r="B266" s="18" t="n"/>
      <c r="C266" s="17" t="n"/>
      <c r="D266" s="17" t="n"/>
      <c r="E266" s="17" t="n"/>
      <c r="F266" s="17" t="n"/>
      <c r="G266" s="19" t="n"/>
      <c r="H266" s="17" t="n"/>
      <c r="I266" s="19" t="n"/>
      <c r="J266" s="17" t="n"/>
      <c r="K266" s="18" t="n"/>
      <c r="L266" s="18" t="n"/>
      <c r="M266" s="17" t="n"/>
      <c r="N266" s="17" t="n"/>
      <c r="O266" s="18" t="n"/>
      <c r="P266" s="18" t="n"/>
      <c r="Q266" s="17" t="n"/>
      <c r="R266" s="13">
        <f>IF(A266="","",N(G266)+N(I266))</f>
        <v/>
      </c>
      <c r="S266" s="12">
        <f>IF(OR(K266="",O266=""),"",O266-K266)</f>
        <v/>
      </c>
      <c r="T266" s="12">
        <f>IF(AND(C266="Cetak",L266&lt;&gt;"",L266&lt;TODAY()),"YA","")</f>
        <v/>
      </c>
      <c r="U266" s="12">
        <f>IF(B266="","",TEXT(B266,"yyyy-mm"))</f>
        <v/>
      </c>
    </row>
    <row r="267">
      <c r="A267" s="17" t="n"/>
      <c r="B267" s="18" t="n"/>
      <c r="C267" s="17" t="n"/>
      <c r="D267" s="17" t="n"/>
      <c r="E267" s="17" t="n"/>
      <c r="F267" s="17" t="n"/>
      <c r="G267" s="19" t="n"/>
      <c r="H267" s="17" t="n"/>
      <c r="I267" s="19" t="n"/>
      <c r="J267" s="17" t="n"/>
      <c r="K267" s="18" t="n"/>
      <c r="L267" s="18" t="n"/>
      <c r="M267" s="17" t="n"/>
      <c r="N267" s="17" t="n"/>
      <c r="O267" s="18" t="n"/>
      <c r="P267" s="18" t="n"/>
      <c r="Q267" s="17" t="n"/>
      <c r="R267" s="13">
        <f>IF(A267="","",N(G267)+N(I267))</f>
        <v/>
      </c>
      <c r="S267" s="12">
        <f>IF(OR(K267="",O267=""),"",O267-K267)</f>
        <v/>
      </c>
      <c r="T267" s="12">
        <f>IF(AND(C267="Cetak",L267&lt;&gt;"",L267&lt;TODAY()),"YA","")</f>
        <v/>
      </c>
      <c r="U267" s="12">
        <f>IF(B267="","",TEXT(B267,"yyyy-mm"))</f>
        <v/>
      </c>
    </row>
    <row r="268">
      <c r="A268" s="17" t="n"/>
      <c r="B268" s="18" t="n"/>
      <c r="C268" s="17" t="n"/>
      <c r="D268" s="17" t="n"/>
      <c r="E268" s="17" t="n"/>
      <c r="F268" s="17" t="n"/>
      <c r="G268" s="19" t="n"/>
      <c r="H268" s="17" t="n"/>
      <c r="I268" s="19" t="n"/>
      <c r="J268" s="17" t="n"/>
      <c r="K268" s="18" t="n"/>
      <c r="L268" s="18" t="n"/>
      <c r="M268" s="17" t="n"/>
      <c r="N268" s="17" t="n"/>
      <c r="O268" s="18" t="n"/>
      <c r="P268" s="18" t="n"/>
      <c r="Q268" s="17" t="n"/>
      <c r="R268" s="13">
        <f>IF(A268="","",N(G268)+N(I268))</f>
        <v/>
      </c>
      <c r="S268" s="12">
        <f>IF(OR(K268="",O268=""),"",O268-K268)</f>
        <v/>
      </c>
      <c r="T268" s="12">
        <f>IF(AND(C268="Cetak",L268&lt;&gt;"",L268&lt;TODAY()),"YA","")</f>
        <v/>
      </c>
      <c r="U268" s="12">
        <f>IF(B268="","",TEXT(B268,"yyyy-mm"))</f>
        <v/>
      </c>
    </row>
    <row r="269">
      <c r="A269" s="17" t="n"/>
      <c r="B269" s="18" t="n"/>
      <c r="C269" s="17" t="n"/>
      <c r="D269" s="17" t="n"/>
      <c r="E269" s="17" t="n"/>
      <c r="F269" s="17" t="n"/>
      <c r="G269" s="19" t="n"/>
      <c r="H269" s="17" t="n"/>
      <c r="I269" s="19" t="n"/>
      <c r="J269" s="17" t="n"/>
      <c r="K269" s="18" t="n"/>
      <c r="L269" s="18" t="n"/>
      <c r="M269" s="17" t="n"/>
      <c r="N269" s="17" t="n"/>
      <c r="O269" s="18" t="n"/>
      <c r="P269" s="18" t="n"/>
      <c r="Q269" s="17" t="n"/>
      <c r="R269" s="13">
        <f>IF(A269="","",N(G269)+N(I269))</f>
        <v/>
      </c>
      <c r="S269" s="12">
        <f>IF(OR(K269="",O269=""),"",O269-K269)</f>
        <v/>
      </c>
      <c r="T269" s="12">
        <f>IF(AND(C269="Cetak",L269&lt;&gt;"",L269&lt;TODAY()),"YA","")</f>
        <v/>
      </c>
      <c r="U269" s="12">
        <f>IF(B269="","",TEXT(B269,"yyyy-mm"))</f>
        <v/>
      </c>
    </row>
    <row r="270">
      <c r="A270" s="17" t="n"/>
      <c r="B270" s="18" t="n"/>
      <c r="C270" s="17" t="n"/>
      <c r="D270" s="17" t="n"/>
      <c r="E270" s="17" t="n"/>
      <c r="F270" s="17" t="n"/>
      <c r="G270" s="19" t="n"/>
      <c r="H270" s="17" t="n"/>
      <c r="I270" s="19" t="n"/>
      <c r="J270" s="17" t="n"/>
      <c r="K270" s="18" t="n"/>
      <c r="L270" s="18" t="n"/>
      <c r="M270" s="17" t="n"/>
      <c r="N270" s="17" t="n"/>
      <c r="O270" s="18" t="n"/>
      <c r="P270" s="18" t="n"/>
      <c r="Q270" s="17" t="n"/>
      <c r="R270" s="13">
        <f>IF(A270="","",N(G270)+N(I270))</f>
        <v/>
      </c>
      <c r="S270" s="12">
        <f>IF(OR(K270="",O270=""),"",O270-K270)</f>
        <v/>
      </c>
      <c r="T270" s="12">
        <f>IF(AND(C270="Cetak",L270&lt;&gt;"",L270&lt;TODAY()),"YA","")</f>
        <v/>
      </c>
      <c r="U270" s="12">
        <f>IF(B270="","",TEXT(B270,"yyyy-mm"))</f>
        <v/>
      </c>
    </row>
    <row r="271">
      <c r="A271" s="17" t="n"/>
      <c r="B271" s="18" t="n"/>
      <c r="C271" s="17" t="n"/>
      <c r="D271" s="17" t="n"/>
      <c r="E271" s="17" t="n"/>
      <c r="F271" s="17" t="n"/>
      <c r="G271" s="19" t="n"/>
      <c r="H271" s="17" t="n"/>
      <c r="I271" s="19" t="n"/>
      <c r="J271" s="17" t="n"/>
      <c r="K271" s="18" t="n"/>
      <c r="L271" s="18" t="n"/>
      <c r="M271" s="17" t="n"/>
      <c r="N271" s="17" t="n"/>
      <c r="O271" s="18" t="n"/>
      <c r="P271" s="18" t="n"/>
      <c r="Q271" s="17" t="n"/>
      <c r="R271" s="13">
        <f>IF(A271="","",N(G271)+N(I271))</f>
        <v/>
      </c>
      <c r="S271" s="12">
        <f>IF(OR(K271="",O271=""),"",O271-K271)</f>
        <v/>
      </c>
      <c r="T271" s="12">
        <f>IF(AND(C271="Cetak",L271&lt;&gt;"",L271&lt;TODAY()),"YA","")</f>
        <v/>
      </c>
      <c r="U271" s="12">
        <f>IF(B271="","",TEXT(B271,"yyyy-mm"))</f>
        <v/>
      </c>
    </row>
    <row r="272">
      <c r="A272" s="17" t="n"/>
      <c r="B272" s="18" t="n"/>
      <c r="C272" s="17" t="n"/>
      <c r="D272" s="17" t="n"/>
      <c r="E272" s="17" t="n"/>
      <c r="F272" s="17" t="n"/>
      <c r="G272" s="19" t="n"/>
      <c r="H272" s="17" t="n"/>
      <c r="I272" s="19" t="n"/>
      <c r="J272" s="17" t="n"/>
      <c r="K272" s="18" t="n"/>
      <c r="L272" s="18" t="n"/>
      <c r="M272" s="17" t="n"/>
      <c r="N272" s="17" t="n"/>
      <c r="O272" s="18" t="n"/>
      <c r="P272" s="18" t="n"/>
      <c r="Q272" s="17" t="n"/>
      <c r="R272" s="13">
        <f>IF(A272="","",N(G272)+N(I272))</f>
        <v/>
      </c>
      <c r="S272" s="12">
        <f>IF(OR(K272="",O272=""),"",O272-K272)</f>
        <v/>
      </c>
      <c r="T272" s="12">
        <f>IF(AND(C272="Cetak",L272&lt;&gt;"",L272&lt;TODAY()),"YA","")</f>
        <v/>
      </c>
      <c r="U272" s="12">
        <f>IF(B272="","",TEXT(B272,"yyyy-mm"))</f>
        <v/>
      </c>
    </row>
    <row r="273">
      <c r="A273" s="17" t="n"/>
      <c r="B273" s="18" t="n"/>
      <c r="C273" s="17" t="n"/>
      <c r="D273" s="17" t="n"/>
      <c r="E273" s="17" t="n"/>
      <c r="F273" s="17" t="n"/>
      <c r="G273" s="19" t="n"/>
      <c r="H273" s="17" t="n"/>
      <c r="I273" s="19" t="n"/>
      <c r="J273" s="17" t="n"/>
      <c r="K273" s="18" t="n"/>
      <c r="L273" s="18" t="n"/>
      <c r="M273" s="17" t="n"/>
      <c r="N273" s="17" t="n"/>
      <c r="O273" s="18" t="n"/>
      <c r="P273" s="18" t="n"/>
      <c r="Q273" s="17" t="n"/>
      <c r="R273" s="13">
        <f>IF(A273="","",N(G273)+N(I273))</f>
        <v/>
      </c>
      <c r="S273" s="12">
        <f>IF(OR(K273="",O273=""),"",O273-K273)</f>
        <v/>
      </c>
      <c r="T273" s="12">
        <f>IF(AND(C273="Cetak",L273&lt;&gt;"",L273&lt;TODAY()),"YA","")</f>
        <v/>
      </c>
      <c r="U273" s="12">
        <f>IF(B273="","",TEXT(B273,"yyyy-mm"))</f>
        <v/>
      </c>
    </row>
    <row r="274">
      <c r="A274" s="17" t="n"/>
      <c r="B274" s="18" t="n"/>
      <c r="C274" s="17" t="n"/>
      <c r="D274" s="17" t="n"/>
      <c r="E274" s="17" t="n"/>
      <c r="F274" s="17" t="n"/>
      <c r="G274" s="19" t="n"/>
      <c r="H274" s="17" t="n"/>
      <c r="I274" s="19" t="n"/>
      <c r="J274" s="17" t="n"/>
      <c r="K274" s="18" t="n"/>
      <c r="L274" s="18" t="n"/>
      <c r="M274" s="17" t="n"/>
      <c r="N274" s="17" t="n"/>
      <c r="O274" s="18" t="n"/>
      <c r="P274" s="18" t="n"/>
      <c r="Q274" s="17" t="n"/>
      <c r="R274" s="13">
        <f>IF(A274="","",N(G274)+N(I274))</f>
        <v/>
      </c>
      <c r="S274" s="12">
        <f>IF(OR(K274="",O274=""),"",O274-K274)</f>
        <v/>
      </c>
      <c r="T274" s="12">
        <f>IF(AND(C274="Cetak",L274&lt;&gt;"",L274&lt;TODAY()),"YA","")</f>
        <v/>
      </c>
      <c r="U274" s="12">
        <f>IF(B274="","",TEXT(B274,"yyyy-mm"))</f>
        <v/>
      </c>
    </row>
    <row r="275">
      <c r="A275" s="17" t="n"/>
      <c r="B275" s="18" t="n"/>
      <c r="C275" s="17" t="n"/>
      <c r="D275" s="17" t="n"/>
      <c r="E275" s="17" t="n"/>
      <c r="F275" s="17" t="n"/>
      <c r="G275" s="19" t="n"/>
      <c r="H275" s="17" t="n"/>
      <c r="I275" s="19" t="n"/>
      <c r="J275" s="17" t="n"/>
      <c r="K275" s="18" t="n"/>
      <c r="L275" s="18" t="n"/>
      <c r="M275" s="17" t="n"/>
      <c r="N275" s="17" t="n"/>
      <c r="O275" s="18" t="n"/>
      <c r="P275" s="18" t="n"/>
      <c r="Q275" s="17" t="n"/>
      <c r="R275" s="13">
        <f>IF(A275="","",N(G275)+N(I275))</f>
        <v/>
      </c>
      <c r="S275" s="12">
        <f>IF(OR(K275="",O275=""),"",O275-K275)</f>
        <v/>
      </c>
      <c r="T275" s="12">
        <f>IF(AND(C275="Cetak",L275&lt;&gt;"",L275&lt;TODAY()),"YA","")</f>
        <v/>
      </c>
      <c r="U275" s="12">
        <f>IF(B275="","",TEXT(B275,"yyyy-mm"))</f>
        <v/>
      </c>
    </row>
    <row r="276">
      <c r="A276" s="17" t="n"/>
      <c r="B276" s="18" t="n"/>
      <c r="C276" s="17" t="n"/>
      <c r="D276" s="17" t="n"/>
      <c r="E276" s="17" t="n"/>
      <c r="F276" s="17" t="n"/>
      <c r="G276" s="19" t="n"/>
      <c r="H276" s="17" t="n"/>
      <c r="I276" s="19" t="n"/>
      <c r="J276" s="17" t="n"/>
      <c r="K276" s="18" t="n"/>
      <c r="L276" s="18" t="n"/>
      <c r="M276" s="17" t="n"/>
      <c r="N276" s="17" t="n"/>
      <c r="O276" s="18" t="n"/>
      <c r="P276" s="18" t="n"/>
      <c r="Q276" s="17" t="n"/>
      <c r="R276" s="13">
        <f>IF(A276="","",N(G276)+N(I276))</f>
        <v/>
      </c>
      <c r="S276" s="12">
        <f>IF(OR(K276="",O276=""),"",O276-K276)</f>
        <v/>
      </c>
      <c r="T276" s="12">
        <f>IF(AND(C276="Cetak",L276&lt;&gt;"",L276&lt;TODAY()),"YA","")</f>
        <v/>
      </c>
      <c r="U276" s="12">
        <f>IF(B276="","",TEXT(B276,"yyyy-mm"))</f>
        <v/>
      </c>
    </row>
    <row r="277">
      <c r="A277" s="17" t="n"/>
      <c r="B277" s="18" t="n"/>
      <c r="C277" s="17" t="n"/>
      <c r="D277" s="17" t="n"/>
      <c r="E277" s="17" t="n"/>
      <c r="F277" s="17" t="n"/>
      <c r="G277" s="19" t="n"/>
      <c r="H277" s="17" t="n"/>
      <c r="I277" s="19" t="n"/>
      <c r="J277" s="17" t="n"/>
      <c r="K277" s="18" t="n"/>
      <c r="L277" s="18" t="n"/>
      <c r="M277" s="17" t="n"/>
      <c r="N277" s="17" t="n"/>
      <c r="O277" s="18" t="n"/>
      <c r="P277" s="18" t="n"/>
      <c r="Q277" s="17" t="n"/>
      <c r="R277" s="13">
        <f>IF(A277="","",N(G277)+N(I277))</f>
        <v/>
      </c>
      <c r="S277" s="12">
        <f>IF(OR(K277="",O277=""),"",O277-K277)</f>
        <v/>
      </c>
      <c r="T277" s="12">
        <f>IF(AND(C277="Cetak",L277&lt;&gt;"",L277&lt;TODAY()),"YA","")</f>
        <v/>
      </c>
      <c r="U277" s="12">
        <f>IF(B277="","",TEXT(B277,"yyyy-mm"))</f>
        <v/>
      </c>
    </row>
    <row r="278">
      <c r="A278" s="17" t="n"/>
      <c r="B278" s="18" t="n"/>
      <c r="C278" s="17" t="n"/>
      <c r="D278" s="17" t="n"/>
      <c r="E278" s="17" t="n"/>
      <c r="F278" s="17" t="n"/>
      <c r="G278" s="19" t="n"/>
      <c r="H278" s="17" t="n"/>
      <c r="I278" s="19" t="n"/>
      <c r="J278" s="17" t="n"/>
      <c r="K278" s="18" t="n"/>
      <c r="L278" s="18" t="n"/>
      <c r="M278" s="17" t="n"/>
      <c r="N278" s="17" t="n"/>
      <c r="O278" s="18" t="n"/>
      <c r="P278" s="18" t="n"/>
      <c r="Q278" s="17" t="n"/>
      <c r="R278" s="13">
        <f>IF(A278="","",N(G278)+N(I278))</f>
        <v/>
      </c>
      <c r="S278" s="12">
        <f>IF(OR(K278="",O278=""),"",O278-K278)</f>
        <v/>
      </c>
      <c r="T278" s="12">
        <f>IF(AND(C278="Cetak",L278&lt;&gt;"",L278&lt;TODAY()),"YA","")</f>
        <v/>
      </c>
      <c r="U278" s="12">
        <f>IF(B278="","",TEXT(B278,"yyyy-mm"))</f>
        <v/>
      </c>
    </row>
    <row r="279">
      <c r="A279" s="17" t="n"/>
      <c r="B279" s="18" t="n"/>
      <c r="C279" s="17" t="n"/>
      <c r="D279" s="17" t="n"/>
      <c r="E279" s="17" t="n"/>
      <c r="F279" s="17" t="n"/>
      <c r="G279" s="19" t="n"/>
      <c r="H279" s="17" t="n"/>
      <c r="I279" s="19" t="n"/>
      <c r="J279" s="17" t="n"/>
      <c r="K279" s="18" t="n"/>
      <c r="L279" s="18" t="n"/>
      <c r="M279" s="17" t="n"/>
      <c r="N279" s="17" t="n"/>
      <c r="O279" s="18" t="n"/>
      <c r="P279" s="18" t="n"/>
      <c r="Q279" s="17" t="n"/>
      <c r="R279" s="13">
        <f>IF(A279="","",N(G279)+N(I279))</f>
        <v/>
      </c>
      <c r="S279" s="12">
        <f>IF(OR(K279="",O279=""),"",O279-K279)</f>
        <v/>
      </c>
      <c r="T279" s="12">
        <f>IF(AND(C279="Cetak",L279&lt;&gt;"",L279&lt;TODAY()),"YA","")</f>
        <v/>
      </c>
      <c r="U279" s="12">
        <f>IF(B279="","",TEXT(B279,"yyyy-mm"))</f>
        <v/>
      </c>
    </row>
    <row r="280">
      <c r="A280" s="17" t="n"/>
      <c r="B280" s="18" t="n"/>
      <c r="C280" s="17" t="n"/>
      <c r="D280" s="17" t="n"/>
      <c r="E280" s="17" t="n"/>
      <c r="F280" s="17" t="n"/>
      <c r="G280" s="19" t="n"/>
      <c r="H280" s="17" t="n"/>
      <c r="I280" s="19" t="n"/>
      <c r="J280" s="17" t="n"/>
      <c r="K280" s="18" t="n"/>
      <c r="L280" s="18" t="n"/>
      <c r="M280" s="17" t="n"/>
      <c r="N280" s="17" t="n"/>
      <c r="O280" s="18" t="n"/>
      <c r="P280" s="18" t="n"/>
      <c r="Q280" s="17" t="n"/>
      <c r="R280" s="13">
        <f>IF(A280="","",N(G280)+N(I280))</f>
        <v/>
      </c>
      <c r="S280" s="12">
        <f>IF(OR(K280="",O280=""),"",O280-K280)</f>
        <v/>
      </c>
      <c r="T280" s="12">
        <f>IF(AND(C280="Cetak",L280&lt;&gt;"",L280&lt;TODAY()),"YA","")</f>
        <v/>
      </c>
      <c r="U280" s="12">
        <f>IF(B280="","",TEXT(B280,"yyyy-mm"))</f>
        <v/>
      </c>
    </row>
    <row r="281">
      <c r="A281" s="17" t="n"/>
      <c r="B281" s="18" t="n"/>
      <c r="C281" s="17" t="n"/>
      <c r="D281" s="17" t="n"/>
      <c r="E281" s="17" t="n"/>
      <c r="F281" s="17" t="n"/>
      <c r="G281" s="19" t="n"/>
      <c r="H281" s="17" t="n"/>
      <c r="I281" s="19" t="n"/>
      <c r="J281" s="17" t="n"/>
      <c r="K281" s="18" t="n"/>
      <c r="L281" s="18" t="n"/>
      <c r="M281" s="17" t="n"/>
      <c r="N281" s="17" t="n"/>
      <c r="O281" s="18" t="n"/>
      <c r="P281" s="18" t="n"/>
      <c r="Q281" s="17" t="n"/>
      <c r="R281" s="13">
        <f>IF(A281="","",N(G281)+N(I281))</f>
        <v/>
      </c>
      <c r="S281" s="12">
        <f>IF(OR(K281="",O281=""),"",O281-K281)</f>
        <v/>
      </c>
      <c r="T281" s="12">
        <f>IF(AND(C281="Cetak",L281&lt;&gt;"",L281&lt;TODAY()),"YA","")</f>
        <v/>
      </c>
      <c r="U281" s="12">
        <f>IF(B281="","",TEXT(B281,"yyyy-mm"))</f>
        <v/>
      </c>
    </row>
    <row r="282">
      <c r="A282" s="17" t="n"/>
      <c r="B282" s="18" t="n"/>
      <c r="C282" s="17" t="n"/>
      <c r="D282" s="17" t="n"/>
      <c r="E282" s="17" t="n"/>
      <c r="F282" s="17" t="n"/>
      <c r="G282" s="19" t="n"/>
      <c r="H282" s="17" t="n"/>
      <c r="I282" s="19" t="n"/>
      <c r="J282" s="17" t="n"/>
      <c r="K282" s="18" t="n"/>
      <c r="L282" s="18" t="n"/>
      <c r="M282" s="17" t="n"/>
      <c r="N282" s="17" t="n"/>
      <c r="O282" s="18" t="n"/>
      <c r="P282" s="18" t="n"/>
      <c r="Q282" s="17" t="n"/>
      <c r="R282" s="13">
        <f>IF(A282="","",N(G282)+N(I282))</f>
        <v/>
      </c>
      <c r="S282" s="12">
        <f>IF(OR(K282="",O282=""),"",O282-K282)</f>
        <v/>
      </c>
      <c r="T282" s="12">
        <f>IF(AND(C282="Cetak",L282&lt;&gt;"",L282&lt;TODAY()),"YA","")</f>
        <v/>
      </c>
      <c r="U282" s="12">
        <f>IF(B282="","",TEXT(B282,"yyyy-mm"))</f>
        <v/>
      </c>
    </row>
    <row r="283">
      <c r="A283" s="17" t="n"/>
      <c r="B283" s="18" t="n"/>
      <c r="C283" s="17" t="n"/>
      <c r="D283" s="17" t="n"/>
      <c r="E283" s="17" t="n"/>
      <c r="F283" s="17" t="n"/>
      <c r="G283" s="19" t="n"/>
      <c r="H283" s="17" t="n"/>
      <c r="I283" s="19" t="n"/>
      <c r="J283" s="17" t="n"/>
      <c r="K283" s="18" t="n"/>
      <c r="L283" s="18" t="n"/>
      <c r="M283" s="17" t="n"/>
      <c r="N283" s="17" t="n"/>
      <c r="O283" s="18" t="n"/>
      <c r="P283" s="18" t="n"/>
      <c r="Q283" s="17" t="n"/>
      <c r="R283" s="13">
        <f>IF(A283="","",N(G283)+N(I283))</f>
        <v/>
      </c>
      <c r="S283" s="12">
        <f>IF(OR(K283="",O283=""),"",O283-K283)</f>
        <v/>
      </c>
      <c r="T283" s="12">
        <f>IF(AND(C283="Cetak",L283&lt;&gt;"",L283&lt;TODAY()),"YA","")</f>
        <v/>
      </c>
      <c r="U283" s="12">
        <f>IF(B283="","",TEXT(B283,"yyyy-mm"))</f>
        <v/>
      </c>
    </row>
    <row r="284">
      <c r="A284" s="17" t="n"/>
      <c r="B284" s="18" t="n"/>
      <c r="C284" s="17" t="n"/>
      <c r="D284" s="17" t="n"/>
      <c r="E284" s="17" t="n"/>
      <c r="F284" s="17" t="n"/>
      <c r="G284" s="19" t="n"/>
      <c r="H284" s="17" t="n"/>
      <c r="I284" s="19" t="n"/>
      <c r="J284" s="17" t="n"/>
      <c r="K284" s="18" t="n"/>
      <c r="L284" s="18" t="n"/>
      <c r="M284" s="17" t="n"/>
      <c r="N284" s="17" t="n"/>
      <c r="O284" s="18" t="n"/>
      <c r="P284" s="18" t="n"/>
      <c r="Q284" s="17" t="n"/>
      <c r="R284" s="13">
        <f>IF(A284="","",N(G284)+N(I284))</f>
        <v/>
      </c>
      <c r="S284" s="12">
        <f>IF(OR(K284="",O284=""),"",O284-K284)</f>
        <v/>
      </c>
      <c r="T284" s="12">
        <f>IF(AND(C284="Cetak",L284&lt;&gt;"",L284&lt;TODAY()),"YA","")</f>
        <v/>
      </c>
      <c r="U284" s="12">
        <f>IF(B284="","",TEXT(B284,"yyyy-mm"))</f>
        <v/>
      </c>
    </row>
    <row r="285">
      <c r="A285" s="17" t="n"/>
      <c r="B285" s="18" t="n"/>
      <c r="C285" s="17" t="n"/>
      <c r="D285" s="17" t="n"/>
      <c r="E285" s="17" t="n"/>
      <c r="F285" s="17" t="n"/>
      <c r="G285" s="19" t="n"/>
      <c r="H285" s="17" t="n"/>
      <c r="I285" s="19" t="n"/>
      <c r="J285" s="17" t="n"/>
      <c r="K285" s="18" t="n"/>
      <c r="L285" s="18" t="n"/>
      <c r="M285" s="17" t="n"/>
      <c r="N285" s="17" t="n"/>
      <c r="O285" s="18" t="n"/>
      <c r="P285" s="18" t="n"/>
      <c r="Q285" s="17" t="n"/>
      <c r="R285" s="13">
        <f>IF(A285="","",N(G285)+N(I285))</f>
        <v/>
      </c>
      <c r="S285" s="12">
        <f>IF(OR(K285="",O285=""),"",O285-K285)</f>
        <v/>
      </c>
      <c r="T285" s="12">
        <f>IF(AND(C285="Cetak",L285&lt;&gt;"",L285&lt;TODAY()),"YA","")</f>
        <v/>
      </c>
      <c r="U285" s="12">
        <f>IF(B285="","",TEXT(B285,"yyyy-mm"))</f>
        <v/>
      </c>
    </row>
    <row r="286">
      <c r="A286" s="17" t="n"/>
      <c r="B286" s="18" t="n"/>
      <c r="C286" s="17" t="n"/>
      <c r="D286" s="17" t="n"/>
      <c r="E286" s="17" t="n"/>
      <c r="F286" s="17" t="n"/>
      <c r="G286" s="19" t="n"/>
      <c r="H286" s="17" t="n"/>
      <c r="I286" s="19" t="n"/>
      <c r="J286" s="17" t="n"/>
      <c r="K286" s="18" t="n"/>
      <c r="L286" s="18" t="n"/>
      <c r="M286" s="17" t="n"/>
      <c r="N286" s="17" t="n"/>
      <c r="O286" s="18" t="n"/>
      <c r="P286" s="18" t="n"/>
      <c r="Q286" s="17" t="n"/>
      <c r="R286" s="13">
        <f>IF(A286="","",N(G286)+N(I286))</f>
        <v/>
      </c>
      <c r="S286" s="12">
        <f>IF(OR(K286="",O286=""),"",O286-K286)</f>
        <v/>
      </c>
      <c r="T286" s="12">
        <f>IF(AND(C286="Cetak",L286&lt;&gt;"",L286&lt;TODAY()),"YA","")</f>
        <v/>
      </c>
      <c r="U286" s="12">
        <f>IF(B286="","",TEXT(B286,"yyyy-mm"))</f>
        <v/>
      </c>
    </row>
    <row r="287">
      <c r="A287" s="17" t="n"/>
      <c r="B287" s="18" t="n"/>
      <c r="C287" s="17" t="n"/>
      <c r="D287" s="17" t="n"/>
      <c r="E287" s="17" t="n"/>
      <c r="F287" s="17" t="n"/>
      <c r="G287" s="19" t="n"/>
      <c r="H287" s="17" t="n"/>
      <c r="I287" s="19" t="n"/>
      <c r="J287" s="17" t="n"/>
      <c r="K287" s="18" t="n"/>
      <c r="L287" s="18" t="n"/>
      <c r="M287" s="17" t="n"/>
      <c r="N287" s="17" t="n"/>
      <c r="O287" s="18" t="n"/>
      <c r="P287" s="18" t="n"/>
      <c r="Q287" s="17" t="n"/>
      <c r="R287" s="13">
        <f>IF(A287="","",N(G287)+N(I287))</f>
        <v/>
      </c>
      <c r="S287" s="12">
        <f>IF(OR(K287="",O287=""),"",O287-K287)</f>
        <v/>
      </c>
      <c r="T287" s="12">
        <f>IF(AND(C287="Cetak",L287&lt;&gt;"",L287&lt;TODAY()),"YA","")</f>
        <v/>
      </c>
      <c r="U287" s="12">
        <f>IF(B287="","",TEXT(B287,"yyyy-mm"))</f>
        <v/>
      </c>
    </row>
    <row r="288">
      <c r="A288" s="17" t="n"/>
      <c r="B288" s="18" t="n"/>
      <c r="C288" s="17" t="n"/>
      <c r="D288" s="17" t="n"/>
      <c r="E288" s="17" t="n"/>
      <c r="F288" s="17" t="n"/>
      <c r="G288" s="19" t="n"/>
      <c r="H288" s="17" t="n"/>
      <c r="I288" s="19" t="n"/>
      <c r="J288" s="17" t="n"/>
      <c r="K288" s="18" t="n"/>
      <c r="L288" s="18" t="n"/>
      <c r="M288" s="17" t="n"/>
      <c r="N288" s="17" t="n"/>
      <c r="O288" s="18" t="n"/>
      <c r="P288" s="18" t="n"/>
      <c r="Q288" s="17" t="n"/>
      <c r="R288" s="13">
        <f>IF(A288="","",N(G288)+N(I288))</f>
        <v/>
      </c>
      <c r="S288" s="12">
        <f>IF(OR(K288="",O288=""),"",O288-K288)</f>
        <v/>
      </c>
      <c r="T288" s="12">
        <f>IF(AND(C288="Cetak",L288&lt;&gt;"",L288&lt;TODAY()),"YA","")</f>
        <v/>
      </c>
      <c r="U288" s="12">
        <f>IF(B288="","",TEXT(B288,"yyyy-mm"))</f>
        <v/>
      </c>
    </row>
    <row r="289">
      <c r="A289" s="17" t="n"/>
      <c r="B289" s="18" t="n"/>
      <c r="C289" s="17" t="n"/>
      <c r="D289" s="17" t="n"/>
      <c r="E289" s="17" t="n"/>
      <c r="F289" s="17" t="n"/>
      <c r="G289" s="19" t="n"/>
      <c r="H289" s="17" t="n"/>
      <c r="I289" s="19" t="n"/>
      <c r="J289" s="17" t="n"/>
      <c r="K289" s="18" t="n"/>
      <c r="L289" s="18" t="n"/>
      <c r="M289" s="17" t="n"/>
      <c r="N289" s="17" t="n"/>
      <c r="O289" s="18" t="n"/>
      <c r="P289" s="18" t="n"/>
      <c r="Q289" s="17" t="n"/>
      <c r="R289" s="13">
        <f>IF(A289="","",N(G289)+N(I289))</f>
        <v/>
      </c>
      <c r="S289" s="12">
        <f>IF(OR(K289="",O289=""),"",O289-K289)</f>
        <v/>
      </c>
      <c r="T289" s="12">
        <f>IF(AND(C289="Cetak",L289&lt;&gt;"",L289&lt;TODAY()),"YA","")</f>
        <v/>
      </c>
      <c r="U289" s="12">
        <f>IF(B289="","",TEXT(B289,"yyyy-mm"))</f>
        <v/>
      </c>
    </row>
    <row r="290">
      <c r="A290" s="17" t="n"/>
      <c r="B290" s="18" t="n"/>
      <c r="C290" s="17" t="n"/>
      <c r="D290" s="17" t="n"/>
      <c r="E290" s="17" t="n"/>
      <c r="F290" s="17" t="n"/>
      <c r="G290" s="19" t="n"/>
      <c r="H290" s="17" t="n"/>
      <c r="I290" s="19" t="n"/>
      <c r="J290" s="17" t="n"/>
      <c r="K290" s="18" t="n"/>
      <c r="L290" s="18" t="n"/>
      <c r="M290" s="17" t="n"/>
      <c r="N290" s="17" t="n"/>
      <c r="O290" s="18" t="n"/>
      <c r="P290" s="18" t="n"/>
      <c r="Q290" s="17" t="n"/>
      <c r="R290" s="13">
        <f>IF(A290="","",N(G290)+N(I290))</f>
        <v/>
      </c>
      <c r="S290" s="12">
        <f>IF(OR(K290="",O290=""),"",O290-K290)</f>
        <v/>
      </c>
      <c r="T290" s="12">
        <f>IF(AND(C290="Cetak",L290&lt;&gt;"",L290&lt;TODAY()),"YA","")</f>
        <v/>
      </c>
      <c r="U290" s="12">
        <f>IF(B290="","",TEXT(B290,"yyyy-mm"))</f>
        <v/>
      </c>
    </row>
    <row r="291">
      <c r="A291" s="17" t="n"/>
      <c r="B291" s="18" t="n"/>
      <c r="C291" s="17" t="n"/>
      <c r="D291" s="17" t="n"/>
      <c r="E291" s="17" t="n"/>
      <c r="F291" s="17" t="n"/>
      <c r="G291" s="19" t="n"/>
      <c r="H291" s="17" t="n"/>
      <c r="I291" s="19" t="n"/>
      <c r="J291" s="17" t="n"/>
      <c r="K291" s="18" t="n"/>
      <c r="L291" s="18" t="n"/>
      <c r="M291" s="17" t="n"/>
      <c r="N291" s="17" t="n"/>
      <c r="O291" s="18" t="n"/>
      <c r="P291" s="18" t="n"/>
      <c r="Q291" s="17" t="n"/>
      <c r="R291" s="13">
        <f>IF(A291="","",N(G291)+N(I291))</f>
        <v/>
      </c>
      <c r="S291" s="12">
        <f>IF(OR(K291="",O291=""),"",O291-K291)</f>
        <v/>
      </c>
      <c r="T291" s="12">
        <f>IF(AND(C291="Cetak",L291&lt;&gt;"",L291&lt;TODAY()),"YA","")</f>
        <v/>
      </c>
      <c r="U291" s="12">
        <f>IF(B291="","",TEXT(B291,"yyyy-mm"))</f>
        <v/>
      </c>
    </row>
    <row r="292">
      <c r="A292" s="17" t="n"/>
      <c r="B292" s="18" t="n"/>
      <c r="C292" s="17" t="n"/>
      <c r="D292" s="17" t="n"/>
      <c r="E292" s="17" t="n"/>
      <c r="F292" s="17" t="n"/>
      <c r="G292" s="19" t="n"/>
      <c r="H292" s="17" t="n"/>
      <c r="I292" s="19" t="n"/>
      <c r="J292" s="17" t="n"/>
      <c r="K292" s="18" t="n"/>
      <c r="L292" s="18" t="n"/>
      <c r="M292" s="17" t="n"/>
      <c r="N292" s="17" t="n"/>
      <c r="O292" s="18" t="n"/>
      <c r="P292" s="18" t="n"/>
      <c r="Q292" s="17" t="n"/>
      <c r="R292" s="13">
        <f>IF(A292="","",N(G292)+N(I292))</f>
        <v/>
      </c>
      <c r="S292" s="12">
        <f>IF(OR(K292="",O292=""),"",O292-K292)</f>
        <v/>
      </c>
      <c r="T292" s="12">
        <f>IF(AND(C292="Cetak",L292&lt;&gt;"",L292&lt;TODAY()),"YA","")</f>
        <v/>
      </c>
      <c r="U292" s="12">
        <f>IF(B292="","",TEXT(B292,"yyyy-mm"))</f>
        <v/>
      </c>
    </row>
    <row r="293">
      <c r="A293" s="17" t="n"/>
      <c r="B293" s="18" t="n"/>
      <c r="C293" s="17" t="n"/>
      <c r="D293" s="17" t="n"/>
      <c r="E293" s="17" t="n"/>
      <c r="F293" s="17" t="n"/>
      <c r="G293" s="19" t="n"/>
      <c r="H293" s="17" t="n"/>
      <c r="I293" s="19" t="n"/>
      <c r="J293" s="17" t="n"/>
      <c r="K293" s="18" t="n"/>
      <c r="L293" s="18" t="n"/>
      <c r="M293" s="17" t="n"/>
      <c r="N293" s="17" t="n"/>
      <c r="O293" s="18" t="n"/>
      <c r="P293" s="18" t="n"/>
      <c r="Q293" s="17" t="n"/>
      <c r="R293" s="13">
        <f>IF(A293="","",N(G293)+N(I293))</f>
        <v/>
      </c>
      <c r="S293" s="12">
        <f>IF(OR(K293="",O293=""),"",O293-K293)</f>
        <v/>
      </c>
      <c r="T293" s="12">
        <f>IF(AND(C293="Cetak",L293&lt;&gt;"",L293&lt;TODAY()),"YA","")</f>
        <v/>
      </c>
      <c r="U293" s="12">
        <f>IF(B293="","",TEXT(B293,"yyyy-mm"))</f>
        <v/>
      </c>
    </row>
    <row r="294">
      <c r="A294" s="17" t="n"/>
      <c r="B294" s="18" t="n"/>
      <c r="C294" s="17" t="n"/>
      <c r="D294" s="17" t="n"/>
      <c r="E294" s="17" t="n"/>
      <c r="F294" s="17" t="n"/>
      <c r="G294" s="19" t="n"/>
      <c r="H294" s="17" t="n"/>
      <c r="I294" s="19" t="n"/>
      <c r="J294" s="17" t="n"/>
      <c r="K294" s="18" t="n"/>
      <c r="L294" s="18" t="n"/>
      <c r="M294" s="17" t="n"/>
      <c r="N294" s="17" t="n"/>
      <c r="O294" s="18" t="n"/>
      <c r="P294" s="18" t="n"/>
      <c r="Q294" s="17" t="n"/>
      <c r="R294" s="13">
        <f>IF(A294="","",N(G294)+N(I294))</f>
        <v/>
      </c>
      <c r="S294" s="12">
        <f>IF(OR(K294="",O294=""),"",O294-K294)</f>
        <v/>
      </c>
      <c r="T294" s="12">
        <f>IF(AND(C294="Cetak",L294&lt;&gt;"",L294&lt;TODAY()),"YA","")</f>
        <v/>
      </c>
      <c r="U294" s="12">
        <f>IF(B294="","",TEXT(B294,"yyyy-mm"))</f>
        <v/>
      </c>
    </row>
    <row r="295">
      <c r="A295" s="17" t="n"/>
      <c r="B295" s="18" t="n"/>
      <c r="C295" s="17" t="n"/>
      <c r="D295" s="17" t="n"/>
      <c r="E295" s="17" t="n"/>
      <c r="F295" s="17" t="n"/>
      <c r="G295" s="19" t="n"/>
      <c r="H295" s="17" t="n"/>
      <c r="I295" s="19" t="n"/>
      <c r="J295" s="17" t="n"/>
      <c r="K295" s="18" t="n"/>
      <c r="L295" s="18" t="n"/>
      <c r="M295" s="17" t="n"/>
      <c r="N295" s="17" t="n"/>
      <c r="O295" s="18" t="n"/>
      <c r="P295" s="18" t="n"/>
      <c r="Q295" s="17" t="n"/>
      <c r="R295" s="13">
        <f>IF(A295="","",N(G295)+N(I295))</f>
        <v/>
      </c>
      <c r="S295" s="12">
        <f>IF(OR(K295="",O295=""),"",O295-K295)</f>
        <v/>
      </c>
      <c r="T295" s="12">
        <f>IF(AND(C295="Cetak",L295&lt;&gt;"",L295&lt;TODAY()),"YA","")</f>
        <v/>
      </c>
      <c r="U295" s="12">
        <f>IF(B295="","",TEXT(B295,"yyyy-mm"))</f>
        <v/>
      </c>
    </row>
    <row r="296">
      <c r="A296" s="17" t="n"/>
      <c r="B296" s="18" t="n"/>
      <c r="C296" s="17" t="n"/>
      <c r="D296" s="17" t="n"/>
      <c r="E296" s="17" t="n"/>
      <c r="F296" s="17" t="n"/>
      <c r="G296" s="19" t="n"/>
      <c r="H296" s="17" t="n"/>
      <c r="I296" s="19" t="n"/>
      <c r="J296" s="17" t="n"/>
      <c r="K296" s="18" t="n"/>
      <c r="L296" s="18" t="n"/>
      <c r="M296" s="17" t="n"/>
      <c r="N296" s="17" t="n"/>
      <c r="O296" s="18" t="n"/>
      <c r="P296" s="18" t="n"/>
      <c r="Q296" s="17" t="n"/>
      <c r="R296" s="13">
        <f>IF(A296="","",N(G296)+N(I296))</f>
        <v/>
      </c>
      <c r="S296" s="12">
        <f>IF(OR(K296="",O296=""),"",O296-K296)</f>
        <v/>
      </c>
      <c r="T296" s="12">
        <f>IF(AND(C296="Cetak",L296&lt;&gt;"",L296&lt;TODAY()),"YA","")</f>
        <v/>
      </c>
      <c r="U296" s="12">
        <f>IF(B296="","",TEXT(B296,"yyyy-mm"))</f>
        <v/>
      </c>
    </row>
    <row r="297">
      <c r="A297" s="17" t="n"/>
      <c r="B297" s="18" t="n"/>
      <c r="C297" s="17" t="n"/>
      <c r="D297" s="17" t="n"/>
      <c r="E297" s="17" t="n"/>
      <c r="F297" s="17" t="n"/>
      <c r="G297" s="19" t="n"/>
      <c r="H297" s="17" t="n"/>
      <c r="I297" s="19" t="n"/>
      <c r="J297" s="17" t="n"/>
      <c r="K297" s="18" t="n"/>
      <c r="L297" s="18" t="n"/>
      <c r="M297" s="17" t="n"/>
      <c r="N297" s="17" t="n"/>
      <c r="O297" s="18" t="n"/>
      <c r="P297" s="18" t="n"/>
      <c r="Q297" s="17" t="n"/>
      <c r="R297" s="13">
        <f>IF(A297="","",N(G297)+N(I297))</f>
        <v/>
      </c>
      <c r="S297" s="12">
        <f>IF(OR(K297="",O297=""),"",O297-K297)</f>
        <v/>
      </c>
      <c r="T297" s="12">
        <f>IF(AND(C297="Cetak",L297&lt;&gt;"",L297&lt;TODAY()),"YA","")</f>
        <v/>
      </c>
      <c r="U297" s="12">
        <f>IF(B297="","",TEXT(B297,"yyyy-mm"))</f>
        <v/>
      </c>
    </row>
    <row r="298">
      <c r="A298" s="17" t="n"/>
      <c r="B298" s="18" t="n"/>
      <c r="C298" s="17" t="n"/>
      <c r="D298" s="17" t="n"/>
      <c r="E298" s="17" t="n"/>
      <c r="F298" s="17" t="n"/>
      <c r="G298" s="19" t="n"/>
      <c r="H298" s="17" t="n"/>
      <c r="I298" s="19" t="n"/>
      <c r="J298" s="17" t="n"/>
      <c r="K298" s="18" t="n"/>
      <c r="L298" s="18" t="n"/>
      <c r="M298" s="17" t="n"/>
      <c r="N298" s="17" t="n"/>
      <c r="O298" s="18" t="n"/>
      <c r="P298" s="18" t="n"/>
      <c r="Q298" s="17" t="n"/>
      <c r="R298" s="13">
        <f>IF(A298="","",N(G298)+N(I298))</f>
        <v/>
      </c>
      <c r="S298" s="12">
        <f>IF(OR(K298="",O298=""),"",O298-K298)</f>
        <v/>
      </c>
      <c r="T298" s="12">
        <f>IF(AND(C298="Cetak",L298&lt;&gt;"",L298&lt;TODAY()),"YA","")</f>
        <v/>
      </c>
      <c r="U298" s="12">
        <f>IF(B298="","",TEXT(B298,"yyyy-mm"))</f>
        <v/>
      </c>
    </row>
    <row r="299">
      <c r="A299" s="17" t="n"/>
      <c r="B299" s="18" t="n"/>
      <c r="C299" s="17" t="n"/>
      <c r="D299" s="17" t="n"/>
      <c r="E299" s="17" t="n"/>
      <c r="F299" s="17" t="n"/>
      <c r="G299" s="19" t="n"/>
      <c r="H299" s="17" t="n"/>
      <c r="I299" s="19" t="n"/>
      <c r="J299" s="17" t="n"/>
      <c r="K299" s="18" t="n"/>
      <c r="L299" s="18" t="n"/>
      <c r="M299" s="17" t="n"/>
      <c r="N299" s="17" t="n"/>
      <c r="O299" s="18" t="n"/>
      <c r="P299" s="18" t="n"/>
      <c r="Q299" s="17" t="n"/>
      <c r="R299" s="13">
        <f>IF(A299="","",N(G299)+N(I299))</f>
        <v/>
      </c>
      <c r="S299" s="12">
        <f>IF(OR(K299="",O299=""),"",O299-K299)</f>
        <v/>
      </c>
      <c r="T299" s="12">
        <f>IF(AND(C299="Cetak",L299&lt;&gt;"",L299&lt;TODAY()),"YA","")</f>
        <v/>
      </c>
      <c r="U299" s="12">
        <f>IF(B299="","",TEXT(B299,"yyyy-mm"))</f>
        <v/>
      </c>
    </row>
    <row r="300">
      <c r="A300" s="17" t="n"/>
      <c r="B300" s="18" t="n"/>
      <c r="C300" s="17" t="n"/>
      <c r="D300" s="17" t="n"/>
      <c r="E300" s="17" t="n"/>
      <c r="F300" s="17" t="n"/>
      <c r="G300" s="19" t="n"/>
      <c r="H300" s="17" t="n"/>
      <c r="I300" s="19" t="n"/>
      <c r="J300" s="17" t="n"/>
      <c r="K300" s="18" t="n"/>
      <c r="L300" s="18" t="n"/>
      <c r="M300" s="17" t="n"/>
      <c r="N300" s="17" t="n"/>
      <c r="O300" s="18" t="n"/>
      <c r="P300" s="18" t="n"/>
      <c r="Q300" s="17" t="n"/>
      <c r="R300" s="13">
        <f>IF(A300="","",N(G300)+N(I300))</f>
        <v/>
      </c>
      <c r="S300" s="12">
        <f>IF(OR(K300="",O300=""),"",O300-K300)</f>
        <v/>
      </c>
      <c r="T300" s="12">
        <f>IF(AND(C300="Cetak",L300&lt;&gt;"",L300&lt;TODAY()),"YA","")</f>
        <v/>
      </c>
      <c r="U300" s="12">
        <f>IF(B300="","",TEXT(B300,"yyyy-mm"))</f>
        <v/>
      </c>
    </row>
    <row r="301">
      <c r="A301" s="17" t="n"/>
      <c r="B301" s="18" t="n"/>
      <c r="C301" s="17" t="n"/>
      <c r="D301" s="17" t="n"/>
      <c r="E301" s="17" t="n"/>
      <c r="F301" s="17" t="n"/>
      <c r="G301" s="19" t="n"/>
      <c r="H301" s="17" t="n"/>
      <c r="I301" s="19" t="n"/>
      <c r="J301" s="17" t="n"/>
      <c r="K301" s="18" t="n"/>
      <c r="L301" s="18" t="n"/>
      <c r="M301" s="17" t="n"/>
      <c r="N301" s="17" t="n"/>
      <c r="O301" s="18" t="n"/>
      <c r="P301" s="18" t="n"/>
      <c r="Q301" s="17" t="n"/>
      <c r="R301" s="13">
        <f>IF(A301="","",N(G301)+N(I301))</f>
        <v/>
      </c>
      <c r="S301" s="12">
        <f>IF(OR(K301="",O301=""),"",O301-K301)</f>
        <v/>
      </c>
      <c r="T301" s="12">
        <f>IF(AND(C301="Cetak",L301&lt;&gt;"",L301&lt;TODAY()),"YA","")</f>
        <v/>
      </c>
      <c r="U301" s="12">
        <f>IF(B301="","",TEXT(B301,"yyyy-mm"))</f>
        <v/>
      </c>
    </row>
    <row r="302">
      <c r="A302" s="17" t="n"/>
      <c r="B302" s="18" t="n"/>
      <c r="C302" s="17" t="n"/>
      <c r="D302" s="17" t="n"/>
      <c r="E302" s="17" t="n"/>
      <c r="F302" s="17" t="n"/>
      <c r="G302" s="19" t="n"/>
      <c r="H302" s="17" t="n"/>
      <c r="I302" s="19" t="n"/>
      <c r="J302" s="17" t="n"/>
      <c r="K302" s="18" t="n"/>
      <c r="L302" s="18" t="n"/>
      <c r="M302" s="17" t="n"/>
      <c r="N302" s="17" t="n"/>
      <c r="O302" s="18" t="n"/>
      <c r="P302" s="18" t="n"/>
      <c r="Q302" s="17" t="n"/>
      <c r="R302" s="13">
        <f>IF(A302="","",N(G302)+N(I302))</f>
        <v/>
      </c>
      <c r="S302" s="12">
        <f>IF(OR(K302="",O302=""),"",O302-K302)</f>
        <v/>
      </c>
      <c r="T302" s="12">
        <f>IF(AND(C302="Cetak",L302&lt;&gt;"",L302&lt;TODAY()),"YA","")</f>
        <v/>
      </c>
      <c r="U302" s="12">
        <f>IF(B302="","",TEXT(B302,"yyyy-mm"))</f>
        <v/>
      </c>
    </row>
    <row r="303">
      <c r="A303" s="17" t="n"/>
      <c r="B303" s="18" t="n"/>
      <c r="C303" s="17" t="n"/>
      <c r="D303" s="17" t="n"/>
      <c r="E303" s="17" t="n"/>
      <c r="F303" s="17" t="n"/>
      <c r="G303" s="19" t="n"/>
      <c r="H303" s="17" t="n"/>
      <c r="I303" s="19" t="n"/>
      <c r="J303" s="17" t="n"/>
      <c r="K303" s="18" t="n"/>
      <c r="L303" s="18" t="n"/>
      <c r="M303" s="17" t="n"/>
      <c r="N303" s="17" t="n"/>
      <c r="O303" s="18" t="n"/>
      <c r="P303" s="18" t="n"/>
      <c r="Q303" s="17" t="n"/>
      <c r="R303" s="13">
        <f>IF(A303="","",N(G303)+N(I303))</f>
        <v/>
      </c>
      <c r="S303" s="12">
        <f>IF(OR(K303="",O303=""),"",O303-K303)</f>
        <v/>
      </c>
      <c r="T303" s="12">
        <f>IF(AND(C303="Cetak",L303&lt;&gt;"",L303&lt;TODAY()),"YA","")</f>
        <v/>
      </c>
      <c r="U303" s="12">
        <f>IF(B303="","",TEXT(B303,"yyyy-mm"))</f>
        <v/>
      </c>
    </row>
    <row r="304">
      <c r="A304" s="17" t="n"/>
      <c r="B304" s="18" t="n"/>
      <c r="C304" s="17" t="n"/>
      <c r="D304" s="17" t="n"/>
      <c r="E304" s="17" t="n"/>
      <c r="F304" s="17" t="n"/>
      <c r="G304" s="19" t="n"/>
      <c r="H304" s="17" t="n"/>
      <c r="I304" s="19" t="n"/>
      <c r="J304" s="17" t="n"/>
      <c r="K304" s="18" t="n"/>
      <c r="L304" s="18" t="n"/>
      <c r="M304" s="17" t="n"/>
      <c r="N304" s="17" t="n"/>
      <c r="O304" s="18" t="n"/>
      <c r="P304" s="18" t="n"/>
      <c r="Q304" s="17" t="n"/>
      <c r="R304" s="13">
        <f>IF(A304="","",N(G304)+N(I304))</f>
        <v/>
      </c>
      <c r="S304" s="12">
        <f>IF(OR(K304="",O304=""),"",O304-K304)</f>
        <v/>
      </c>
      <c r="T304" s="12">
        <f>IF(AND(C304="Cetak",L304&lt;&gt;"",L304&lt;TODAY()),"YA","")</f>
        <v/>
      </c>
      <c r="U304" s="12">
        <f>IF(B304="","",TEXT(B304,"yyyy-mm"))</f>
        <v/>
      </c>
    </row>
    <row r="305">
      <c r="A305" s="17" t="n"/>
      <c r="B305" s="18" t="n"/>
      <c r="C305" s="17" t="n"/>
      <c r="D305" s="17" t="n"/>
      <c r="E305" s="17" t="n"/>
      <c r="F305" s="17" t="n"/>
      <c r="G305" s="19" t="n"/>
      <c r="H305" s="17" t="n"/>
      <c r="I305" s="19" t="n"/>
      <c r="J305" s="17" t="n"/>
      <c r="K305" s="18" t="n"/>
      <c r="L305" s="18" t="n"/>
      <c r="M305" s="17" t="n"/>
      <c r="N305" s="17" t="n"/>
      <c r="O305" s="18" t="n"/>
      <c r="P305" s="18" t="n"/>
      <c r="Q305" s="17" t="n"/>
      <c r="R305" s="13">
        <f>IF(A305="","",N(G305)+N(I305))</f>
        <v/>
      </c>
      <c r="S305" s="12">
        <f>IF(OR(K305="",O305=""),"",O305-K305)</f>
        <v/>
      </c>
      <c r="T305" s="12">
        <f>IF(AND(C305="Cetak",L305&lt;&gt;"",L305&lt;TODAY()),"YA","")</f>
        <v/>
      </c>
      <c r="U305" s="12">
        <f>IF(B305="","",TEXT(B305,"yyyy-mm"))</f>
        <v/>
      </c>
    </row>
    <row r="306">
      <c r="A306" s="17" t="n"/>
      <c r="B306" s="18" t="n"/>
      <c r="C306" s="17" t="n"/>
      <c r="D306" s="17" t="n"/>
      <c r="E306" s="17" t="n"/>
      <c r="F306" s="17" t="n"/>
      <c r="G306" s="19" t="n"/>
      <c r="H306" s="17" t="n"/>
      <c r="I306" s="19" t="n"/>
      <c r="J306" s="17" t="n"/>
      <c r="K306" s="18" t="n"/>
      <c r="L306" s="18" t="n"/>
      <c r="M306" s="17" t="n"/>
      <c r="N306" s="17" t="n"/>
      <c r="O306" s="18" t="n"/>
      <c r="P306" s="18" t="n"/>
      <c r="Q306" s="17" t="n"/>
      <c r="R306" s="13">
        <f>IF(A306="","",N(G306)+N(I306))</f>
        <v/>
      </c>
      <c r="S306" s="12">
        <f>IF(OR(K306="",O306=""),"",O306-K306)</f>
        <v/>
      </c>
      <c r="T306" s="12">
        <f>IF(AND(C306="Cetak",L306&lt;&gt;"",L306&lt;TODAY()),"YA","")</f>
        <v/>
      </c>
      <c r="U306" s="12">
        <f>IF(B306="","",TEXT(B306,"yyyy-mm"))</f>
        <v/>
      </c>
    </row>
    <row r="307">
      <c r="A307" s="17" t="n"/>
      <c r="B307" s="18" t="n"/>
      <c r="C307" s="17" t="n"/>
      <c r="D307" s="17" t="n"/>
      <c r="E307" s="17" t="n"/>
      <c r="F307" s="17" t="n"/>
      <c r="G307" s="19" t="n"/>
      <c r="H307" s="17" t="n"/>
      <c r="I307" s="19" t="n"/>
      <c r="J307" s="17" t="n"/>
      <c r="K307" s="18" t="n"/>
      <c r="L307" s="18" t="n"/>
      <c r="M307" s="17" t="n"/>
      <c r="N307" s="17" t="n"/>
      <c r="O307" s="18" t="n"/>
      <c r="P307" s="18" t="n"/>
      <c r="Q307" s="17" t="n"/>
      <c r="R307" s="13">
        <f>IF(A307="","",N(G307)+N(I307))</f>
        <v/>
      </c>
      <c r="S307" s="12">
        <f>IF(OR(K307="",O307=""),"",O307-K307)</f>
        <v/>
      </c>
      <c r="T307" s="12">
        <f>IF(AND(C307="Cetak",L307&lt;&gt;"",L307&lt;TODAY()),"YA","")</f>
        <v/>
      </c>
      <c r="U307" s="12">
        <f>IF(B307="","",TEXT(B307,"yyyy-mm"))</f>
        <v/>
      </c>
    </row>
    <row r="308">
      <c r="A308" s="17" t="n"/>
      <c r="B308" s="18" t="n"/>
      <c r="C308" s="17" t="n"/>
      <c r="D308" s="17" t="n"/>
      <c r="E308" s="17" t="n"/>
      <c r="F308" s="17" t="n"/>
      <c r="G308" s="19" t="n"/>
      <c r="H308" s="17" t="n"/>
      <c r="I308" s="19" t="n"/>
      <c r="J308" s="17" t="n"/>
      <c r="K308" s="18" t="n"/>
      <c r="L308" s="18" t="n"/>
      <c r="M308" s="17" t="n"/>
      <c r="N308" s="17" t="n"/>
      <c r="O308" s="18" t="n"/>
      <c r="P308" s="18" t="n"/>
      <c r="Q308" s="17" t="n"/>
      <c r="R308" s="13">
        <f>IF(A308="","",N(G308)+N(I308))</f>
        <v/>
      </c>
      <c r="S308" s="12">
        <f>IF(OR(K308="",O308=""),"",O308-K308)</f>
        <v/>
      </c>
      <c r="T308" s="12">
        <f>IF(AND(C308="Cetak",L308&lt;&gt;"",L308&lt;TODAY()),"YA","")</f>
        <v/>
      </c>
      <c r="U308" s="12">
        <f>IF(B308="","",TEXT(B308,"yyyy-mm"))</f>
        <v/>
      </c>
    </row>
    <row r="309">
      <c r="A309" s="17" t="n"/>
      <c r="B309" s="18" t="n"/>
      <c r="C309" s="17" t="n"/>
      <c r="D309" s="17" t="n"/>
      <c r="E309" s="17" t="n"/>
      <c r="F309" s="17" t="n"/>
      <c r="G309" s="19" t="n"/>
      <c r="H309" s="17" t="n"/>
      <c r="I309" s="19" t="n"/>
      <c r="J309" s="17" t="n"/>
      <c r="K309" s="18" t="n"/>
      <c r="L309" s="18" t="n"/>
      <c r="M309" s="17" t="n"/>
      <c r="N309" s="17" t="n"/>
      <c r="O309" s="18" t="n"/>
      <c r="P309" s="18" t="n"/>
      <c r="Q309" s="17" t="n"/>
      <c r="R309" s="13">
        <f>IF(A309="","",N(G309)+N(I309))</f>
        <v/>
      </c>
      <c r="S309" s="12">
        <f>IF(OR(K309="",O309=""),"",O309-K309)</f>
        <v/>
      </c>
      <c r="T309" s="12">
        <f>IF(AND(C309="Cetak",L309&lt;&gt;"",L309&lt;TODAY()),"YA","")</f>
        <v/>
      </c>
      <c r="U309" s="12">
        <f>IF(B309="","",TEXT(B309,"yyyy-mm"))</f>
        <v/>
      </c>
    </row>
    <row r="310">
      <c r="A310" s="17" t="n"/>
      <c r="B310" s="18" t="n"/>
      <c r="C310" s="17" t="n"/>
      <c r="D310" s="17" t="n"/>
      <c r="E310" s="17" t="n"/>
      <c r="F310" s="17" t="n"/>
      <c r="G310" s="19" t="n"/>
      <c r="H310" s="17" t="n"/>
      <c r="I310" s="19" t="n"/>
      <c r="J310" s="17" t="n"/>
      <c r="K310" s="18" t="n"/>
      <c r="L310" s="18" t="n"/>
      <c r="M310" s="17" t="n"/>
      <c r="N310" s="17" t="n"/>
      <c r="O310" s="18" t="n"/>
      <c r="P310" s="18" t="n"/>
      <c r="Q310" s="17" t="n"/>
      <c r="R310" s="13">
        <f>IF(A310="","",N(G310)+N(I310))</f>
        <v/>
      </c>
      <c r="S310" s="12">
        <f>IF(OR(K310="",O310=""),"",O310-K310)</f>
        <v/>
      </c>
      <c r="T310" s="12">
        <f>IF(AND(C310="Cetak",L310&lt;&gt;"",L310&lt;TODAY()),"YA","")</f>
        <v/>
      </c>
      <c r="U310" s="12">
        <f>IF(B310="","",TEXT(B310,"yyyy-mm"))</f>
        <v/>
      </c>
    </row>
    <row r="311">
      <c r="A311" s="17" t="n"/>
      <c r="B311" s="18" t="n"/>
      <c r="C311" s="17" t="n"/>
      <c r="D311" s="17" t="n"/>
      <c r="E311" s="17" t="n"/>
      <c r="F311" s="17" t="n"/>
      <c r="G311" s="19" t="n"/>
      <c r="H311" s="17" t="n"/>
      <c r="I311" s="19" t="n"/>
      <c r="J311" s="17" t="n"/>
      <c r="K311" s="18" t="n"/>
      <c r="L311" s="18" t="n"/>
      <c r="M311" s="17" t="n"/>
      <c r="N311" s="17" t="n"/>
      <c r="O311" s="18" t="n"/>
      <c r="P311" s="18" t="n"/>
      <c r="Q311" s="17" t="n"/>
      <c r="R311" s="13">
        <f>IF(A311="","",N(G311)+N(I311))</f>
        <v/>
      </c>
      <c r="S311" s="12">
        <f>IF(OR(K311="",O311=""),"",O311-K311)</f>
        <v/>
      </c>
      <c r="T311" s="12">
        <f>IF(AND(C311="Cetak",L311&lt;&gt;"",L311&lt;TODAY()),"YA","")</f>
        <v/>
      </c>
      <c r="U311" s="12">
        <f>IF(B311="","",TEXT(B311,"yyyy-mm"))</f>
        <v/>
      </c>
    </row>
    <row r="312">
      <c r="A312" s="17" t="n"/>
      <c r="B312" s="18" t="n"/>
      <c r="C312" s="17" t="n"/>
      <c r="D312" s="17" t="n"/>
      <c r="E312" s="17" t="n"/>
      <c r="F312" s="17" t="n"/>
      <c r="G312" s="19" t="n"/>
      <c r="H312" s="17" t="n"/>
      <c r="I312" s="19" t="n"/>
      <c r="J312" s="17" t="n"/>
      <c r="K312" s="18" t="n"/>
      <c r="L312" s="18" t="n"/>
      <c r="M312" s="17" t="n"/>
      <c r="N312" s="17" t="n"/>
      <c r="O312" s="18" t="n"/>
      <c r="P312" s="18" t="n"/>
      <c r="Q312" s="17" t="n"/>
      <c r="R312" s="13">
        <f>IF(A312="","",N(G312)+N(I312))</f>
        <v/>
      </c>
      <c r="S312" s="12">
        <f>IF(OR(K312="",O312=""),"",O312-K312)</f>
        <v/>
      </c>
      <c r="T312" s="12">
        <f>IF(AND(C312="Cetak",L312&lt;&gt;"",L312&lt;TODAY()),"YA","")</f>
        <v/>
      </c>
      <c r="U312" s="12">
        <f>IF(B312="","",TEXT(B312,"yyyy-mm"))</f>
        <v/>
      </c>
    </row>
    <row r="313">
      <c r="A313" s="17" t="n"/>
      <c r="B313" s="18" t="n"/>
      <c r="C313" s="17" t="n"/>
      <c r="D313" s="17" t="n"/>
      <c r="E313" s="17" t="n"/>
      <c r="F313" s="17" t="n"/>
      <c r="G313" s="19" t="n"/>
      <c r="H313" s="17" t="n"/>
      <c r="I313" s="19" t="n"/>
      <c r="J313" s="17" t="n"/>
      <c r="K313" s="18" t="n"/>
      <c r="L313" s="18" t="n"/>
      <c r="M313" s="17" t="n"/>
      <c r="N313" s="17" t="n"/>
      <c r="O313" s="18" t="n"/>
      <c r="P313" s="18" t="n"/>
      <c r="Q313" s="17" t="n"/>
      <c r="R313" s="13">
        <f>IF(A313="","",N(G313)+N(I313))</f>
        <v/>
      </c>
      <c r="S313" s="12">
        <f>IF(OR(K313="",O313=""),"",O313-K313)</f>
        <v/>
      </c>
      <c r="T313" s="12">
        <f>IF(AND(C313="Cetak",L313&lt;&gt;"",L313&lt;TODAY()),"YA","")</f>
        <v/>
      </c>
      <c r="U313" s="12">
        <f>IF(B313="","",TEXT(B313,"yyyy-mm"))</f>
        <v/>
      </c>
    </row>
    <row r="314">
      <c r="A314" s="17" t="n"/>
      <c r="B314" s="18" t="n"/>
      <c r="C314" s="17" t="n"/>
      <c r="D314" s="17" t="n"/>
      <c r="E314" s="17" t="n"/>
      <c r="F314" s="17" t="n"/>
      <c r="G314" s="19" t="n"/>
      <c r="H314" s="17" t="n"/>
      <c r="I314" s="19" t="n"/>
      <c r="J314" s="17" t="n"/>
      <c r="K314" s="18" t="n"/>
      <c r="L314" s="18" t="n"/>
      <c r="M314" s="17" t="n"/>
      <c r="N314" s="17" t="n"/>
      <c r="O314" s="18" t="n"/>
      <c r="P314" s="18" t="n"/>
      <c r="Q314" s="17" t="n"/>
      <c r="R314" s="13">
        <f>IF(A314="","",N(G314)+N(I314))</f>
        <v/>
      </c>
      <c r="S314" s="12">
        <f>IF(OR(K314="",O314=""),"",O314-K314)</f>
        <v/>
      </c>
      <c r="T314" s="12">
        <f>IF(AND(C314="Cetak",L314&lt;&gt;"",L314&lt;TODAY()),"YA","")</f>
        <v/>
      </c>
      <c r="U314" s="12">
        <f>IF(B314="","",TEXT(B314,"yyyy-mm"))</f>
        <v/>
      </c>
    </row>
    <row r="315">
      <c r="A315" s="17" t="n"/>
      <c r="B315" s="18" t="n"/>
      <c r="C315" s="17" t="n"/>
      <c r="D315" s="17" t="n"/>
      <c r="E315" s="17" t="n"/>
      <c r="F315" s="17" t="n"/>
      <c r="G315" s="19" t="n"/>
      <c r="H315" s="17" t="n"/>
      <c r="I315" s="19" t="n"/>
      <c r="J315" s="17" t="n"/>
      <c r="K315" s="18" t="n"/>
      <c r="L315" s="18" t="n"/>
      <c r="M315" s="17" t="n"/>
      <c r="N315" s="17" t="n"/>
      <c r="O315" s="18" t="n"/>
      <c r="P315" s="18" t="n"/>
      <c r="Q315" s="17" t="n"/>
      <c r="R315" s="13">
        <f>IF(A315="","",N(G315)+N(I315))</f>
        <v/>
      </c>
      <c r="S315" s="12">
        <f>IF(OR(K315="",O315=""),"",O315-K315)</f>
        <v/>
      </c>
      <c r="T315" s="12">
        <f>IF(AND(C315="Cetak",L315&lt;&gt;"",L315&lt;TODAY()),"YA","")</f>
        <v/>
      </c>
      <c r="U315" s="12">
        <f>IF(B315="","",TEXT(B315,"yyyy-mm"))</f>
        <v/>
      </c>
    </row>
    <row r="316">
      <c r="A316" s="17" t="n"/>
      <c r="B316" s="18" t="n"/>
      <c r="C316" s="17" t="n"/>
      <c r="D316" s="17" t="n"/>
      <c r="E316" s="17" t="n"/>
      <c r="F316" s="17" t="n"/>
      <c r="G316" s="19" t="n"/>
      <c r="H316" s="17" t="n"/>
      <c r="I316" s="19" t="n"/>
      <c r="J316" s="17" t="n"/>
      <c r="K316" s="18" t="n"/>
      <c r="L316" s="18" t="n"/>
      <c r="M316" s="17" t="n"/>
      <c r="N316" s="17" t="n"/>
      <c r="O316" s="18" t="n"/>
      <c r="P316" s="18" t="n"/>
      <c r="Q316" s="17" t="n"/>
      <c r="R316" s="13">
        <f>IF(A316="","",N(G316)+N(I316))</f>
        <v/>
      </c>
      <c r="S316" s="12">
        <f>IF(OR(K316="",O316=""),"",O316-K316)</f>
        <v/>
      </c>
      <c r="T316" s="12">
        <f>IF(AND(C316="Cetak",L316&lt;&gt;"",L316&lt;TODAY()),"YA","")</f>
        <v/>
      </c>
      <c r="U316" s="12">
        <f>IF(B316="","",TEXT(B316,"yyyy-mm"))</f>
        <v/>
      </c>
    </row>
    <row r="317">
      <c r="A317" s="17" t="n"/>
      <c r="B317" s="18" t="n"/>
      <c r="C317" s="17" t="n"/>
      <c r="D317" s="17" t="n"/>
      <c r="E317" s="17" t="n"/>
      <c r="F317" s="17" t="n"/>
      <c r="G317" s="19" t="n"/>
      <c r="H317" s="17" t="n"/>
      <c r="I317" s="19" t="n"/>
      <c r="J317" s="17" t="n"/>
      <c r="K317" s="18" t="n"/>
      <c r="L317" s="18" t="n"/>
      <c r="M317" s="17" t="n"/>
      <c r="N317" s="17" t="n"/>
      <c r="O317" s="18" t="n"/>
      <c r="P317" s="18" t="n"/>
      <c r="Q317" s="17" t="n"/>
      <c r="R317" s="13">
        <f>IF(A317="","",N(G317)+N(I317))</f>
        <v/>
      </c>
      <c r="S317" s="12">
        <f>IF(OR(K317="",O317=""),"",O317-K317)</f>
        <v/>
      </c>
      <c r="T317" s="12">
        <f>IF(AND(C317="Cetak",L317&lt;&gt;"",L317&lt;TODAY()),"YA","")</f>
        <v/>
      </c>
      <c r="U317" s="12">
        <f>IF(B317="","",TEXT(B317,"yyyy-mm"))</f>
        <v/>
      </c>
    </row>
    <row r="318">
      <c r="A318" s="17" t="n"/>
      <c r="B318" s="18" t="n"/>
      <c r="C318" s="17" t="n"/>
      <c r="D318" s="17" t="n"/>
      <c r="E318" s="17" t="n"/>
      <c r="F318" s="17" t="n"/>
      <c r="G318" s="19" t="n"/>
      <c r="H318" s="17" t="n"/>
      <c r="I318" s="19" t="n"/>
      <c r="J318" s="17" t="n"/>
      <c r="K318" s="18" t="n"/>
      <c r="L318" s="18" t="n"/>
      <c r="M318" s="17" t="n"/>
      <c r="N318" s="17" t="n"/>
      <c r="O318" s="18" t="n"/>
      <c r="P318" s="18" t="n"/>
      <c r="Q318" s="17" t="n"/>
      <c r="R318" s="13">
        <f>IF(A318="","",N(G318)+N(I318))</f>
        <v/>
      </c>
      <c r="S318" s="12">
        <f>IF(OR(K318="",O318=""),"",O318-K318)</f>
        <v/>
      </c>
      <c r="T318" s="12">
        <f>IF(AND(C318="Cetak",L318&lt;&gt;"",L318&lt;TODAY()),"YA","")</f>
        <v/>
      </c>
      <c r="U318" s="12">
        <f>IF(B318="","",TEXT(B318,"yyyy-mm"))</f>
        <v/>
      </c>
    </row>
    <row r="319">
      <c r="A319" s="17" t="n"/>
      <c r="B319" s="18" t="n"/>
      <c r="C319" s="17" t="n"/>
      <c r="D319" s="17" t="n"/>
      <c r="E319" s="17" t="n"/>
      <c r="F319" s="17" t="n"/>
      <c r="G319" s="19" t="n"/>
      <c r="H319" s="17" t="n"/>
      <c r="I319" s="19" t="n"/>
      <c r="J319" s="17" t="n"/>
      <c r="K319" s="18" t="n"/>
      <c r="L319" s="18" t="n"/>
      <c r="M319" s="17" t="n"/>
      <c r="N319" s="17" t="n"/>
      <c r="O319" s="18" t="n"/>
      <c r="P319" s="18" t="n"/>
      <c r="Q319" s="17" t="n"/>
      <c r="R319" s="13">
        <f>IF(A319="","",N(G319)+N(I319))</f>
        <v/>
      </c>
      <c r="S319" s="12">
        <f>IF(OR(K319="",O319=""),"",O319-K319)</f>
        <v/>
      </c>
      <c r="T319" s="12">
        <f>IF(AND(C319="Cetak",L319&lt;&gt;"",L319&lt;TODAY()),"YA","")</f>
        <v/>
      </c>
      <c r="U319" s="12">
        <f>IF(B319="","",TEXT(B319,"yyyy-mm"))</f>
        <v/>
      </c>
    </row>
    <row r="320">
      <c r="A320" s="17" t="n"/>
      <c r="B320" s="18" t="n"/>
      <c r="C320" s="17" t="n"/>
      <c r="D320" s="17" t="n"/>
      <c r="E320" s="17" t="n"/>
      <c r="F320" s="17" t="n"/>
      <c r="G320" s="19" t="n"/>
      <c r="H320" s="17" t="n"/>
      <c r="I320" s="19" t="n"/>
      <c r="J320" s="17" t="n"/>
      <c r="K320" s="18" t="n"/>
      <c r="L320" s="18" t="n"/>
      <c r="M320" s="17" t="n"/>
      <c r="N320" s="17" t="n"/>
      <c r="O320" s="18" t="n"/>
      <c r="P320" s="18" t="n"/>
      <c r="Q320" s="17" t="n"/>
      <c r="R320" s="13">
        <f>IF(A320="","",N(G320)+N(I320))</f>
        <v/>
      </c>
      <c r="S320" s="12">
        <f>IF(OR(K320="",O320=""),"",O320-K320)</f>
        <v/>
      </c>
      <c r="T320" s="12">
        <f>IF(AND(C320="Cetak",L320&lt;&gt;"",L320&lt;TODAY()),"YA","")</f>
        <v/>
      </c>
      <c r="U320" s="12">
        <f>IF(B320="","",TEXT(B320,"yyyy-mm"))</f>
        <v/>
      </c>
    </row>
    <row r="321">
      <c r="A321" s="17" t="n"/>
      <c r="B321" s="18" t="n"/>
      <c r="C321" s="17" t="n"/>
      <c r="D321" s="17" t="n"/>
      <c r="E321" s="17" t="n"/>
      <c r="F321" s="17" t="n"/>
      <c r="G321" s="19" t="n"/>
      <c r="H321" s="17" t="n"/>
      <c r="I321" s="19" t="n"/>
      <c r="J321" s="17" t="n"/>
      <c r="K321" s="18" t="n"/>
      <c r="L321" s="18" t="n"/>
      <c r="M321" s="17" t="n"/>
      <c r="N321" s="17" t="n"/>
      <c r="O321" s="18" t="n"/>
      <c r="P321" s="18" t="n"/>
      <c r="Q321" s="17" t="n"/>
      <c r="R321" s="13">
        <f>IF(A321="","",N(G321)+N(I321))</f>
        <v/>
      </c>
      <c r="S321" s="12">
        <f>IF(OR(K321="",O321=""),"",O321-K321)</f>
        <v/>
      </c>
      <c r="T321" s="12">
        <f>IF(AND(C321="Cetak",L321&lt;&gt;"",L321&lt;TODAY()),"YA","")</f>
        <v/>
      </c>
      <c r="U321" s="12">
        <f>IF(B321="","",TEXT(B321,"yyyy-mm"))</f>
        <v/>
      </c>
    </row>
    <row r="322">
      <c r="A322" s="17" t="n"/>
      <c r="B322" s="18" t="n"/>
      <c r="C322" s="17" t="n"/>
      <c r="D322" s="17" t="n"/>
      <c r="E322" s="17" t="n"/>
      <c r="F322" s="17" t="n"/>
      <c r="G322" s="19" t="n"/>
      <c r="H322" s="17" t="n"/>
      <c r="I322" s="19" t="n"/>
      <c r="J322" s="17" t="n"/>
      <c r="K322" s="18" t="n"/>
      <c r="L322" s="18" t="n"/>
      <c r="M322" s="17" t="n"/>
      <c r="N322" s="17" t="n"/>
      <c r="O322" s="18" t="n"/>
      <c r="P322" s="18" t="n"/>
      <c r="Q322" s="17" t="n"/>
      <c r="R322" s="13">
        <f>IF(A322="","",N(G322)+N(I322))</f>
        <v/>
      </c>
      <c r="S322" s="12">
        <f>IF(OR(K322="",O322=""),"",O322-K322)</f>
        <v/>
      </c>
      <c r="T322" s="12">
        <f>IF(AND(C322="Cetak",L322&lt;&gt;"",L322&lt;TODAY()),"YA","")</f>
        <v/>
      </c>
      <c r="U322" s="12">
        <f>IF(B322="","",TEXT(B322,"yyyy-mm"))</f>
        <v/>
      </c>
    </row>
    <row r="323">
      <c r="A323" s="17" t="n"/>
      <c r="B323" s="18" t="n"/>
      <c r="C323" s="17" t="n"/>
      <c r="D323" s="17" t="n"/>
      <c r="E323" s="17" t="n"/>
      <c r="F323" s="17" t="n"/>
      <c r="G323" s="19" t="n"/>
      <c r="H323" s="17" t="n"/>
      <c r="I323" s="19" t="n"/>
      <c r="J323" s="17" t="n"/>
      <c r="K323" s="18" t="n"/>
      <c r="L323" s="18" t="n"/>
      <c r="M323" s="17" t="n"/>
      <c r="N323" s="17" t="n"/>
      <c r="O323" s="18" t="n"/>
      <c r="P323" s="18" t="n"/>
      <c r="Q323" s="17" t="n"/>
      <c r="R323" s="13">
        <f>IF(A323="","",N(G323)+N(I323))</f>
        <v/>
      </c>
      <c r="S323" s="12">
        <f>IF(OR(K323="",O323=""),"",O323-K323)</f>
        <v/>
      </c>
      <c r="T323" s="12">
        <f>IF(AND(C323="Cetak",L323&lt;&gt;"",L323&lt;TODAY()),"YA","")</f>
        <v/>
      </c>
      <c r="U323" s="12">
        <f>IF(B323="","",TEXT(B323,"yyyy-mm"))</f>
        <v/>
      </c>
    </row>
    <row r="324">
      <c r="A324" s="17" t="n"/>
      <c r="B324" s="18" t="n"/>
      <c r="C324" s="17" t="n"/>
      <c r="D324" s="17" t="n"/>
      <c r="E324" s="17" t="n"/>
      <c r="F324" s="17" t="n"/>
      <c r="G324" s="19" t="n"/>
      <c r="H324" s="17" t="n"/>
      <c r="I324" s="19" t="n"/>
      <c r="J324" s="17" t="n"/>
      <c r="K324" s="18" t="n"/>
      <c r="L324" s="18" t="n"/>
      <c r="M324" s="17" t="n"/>
      <c r="N324" s="17" t="n"/>
      <c r="O324" s="18" t="n"/>
      <c r="P324" s="18" t="n"/>
      <c r="Q324" s="17" t="n"/>
      <c r="R324" s="13">
        <f>IF(A324="","",N(G324)+N(I324))</f>
        <v/>
      </c>
      <c r="S324" s="12">
        <f>IF(OR(K324="",O324=""),"",O324-K324)</f>
        <v/>
      </c>
      <c r="T324" s="12">
        <f>IF(AND(C324="Cetak",L324&lt;&gt;"",L324&lt;TODAY()),"YA","")</f>
        <v/>
      </c>
      <c r="U324" s="12">
        <f>IF(B324="","",TEXT(B324,"yyyy-mm"))</f>
        <v/>
      </c>
    </row>
    <row r="325">
      <c r="A325" s="17" t="n"/>
      <c r="B325" s="18" t="n"/>
      <c r="C325" s="17" t="n"/>
      <c r="D325" s="17" t="n"/>
      <c r="E325" s="17" t="n"/>
      <c r="F325" s="17" t="n"/>
      <c r="G325" s="19" t="n"/>
      <c r="H325" s="17" t="n"/>
      <c r="I325" s="19" t="n"/>
      <c r="J325" s="17" t="n"/>
      <c r="K325" s="18" t="n"/>
      <c r="L325" s="18" t="n"/>
      <c r="M325" s="17" t="n"/>
      <c r="N325" s="17" t="n"/>
      <c r="O325" s="18" t="n"/>
      <c r="P325" s="18" t="n"/>
      <c r="Q325" s="17" t="n"/>
      <c r="R325" s="13">
        <f>IF(A325="","",N(G325)+N(I325))</f>
        <v/>
      </c>
      <c r="S325" s="12">
        <f>IF(OR(K325="",O325=""),"",O325-K325)</f>
        <v/>
      </c>
      <c r="T325" s="12">
        <f>IF(AND(C325="Cetak",L325&lt;&gt;"",L325&lt;TODAY()),"YA","")</f>
        <v/>
      </c>
      <c r="U325" s="12">
        <f>IF(B325="","",TEXT(B325,"yyyy-mm"))</f>
        <v/>
      </c>
    </row>
    <row r="326">
      <c r="A326" s="17" t="n"/>
      <c r="B326" s="18" t="n"/>
      <c r="C326" s="17" t="n"/>
      <c r="D326" s="17" t="n"/>
      <c r="E326" s="17" t="n"/>
      <c r="F326" s="17" t="n"/>
      <c r="G326" s="19" t="n"/>
      <c r="H326" s="17" t="n"/>
      <c r="I326" s="19" t="n"/>
      <c r="J326" s="17" t="n"/>
      <c r="K326" s="18" t="n"/>
      <c r="L326" s="18" t="n"/>
      <c r="M326" s="17" t="n"/>
      <c r="N326" s="17" t="n"/>
      <c r="O326" s="18" t="n"/>
      <c r="P326" s="18" t="n"/>
      <c r="Q326" s="17" t="n"/>
      <c r="R326" s="13">
        <f>IF(A326="","",N(G326)+N(I326))</f>
        <v/>
      </c>
      <c r="S326" s="12">
        <f>IF(OR(K326="",O326=""),"",O326-K326)</f>
        <v/>
      </c>
      <c r="T326" s="12">
        <f>IF(AND(C326="Cetak",L326&lt;&gt;"",L326&lt;TODAY()),"YA","")</f>
        <v/>
      </c>
      <c r="U326" s="12">
        <f>IF(B326="","",TEXT(B326,"yyyy-mm"))</f>
        <v/>
      </c>
    </row>
    <row r="327">
      <c r="A327" s="17" t="n"/>
      <c r="B327" s="18" t="n"/>
      <c r="C327" s="17" t="n"/>
      <c r="D327" s="17" t="n"/>
      <c r="E327" s="17" t="n"/>
      <c r="F327" s="17" t="n"/>
      <c r="G327" s="19" t="n"/>
      <c r="H327" s="17" t="n"/>
      <c r="I327" s="19" t="n"/>
      <c r="J327" s="17" t="n"/>
      <c r="K327" s="18" t="n"/>
      <c r="L327" s="18" t="n"/>
      <c r="M327" s="17" t="n"/>
      <c r="N327" s="17" t="n"/>
      <c r="O327" s="18" t="n"/>
      <c r="P327" s="18" t="n"/>
      <c r="Q327" s="17" t="n"/>
      <c r="R327" s="13">
        <f>IF(A327="","",N(G327)+N(I327))</f>
        <v/>
      </c>
      <c r="S327" s="12">
        <f>IF(OR(K327="",O327=""),"",O327-K327)</f>
        <v/>
      </c>
      <c r="T327" s="12">
        <f>IF(AND(C327="Cetak",L327&lt;&gt;"",L327&lt;TODAY()),"YA","")</f>
        <v/>
      </c>
      <c r="U327" s="12">
        <f>IF(B327="","",TEXT(B327,"yyyy-mm"))</f>
        <v/>
      </c>
    </row>
    <row r="328">
      <c r="A328" s="17" t="n"/>
      <c r="B328" s="18" t="n"/>
      <c r="C328" s="17" t="n"/>
      <c r="D328" s="17" t="n"/>
      <c r="E328" s="17" t="n"/>
      <c r="F328" s="17" t="n"/>
      <c r="G328" s="19" t="n"/>
      <c r="H328" s="17" t="n"/>
      <c r="I328" s="19" t="n"/>
      <c r="J328" s="17" t="n"/>
      <c r="K328" s="18" t="n"/>
      <c r="L328" s="18" t="n"/>
      <c r="M328" s="17" t="n"/>
      <c r="N328" s="17" t="n"/>
      <c r="O328" s="18" t="n"/>
      <c r="P328" s="18" t="n"/>
      <c r="Q328" s="17" t="n"/>
      <c r="R328" s="13">
        <f>IF(A328="","",N(G328)+N(I328))</f>
        <v/>
      </c>
      <c r="S328" s="12">
        <f>IF(OR(K328="",O328=""),"",O328-K328)</f>
        <v/>
      </c>
      <c r="T328" s="12">
        <f>IF(AND(C328="Cetak",L328&lt;&gt;"",L328&lt;TODAY()),"YA","")</f>
        <v/>
      </c>
      <c r="U328" s="12">
        <f>IF(B328="","",TEXT(B328,"yyyy-mm"))</f>
        <v/>
      </c>
    </row>
    <row r="329">
      <c r="A329" s="17" t="n"/>
      <c r="B329" s="18" t="n"/>
      <c r="C329" s="17" t="n"/>
      <c r="D329" s="17" t="n"/>
      <c r="E329" s="17" t="n"/>
      <c r="F329" s="17" t="n"/>
      <c r="G329" s="19" t="n"/>
      <c r="H329" s="17" t="n"/>
      <c r="I329" s="19" t="n"/>
      <c r="J329" s="17" t="n"/>
      <c r="K329" s="18" t="n"/>
      <c r="L329" s="18" t="n"/>
      <c r="M329" s="17" t="n"/>
      <c r="N329" s="17" t="n"/>
      <c r="O329" s="18" t="n"/>
      <c r="P329" s="18" t="n"/>
      <c r="Q329" s="17" t="n"/>
      <c r="R329" s="13">
        <f>IF(A329="","",N(G329)+N(I329))</f>
        <v/>
      </c>
      <c r="S329" s="12">
        <f>IF(OR(K329="",O329=""),"",O329-K329)</f>
        <v/>
      </c>
      <c r="T329" s="12">
        <f>IF(AND(C329="Cetak",L329&lt;&gt;"",L329&lt;TODAY()),"YA","")</f>
        <v/>
      </c>
      <c r="U329" s="12">
        <f>IF(B329="","",TEXT(B329,"yyyy-mm"))</f>
        <v/>
      </c>
    </row>
    <row r="330">
      <c r="A330" s="17" t="n"/>
      <c r="B330" s="18" t="n"/>
      <c r="C330" s="17" t="n"/>
      <c r="D330" s="17" t="n"/>
      <c r="E330" s="17" t="n"/>
      <c r="F330" s="17" t="n"/>
      <c r="G330" s="19" t="n"/>
      <c r="H330" s="17" t="n"/>
      <c r="I330" s="19" t="n"/>
      <c r="J330" s="17" t="n"/>
      <c r="K330" s="18" t="n"/>
      <c r="L330" s="18" t="n"/>
      <c r="M330" s="17" t="n"/>
      <c r="N330" s="17" t="n"/>
      <c r="O330" s="18" t="n"/>
      <c r="P330" s="18" t="n"/>
      <c r="Q330" s="17" t="n"/>
      <c r="R330" s="13">
        <f>IF(A330="","",N(G330)+N(I330))</f>
        <v/>
      </c>
      <c r="S330" s="12">
        <f>IF(OR(K330="",O330=""),"",O330-K330)</f>
        <v/>
      </c>
      <c r="T330" s="12">
        <f>IF(AND(C330="Cetak",L330&lt;&gt;"",L330&lt;TODAY()),"YA","")</f>
        <v/>
      </c>
      <c r="U330" s="12">
        <f>IF(B330="","",TEXT(B330,"yyyy-mm"))</f>
        <v/>
      </c>
    </row>
    <row r="331">
      <c r="A331" s="17" t="n"/>
      <c r="B331" s="18" t="n"/>
      <c r="C331" s="17" t="n"/>
      <c r="D331" s="17" t="n"/>
      <c r="E331" s="17" t="n"/>
      <c r="F331" s="17" t="n"/>
      <c r="G331" s="19" t="n"/>
      <c r="H331" s="17" t="n"/>
      <c r="I331" s="19" t="n"/>
      <c r="J331" s="17" t="n"/>
      <c r="K331" s="18" t="n"/>
      <c r="L331" s="18" t="n"/>
      <c r="M331" s="17" t="n"/>
      <c r="N331" s="17" t="n"/>
      <c r="O331" s="18" t="n"/>
      <c r="P331" s="18" t="n"/>
      <c r="Q331" s="17" t="n"/>
      <c r="R331" s="13">
        <f>IF(A331="","",N(G331)+N(I331))</f>
        <v/>
      </c>
      <c r="S331" s="12">
        <f>IF(OR(K331="",O331=""),"",O331-K331)</f>
        <v/>
      </c>
      <c r="T331" s="12">
        <f>IF(AND(C331="Cetak",L331&lt;&gt;"",L331&lt;TODAY()),"YA","")</f>
        <v/>
      </c>
      <c r="U331" s="12">
        <f>IF(B331="","",TEXT(B331,"yyyy-mm"))</f>
        <v/>
      </c>
    </row>
    <row r="332">
      <c r="A332" s="17" t="n"/>
      <c r="B332" s="18" t="n"/>
      <c r="C332" s="17" t="n"/>
      <c r="D332" s="17" t="n"/>
      <c r="E332" s="17" t="n"/>
      <c r="F332" s="17" t="n"/>
      <c r="G332" s="19" t="n"/>
      <c r="H332" s="17" t="n"/>
      <c r="I332" s="19" t="n"/>
      <c r="J332" s="17" t="n"/>
      <c r="K332" s="18" t="n"/>
      <c r="L332" s="18" t="n"/>
      <c r="M332" s="17" t="n"/>
      <c r="N332" s="17" t="n"/>
      <c r="O332" s="18" t="n"/>
      <c r="P332" s="18" t="n"/>
      <c r="Q332" s="17" t="n"/>
      <c r="R332" s="13">
        <f>IF(A332="","",N(G332)+N(I332))</f>
        <v/>
      </c>
      <c r="S332" s="12">
        <f>IF(OR(K332="",O332=""),"",O332-K332)</f>
        <v/>
      </c>
      <c r="T332" s="12">
        <f>IF(AND(C332="Cetak",L332&lt;&gt;"",L332&lt;TODAY()),"YA","")</f>
        <v/>
      </c>
      <c r="U332" s="12">
        <f>IF(B332="","",TEXT(B332,"yyyy-mm"))</f>
        <v/>
      </c>
    </row>
    <row r="333">
      <c r="A333" s="17" t="n"/>
      <c r="B333" s="18" t="n"/>
      <c r="C333" s="17" t="n"/>
      <c r="D333" s="17" t="n"/>
      <c r="E333" s="17" t="n"/>
      <c r="F333" s="17" t="n"/>
      <c r="G333" s="19" t="n"/>
      <c r="H333" s="17" t="n"/>
      <c r="I333" s="19" t="n"/>
      <c r="J333" s="17" t="n"/>
      <c r="K333" s="18" t="n"/>
      <c r="L333" s="18" t="n"/>
      <c r="M333" s="17" t="n"/>
      <c r="N333" s="17" t="n"/>
      <c r="O333" s="18" t="n"/>
      <c r="P333" s="18" t="n"/>
      <c r="Q333" s="17" t="n"/>
      <c r="R333" s="13">
        <f>IF(A333="","",N(G333)+N(I333))</f>
        <v/>
      </c>
      <c r="S333" s="12">
        <f>IF(OR(K333="",O333=""),"",O333-K333)</f>
        <v/>
      </c>
      <c r="T333" s="12">
        <f>IF(AND(C333="Cetak",L333&lt;&gt;"",L333&lt;TODAY()),"YA","")</f>
        <v/>
      </c>
      <c r="U333" s="12">
        <f>IF(B333="","",TEXT(B333,"yyyy-mm"))</f>
        <v/>
      </c>
    </row>
    <row r="334">
      <c r="A334" s="17" t="n"/>
      <c r="B334" s="18" t="n"/>
      <c r="C334" s="17" t="n"/>
      <c r="D334" s="17" t="n"/>
      <c r="E334" s="17" t="n"/>
      <c r="F334" s="17" t="n"/>
      <c r="G334" s="19" t="n"/>
      <c r="H334" s="17" t="n"/>
      <c r="I334" s="19" t="n"/>
      <c r="J334" s="17" t="n"/>
      <c r="K334" s="18" t="n"/>
      <c r="L334" s="18" t="n"/>
      <c r="M334" s="17" t="n"/>
      <c r="N334" s="17" t="n"/>
      <c r="O334" s="18" t="n"/>
      <c r="P334" s="18" t="n"/>
      <c r="Q334" s="17" t="n"/>
      <c r="R334" s="13">
        <f>IF(A334="","",N(G334)+N(I334))</f>
        <v/>
      </c>
      <c r="S334" s="12">
        <f>IF(OR(K334="",O334=""),"",O334-K334)</f>
        <v/>
      </c>
      <c r="T334" s="12">
        <f>IF(AND(C334="Cetak",L334&lt;&gt;"",L334&lt;TODAY()),"YA","")</f>
        <v/>
      </c>
      <c r="U334" s="12">
        <f>IF(B334="","",TEXT(B334,"yyyy-mm"))</f>
        <v/>
      </c>
    </row>
    <row r="335">
      <c r="A335" s="17" t="n"/>
      <c r="B335" s="18" t="n"/>
      <c r="C335" s="17" t="n"/>
      <c r="D335" s="17" t="n"/>
      <c r="E335" s="17" t="n"/>
      <c r="F335" s="17" t="n"/>
      <c r="G335" s="19" t="n"/>
      <c r="H335" s="17" t="n"/>
      <c r="I335" s="19" t="n"/>
      <c r="J335" s="17" t="n"/>
      <c r="K335" s="18" t="n"/>
      <c r="L335" s="18" t="n"/>
      <c r="M335" s="17" t="n"/>
      <c r="N335" s="17" t="n"/>
      <c r="O335" s="18" t="n"/>
      <c r="P335" s="18" t="n"/>
      <c r="Q335" s="17" t="n"/>
      <c r="R335" s="13">
        <f>IF(A335="","",N(G335)+N(I335))</f>
        <v/>
      </c>
      <c r="S335" s="12">
        <f>IF(OR(K335="",O335=""),"",O335-K335)</f>
        <v/>
      </c>
      <c r="T335" s="12">
        <f>IF(AND(C335="Cetak",L335&lt;&gt;"",L335&lt;TODAY()),"YA","")</f>
        <v/>
      </c>
      <c r="U335" s="12">
        <f>IF(B335="","",TEXT(B335,"yyyy-mm"))</f>
        <v/>
      </c>
    </row>
    <row r="336">
      <c r="A336" s="17" t="n"/>
      <c r="B336" s="18" t="n"/>
      <c r="C336" s="17" t="n"/>
      <c r="D336" s="17" t="n"/>
      <c r="E336" s="17" t="n"/>
      <c r="F336" s="17" t="n"/>
      <c r="G336" s="19" t="n"/>
      <c r="H336" s="17" t="n"/>
      <c r="I336" s="19" t="n"/>
      <c r="J336" s="17" t="n"/>
      <c r="K336" s="18" t="n"/>
      <c r="L336" s="18" t="n"/>
      <c r="M336" s="17" t="n"/>
      <c r="N336" s="17" t="n"/>
      <c r="O336" s="18" t="n"/>
      <c r="P336" s="18" t="n"/>
      <c r="Q336" s="17" t="n"/>
      <c r="R336" s="13">
        <f>IF(A336="","",N(G336)+N(I336))</f>
        <v/>
      </c>
      <c r="S336" s="12">
        <f>IF(OR(K336="",O336=""),"",O336-K336)</f>
        <v/>
      </c>
      <c r="T336" s="12">
        <f>IF(AND(C336="Cetak",L336&lt;&gt;"",L336&lt;TODAY()),"YA","")</f>
        <v/>
      </c>
      <c r="U336" s="12">
        <f>IF(B336="","",TEXT(B336,"yyyy-mm"))</f>
        <v/>
      </c>
    </row>
    <row r="337">
      <c r="A337" s="17" t="n"/>
      <c r="B337" s="18" t="n"/>
      <c r="C337" s="17" t="n"/>
      <c r="D337" s="17" t="n"/>
      <c r="E337" s="17" t="n"/>
      <c r="F337" s="17" t="n"/>
      <c r="G337" s="19" t="n"/>
      <c r="H337" s="17" t="n"/>
      <c r="I337" s="19" t="n"/>
      <c r="J337" s="17" t="n"/>
      <c r="K337" s="18" t="n"/>
      <c r="L337" s="18" t="n"/>
      <c r="M337" s="17" t="n"/>
      <c r="N337" s="17" t="n"/>
      <c r="O337" s="18" t="n"/>
      <c r="P337" s="18" t="n"/>
      <c r="Q337" s="17" t="n"/>
      <c r="R337" s="13">
        <f>IF(A337="","",N(G337)+N(I337))</f>
        <v/>
      </c>
      <c r="S337" s="12">
        <f>IF(OR(K337="",O337=""),"",O337-K337)</f>
        <v/>
      </c>
      <c r="T337" s="12">
        <f>IF(AND(C337="Cetak",L337&lt;&gt;"",L337&lt;TODAY()),"YA","")</f>
        <v/>
      </c>
      <c r="U337" s="12">
        <f>IF(B337="","",TEXT(B337,"yyyy-mm"))</f>
        <v/>
      </c>
    </row>
    <row r="338">
      <c r="A338" s="17" t="n"/>
      <c r="B338" s="18" t="n"/>
      <c r="C338" s="17" t="n"/>
      <c r="D338" s="17" t="n"/>
      <c r="E338" s="17" t="n"/>
      <c r="F338" s="17" t="n"/>
      <c r="G338" s="19" t="n"/>
      <c r="H338" s="17" t="n"/>
      <c r="I338" s="19" t="n"/>
      <c r="J338" s="17" t="n"/>
      <c r="K338" s="18" t="n"/>
      <c r="L338" s="18" t="n"/>
      <c r="M338" s="17" t="n"/>
      <c r="N338" s="17" t="n"/>
      <c r="O338" s="18" t="n"/>
      <c r="P338" s="18" t="n"/>
      <c r="Q338" s="17" t="n"/>
      <c r="R338" s="13">
        <f>IF(A338="","",N(G338)+N(I338))</f>
        <v/>
      </c>
      <c r="S338" s="12">
        <f>IF(OR(K338="",O338=""),"",O338-K338)</f>
        <v/>
      </c>
      <c r="T338" s="12">
        <f>IF(AND(C338="Cetak",L338&lt;&gt;"",L338&lt;TODAY()),"YA","")</f>
        <v/>
      </c>
      <c r="U338" s="12">
        <f>IF(B338="","",TEXT(B338,"yyyy-mm"))</f>
        <v/>
      </c>
    </row>
    <row r="339">
      <c r="A339" s="17" t="n"/>
      <c r="B339" s="18" t="n"/>
      <c r="C339" s="17" t="n"/>
      <c r="D339" s="17" t="n"/>
      <c r="E339" s="17" t="n"/>
      <c r="F339" s="17" t="n"/>
      <c r="G339" s="19" t="n"/>
      <c r="H339" s="17" t="n"/>
      <c r="I339" s="19" t="n"/>
      <c r="J339" s="17" t="n"/>
      <c r="K339" s="18" t="n"/>
      <c r="L339" s="18" t="n"/>
      <c r="M339" s="17" t="n"/>
      <c r="N339" s="17" t="n"/>
      <c r="O339" s="18" t="n"/>
      <c r="P339" s="18" t="n"/>
      <c r="Q339" s="17" t="n"/>
      <c r="R339" s="13">
        <f>IF(A339="","",N(G339)+N(I339))</f>
        <v/>
      </c>
      <c r="S339" s="12">
        <f>IF(OR(K339="",O339=""),"",O339-K339)</f>
        <v/>
      </c>
      <c r="T339" s="12">
        <f>IF(AND(C339="Cetak",L339&lt;&gt;"",L339&lt;TODAY()),"YA","")</f>
        <v/>
      </c>
      <c r="U339" s="12">
        <f>IF(B339="","",TEXT(B339,"yyyy-mm"))</f>
        <v/>
      </c>
    </row>
    <row r="340">
      <c r="A340" s="17" t="n"/>
      <c r="B340" s="18" t="n"/>
      <c r="C340" s="17" t="n"/>
      <c r="D340" s="17" t="n"/>
      <c r="E340" s="17" t="n"/>
      <c r="F340" s="17" t="n"/>
      <c r="G340" s="19" t="n"/>
      <c r="H340" s="17" t="n"/>
      <c r="I340" s="19" t="n"/>
      <c r="J340" s="17" t="n"/>
      <c r="K340" s="18" t="n"/>
      <c r="L340" s="18" t="n"/>
      <c r="M340" s="17" t="n"/>
      <c r="N340" s="17" t="n"/>
      <c r="O340" s="18" t="n"/>
      <c r="P340" s="18" t="n"/>
      <c r="Q340" s="17" t="n"/>
      <c r="R340" s="13">
        <f>IF(A340="","",N(G340)+N(I340))</f>
        <v/>
      </c>
      <c r="S340" s="12">
        <f>IF(OR(K340="",O340=""),"",O340-K340)</f>
        <v/>
      </c>
      <c r="T340" s="12">
        <f>IF(AND(C340="Cetak",L340&lt;&gt;"",L340&lt;TODAY()),"YA","")</f>
        <v/>
      </c>
      <c r="U340" s="12">
        <f>IF(B340="","",TEXT(B340,"yyyy-mm"))</f>
        <v/>
      </c>
    </row>
    <row r="341">
      <c r="A341" s="17" t="n"/>
      <c r="B341" s="18" t="n"/>
      <c r="C341" s="17" t="n"/>
      <c r="D341" s="17" t="n"/>
      <c r="E341" s="17" t="n"/>
      <c r="F341" s="17" t="n"/>
      <c r="G341" s="19" t="n"/>
      <c r="H341" s="17" t="n"/>
      <c r="I341" s="19" t="n"/>
      <c r="J341" s="17" t="n"/>
      <c r="K341" s="18" t="n"/>
      <c r="L341" s="18" t="n"/>
      <c r="M341" s="17" t="n"/>
      <c r="N341" s="17" t="n"/>
      <c r="O341" s="18" t="n"/>
      <c r="P341" s="18" t="n"/>
      <c r="Q341" s="17" t="n"/>
      <c r="R341" s="13">
        <f>IF(A341="","",N(G341)+N(I341))</f>
        <v/>
      </c>
      <c r="S341" s="12">
        <f>IF(OR(K341="",O341=""),"",O341-K341)</f>
        <v/>
      </c>
      <c r="T341" s="12">
        <f>IF(AND(C341="Cetak",L341&lt;&gt;"",L341&lt;TODAY()),"YA","")</f>
        <v/>
      </c>
      <c r="U341" s="12">
        <f>IF(B341="","",TEXT(B341,"yyyy-mm"))</f>
        <v/>
      </c>
    </row>
    <row r="342">
      <c r="A342" s="17" t="n"/>
      <c r="B342" s="18" t="n"/>
      <c r="C342" s="17" t="n"/>
      <c r="D342" s="17" t="n"/>
      <c r="E342" s="17" t="n"/>
      <c r="F342" s="17" t="n"/>
      <c r="G342" s="19" t="n"/>
      <c r="H342" s="17" t="n"/>
      <c r="I342" s="19" t="n"/>
      <c r="J342" s="17" t="n"/>
      <c r="K342" s="18" t="n"/>
      <c r="L342" s="18" t="n"/>
      <c r="M342" s="17" t="n"/>
      <c r="N342" s="17" t="n"/>
      <c r="O342" s="18" t="n"/>
      <c r="P342" s="18" t="n"/>
      <c r="Q342" s="17" t="n"/>
      <c r="R342" s="13">
        <f>IF(A342="","",N(G342)+N(I342))</f>
        <v/>
      </c>
      <c r="S342" s="12">
        <f>IF(OR(K342="",O342=""),"",O342-K342)</f>
        <v/>
      </c>
      <c r="T342" s="12">
        <f>IF(AND(C342="Cetak",L342&lt;&gt;"",L342&lt;TODAY()),"YA","")</f>
        <v/>
      </c>
      <c r="U342" s="12">
        <f>IF(B342="","",TEXT(B342,"yyyy-mm"))</f>
        <v/>
      </c>
    </row>
    <row r="343">
      <c r="A343" s="17" t="n"/>
      <c r="B343" s="18" t="n"/>
      <c r="C343" s="17" t="n"/>
      <c r="D343" s="17" t="n"/>
      <c r="E343" s="17" t="n"/>
      <c r="F343" s="17" t="n"/>
      <c r="G343" s="19" t="n"/>
      <c r="H343" s="17" t="n"/>
      <c r="I343" s="19" t="n"/>
      <c r="J343" s="17" t="n"/>
      <c r="K343" s="18" t="n"/>
      <c r="L343" s="18" t="n"/>
      <c r="M343" s="17" t="n"/>
      <c r="N343" s="17" t="n"/>
      <c r="O343" s="18" t="n"/>
      <c r="P343" s="18" t="n"/>
      <c r="Q343" s="17" t="n"/>
      <c r="R343" s="13">
        <f>IF(A343="","",N(G343)+N(I343))</f>
        <v/>
      </c>
      <c r="S343" s="12">
        <f>IF(OR(K343="",O343=""),"",O343-K343)</f>
        <v/>
      </c>
      <c r="T343" s="12">
        <f>IF(AND(C343="Cetak",L343&lt;&gt;"",L343&lt;TODAY()),"YA","")</f>
        <v/>
      </c>
      <c r="U343" s="12">
        <f>IF(B343="","",TEXT(B343,"yyyy-mm"))</f>
        <v/>
      </c>
    </row>
    <row r="344">
      <c r="A344" s="17" t="n"/>
      <c r="B344" s="18" t="n"/>
      <c r="C344" s="17" t="n"/>
      <c r="D344" s="17" t="n"/>
      <c r="E344" s="17" t="n"/>
      <c r="F344" s="17" t="n"/>
      <c r="G344" s="19" t="n"/>
      <c r="H344" s="17" t="n"/>
      <c r="I344" s="19" t="n"/>
      <c r="J344" s="17" t="n"/>
      <c r="K344" s="18" t="n"/>
      <c r="L344" s="18" t="n"/>
      <c r="M344" s="17" t="n"/>
      <c r="N344" s="17" t="n"/>
      <c r="O344" s="18" t="n"/>
      <c r="P344" s="18" t="n"/>
      <c r="Q344" s="17" t="n"/>
      <c r="R344" s="13">
        <f>IF(A344="","",N(G344)+N(I344))</f>
        <v/>
      </c>
      <c r="S344" s="12">
        <f>IF(OR(K344="",O344=""),"",O344-K344)</f>
        <v/>
      </c>
      <c r="T344" s="12">
        <f>IF(AND(C344="Cetak",L344&lt;&gt;"",L344&lt;TODAY()),"YA","")</f>
        <v/>
      </c>
      <c r="U344" s="12">
        <f>IF(B344="","",TEXT(B344,"yyyy-mm"))</f>
        <v/>
      </c>
    </row>
    <row r="345">
      <c r="A345" s="17" t="n"/>
      <c r="B345" s="18" t="n"/>
      <c r="C345" s="17" t="n"/>
      <c r="D345" s="17" t="n"/>
      <c r="E345" s="17" t="n"/>
      <c r="F345" s="17" t="n"/>
      <c r="G345" s="19" t="n"/>
      <c r="H345" s="17" t="n"/>
      <c r="I345" s="19" t="n"/>
      <c r="J345" s="17" t="n"/>
      <c r="K345" s="18" t="n"/>
      <c r="L345" s="18" t="n"/>
      <c r="M345" s="17" t="n"/>
      <c r="N345" s="17" t="n"/>
      <c r="O345" s="18" t="n"/>
      <c r="P345" s="18" t="n"/>
      <c r="Q345" s="17" t="n"/>
      <c r="R345" s="13">
        <f>IF(A345="","",N(G345)+N(I345))</f>
        <v/>
      </c>
      <c r="S345" s="12">
        <f>IF(OR(K345="",O345=""),"",O345-K345)</f>
        <v/>
      </c>
      <c r="T345" s="12">
        <f>IF(AND(C345="Cetak",L345&lt;&gt;"",L345&lt;TODAY()),"YA","")</f>
        <v/>
      </c>
      <c r="U345" s="12">
        <f>IF(B345="","",TEXT(B345,"yyyy-mm"))</f>
        <v/>
      </c>
    </row>
    <row r="346">
      <c r="A346" s="17" t="n"/>
      <c r="B346" s="18" t="n"/>
      <c r="C346" s="17" t="n"/>
      <c r="D346" s="17" t="n"/>
      <c r="E346" s="17" t="n"/>
      <c r="F346" s="17" t="n"/>
      <c r="G346" s="19" t="n"/>
      <c r="H346" s="17" t="n"/>
      <c r="I346" s="19" t="n"/>
      <c r="J346" s="17" t="n"/>
      <c r="K346" s="18" t="n"/>
      <c r="L346" s="18" t="n"/>
      <c r="M346" s="17" t="n"/>
      <c r="N346" s="17" t="n"/>
      <c r="O346" s="18" t="n"/>
      <c r="P346" s="18" t="n"/>
      <c r="Q346" s="17" t="n"/>
      <c r="R346" s="13">
        <f>IF(A346="","",N(G346)+N(I346))</f>
        <v/>
      </c>
      <c r="S346" s="12">
        <f>IF(OR(K346="",O346=""),"",O346-K346)</f>
        <v/>
      </c>
      <c r="T346" s="12">
        <f>IF(AND(C346="Cetak",L346&lt;&gt;"",L346&lt;TODAY()),"YA","")</f>
        <v/>
      </c>
      <c r="U346" s="12">
        <f>IF(B346="","",TEXT(B346,"yyyy-mm"))</f>
        <v/>
      </c>
    </row>
    <row r="347">
      <c r="A347" s="17" t="n"/>
      <c r="B347" s="18" t="n"/>
      <c r="C347" s="17" t="n"/>
      <c r="D347" s="17" t="n"/>
      <c r="E347" s="17" t="n"/>
      <c r="F347" s="17" t="n"/>
      <c r="G347" s="19" t="n"/>
      <c r="H347" s="17" t="n"/>
      <c r="I347" s="19" t="n"/>
      <c r="J347" s="17" t="n"/>
      <c r="K347" s="18" t="n"/>
      <c r="L347" s="18" t="n"/>
      <c r="M347" s="17" t="n"/>
      <c r="N347" s="17" t="n"/>
      <c r="O347" s="18" t="n"/>
      <c r="P347" s="18" t="n"/>
      <c r="Q347" s="17" t="n"/>
      <c r="R347" s="13">
        <f>IF(A347="","",N(G347)+N(I347))</f>
        <v/>
      </c>
      <c r="S347" s="12">
        <f>IF(OR(K347="",O347=""),"",O347-K347)</f>
        <v/>
      </c>
      <c r="T347" s="12">
        <f>IF(AND(C347="Cetak",L347&lt;&gt;"",L347&lt;TODAY()),"YA","")</f>
        <v/>
      </c>
      <c r="U347" s="12">
        <f>IF(B347="","",TEXT(B347,"yyyy-mm"))</f>
        <v/>
      </c>
    </row>
    <row r="348">
      <c r="A348" s="17" t="n"/>
      <c r="B348" s="18" t="n"/>
      <c r="C348" s="17" t="n"/>
      <c r="D348" s="17" t="n"/>
      <c r="E348" s="17" t="n"/>
      <c r="F348" s="17" t="n"/>
      <c r="G348" s="19" t="n"/>
      <c r="H348" s="17" t="n"/>
      <c r="I348" s="19" t="n"/>
      <c r="J348" s="17" t="n"/>
      <c r="K348" s="18" t="n"/>
      <c r="L348" s="18" t="n"/>
      <c r="M348" s="17" t="n"/>
      <c r="N348" s="17" t="n"/>
      <c r="O348" s="18" t="n"/>
      <c r="P348" s="18" t="n"/>
      <c r="Q348" s="17" t="n"/>
      <c r="R348" s="13">
        <f>IF(A348="","",N(G348)+N(I348))</f>
        <v/>
      </c>
      <c r="S348" s="12">
        <f>IF(OR(K348="",O348=""),"",O348-K348)</f>
        <v/>
      </c>
      <c r="T348" s="12">
        <f>IF(AND(C348="Cetak",L348&lt;&gt;"",L348&lt;TODAY()),"YA","")</f>
        <v/>
      </c>
      <c r="U348" s="12">
        <f>IF(B348="","",TEXT(B348,"yyyy-mm"))</f>
        <v/>
      </c>
    </row>
    <row r="349">
      <c r="A349" s="17" t="n"/>
      <c r="B349" s="18" t="n"/>
      <c r="C349" s="17" t="n"/>
      <c r="D349" s="17" t="n"/>
      <c r="E349" s="17" t="n"/>
      <c r="F349" s="17" t="n"/>
      <c r="G349" s="19" t="n"/>
      <c r="H349" s="17" t="n"/>
      <c r="I349" s="19" t="n"/>
      <c r="J349" s="17" t="n"/>
      <c r="K349" s="18" t="n"/>
      <c r="L349" s="18" t="n"/>
      <c r="M349" s="17" t="n"/>
      <c r="N349" s="17" t="n"/>
      <c r="O349" s="18" t="n"/>
      <c r="P349" s="18" t="n"/>
      <c r="Q349" s="17" t="n"/>
      <c r="R349" s="13">
        <f>IF(A349="","",N(G349)+N(I349))</f>
        <v/>
      </c>
      <c r="S349" s="12">
        <f>IF(OR(K349="",O349=""),"",O349-K349)</f>
        <v/>
      </c>
      <c r="T349" s="12">
        <f>IF(AND(C349="Cetak",L349&lt;&gt;"",L349&lt;TODAY()),"YA","")</f>
        <v/>
      </c>
      <c r="U349" s="12">
        <f>IF(B349="","",TEXT(B349,"yyyy-mm"))</f>
        <v/>
      </c>
    </row>
    <row r="350">
      <c r="A350" s="17" t="n"/>
      <c r="B350" s="18" t="n"/>
      <c r="C350" s="17" t="n"/>
      <c r="D350" s="17" t="n"/>
      <c r="E350" s="17" t="n"/>
      <c r="F350" s="17" t="n"/>
      <c r="G350" s="19" t="n"/>
      <c r="H350" s="17" t="n"/>
      <c r="I350" s="19" t="n"/>
      <c r="J350" s="17" t="n"/>
      <c r="K350" s="18" t="n"/>
      <c r="L350" s="18" t="n"/>
      <c r="M350" s="17" t="n"/>
      <c r="N350" s="17" t="n"/>
      <c r="O350" s="18" t="n"/>
      <c r="P350" s="18" t="n"/>
      <c r="Q350" s="17" t="n"/>
      <c r="R350" s="13">
        <f>IF(A350="","",N(G350)+N(I350))</f>
        <v/>
      </c>
      <c r="S350" s="12">
        <f>IF(OR(K350="",O350=""),"",O350-K350)</f>
        <v/>
      </c>
      <c r="T350" s="12">
        <f>IF(AND(C350="Cetak",L350&lt;&gt;"",L350&lt;TODAY()),"YA","")</f>
        <v/>
      </c>
      <c r="U350" s="12">
        <f>IF(B350="","",TEXT(B350,"yyyy-mm"))</f>
        <v/>
      </c>
    </row>
    <row r="351">
      <c r="A351" s="17" t="n"/>
      <c r="B351" s="18" t="n"/>
      <c r="C351" s="17" t="n"/>
      <c r="D351" s="17" t="n"/>
      <c r="E351" s="17" t="n"/>
      <c r="F351" s="17" t="n"/>
      <c r="G351" s="19" t="n"/>
      <c r="H351" s="17" t="n"/>
      <c r="I351" s="19" t="n"/>
      <c r="J351" s="17" t="n"/>
      <c r="K351" s="18" t="n"/>
      <c r="L351" s="18" t="n"/>
      <c r="M351" s="17" t="n"/>
      <c r="N351" s="17" t="n"/>
      <c r="O351" s="18" t="n"/>
      <c r="P351" s="18" t="n"/>
      <c r="Q351" s="17" t="n"/>
      <c r="R351" s="13">
        <f>IF(A351="","",N(G351)+N(I351))</f>
        <v/>
      </c>
      <c r="S351" s="12">
        <f>IF(OR(K351="",O351=""),"",O351-K351)</f>
        <v/>
      </c>
      <c r="T351" s="12">
        <f>IF(AND(C351="Cetak",L351&lt;&gt;"",L351&lt;TODAY()),"YA","")</f>
        <v/>
      </c>
      <c r="U351" s="12">
        <f>IF(B351="","",TEXT(B351,"yyyy-mm"))</f>
        <v/>
      </c>
    </row>
    <row r="352">
      <c r="A352" s="17" t="n"/>
      <c r="B352" s="18" t="n"/>
      <c r="C352" s="17" t="n"/>
      <c r="D352" s="17" t="n"/>
      <c r="E352" s="17" t="n"/>
      <c r="F352" s="17" t="n"/>
      <c r="G352" s="19" t="n"/>
      <c r="H352" s="17" t="n"/>
      <c r="I352" s="19" t="n"/>
      <c r="J352" s="17" t="n"/>
      <c r="K352" s="18" t="n"/>
      <c r="L352" s="18" t="n"/>
      <c r="M352" s="17" t="n"/>
      <c r="N352" s="17" t="n"/>
      <c r="O352" s="18" t="n"/>
      <c r="P352" s="18" t="n"/>
      <c r="Q352" s="17" t="n"/>
      <c r="R352" s="13">
        <f>IF(A352="","",N(G352)+N(I352))</f>
        <v/>
      </c>
      <c r="S352" s="12">
        <f>IF(OR(K352="",O352=""),"",O352-K352)</f>
        <v/>
      </c>
      <c r="T352" s="12">
        <f>IF(AND(C352="Cetak",L352&lt;&gt;"",L352&lt;TODAY()),"YA","")</f>
        <v/>
      </c>
      <c r="U352" s="12">
        <f>IF(B352="","",TEXT(B352,"yyyy-mm"))</f>
        <v/>
      </c>
    </row>
    <row r="353">
      <c r="A353" s="17" t="n"/>
      <c r="B353" s="18" t="n"/>
      <c r="C353" s="17" t="n"/>
      <c r="D353" s="17" t="n"/>
      <c r="E353" s="17" t="n"/>
      <c r="F353" s="17" t="n"/>
      <c r="G353" s="19" t="n"/>
      <c r="H353" s="17" t="n"/>
      <c r="I353" s="19" t="n"/>
      <c r="J353" s="17" t="n"/>
      <c r="K353" s="18" t="n"/>
      <c r="L353" s="18" t="n"/>
      <c r="M353" s="17" t="n"/>
      <c r="N353" s="17" t="n"/>
      <c r="O353" s="18" t="n"/>
      <c r="P353" s="18" t="n"/>
      <c r="Q353" s="17" t="n"/>
      <c r="R353" s="13">
        <f>IF(A353="","",N(G353)+N(I353))</f>
        <v/>
      </c>
      <c r="S353" s="12">
        <f>IF(OR(K353="",O353=""),"",O353-K353)</f>
        <v/>
      </c>
      <c r="T353" s="12">
        <f>IF(AND(C353="Cetak",L353&lt;&gt;"",L353&lt;TODAY()),"YA","")</f>
        <v/>
      </c>
      <c r="U353" s="12">
        <f>IF(B353="","",TEXT(B353,"yyyy-mm"))</f>
        <v/>
      </c>
    </row>
    <row r="354">
      <c r="A354" s="17" t="n"/>
      <c r="B354" s="18" t="n"/>
      <c r="C354" s="17" t="n"/>
      <c r="D354" s="17" t="n"/>
      <c r="E354" s="17" t="n"/>
      <c r="F354" s="17" t="n"/>
      <c r="G354" s="19" t="n"/>
      <c r="H354" s="17" t="n"/>
      <c r="I354" s="19" t="n"/>
      <c r="J354" s="17" t="n"/>
      <c r="K354" s="18" t="n"/>
      <c r="L354" s="18" t="n"/>
      <c r="M354" s="17" t="n"/>
      <c r="N354" s="17" t="n"/>
      <c r="O354" s="18" t="n"/>
      <c r="P354" s="18" t="n"/>
      <c r="Q354" s="17" t="n"/>
      <c r="R354" s="13">
        <f>IF(A354="","",N(G354)+N(I354))</f>
        <v/>
      </c>
      <c r="S354" s="12">
        <f>IF(OR(K354="",O354=""),"",O354-K354)</f>
        <v/>
      </c>
      <c r="T354" s="12">
        <f>IF(AND(C354="Cetak",L354&lt;&gt;"",L354&lt;TODAY()),"YA","")</f>
        <v/>
      </c>
      <c r="U354" s="12">
        <f>IF(B354="","",TEXT(B354,"yyyy-mm"))</f>
        <v/>
      </c>
    </row>
    <row r="355">
      <c r="A355" s="17" t="n"/>
      <c r="B355" s="18" t="n"/>
      <c r="C355" s="17" t="n"/>
      <c r="D355" s="17" t="n"/>
      <c r="E355" s="17" t="n"/>
      <c r="F355" s="17" t="n"/>
      <c r="G355" s="19" t="n"/>
      <c r="H355" s="17" t="n"/>
      <c r="I355" s="19" t="n"/>
      <c r="J355" s="17" t="n"/>
      <c r="K355" s="18" t="n"/>
      <c r="L355" s="18" t="n"/>
      <c r="M355" s="17" t="n"/>
      <c r="N355" s="17" t="n"/>
      <c r="O355" s="18" t="n"/>
      <c r="P355" s="18" t="n"/>
      <c r="Q355" s="17" t="n"/>
      <c r="R355" s="13">
        <f>IF(A355="","",N(G355)+N(I355))</f>
        <v/>
      </c>
      <c r="S355" s="12">
        <f>IF(OR(K355="",O355=""),"",O355-K355)</f>
        <v/>
      </c>
      <c r="T355" s="12">
        <f>IF(AND(C355="Cetak",L355&lt;&gt;"",L355&lt;TODAY()),"YA","")</f>
        <v/>
      </c>
      <c r="U355" s="12">
        <f>IF(B355="","",TEXT(B355,"yyyy-mm"))</f>
        <v/>
      </c>
    </row>
    <row r="356">
      <c r="A356" s="17" t="n"/>
      <c r="B356" s="18" t="n"/>
      <c r="C356" s="17" t="n"/>
      <c r="D356" s="17" t="n"/>
      <c r="E356" s="17" t="n"/>
      <c r="F356" s="17" t="n"/>
      <c r="G356" s="19" t="n"/>
      <c r="H356" s="17" t="n"/>
      <c r="I356" s="19" t="n"/>
      <c r="J356" s="17" t="n"/>
      <c r="K356" s="18" t="n"/>
      <c r="L356" s="18" t="n"/>
      <c r="M356" s="17" t="n"/>
      <c r="N356" s="17" t="n"/>
      <c r="O356" s="18" t="n"/>
      <c r="P356" s="18" t="n"/>
      <c r="Q356" s="17" t="n"/>
      <c r="R356" s="13">
        <f>IF(A356="","",N(G356)+N(I356))</f>
        <v/>
      </c>
      <c r="S356" s="12">
        <f>IF(OR(K356="",O356=""),"",O356-K356)</f>
        <v/>
      </c>
      <c r="T356" s="12">
        <f>IF(AND(C356="Cetak",L356&lt;&gt;"",L356&lt;TODAY()),"YA","")</f>
        <v/>
      </c>
      <c r="U356" s="12">
        <f>IF(B356="","",TEXT(B356,"yyyy-mm"))</f>
        <v/>
      </c>
    </row>
    <row r="357">
      <c r="A357" s="17" t="n"/>
      <c r="B357" s="18" t="n"/>
      <c r="C357" s="17" t="n"/>
      <c r="D357" s="17" t="n"/>
      <c r="E357" s="17" t="n"/>
      <c r="F357" s="17" t="n"/>
      <c r="G357" s="19" t="n"/>
      <c r="H357" s="17" t="n"/>
      <c r="I357" s="19" t="n"/>
      <c r="J357" s="17" t="n"/>
      <c r="K357" s="18" t="n"/>
      <c r="L357" s="18" t="n"/>
      <c r="M357" s="17" t="n"/>
      <c r="N357" s="17" t="n"/>
      <c r="O357" s="18" t="n"/>
      <c r="P357" s="18" t="n"/>
      <c r="Q357" s="17" t="n"/>
      <c r="R357" s="13">
        <f>IF(A357="","",N(G357)+N(I357))</f>
        <v/>
      </c>
      <c r="S357" s="12">
        <f>IF(OR(K357="",O357=""),"",O357-K357)</f>
        <v/>
      </c>
      <c r="T357" s="12">
        <f>IF(AND(C357="Cetak",L357&lt;&gt;"",L357&lt;TODAY()),"YA","")</f>
        <v/>
      </c>
      <c r="U357" s="12">
        <f>IF(B357="","",TEXT(B357,"yyyy-mm"))</f>
        <v/>
      </c>
    </row>
    <row r="358">
      <c r="A358" s="17" t="n"/>
      <c r="B358" s="18" t="n"/>
      <c r="C358" s="17" t="n"/>
      <c r="D358" s="17" t="n"/>
      <c r="E358" s="17" t="n"/>
      <c r="F358" s="17" t="n"/>
      <c r="G358" s="19" t="n"/>
      <c r="H358" s="17" t="n"/>
      <c r="I358" s="19" t="n"/>
      <c r="J358" s="17" t="n"/>
      <c r="K358" s="18" t="n"/>
      <c r="L358" s="18" t="n"/>
      <c r="M358" s="17" t="n"/>
      <c r="N358" s="17" t="n"/>
      <c r="O358" s="18" t="n"/>
      <c r="P358" s="18" t="n"/>
      <c r="Q358" s="17" t="n"/>
      <c r="R358" s="13">
        <f>IF(A358="","",N(G358)+N(I358))</f>
        <v/>
      </c>
      <c r="S358" s="12">
        <f>IF(OR(K358="",O358=""),"",O358-K358)</f>
        <v/>
      </c>
      <c r="T358" s="12">
        <f>IF(AND(C358="Cetak",L358&lt;&gt;"",L358&lt;TODAY()),"YA","")</f>
        <v/>
      </c>
      <c r="U358" s="12">
        <f>IF(B358="","",TEXT(B358,"yyyy-mm"))</f>
        <v/>
      </c>
    </row>
    <row r="359">
      <c r="A359" s="17" t="n"/>
      <c r="B359" s="18" t="n"/>
      <c r="C359" s="17" t="n"/>
      <c r="D359" s="17" t="n"/>
      <c r="E359" s="17" t="n"/>
      <c r="F359" s="17" t="n"/>
      <c r="G359" s="19" t="n"/>
      <c r="H359" s="17" t="n"/>
      <c r="I359" s="19" t="n"/>
      <c r="J359" s="17" t="n"/>
      <c r="K359" s="18" t="n"/>
      <c r="L359" s="18" t="n"/>
      <c r="M359" s="17" t="n"/>
      <c r="N359" s="17" t="n"/>
      <c r="O359" s="18" t="n"/>
      <c r="P359" s="18" t="n"/>
      <c r="Q359" s="17" t="n"/>
      <c r="R359" s="13">
        <f>IF(A359="","",N(G359)+N(I359))</f>
        <v/>
      </c>
      <c r="S359" s="12">
        <f>IF(OR(K359="",O359=""),"",O359-K359)</f>
        <v/>
      </c>
      <c r="T359" s="12">
        <f>IF(AND(C359="Cetak",L359&lt;&gt;"",L359&lt;TODAY()),"YA","")</f>
        <v/>
      </c>
      <c r="U359" s="12">
        <f>IF(B359="","",TEXT(B359,"yyyy-mm"))</f>
        <v/>
      </c>
    </row>
    <row r="360">
      <c r="A360" s="17" t="n"/>
      <c r="B360" s="18" t="n"/>
      <c r="C360" s="17" t="n"/>
      <c r="D360" s="17" t="n"/>
      <c r="E360" s="17" t="n"/>
      <c r="F360" s="17" t="n"/>
      <c r="G360" s="19" t="n"/>
      <c r="H360" s="17" t="n"/>
      <c r="I360" s="19" t="n"/>
      <c r="J360" s="17" t="n"/>
      <c r="K360" s="18" t="n"/>
      <c r="L360" s="18" t="n"/>
      <c r="M360" s="17" t="n"/>
      <c r="N360" s="17" t="n"/>
      <c r="O360" s="18" t="n"/>
      <c r="P360" s="18" t="n"/>
      <c r="Q360" s="17" t="n"/>
      <c r="R360" s="13">
        <f>IF(A360="","",N(G360)+N(I360))</f>
        <v/>
      </c>
      <c r="S360" s="12">
        <f>IF(OR(K360="",O360=""),"",O360-K360)</f>
        <v/>
      </c>
      <c r="T360" s="12">
        <f>IF(AND(C360="Cetak",L360&lt;&gt;"",L360&lt;TODAY()),"YA","")</f>
        <v/>
      </c>
      <c r="U360" s="12">
        <f>IF(B360="","",TEXT(B360,"yyyy-mm"))</f>
        <v/>
      </c>
    </row>
    <row r="361">
      <c r="A361" s="17" t="n"/>
      <c r="B361" s="18" t="n"/>
      <c r="C361" s="17" t="n"/>
      <c r="D361" s="17" t="n"/>
      <c r="E361" s="17" t="n"/>
      <c r="F361" s="17" t="n"/>
      <c r="G361" s="19" t="n"/>
      <c r="H361" s="17" t="n"/>
      <c r="I361" s="19" t="n"/>
      <c r="J361" s="17" t="n"/>
      <c r="K361" s="18" t="n"/>
      <c r="L361" s="18" t="n"/>
      <c r="M361" s="17" t="n"/>
      <c r="N361" s="17" t="n"/>
      <c r="O361" s="18" t="n"/>
      <c r="P361" s="18" t="n"/>
      <c r="Q361" s="17" t="n"/>
      <c r="R361" s="13">
        <f>IF(A361="","",N(G361)+N(I361))</f>
        <v/>
      </c>
      <c r="S361" s="12">
        <f>IF(OR(K361="",O361=""),"",O361-K361)</f>
        <v/>
      </c>
      <c r="T361" s="12">
        <f>IF(AND(C361="Cetak",L361&lt;&gt;"",L361&lt;TODAY()),"YA","")</f>
        <v/>
      </c>
      <c r="U361" s="12">
        <f>IF(B361="","",TEXT(B361,"yyyy-mm"))</f>
        <v/>
      </c>
    </row>
    <row r="362">
      <c r="A362" s="17" t="n"/>
      <c r="B362" s="18" t="n"/>
      <c r="C362" s="17" t="n"/>
      <c r="D362" s="17" t="n"/>
      <c r="E362" s="17" t="n"/>
      <c r="F362" s="17" t="n"/>
      <c r="G362" s="19" t="n"/>
      <c r="H362" s="17" t="n"/>
      <c r="I362" s="19" t="n"/>
      <c r="J362" s="17" t="n"/>
      <c r="K362" s="18" t="n"/>
      <c r="L362" s="18" t="n"/>
      <c r="M362" s="17" t="n"/>
      <c r="N362" s="17" t="n"/>
      <c r="O362" s="18" t="n"/>
      <c r="P362" s="18" t="n"/>
      <c r="Q362" s="17" t="n"/>
      <c r="R362" s="13">
        <f>IF(A362="","",N(G362)+N(I362))</f>
        <v/>
      </c>
      <c r="S362" s="12">
        <f>IF(OR(K362="",O362=""),"",O362-K362)</f>
        <v/>
      </c>
      <c r="T362" s="12">
        <f>IF(AND(C362="Cetak",L362&lt;&gt;"",L362&lt;TODAY()),"YA","")</f>
        <v/>
      </c>
      <c r="U362" s="12">
        <f>IF(B362="","",TEXT(B362,"yyyy-mm"))</f>
        <v/>
      </c>
    </row>
    <row r="363">
      <c r="A363" s="17" t="n"/>
      <c r="B363" s="18" t="n"/>
      <c r="C363" s="17" t="n"/>
      <c r="D363" s="17" t="n"/>
      <c r="E363" s="17" t="n"/>
      <c r="F363" s="17" t="n"/>
      <c r="G363" s="19" t="n"/>
      <c r="H363" s="17" t="n"/>
      <c r="I363" s="19" t="n"/>
      <c r="J363" s="17" t="n"/>
      <c r="K363" s="18" t="n"/>
      <c r="L363" s="18" t="n"/>
      <c r="M363" s="17" t="n"/>
      <c r="N363" s="17" t="n"/>
      <c r="O363" s="18" t="n"/>
      <c r="P363" s="18" t="n"/>
      <c r="Q363" s="17" t="n"/>
      <c r="R363" s="13">
        <f>IF(A363="","",N(G363)+N(I363))</f>
        <v/>
      </c>
      <c r="S363" s="12">
        <f>IF(OR(K363="",O363=""),"",O363-K363)</f>
        <v/>
      </c>
      <c r="T363" s="12">
        <f>IF(AND(C363="Cetak",L363&lt;&gt;"",L363&lt;TODAY()),"YA","")</f>
        <v/>
      </c>
      <c r="U363" s="12">
        <f>IF(B363="","",TEXT(B363,"yyyy-mm"))</f>
        <v/>
      </c>
    </row>
    <row r="364">
      <c r="A364" s="17" t="n"/>
      <c r="B364" s="18" t="n"/>
      <c r="C364" s="17" t="n"/>
      <c r="D364" s="17" t="n"/>
      <c r="E364" s="17" t="n"/>
      <c r="F364" s="17" t="n"/>
      <c r="G364" s="19" t="n"/>
      <c r="H364" s="17" t="n"/>
      <c r="I364" s="19" t="n"/>
      <c r="J364" s="17" t="n"/>
      <c r="K364" s="18" t="n"/>
      <c r="L364" s="18" t="n"/>
      <c r="M364" s="17" t="n"/>
      <c r="N364" s="17" t="n"/>
      <c r="O364" s="18" t="n"/>
      <c r="P364" s="18" t="n"/>
      <c r="Q364" s="17" t="n"/>
      <c r="R364" s="13">
        <f>IF(A364="","",N(G364)+N(I364))</f>
        <v/>
      </c>
      <c r="S364" s="12">
        <f>IF(OR(K364="",O364=""),"",O364-K364)</f>
        <v/>
      </c>
      <c r="T364" s="12">
        <f>IF(AND(C364="Cetak",L364&lt;&gt;"",L364&lt;TODAY()),"YA","")</f>
        <v/>
      </c>
      <c r="U364" s="12">
        <f>IF(B364="","",TEXT(B364,"yyyy-mm"))</f>
        <v/>
      </c>
    </row>
    <row r="365">
      <c r="A365" s="17" t="n"/>
      <c r="B365" s="18" t="n"/>
      <c r="C365" s="17" t="n"/>
      <c r="D365" s="17" t="n"/>
      <c r="E365" s="17" t="n"/>
      <c r="F365" s="17" t="n"/>
      <c r="G365" s="19" t="n"/>
      <c r="H365" s="17" t="n"/>
      <c r="I365" s="19" t="n"/>
      <c r="J365" s="17" t="n"/>
      <c r="K365" s="18" t="n"/>
      <c r="L365" s="18" t="n"/>
      <c r="M365" s="17" t="n"/>
      <c r="N365" s="17" t="n"/>
      <c r="O365" s="18" t="n"/>
      <c r="P365" s="18" t="n"/>
      <c r="Q365" s="17" t="n"/>
      <c r="R365" s="13">
        <f>IF(A365="","",N(G365)+N(I365))</f>
        <v/>
      </c>
      <c r="S365" s="12">
        <f>IF(OR(K365="",O365=""),"",O365-K365)</f>
        <v/>
      </c>
      <c r="T365" s="12">
        <f>IF(AND(C365="Cetak",L365&lt;&gt;"",L365&lt;TODAY()),"YA","")</f>
        <v/>
      </c>
      <c r="U365" s="12">
        <f>IF(B365="","",TEXT(B365,"yyyy-mm"))</f>
        <v/>
      </c>
    </row>
    <row r="366">
      <c r="A366" s="17" t="n"/>
      <c r="B366" s="18" t="n"/>
      <c r="C366" s="17" t="n"/>
      <c r="D366" s="17" t="n"/>
      <c r="E366" s="17" t="n"/>
      <c r="F366" s="17" t="n"/>
      <c r="G366" s="19" t="n"/>
      <c r="H366" s="17" t="n"/>
      <c r="I366" s="19" t="n"/>
      <c r="J366" s="17" t="n"/>
      <c r="K366" s="18" t="n"/>
      <c r="L366" s="18" t="n"/>
      <c r="M366" s="17" t="n"/>
      <c r="N366" s="17" t="n"/>
      <c r="O366" s="18" t="n"/>
      <c r="P366" s="18" t="n"/>
      <c r="Q366" s="17" t="n"/>
      <c r="R366" s="13">
        <f>IF(A366="","",N(G366)+N(I366))</f>
        <v/>
      </c>
      <c r="S366" s="12">
        <f>IF(OR(K366="",O366=""),"",O366-K366)</f>
        <v/>
      </c>
      <c r="T366" s="12">
        <f>IF(AND(C366="Cetak",L366&lt;&gt;"",L366&lt;TODAY()),"YA","")</f>
        <v/>
      </c>
      <c r="U366" s="12">
        <f>IF(B366="","",TEXT(B366,"yyyy-mm"))</f>
        <v/>
      </c>
    </row>
    <row r="367">
      <c r="A367" s="17" t="n"/>
      <c r="B367" s="18" t="n"/>
      <c r="C367" s="17" t="n"/>
      <c r="D367" s="17" t="n"/>
      <c r="E367" s="17" t="n"/>
      <c r="F367" s="17" t="n"/>
      <c r="G367" s="19" t="n"/>
      <c r="H367" s="17" t="n"/>
      <c r="I367" s="19" t="n"/>
      <c r="J367" s="17" t="n"/>
      <c r="K367" s="18" t="n"/>
      <c r="L367" s="18" t="n"/>
      <c r="M367" s="17" t="n"/>
      <c r="N367" s="17" t="n"/>
      <c r="O367" s="18" t="n"/>
      <c r="P367" s="18" t="n"/>
      <c r="Q367" s="17" t="n"/>
      <c r="R367" s="13">
        <f>IF(A367="","",N(G367)+N(I367))</f>
        <v/>
      </c>
      <c r="S367" s="12">
        <f>IF(OR(K367="",O367=""),"",O367-K367)</f>
        <v/>
      </c>
      <c r="T367" s="12">
        <f>IF(AND(C367="Cetak",L367&lt;&gt;"",L367&lt;TODAY()),"YA","")</f>
        <v/>
      </c>
      <c r="U367" s="12">
        <f>IF(B367="","",TEXT(B367,"yyyy-mm"))</f>
        <v/>
      </c>
    </row>
    <row r="368">
      <c r="A368" s="17" t="n"/>
      <c r="B368" s="18" t="n"/>
      <c r="C368" s="17" t="n"/>
      <c r="D368" s="17" t="n"/>
      <c r="E368" s="17" t="n"/>
      <c r="F368" s="17" t="n"/>
      <c r="G368" s="19" t="n"/>
      <c r="H368" s="17" t="n"/>
      <c r="I368" s="19" t="n"/>
      <c r="J368" s="17" t="n"/>
      <c r="K368" s="18" t="n"/>
      <c r="L368" s="18" t="n"/>
      <c r="M368" s="17" t="n"/>
      <c r="N368" s="17" t="n"/>
      <c r="O368" s="18" t="n"/>
      <c r="P368" s="18" t="n"/>
      <c r="Q368" s="17" t="n"/>
      <c r="R368" s="13">
        <f>IF(A368="","",N(G368)+N(I368))</f>
        <v/>
      </c>
      <c r="S368" s="12">
        <f>IF(OR(K368="",O368=""),"",O368-K368)</f>
        <v/>
      </c>
      <c r="T368" s="12">
        <f>IF(AND(C368="Cetak",L368&lt;&gt;"",L368&lt;TODAY()),"YA","")</f>
        <v/>
      </c>
      <c r="U368" s="12">
        <f>IF(B368="","",TEXT(B368,"yyyy-mm"))</f>
        <v/>
      </c>
    </row>
    <row r="369">
      <c r="A369" s="17" t="n"/>
      <c r="B369" s="18" t="n"/>
      <c r="C369" s="17" t="n"/>
      <c r="D369" s="17" t="n"/>
      <c r="E369" s="17" t="n"/>
      <c r="F369" s="17" t="n"/>
      <c r="G369" s="19" t="n"/>
      <c r="H369" s="17" t="n"/>
      <c r="I369" s="19" t="n"/>
      <c r="J369" s="17" t="n"/>
      <c r="K369" s="18" t="n"/>
      <c r="L369" s="18" t="n"/>
      <c r="M369" s="17" t="n"/>
      <c r="N369" s="17" t="n"/>
      <c r="O369" s="18" t="n"/>
      <c r="P369" s="18" t="n"/>
      <c r="Q369" s="17" t="n"/>
      <c r="R369" s="13">
        <f>IF(A369="","",N(G369)+N(I369))</f>
        <v/>
      </c>
      <c r="S369" s="12">
        <f>IF(OR(K369="",O369=""),"",O369-K369)</f>
        <v/>
      </c>
      <c r="T369" s="12">
        <f>IF(AND(C369="Cetak",L369&lt;&gt;"",L369&lt;TODAY()),"YA","")</f>
        <v/>
      </c>
      <c r="U369" s="12">
        <f>IF(B369="","",TEXT(B369,"yyyy-mm"))</f>
        <v/>
      </c>
    </row>
    <row r="370">
      <c r="A370" s="17" t="n"/>
      <c r="B370" s="18" t="n"/>
      <c r="C370" s="17" t="n"/>
      <c r="D370" s="17" t="n"/>
      <c r="E370" s="17" t="n"/>
      <c r="F370" s="17" t="n"/>
      <c r="G370" s="19" t="n"/>
      <c r="H370" s="17" t="n"/>
      <c r="I370" s="19" t="n"/>
      <c r="J370" s="17" t="n"/>
      <c r="K370" s="18" t="n"/>
      <c r="L370" s="18" t="n"/>
      <c r="M370" s="17" t="n"/>
      <c r="N370" s="17" t="n"/>
      <c r="O370" s="18" t="n"/>
      <c r="P370" s="18" t="n"/>
      <c r="Q370" s="17" t="n"/>
      <c r="R370" s="13">
        <f>IF(A370="","",N(G370)+N(I370))</f>
        <v/>
      </c>
      <c r="S370" s="12">
        <f>IF(OR(K370="",O370=""),"",O370-K370)</f>
        <v/>
      </c>
      <c r="T370" s="12">
        <f>IF(AND(C370="Cetak",L370&lt;&gt;"",L370&lt;TODAY()),"YA","")</f>
        <v/>
      </c>
      <c r="U370" s="12">
        <f>IF(B370="","",TEXT(B370,"yyyy-mm"))</f>
        <v/>
      </c>
    </row>
    <row r="371">
      <c r="A371" s="17" t="n"/>
      <c r="B371" s="18" t="n"/>
      <c r="C371" s="17" t="n"/>
      <c r="D371" s="17" t="n"/>
      <c r="E371" s="17" t="n"/>
      <c r="F371" s="17" t="n"/>
      <c r="G371" s="19" t="n"/>
      <c r="H371" s="17" t="n"/>
      <c r="I371" s="19" t="n"/>
      <c r="J371" s="17" t="n"/>
      <c r="K371" s="18" t="n"/>
      <c r="L371" s="18" t="n"/>
      <c r="M371" s="17" t="n"/>
      <c r="N371" s="17" t="n"/>
      <c r="O371" s="18" t="n"/>
      <c r="P371" s="18" t="n"/>
      <c r="Q371" s="17" t="n"/>
      <c r="R371" s="13">
        <f>IF(A371="","",N(G371)+N(I371))</f>
        <v/>
      </c>
      <c r="S371" s="12">
        <f>IF(OR(K371="",O371=""),"",O371-K371)</f>
        <v/>
      </c>
      <c r="T371" s="12">
        <f>IF(AND(C371="Cetak",L371&lt;&gt;"",L371&lt;TODAY()),"YA","")</f>
        <v/>
      </c>
      <c r="U371" s="12">
        <f>IF(B371="","",TEXT(B371,"yyyy-mm"))</f>
        <v/>
      </c>
    </row>
    <row r="372">
      <c r="A372" s="17" t="n"/>
      <c r="B372" s="18" t="n"/>
      <c r="C372" s="17" t="n"/>
      <c r="D372" s="17" t="n"/>
      <c r="E372" s="17" t="n"/>
      <c r="F372" s="17" t="n"/>
      <c r="G372" s="19" t="n"/>
      <c r="H372" s="17" t="n"/>
      <c r="I372" s="19" t="n"/>
      <c r="J372" s="17" t="n"/>
      <c r="K372" s="18" t="n"/>
      <c r="L372" s="18" t="n"/>
      <c r="M372" s="17" t="n"/>
      <c r="N372" s="17" t="n"/>
      <c r="O372" s="18" t="n"/>
      <c r="P372" s="18" t="n"/>
      <c r="Q372" s="17" t="n"/>
      <c r="R372" s="13">
        <f>IF(A372="","",N(G372)+N(I372))</f>
        <v/>
      </c>
      <c r="S372" s="12">
        <f>IF(OR(K372="",O372=""),"",O372-K372)</f>
        <v/>
      </c>
      <c r="T372" s="12">
        <f>IF(AND(C372="Cetak",L372&lt;&gt;"",L372&lt;TODAY()),"YA","")</f>
        <v/>
      </c>
      <c r="U372" s="12">
        <f>IF(B372="","",TEXT(B372,"yyyy-mm"))</f>
        <v/>
      </c>
    </row>
    <row r="373">
      <c r="A373" s="17" t="n"/>
      <c r="B373" s="18" t="n"/>
      <c r="C373" s="17" t="n"/>
      <c r="D373" s="17" t="n"/>
      <c r="E373" s="17" t="n"/>
      <c r="F373" s="17" t="n"/>
      <c r="G373" s="19" t="n"/>
      <c r="H373" s="17" t="n"/>
      <c r="I373" s="19" t="n"/>
      <c r="J373" s="17" t="n"/>
      <c r="K373" s="18" t="n"/>
      <c r="L373" s="18" t="n"/>
      <c r="M373" s="17" t="n"/>
      <c r="N373" s="17" t="n"/>
      <c r="O373" s="18" t="n"/>
      <c r="P373" s="18" t="n"/>
      <c r="Q373" s="17" t="n"/>
      <c r="R373" s="13">
        <f>IF(A373="","",N(G373)+N(I373))</f>
        <v/>
      </c>
      <c r="S373" s="12">
        <f>IF(OR(K373="",O373=""),"",O373-K373)</f>
        <v/>
      </c>
      <c r="T373" s="12">
        <f>IF(AND(C373="Cetak",L373&lt;&gt;"",L373&lt;TODAY()),"YA","")</f>
        <v/>
      </c>
      <c r="U373" s="12">
        <f>IF(B373="","",TEXT(B373,"yyyy-mm"))</f>
        <v/>
      </c>
    </row>
    <row r="374">
      <c r="A374" s="17" t="n"/>
      <c r="B374" s="18" t="n"/>
      <c r="C374" s="17" t="n"/>
      <c r="D374" s="17" t="n"/>
      <c r="E374" s="17" t="n"/>
      <c r="F374" s="17" t="n"/>
      <c r="G374" s="19" t="n"/>
      <c r="H374" s="17" t="n"/>
      <c r="I374" s="19" t="n"/>
      <c r="J374" s="17" t="n"/>
      <c r="K374" s="18" t="n"/>
      <c r="L374" s="18" t="n"/>
      <c r="M374" s="17" t="n"/>
      <c r="N374" s="17" t="n"/>
      <c r="O374" s="18" t="n"/>
      <c r="P374" s="18" t="n"/>
      <c r="Q374" s="17" t="n"/>
      <c r="R374" s="13">
        <f>IF(A374="","",N(G374)+N(I374))</f>
        <v/>
      </c>
      <c r="S374" s="12">
        <f>IF(OR(K374="",O374=""),"",O374-K374)</f>
        <v/>
      </c>
      <c r="T374" s="12">
        <f>IF(AND(C374="Cetak",L374&lt;&gt;"",L374&lt;TODAY()),"YA","")</f>
        <v/>
      </c>
      <c r="U374" s="12">
        <f>IF(B374="","",TEXT(B374,"yyyy-mm"))</f>
        <v/>
      </c>
    </row>
    <row r="375">
      <c r="A375" s="17" t="n"/>
      <c r="B375" s="18" t="n"/>
      <c r="C375" s="17" t="n"/>
      <c r="D375" s="17" t="n"/>
      <c r="E375" s="17" t="n"/>
      <c r="F375" s="17" t="n"/>
      <c r="G375" s="19" t="n"/>
      <c r="H375" s="17" t="n"/>
      <c r="I375" s="19" t="n"/>
      <c r="J375" s="17" t="n"/>
      <c r="K375" s="18" t="n"/>
      <c r="L375" s="18" t="n"/>
      <c r="M375" s="17" t="n"/>
      <c r="N375" s="17" t="n"/>
      <c r="O375" s="18" t="n"/>
      <c r="P375" s="18" t="n"/>
      <c r="Q375" s="17" t="n"/>
      <c r="R375" s="13">
        <f>IF(A375="","",N(G375)+N(I375))</f>
        <v/>
      </c>
      <c r="S375" s="12">
        <f>IF(OR(K375="",O375=""),"",O375-K375)</f>
        <v/>
      </c>
      <c r="T375" s="12">
        <f>IF(AND(C375="Cetak",L375&lt;&gt;"",L375&lt;TODAY()),"YA","")</f>
        <v/>
      </c>
      <c r="U375" s="12">
        <f>IF(B375="","",TEXT(B375,"yyyy-mm"))</f>
        <v/>
      </c>
    </row>
    <row r="376">
      <c r="A376" s="17" t="n"/>
      <c r="B376" s="18" t="n"/>
      <c r="C376" s="17" t="n"/>
      <c r="D376" s="17" t="n"/>
      <c r="E376" s="17" t="n"/>
      <c r="F376" s="17" t="n"/>
      <c r="G376" s="19" t="n"/>
      <c r="H376" s="17" t="n"/>
      <c r="I376" s="19" t="n"/>
      <c r="J376" s="17" t="n"/>
      <c r="K376" s="18" t="n"/>
      <c r="L376" s="18" t="n"/>
      <c r="M376" s="17" t="n"/>
      <c r="N376" s="17" t="n"/>
      <c r="O376" s="18" t="n"/>
      <c r="P376" s="18" t="n"/>
      <c r="Q376" s="17" t="n"/>
      <c r="R376" s="13">
        <f>IF(A376="","",N(G376)+N(I376))</f>
        <v/>
      </c>
      <c r="S376" s="12">
        <f>IF(OR(K376="",O376=""),"",O376-K376)</f>
        <v/>
      </c>
      <c r="T376" s="12">
        <f>IF(AND(C376="Cetak",L376&lt;&gt;"",L376&lt;TODAY()),"YA","")</f>
        <v/>
      </c>
      <c r="U376" s="12">
        <f>IF(B376="","",TEXT(B376,"yyyy-mm"))</f>
        <v/>
      </c>
    </row>
    <row r="377">
      <c r="A377" s="17" t="n"/>
      <c r="B377" s="18" t="n"/>
      <c r="C377" s="17" t="n"/>
      <c r="D377" s="17" t="n"/>
      <c r="E377" s="17" t="n"/>
      <c r="F377" s="17" t="n"/>
      <c r="G377" s="19" t="n"/>
      <c r="H377" s="17" t="n"/>
      <c r="I377" s="19" t="n"/>
      <c r="J377" s="17" t="n"/>
      <c r="K377" s="18" t="n"/>
      <c r="L377" s="18" t="n"/>
      <c r="M377" s="17" t="n"/>
      <c r="N377" s="17" t="n"/>
      <c r="O377" s="18" t="n"/>
      <c r="P377" s="18" t="n"/>
      <c r="Q377" s="17" t="n"/>
      <c r="R377" s="13">
        <f>IF(A377="","",N(G377)+N(I377))</f>
        <v/>
      </c>
      <c r="S377" s="12">
        <f>IF(OR(K377="",O377=""),"",O377-K377)</f>
        <v/>
      </c>
      <c r="T377" s="12">
        <f>IF(AND(C377="Cetak",L377&lt;&gt;"",L377&lt;TODAY()),"YA","")</f>
        <v/>
      </c>
      <c r="U377" s="12">
        <f>IF(B377="","",TEXT(B377,"yyyy-mm"))</f>
        <v/>
      </c>
    </row>
    <row r="378">
      <c r="A378" s="17" t="n"/>
      <c r="B378" s="18" t="n"/>
      <c r="C378" s="17" t="n"/>
      <c r="D378" s="17" t="n"/>
      <c r="E378" s="17" t="n"/>
      <c r="F378" s="17" t="n"/>
      <c r="G378" s="19" t="n"/>
      <c r="H378" s="17" t="n"/>
      <c r="I378" s="19" t="n"/>
      <c r="J378" s="17" t="n"/>
      <c r="K378" s="18" t="n"/>
      <c r="L378" s="18" t="n"/>
      <c r="M378" s="17" t="n"/>
      <c r="N378" s="17" t="n"/>
      <c r="O378" s="18" t="n"/>
      <c r="P378" s="18" t="n"/>
      <c r="Q378" s="17" t="n"/>
      <c r="R378" s="13">
        <f>IF(A378="","",N(G378)+N(I378))</f>
        <v/>
      </c>
      <c r="S378" s="12">
        <f>IF(OR(K378="",O378=""),"",O378-K378)</f>
        <v/>
      </c>
      <c r="T378" s="12">
        <f>IF(AND(C378="Cetak",L378&lt;&gt;"",L378&lt;TODAY()),"YA","")</f>
        <v/>
      </c>
      <c r="U378" s="12">
        <f>IF(B378="","",TEXT(B378,"yyyy-mm"))</f>
        <v/>
      </c>
    </row>
    <row r="379">
      <c r="A379" s="17" t="n"/>
      <c r="B379" s="18" t="n"/>
      <c r="C379" s="17" t="n"/>
      <c r="D379" s="17" t="n"/>
      <c r="E379" s="17" t="n"/>
      <c r="F379" s="17" t="n"/>
      <c r="G379" s="19" t="n"/>
      <c r="H379" s="17" t="n"/>
      <c r="I379" s="19" t="n"/>
      <c r="J379" s="17" t="n"/>
      <c r="K379" s="18" t="n"/>
      <c r="L379" s="18" t="n"/>
      <c r="M379" s="17" t="n"/>
      <c r="N379" s="17" t="n"/>
      <c r="O379" s="18" t="n"/>
      <c r="P379" s="18" t="n"/>
      <c r="Q379" s="17" t="n"/>
      <c r="R379" s="13">
        <f>IF(A379="","",N(G379)+N(I379))</f>
        <v/>
      </c>
      <c r="S379" s="12">
        <f>IF(OR(K379="",O379=""),"",O379-K379)</f>
        <v/>
      </c>
      <c r="T379" s="12">
        <f>IF(AND(C379="Cetak",L379&lt;&gt;"",L379&lt;TODAY()),"YA","")</f>
        <v/>
      </c>
      <c r="U379" s="12">
        <f>IF(B379="","",TEXT(B379,"yyyy-mm"))</f>
        <v/>
      </c>
    </row>
    <row r="380">
      <c r="A380" s="17" t="n"/>
      <c r="B380" s="18" t="n"/>
      <c r="C380" s="17" t="n"/>
      <c r="D380" s="17" t="n"/>
      <c r="E380" s="17" t="n"/>
      <c r="F380" s="17" t="n"/>
      <c r="G380" s="19" t="n"/>
      <c r="H380" s="17" t="n"/>
      <c r="I380" s="19" t="n"/>
      <c r="J380" s="17" t="n"/>
      <c r="K380" s="18" t="n"/>
      <c r="L380" s="18" t="n"/>
      <c r="M380" s="17" t="n"/>
      <c r="N380" s="17" t="n"/>
      <c r="O380" s="18" t="n"/>
      <c r="P380" s="18" t="n"/>
      <c r="Q380" s="17" t="n"/>
      <c r="R380" s="13">
        <f>IF(A380="","",N(G380)+N(I380))</f>
        <v/>
      </c>
      <c r="S380" s="12">
        <f>IF(OR(K380="",O380=""),"",O380-K380)</f>
        <v/>
      </c>
      <c r="T380" s="12">
        <f>IF(AND(C380="Cetak",L380&lt;&gt;"",L380&lt;TODAY()),"YA","")</f>
        <v/>
      </c>
      <c r="U380" s="12">
        <f>IF(B380="","",TEXT(B380,"yyyy-mm"))</f>
        <v/>
      </c>
    </row>
    <row r="381">
      <c r="A381" s="17" t="n"/>
      <c r="B381" s="18" t="n"/>
      <c r="C381" s="17" t="n"/>
      <c r="D381" s="17" t="n"/>
      <c r="E381" s="17" t="n"/>
      <c r="F381" s="17" t="n"/>
      <c r="G381" s="19" t="n"/>
      <c r="H381" s="17" t="n"/>
      <c r="I381" s="19" t="n"/>
      <c r="J381" s="17" t="n"/>
      <c r="K381" s="18" t="n"/>
      <c r="L381" s="18" t="n"/>
      <c r="M381" s="17" t="n"/>
      <c r="N381" s="17" t="n"/>
      <c r="O381" s="18" t="n"/>
      <c r="P381" s="18" t="n"/>
      <c r="Q381" s="17" t="n"/>
      <c r="R381" s="13">
        <f>IF(A381="","",N(G381)+N(I381))</f>
        <v/>
      </c>
      <c r="S381" s="12">
        <f>IF(OR(K381="",O381=""),"",O381-K381)</f>
        <v/>
      </c>
      <c r="T381" s="12">
        <f>IF(AND(C381="Cetak",L381&lt;&gt;"",L381&lt;TODAY()),"YA","")</f>
        <v/>
      </c>
      <c r="U381" s="12">
        <f>IF(B381="","",TEXT(B381,"yyyy-mm"))</f>
        <v/>
      </c>
    </row>
    <row r="382">
      <c r="A382" s="17" t="n"/>
      <c r="B382" s="18" t="n"/>
      <c r="C382" s="17" t="n"/>
      <c r="D382" s="17" t="n"/>
      <c r="E382" s="17" t="n"/>
      <c r="F382" s="17" t="n"/>
      <c r="G382" s="19" t="n"/>
      <c r="H382" s="17" t="n"/>
      <c r="I382" s="19" t="n"/>
      <c r="J382" s="17" t="n"/>
      <c r="K382" s="18" t="n"/>
      <c r="L382" s="18" t="n"/>
      <c r="M382" s="17" t="n"/>
      <c r="N382" s="17" t="n"/>
      <c r="O382" s="18" t="n"/>
      <c r="P382" s="18" t="n"/>
      <c r="Q382" s="17" t="n"/>
      <c r="R382" s="13">
        <f>IF(A382="","",N(G382)+N(I382))</f>
        <v/>
      </c>
      <c r="S382" s="12">
        <f>IF(OR(K382="",O382=""),"",O382-K382)</f>
        <v/>
      </c>
      <c r="T382" s="12">
        <f>IF(AND(C382="Cetak",L382&lt;&gt;"",L382&lt;TODAY()),"YA","")</f>
        <v/>
      </c>
      <c r="U382" s="12">
        <f>IF(B382="","",TEXT(B382,"yyyy-mm"))</f>
        <v/>
      </c>
    </row>
    <row r="383">
      <c r="A383" s="17" t="n"/>
      <c r="B383" s="18" t="n"/>
      <c r="C383" s="17" t="n"/>
      <c r="D383" s="17" t="n"/>
      <c r="E383" s="17" t="n"/>
      <c r="F383" s="17" t="n"/>
      <c r="G383" s="19" t="n"/>
      <c r="H383" s="17" t="n"/>
      <c r="I383" s="19" t="n"/>
      <c r="J383" s="17" t="n"/>
      <c r="K383" s="18" t="n"/>
      <c r="L383" s="18" t="n"/>
      <c r="M383" s="17" t="n"/>
      <c r="N383" s="17" t="n"/>
      <c r="O383" s="18" t="n"/>
      <c r="P383" s="18" t="n"/>
      <c r="Q383" s="17" t="n"/>
      <c r="R383" s="13">
        <f>IF(A383="","",N(G383)+N(I383))</f>
        <v/>
      </c>
      <c r="S383" s="12">
        <f>IF(OR(K383="",O383=""),"",O383-K383)</f>
        <v/>
      </c>
      <c r="T383" s="12">
        <f>IF(AND(C383="Cetak",L383&lt;&gt;"",L383&lt;TODAY()),"YA","")</f>
        <v/>
      </c>
      <c r="U383" s="12">
        <f>IF(B383="","",TEXT(B383,"yyyy-mm"))</f>
        <v/>
      </c>
    </row>
    <row r="384">
      <c r="A384" s="17" t="n"/>
      <c r="B384" s="18" t="n"/>
      <c r="C384" s="17" t="n"/>
      <c r="D384" s="17" t="n"/>
      <c r="E384" s="17" t="n"/>
      <c r="F384" s="17" t="n"/>
      <c r="G384" s="19" t="n"/>
      <c r="H384" s="17" t="n"/>
      <c r="I384" s="19" t="n"/>
      <c r="J384" s="17" t="n"/>
      <c r="K384" s="18" t="n"/>
      <c r="L384" s="18" t="n"/>
      <c r="M384" s="17" t="n"/>
      <c r="N384" s="17" t="n"/>
      <c r="O384" s="18" t="n"/>
      <c r="P384" s="18" t="n"/>
      <c r="Q384" s="17" t="n"/>
      <c r="R384" s="13">
        <f>IF(A384="","",N(G384)+N(I384))</f>
        <v/>
      </c>
      <c r="S384" s="12">
        <f>IF(OR(K384="",O384=""),"",O384-K384)</f>
        <v/>
      </c>
      <c r="T384" s="12">
        <f>IF(AND(C384="Cetak",L384&lt;&gt;"",L384&lt;TODAY()),"YA","")</f>
        <v/>
      </c>
      <c r="U384" s="12">
        <f>IF(B384="","",TEXT(B384,"yyyy-mm"))</f>
        <v/>
      </c>
    </row>
    <row r="385">
      <c r="A385" s="17" t="n"/>
      <c r="B385" s="18" t="n"/>
      <c r="C385" s="17" t="n"/>
      <c r="D385" s="17" t="n"/>
      <c r="E385" s="17" t="n"/>
      <c r="F385" s="17" t="n"/>
      <c r="G385" s="19" t="n"/>
      <c r="H385" s="17" t="n"/>
      <c r="I385" s="19" t="n"/>
      <c r="J385" s="17" t="n"/>
      <c r="K385" s="18" t="n"/>
      <c r="L385" s="18" t="n"/>
      <c r="M385" s="17" t="n"/>
      <c r="N385" s="17" t="n"/>
      <c r="O385" s="18" t="n"/>
      <c r="P385" s="18" t="n"/>
      <c r="Q385" s="17" t="n"/>
      <c r="R385" s="13">
        <f>IF(A385="","",N(G385)+N(I385))</f>
        <v/>
      </c>
      <c r="S385" s="12">
        <f>IF(OR(K385="",O385=""),"",O385-K385)</f>
        <v/>
      </c>
      <c r="T385" s="12">
        <f>IF(AND(C385="Cetak",L385&lt;&gt;"",L385&lt;TODAY()),"YA","")</f>
        <v/>
      </c>
      <c r="U385" s="12">
        <f>IF(B385="","",TEXT(B385,"yyyy-mm"))</f>
        <v/>
      </c>
    </row>
    <row r="386">
      <c r="A386" s="17" t="n"/>
      <c r="B386" s="18" t="n"/>
      <c r="C386" s="17" t="n"/>
      <c r="D386" s="17" t="n"/>
      <c r="E386" s="17" t="n"/>
      <c r="F386" s="17" t="n"/>
      <c r="G386" s="19" t="n"/>
      <c r="H386" s="17" t="n"/>
      <c r="I386" s="19" t="n"/>
      <c r="J386" s="17" t="n"/>
      <c r="K386" s="18" t="n"/>
      <c r="L386" s="18" t="n"/>
      <c r="M386" s="17" t="n"/>
      <c r="N386" s="17" t="n"/>
      <c r="O386" s="18" t="n"/>
      <c r="P386" s="18" t="n"/>
      <c r="Q386" s="17" t="n"/>
      <c r="R386" s="13">
        <f>IF(A386="","",N(G386)+N(I386))</f>
        <v/>
      </c>
      <c r="S386" s="12">
        <f>IF(OR(K386="",O386=""),"",O386-K386)</f>
        <v/>
      </c>
      <c r="T386" s="12">
        <f>IF(AND(C386="Cetak",L386&lt;&gt;"",L386&lt;TODAY()),"YA","")</f>
        <v/>
      </c>
      <c r="U386" s="12">
        <f>IF(B386="","",TEXT(B386,"yyyy-mm"))</f>
        <v/>
      </c>
    </row>
    <row r="387">
      <c r="A387" s="17" t="n"/>
      <c r="B387" s="18" t="n"/>
      <c r="C387" s="17" t="n"/>
      <c r="D387" s="17" t="n"/>
      <c r="E387" s="17" t="n"/>
      <c r="F387" s="17" t="n"/>
      <c r="G387" s="19" t="n"/>
      <c r="H387" s="17" t="n"/>
      <c r="I387" s="19" t="n"/>
      <c r="J387" s="17" t="n"/>
      <c r="K387" s="18" t="n"/>
      <c r="L387" s="18" t="n"/>
      <c r="M387" s="17" t="n"/>
      <c r="N387" s="17" t="n"/>
      <c r="O387" s="18" t="n"/>
      <c r="P387" s="18" t="n"/>
      <c r="Q387" s="17" t="n"/>
      <c r="R387" s="13">
        <f>IF(A387="","",N(G387)+N(I387))</f>
        <v/>
      </c>
      <c r="S387" s="12">
        <f>IF(OR(K387="",O387=""),"",O387-K387)</f>
        <v/>
      </c>
      <c r="T387" s="12">
        <f>IF(AND(C387="Cetak",L387&lt;&gt;"",L387&lt;TODAY()),"YA","")</f>
        <v/>
      </c>
      <c r="U387" s="12">
        <f>IF(B387="","",TEXT(B387,"yyyy-mm"))</f>
        <v/>
      </c>
    </row>
    <row r="388">
      <c r="A388" s="17" t="n"/>
      <c r="B388" s="18" t="n"/>
      <c r="C388" s="17" t="n"/>
      <c r="D388" s="17" t="n"/>
      <c r="E388" s="17" t="n"/>
      <c r="F388" s="17" t="n"/>
      <c r="G388" s="19" t="n"/>
      <c r="H388" s="17" t="n"/>
      <c r="I388" s="19" t="n"/>
      <c r="J388" s="17" t="n"/>
      <c r="K388" s="18" t="n"/>
      <c r="L388" s="18" t="n"/>
      <c r="M388" s="17" t="n"/>
      <c r="N388" s="17" t="n"/>
      <c r="O388" s="18" t="n"/>
      <c r="P388" s="18" t="n"/>
      <c r="Q388" s="17" t="n"/>
      <c r="R388" s="13">
        <f>IF(A388="","",N(G388)+N(I388))</f>
        <v/>
      </c>
      <c r="S388" s="12">
        <f>IF(OR(K388="",O388=""),"",O388-K388)</f>
        <v/>
      </c>
      <c r="T388" s="12">
        <f>IF(AND(C388="Cetak",L388&lt;&gt;"",L388&lt;TODAY()),"YA","")</f>
        <v/>
      </c>
      <c r="U388" s="12">
        <f>IF(B388="","",TEXT(B388,"yyyy-mm"))</f>
        <v/>
      </c>
    </row>
    <row r="389">
      <c r="A389" s="17" t="n"/>
      <c r="B389" s="18" t="n"/>
      <c r="C389" s="17" t="n"/>
      <c r="D389" s="17" t="n"/>
      <c r="E389" s="17" t="n"/>
      <c r="F389" s="17" t="n"/>
      <c r="G389" s="19" t="n"/>
      <c r="H389" s="17" t="n"/>
      <c r="I389" s="19" t="n"/>
      <c r="J389" s="17" t="n"/>
      <c r="K389" s="18" t="n"/>
      <c r="L389" s="18" t="n"/>
      <c r="M389" s="17" t="n"/>
      <c r="N389" s="17" t="n"/>
      <c r="O389" s="18" t="n"/>
      <c r="P389" s="18" t="n"/>
      <c r="Q389" s="17" t="n"/>
      <c r="R389" s="13">
        <f>IF(A389="","",N(G389)+N(I389))</f>
        <v/>
      </c>
      <c r="S389" s="12">
        <f>IF(OR(K389="",O389=""),"",O389-K389)</f>
        <v/>
      </c>
      <c r="T389" s="12">
        <f>IF(AND(C389="Cetak",L389&lt;&gt;"",L389&lt;TODAY()),"YA","")</f>
        <v/>
      </c>
      <c r="U389" s="12">
        <f>IF(B389="","",TEXT(B389,"yyyy-mm"))</f>
        <v/>
      </c>
    </row>
    <row r="390">
      <c r="A390" s="17" t="n"/>
      <c r="B390" s="18" t="n"/>
      <c r="C390" s="17" t="n"/>
      <c r="D390" s="17" t="n"/>
      <c r="E390" s="17" t="n"/>
      <c r="F390" s="17" t="n"/>
      <c r="G390" s="19" t="n"/>
      <c r="H390" s="17" t="n"/>
      <c r="I390" s="19" t="n"/>
      <c r="J390" s="17" t="n"/>
      <c r="K390" s="18" t="n"/>
      <c r="L390" s="18" t="n"/>
      <c r="M390" s="17" t="n"/>
      <c r="N390" s="17" t="n"/>
      <c r="O390" s="18" t="n"/>
      <c r="P390" s="18" t="n"/>
      <c r="Q390" s="17" t="n"/>
      <c r="R390" s="13">
        <f>IF(A390="","",N(G390)+N(I390))</f>
        <v/>
      </c>
      <c r="S390" s="12">
        <f>IF(OR(K390="",O390=""),"",O390-K390)</f>
        <v/>
      </c>
      <c r="T390" s="12">
        <f>IF(AND(C390="Cetak",L390&lt;&gt;"",L390&lt;TODAY()),"YA","")</f>
        <v/>
      </c>
      <c r="U390" s="12">
        <f>IF(B390="","",TEXT(B390,"yyyy-mm"))</f>
        <v/>
      </c>
    </row>
    <row r="391">
      <c r="A391" s="17" t="n"/>
      <c r="B391" s="18" t="n"/>
      <c r="C391" s="17" t="n"/>
      <c r="D391" s="17" t="n"/>
      <c r="E391" s="17" t="n"/>
      <c r="F391" s="17" t="n"/>
      <c r="G391" s="19" t="n"/>
      <c r="H391" s="17" t="n"/>
      <c r="I391" s="19" t="n"/>
      <c r="J391" s="17" t="n"/>
      <c r="K391" s="18" t="n"/>
      <c r="L391" s="18" t="n"/>
      <c r="M391" s="17" t="n"/>
      <c r="N391" s="17" t="n"/>
      <c r="O391" s="18" t="n"/>
      <c r="P391" s="18" t="n"/>
      <c r="Q391" s="17" t="n"/>
      <c r="R391" s="13">
        <f>IF(A391="","",N(G391)+N(I391))</f>
        <v/>
      </c>
      <c r="S391" s="12">
        <f>IF(OR(K391="",O391=""),"",O391-K391)</f>
        <v/>
      </c>
      <c r="T391" s="12">
        <f>IF(AND(C391="Cetak",L391&lt;&gt;"",L391&lt;TODAY()),"YA","")</f>
        <v/>
      </c>
      <c r="U391" s="12">
        <f>IF(B391="","",TEXT(B391,"yyyy-mm"))</f>
        <v/>
      </c>
    </row>
    <row r="392">
      <c r="A392" s="17" t="n"/>
      <c r="B392" s="18" t="n"/>
      <c r="C392" s="17" t="n"/>
      <c r="D392" s="17" t="n"/>
      <c r="E392" s="17" t="n"/>
      <c r="F392" s="17" t="n"/>
      <c r="G392" s="19" t="n"/>
      <c r="H392" s="17" t="n"/>
      <c r="I392" s="19" t="n"/>
      <c r="J392" s="17" t="n"/>
      <c r="K392" s="18" t="n"/>
      <c r="L392" s="18" t="n"/>
      <c r="M392" s="17" t="n"/>
      <c r="N392" s="17" t="n"/>
      <c r="O392" s="18" t="n"/>
      <c r="P392" s="18" t="n"/>
      <c r="Q392" s="17" t="n"/>
      <c r="R392" s="13">
        <f>IF(A392="","",N(G392)+N(I392))</f>
        <v/>
      </c>
      <c r="S392" s="12">
        <f>IF(OR(K392="",O392=""),"",O392-K392)</f>
        <v/>
      </c>
      <c r="T392" s="12">
        <f>IF(AND(C392="Cetak",L392&lt;&gt;"",L392&lt;TODAY()),"YA","")</f>
        <v/>
      </c>
      <c r="U392" s="12">
        <f>IF(B392="","",TEXT(B392,"yyyy-mm"))</f>
        <v/>
      </c>
    </row>
    <row r="393">
      <c r="A393" s="17" t="n"/>
      <c r="B393" s="18" t="n"/>
      <c r="C393" s="17" t="n"/>
      <c r="D393" s="17" t="n"/>
      <c r="E393" s="17" t="n"/>
      <c r="F393" s="17" t="n"/>
      <c r="G393" s="19" t="n"/>
      <c r="H393" s="17" t="n"/>
      <c r="I393" s="19" t="n"/>
      <c r="J393" s="17" t="n"/>
      <c r="K393" s="18" t="n"/>
      <c r="L393" s="18" t="n"/>
      <c r="M393" s="17" t="n"/>
      <c r="N393" s="17" t="n"/>
      <c r="O393" s="18" t="n"/>
      <c r="P393" s="18" t="n"/>
      <c r="Q393" s="17" t="n"/>
      <c r="R393" s="13">
        <f>IF(A393="","",N(G393)+N(I393))</f>
        <v/>
      </c>
      <c r="S393" s="12">
        <f>IF(OR(K393="",O393=""),"",O393-K393)</f>
        <v/>
      </c>
      <c r="T393" s="12">
        <f>IF(AND(C393="Cetak",L393&lt;&gt;"",L393&lt;TODAY()),"YA","")</f>
        <v/>
      </c>
      <c r="U393" s="12">
        <f>IF(B393="","",TEXT(B393,"yyyy-mm"))</f>
        <v/>
      </c>
    </row>
    <row r="394">
      <c r="A394" s="17" t="n"/>
      <c r="B394" s="18" t="n"/>
      <c r="C394" s="17" t="n"/>
      <c r="D394" s="17" t="n"/>
      <c r="E394" s="17" t="n"/>
      <c r="F394" s="17" t="n"/>
      <c r="G394" s="19" t="n"/>
      <c r="H394" s="17" t="n"/>
      <c r="I394" s="19" t="n"/>
      <c r="J394" s="17" t="n"/>
      <c r="K394" s="18" t="n"/>
      <c r="L394" s="18" t="n"/>
      <c r="M394" s="17" t="n"/>
      <c r="N394" s="17" t="n"/>
      <c r="O394" s="18" t="n"/>
      <c r="P394" s="18" t="n"/>
      <c r="Q394" s="17" t="n"/>
      <c r="R394" s="13">
        <f>IF(A394="","",N(G394)+N(I394))</f>
        <v/>
      </c>
      <c r="S394" s="12">
        <f>IF(OR(K394="",O394=""),"",O394-K394)</f>
        <v/>
      </c>
      <c r="T394" s="12">
        <f>IF(AND(C394="Cetak",L394&lt;&gt;"",L394&lt;TODAY()),"YA","")</f>
        <v/>
      </c>
      <c r="U394" s="12">
        <f>IF(B394="","",TEXT(B394,"yyyy-mm"))</f>
        <v/>
      </c>
    </row>
    <row r="395">
      <c r="A395" s="17" t="n"/>
      <c r="B395" s="18" t="n"/>
      <c r="C395" s="17" t="n"/>
      <c r="D395" s="17" t="n"/>
      <c r="E395" s="17" t="n"/>
      <c r="F395" s="17" t="n"/>
      <c r="G395" s="19" t="n"/>
      <c r="H395" s="17" t="n"/>
      <c r="I395" s="19" t="n"/>
      <c r="J395" s="17" t="n"/>
      <c r="K395" s="18" t="n"/>
      <c r="L395" s="18" t="n"/>
      <c r="M395" s="17" t="n"/>
      <c r="N395" s="17" t="n"/>
      <c r="O395" s="18" t="n"/>
      <c r="P395" s="18" t="n"/>
      <c r="Q395" s="17" t="n"/>
      <c r="R395" s="13">
        <f>IF(A395="","",N(G395)+N(I395))</f>
        <v/>
      </c>
      <c r="S395" s="12">
        <f>IF(OR(K395="",O395=""),"",O395-K395)</f>
        <v/>
      </c>
      <c r="T395" s="12">
        <f>IF(AND(C395="Cetak",L395&lt;&gt;"",L395&lt;TODAY()),"YA","")</f>
        <v/>
      </c>
      <c r="U395" s="12">
        <f>IF(B395="","",TEXT(B395,"yyyy-mm"))</f>
        <v/>
      </c>
    </row>
    <row r="396">
      <c r="A396" s="17" t="n"/>
      <c r="B396" s="18" t="n"/>
      <c r="C396" s="17" t="n"/>
      <c r="D396" s="17" t="n"/>
      <c r="E396" s="17" t="n"/>
      <c r="F396" s="17" t="n"/>
      <c r="G396" s="19" t="n"/>
      <c r="H396" s="17" t="n"/>
      <c r="I396" s="19" t="n"/>
      <c r="J396" s="17" t="n"/>
      <c r="K396" s="18" t="n"/>
      <c r="L396" s="18" t="n"/>
      <c r="M396" s="17" t="n"/>
      <c r="N396" s="17" t="n"/>
      <c r="O396" s="18" t="n"/>
      <c r="P396" s="18" t="n"/>
      <c r="Q396" s="17" t="n"/>
      <c r="R396" s="13">
        <f>IF(A396="","",N(G396)+N(I396))</f>
        <v/>
      </c>
      <c r="S396" s="12">
        <f>IF(OR(K396="",O396=""),"",O396-K396)</f>
        <v/>
      </c>
      <c r="T396" s="12">
        <f>IF(AND(C396="Cetak",L396&lt;&gt;"",L396&lt;TODAY()),"YA","")</f>
        <v/>
      </c>
      <c r="U396" s="12">
        <f>IF(B396="","",TEXT(B396,"yyyy-mm"))</f>
        <v/>
      </c>
    </row>
    <row r="397">
      <c r="A397" s="17" t="n"/>
      <c r="B397" s="18" t="n"/>
      <c r="C397" s="17" t="n"/>
      <c r="D397" s="17" t="n"/>
      <c r="E397" s="17" t="n"/>
      <c r="F397" s="17" t="n"/>
      <c r="G397" s="19" t="n"/>
      <c r="H397" s="17" t="n"/>
      <c r="I397" s="19" t="n"/>
      <c r="J397" s="17" t="n"/>
      <c r="K397" s="18" t="n"/>
      <c r="L397" s="18" t="n"/>
      <c r="M397" s="17" t="n"/>
      <c r="N397" s="17" t="n"/>
      <c r="O397" s="18" t="n"/>
      <c r="P397" s="18" t="n"/>
      <c r="Q397" s="17" t="n"/>
      <c r="R397" s="13">
        <f>IF(A397="","",N(G397)+N(I397))</f>
        <v/>
      </c>
      <c r="S397" s="12">
        <f>IF(OR(K397="",O397=""),"",O397-K397)</f>
        <v/>
      </c>
      <c r="T397" s="12">
        <f>IF(AND(C397="Cetak",L397&lt;&gt;"",L397&lt;TODAY()),"YA","")</f>
        <v/>
      </c>
      <c r="U397" s="12">
        <f>IF(B397="","",TEXT(B397,"yyyy-mm"))</f>
        <v/>
      </c>
    </row>
    <row r="398">
      <c r="A398" s="17" t="n"/>
      <c r="B398" s="18" t="n"/>
      <c r="C398" s="17" t="n"/>
      <c r="D398" s="17" t="n"/>
      <c r="E398" s="17" t="n"/>
      <c r="F398" s="17" t="n"/>
      <c r="G398" s="19" t="n"/>
      <c r="H398" s="17" t="n"/>
      <c r="I398" s="19" t="n"/>
      <c r="J398" s="17" t="n"/>
      <c r="K398" s="18" t="n"/>
      <c r="L398" s="18" t="n"/>
      <c r="M398" s="17" t="n"/>
      <c r="N398" s="17" t="n"/>
      <c r="O398" s="18" t="n"/>
      <c r="P398" s="18" t="n"/>
      <c r="Q398" s="17" t="n"/>
      <c r="R398" s="13">
        <f>IF(A398="","",N(G398)+N(I398))</f>
        <v/>
      </c>
      <c r="S398" s="12">
        <f>IF(OR(K398="",O398=""),"",O398-K398)</f>
        <v/>
      </c>
      <c r="T398" s="12">
        <f>IF(AND(C398="Cetak",L398&lt;&gt;"",L398&lt;TODAY()),"YA","")</f>
        <v/>
      </c>
      <c r="U398" s="12">
        <f>IF(B398="","",TEXT(B398,"yyyy-mm"))</f>
        <v/>
      </c>
    </row>
    <row r="399">
      <c r="A399" s="17" t="n"/>
      <c r="B399" s="18" t="n"/>
      <c r="C399" s="17" t="n"/>
      <c r="D399" s="17" t="n"/>
      <c r="E399" s="17" t="n"/>
      <c r="F399" s="17" t="n"/>
      <c r="G399" s="19" t="n"/>
      <c r="H399" s="17" t="n"/>
      <c r="I399" s="19" t="n"/>
      <c r="J399" s="17" t="n"/>
      <c r="K399" s="18" t="n"/>
      <c r="L399" s="18" t="n"/>
      <c r="M399" s="17" t="n"/>
      <c r="N399" s="17" t="n"/>
      <c r="O399" s="18" t="n"/>
      <c r="P399" s="18" t="n"/>
      <c r="Q399" s="17" t="n"/>
      <c r="R399" s="13">
        <f>IF(A399="","",N(G399)+N(I399))</f>
        <v/>
      </c>
      <c r="S399" s="12">
        <f>IF(OR(K399="",O399=""),"",O399-K399)</f>
        <v/>
      </c>
      <c r="T399" s="12">
        <f>IF(AND(C399="Cetak",L399&lt;&gt;"",L399&lt;TODAY()),"YA","")</f>
        <v/>
      </c>
      <c r="U399" s="12">
        <f>IF(B399="","",TEXT(B399,"yyyy-mm"))</f>
        <v/>
      </c>
    </row>
    <row r="400">
      <c r="A400" s="17" t="n"/>
      <c r="B400" s="18" t="n"/>
      <c r="C400" s="17" t="n"/>
      <c r="D400" s="17" t="n"/>
      <c r="E400" s="17" t="n"/>
      <c r="F400" s="17" t="n"/>
      <c r="G400" s="19" t="n"/>
      <c r="H400" s="17" t="n"/>
      <c r="I400" s="19" t="n"/>
      <c r="J400" s="17" t="n"/>
      <c r="K400" s="18" t="n"/>
      <c r="L400" s="18" t="n"/>
      <c r="M400" s="17" t="n"/>
      <c r="N400" s="17" t="n"/>
      <c r="O400" s="18" t="n"/>
      <c r="P400" s="18" t="n"/>
      <c r="Q400" s="17" t="n"/>
      <c r="R400" s="13">
        <f>IF(A400="","",N(G400)+N(I400))</f>
        <v/>
      </c>
      <c r="S400" s="12">
        <f>IF(OR(K400="",O400=""),"",O400-K400)</f>
        <v/>
      </c>
      <c r="T400" s="12">
        <f>IF(AND(C400="Cetak",L400&lt;&gt;"",L400&lt;TODAY()),"YA","")</f>
        <v/>
      </c>
      <c r="U400" s="12">
        <f>IF(B400="","",TEXT(B400,"yyyy-mm"))</f>
        <v/>
      </c>
    </row>
    <row r="401">
      <c r="A401" s="17" t="n"/>
      <c r="B401" s="18" t="n"/>
      <c r="C401" s="17" t="n"/>
      <c r="D401" s="17" t="n"/>
      <c r="E401" s="17" t="n"/>
      <c r="F401" s="17" t="n"/>
      <c r="G401" s="19" t="n"/>
      <c r="H401" s="17" t="n"/>
      <c r="I401" s="19" t="n"/>
      <c r="J401" s="17" t="n"/>
      <c r="K401" s="18" t="n"/>
      <c r="L401" s="18" t="n"/>
      <c r="M401" s="17" t="n"/>
      <c r="N401" s="17" t="n"/>
      <c r="O401" s="18" t="n"/>
      <c r="P401" s="18" t="n"/>
      <c r="Q401" s="17" t="n"/>
      <c r="R401" s="13">
        <f>IF(A401="","",N(G401)+N(I401))</f>
        <v/>
      </c>
      <c r="S401" s="12">
        <f>IF(OR(K401="",O401=""),"",O401-K401)</f>
        <v/>
      </c>
      <c r="T401" s="12">
        <f>IF(AND(C401="Cetak",L401&lt;&gt;"",L401&lt;TODAY()),"YA","")</f>
        <v/>
      </c>
      <c r="U401" s="12">
        <f>IF(B401="","",TEXT(B401,"yyyy-mm"))</f>
        <v/>
      </c>
    </row>
    <row r="402">
      <c r="A402" s="17" t="n"/>
      <c r="B402" s="18" t="n"/>
      <c r="C402" s="17" t="n"/>
      <c r="D402" s="17" t="n"/>
      <c r="E402" s="17" t="n"/>
      <c r="F402" s="17" t="n"/>
      <c r="G402" s="19" t="n"/>
      <c r="H402" s="17" t="n"/>
      <c r="I402" s="19" t="n"/>
      <c r="J402" s="17" t="n"/>
      <c r="K402" s="18" t="n"/>
      <c r="L402" s="18" t="n"/>
      <c r="M402" s="17" t="n"/>
      <c r="N402" s="17" t="n"/>
      <c r="O402" s="18" t="n"/>
      <c r="P402" s="18" t="n"/>
      <c r="Q402" s="17" t="n"/>
      <c r="R402" s="13">
        <f>IF(A402="","",N(G402)+N(I402))</f>
        <v/>
      </c>
      <c r="S402" s="12">
        <f>IF(OR(K402="",O402=""),"",O402-K402)</f>
        <v/>
      </c>
      <c r="T402" s="12">
        <f>IF(AND(C402="Cetak",L402&lt;&gt;"",L402&lt;TODAY()),"YA","")</f>
        <v/>
      </c>
      <c r="U402" s="12">
        <f>IF(B402="","",TEXT(B402,"yyyy-mm"))</f>
        <v/>
      </c>
    </row>
    <row r="403">
      <c r="A403" s="17" t="n"/>
      <c r="B403" s="18" t="n"/>
      <c r="C403" s="17" t="n"/>
      <c r="D403" s="17" t="n"/>
      <c r="E403" s="17" t="n"/>
      <c r="F403" s="17" t="n"/>
      <c r="G403" s="19" t="n"/>
      <c r="H403" s="17" t="n"/>
      <c r="I403" s="19" t="n"/>
      <c r="J403" s="17" t="n"/>
      <c r="K403" s="18" t="n"/>
      <c r="L403" s="18" t="n"/>
      <c r="M403" s="17" t="n"/>
      <c r="N403" s="17" t="n"/>
      <c r="O403" s="18" t="n"/>
      <c r="P403" s="18" t="n"/>
      <c r="Q403" s="17" t="n"/>
      <c r="R403" s="13">
        <f>IF(A403="","",N(G403)+N(I403))</f>
        <v/>
      </c>
      <c r="S403" s="12">
        <f>IF(OR(K403="",O403=""),"",O403-K403)</f>
        <v/>
      </c>
      <c r="T403" s="12">
        <f>IF(AND(C403="Cetak",L403&lt;&gt;"",L403&lt;TODAY()),"YA","")</f>
        <v/>
      </c>
      <c r="U403" s="12">
        <f>IF(B403="","",TEXT(B403,"yyyy-mm"))</f>
        <v/>
      </c>
    </row>
    <row r="404">
      <c r="A404" s="17" t="n"/>
      <c r="B404" s="18" t="n"/>
      <c r="C404" s="17" t="n"/>
      <c r="D404" s="17" t="n"/>
      <c r="E404" s="17" t="n"/>
      <c r="F404" s="17" t="n"/>
      <c r="G404" s="19" t="n"/>
      <c r="H404" s="17" t="n"/>
      <c r="I404" s="19" t="n"/>
      <c r="J404" s="17" t="n"/>
      <c r="K404" s="18" t="n"/>
      <c r="L404" s="18" t="n"/>
      <c r="M404" s="17" t="n"/>
      <c r="N404" s="17" t="n"/>
      <c r="O404" s="18" t="n"/>
      <c r="P404" s="18" t="n"/>
      <c r="Q404" s="17" t="n"/>
      <c r="R404" s="13">
        <f>IF(A404="","",N(G404)+N(I404))</f>
        <v/>
      </c>
      <c r="S404" s="12">
        <f>IF(OR(K404="",O404=""),"",O404-K404)</f>
        <v/>
      </c>
      <c r="T404" s="12">
        <f>IF(AND(C404="Cetak",L404&lt;&gt;"",L404&lt;TODAY()),"YA","")</f>
        <v/>
      </c>
      <c r="U404" s="12">
        <f>IF(B404="","",TEXT(B404,"yyyy-mm"))</f>
        <v/>
      </c>
    </row>
    <row r="405">
      <c r="A405" s="17" t="n"/>
      <c r="B405" s="18" t="n"/>
      <c r="C405" s="17" t="n"/>
      <c r="D405" s="17" t="n"/>
      <c r="E405" s="17" t="n"/>
      <c r="F405" s="17" t="n"/>
      <c r="G405" s="19" t="n"/>
      <c r="H405" s="17" t="n"/>
      <c r="I405" s="19" t="n"/>
      <c r="J405" s="17" t="n"/>
      <c r="K405" s="18" t="n"/>
      <c r="L405" s="18" t="n"/>
      <c r="M405" s="17" t="n"/>
      <c r="N405" s="17" t="n"/>
      <c r="O405" s="18" t="n"/>
      <c r="P405" s="18" t="n"/>
      <c r="Q405" s="17" t="n"/>
      <c r="R405" s="13">
        <f>IF(A405="","",N(G405)+N(I405))</f>
        <v/>
      </c>
      <c r="S405" s="12">
        <f>IF(OR(K405="",O405=""),"",O405-K405)</f>
        <v/>
      </c>
      <c r="T405" s="12">
        <f>IF(AND(C405="Cetak",L405&lt;&gt;"",L405&lt;TODAY()),"YA","")</f>
        <v/>
      </c>
      <c r="U405" s="12">
        <f>IF(B405="","",TEXT(B405,"yyyy-mm"))</f>
        <v/>
      </c>
    </row>
    <row r="406">
      <c r="A406" s="17" t="n"/>
      <c r="B406" s="18" t="n"/>
      <c r="C406" s="17" t="n"/>
      <c r="D406" s="17" t="n"/>
      <c r="E406" s="17" t="n"/>
      <c r="F406" s="17" t="n"/>
      <c r="G406" s="19" t="n"/>
      <c r="H406" s="17" t="n"/>
      <c r="I406" s="19" t="n"/>
      <c r="J406" s="17" t="n"/>
      <c r="K406" s="18" t="n"/>
      <c r="L406" s="18" t="n"/>
      <c r="M406" s="17" t="n"/>
      <c r="N406" s="17" t="n"/>
      <c r="O406" s="18" t="n"/>
      <c r="P406" s="18" t="n"/>
      <c r="Q406" s="17" t="n"/>
      <c r="R406" s="13">
        <f>IF(A406="","",N(G406)+N(I406))</f>
        <v/>
      </c>
      <c r="S406" s="12">
        <f>IF(OR(K406="",O406=""),"",O406-K406)</f>
        <v/>
      </c>
      <c r="T406" s="12">
        <f>IF(AND(C406="Cetak",L406&lt;&gt;"",L406&lt;TODAY()),"YA","")</f>
        <v/>
      </c>
      <c r="U406" s="12">
        <f>IF(B406="","",TEXT(B406,"yyyy-mm"))</f>
        <v/>
      </c>
    </row>
    <row r="407">
      <c r="A407" s="17" t="n"/>
      <c r="B407" s="18" t="n"/>
      <c r="C407" s="17" t="n"/>
      <c r="D407" s="17" t="n"/>
      <c r="E407" s="17" t="n"/>
      <c r="F407" s="17" t="n"/>
      <c r="G407" s="19" t="n"/>
      <c r="H407" s="17" t="n"/>
      <c r="I407" s="19" t="n"/>
      <c r="J407" s="17" t="n"/>
      <c r="K407" s="18" t="n"/>
      <c r="L407" s="18" t="n"/>
      <c r="M407" s="17" t="n"/>
      <c r="N407" s="17" t="n"/>
      <c r="O407" s="18" t="n"/>
      <c r="P407" s="18" t="n"/>
      <c r="Q407" s="17" t="n"/>
      <c r="R407" s="13">
        <f>IF(A407="","",N(G407)+N(I407))</f>
        <v/>
      </c>
      <c r="S407" s="12">
        <f>IF(OR(K407="",O407=""),"",O407-K407)</f>
        <v/>
      </c>
      <c r="T407" s="12">
        <f>IF(AND(C407="Cetak",L407&lt;&gt;"",L407&lt;TODAY()),"YA","")</f>
        <v/>
      </c>
      <c r="U407" s="12">
        <f>IF(B407="","",TEXT(B407,"yyyy-mm"))</f>
        <v/>
      </c>
    </row>
    <row r="408">
      <c r="A408" s="17" t="n"/>
      <c r="B408" s="18" t="n"/>
      <c r="C408" s="17" t="n"/>
      <c r="D408" s="17" t="n"/>
      <c r="E408" s="17" t="n"/>
      <c r="F408" s="17" t="n"/>
      <c r="G408" s="19" t="n"/>
      <c r="H408" s="17" t="n"/>
      <c r="I408" s="19" t="n"/>
      <c r="J408" s="17" t="n"/>
      <c r="K408" s="18" t="n"/>
      <c r="L408" s="18" t="n"/>
      <c r="M408" s="17" t="n"/>
      <c r="N408" s="17" t="n"/>
      <c r="O408" s="18" t="n"/>
      <c r="P408" s="18" t="n"/>
      <c r="Q408" s="17" t="n"/>
      <c r="R408" s="13">
        <f>IF(A408="","",N(G408)+N(I408))</f>
        <v/>
      </c>
      <c r="S408" s="12">
        <f>IF(OR(K408="",O408=""),"",O408-K408)</f>
        <v/>
      </c>
      <c r="T408" s="12">
        <f>IF(AND(C408="Cetak",L408&lt;&gt;"",L408&lt;TODAY()),"YA","")</f>
        <v/>
      </c>
      <c r="U408" s="12">
        <f>IF(B408="","",TEXT(B408,"yyyy-mm"))</f>
        <v/>
      </c>
    </row>
    <row r="409">
      <c r="A409" s="17" t="n"/>
      <c r="B409" s="18" t="n"/>
      <c r="C409" s="17" t="n"/>
      <c r="D409" s="17" t="n"/>
      <c r="E409" s="17" t="n"/>
      <c r="F409" s="17" t="n"/>
      <c r="G409" s="19" t="n"/>
      <c r="H409" s="17" t="n"/>
      <c r="I409" s="19" t="n"/>
      <c r="J409" s="17" t="n"/>
      <c r="K409" s="18" t="n"/>
      <c r="L409" s="18" t="n"/>
      <c r="M409" s="17" t="n"/>
      <c r="N409" s="17" t="n"/>
      <c r="O409" s="18" t="n"/>
      <c r="P409" s="18" t="n"/>
      <c r="Q409" s="17" t="n"/>
      <c r="R409" s="13">
        <f>IF(A409="","",N(G409)+N(I409))</f>
        <v/>
      </c>
      <c r="S409" s="12">
        <f>IF(OR(K409="",O409=""),"",O409-K409)</f>
        <v/>
      </c>
      <c r="T409" s="12">
        <f>IF(AND(C409="Cetak",L409&lt;&gt;"",L409&lt;TODAY()),"YA","")</f>
        <v/>
      </c>
      <c r="U409" s="12">
        <f>IF(B409="","",TEXT(B409,"yyyy-mm"))</f>
        <v/>
      </c>
    </row>
    <row r="410">
      <c r="A410" s="17" t="n"/>
      <c r="B410" s="18" t="n"/>
      <c r="C410" s="17" t="n"/>
      <c r="D410" s="17" t="n"/>
      <c r="E410" s="17" t="n"/>
      <c r="F410" s="17" t="n"/>
      <c r="G410" s="19" t="n"/>
      <c r="H410" s="17" t="n"/>
      <c r="I410" s="19" t="n"/>
      <c r="J410" s="17" t="n"/>
      <c r="K410" s="18" t="n"/>
      <c r="L410" s="18" t="n"/>
      <c r="M410" s="17" t="n"/>
      <c r="N410" s="17" t="n"/>
      <c r="O410" s="18" t="n"/>
      <c r="P410" s="18" t="n"/>
      <c r="Q410" s="17" t="n"/>
      <c r="R410" s="13">
        <f>IF(A410="","",N(G410)+N(I410))</f>
        <v/>
      </c>
      <c r="S410" s="12">
        <f>IF(OR(K410="",O410=""),"",O410-K410)</f>
        <v/>
      </c>
      <c r="T410" s="12">
        <f>IF(AND(C410="Cetak",L410&lt;&gt;"",L410&lt;TODAY()),"YA","")</f>
        <v/>
      </c>
      <c r="U410" s="12">
        <f>IF(B410="","",TEXT(B410,"yyyy-mm"))</f>
        <v/>
      </c>
    </row>
    <row r="411">
      <c r="A411" s="17" t="n"/>
      <c r="B411" s="18" t="n"/>
      <c r="C411" s="17" t="n"/>
      <c r="D411" s="17" t="n"/>
      <c r="E411" s="17" t="n"/>
      <c r="F411" s="17" t="n"/>
      <c r="G411" s="19" t="n"/>
      <c r="H411" s="17" t="n"/>
      <c r="I411" s="19" t="n"/>
      <c r="J411" s="17" t="n"/>
      <c r="K411" s="18" t="n"/>
      <c r="L411" s="18" t="n"/>
      <c r="M411" s="17" t="n"/>
      <c r="N411" s="17" t="n"/>
      <c r="O411" s="18" t="n"/>
      <c r="P411" s="18" t="n"/>
      <c r="Q411" s="17" t="n"/>
      <c r="R411" s="13">
        <f>IF(A411="","",N(G411)+N(I411))</f>
        <v/>
      </c>
      <c r="S411" s="12">
        <f>IF(OR(K411="",O411=""),"",O411-K411)</f>
        <v/>
      </c>
      <c r="T411" s="12">
        <f>IF(AND(C411="Cetak",L411&lt;&gt;"",L411&lt;TODAY()),"YA","")</f>
        <v/>
      </c>
      <c r="U411" s="12">
        <f>IF(B411="","",TEXT(B411,"yyyy-mm"))</f>
        <v/>
      </c>
    </row>
    <row r="412">
      <c r="A412" s="17" t="n"/>
      <c r="B412" s="18" t="n"/>
      <c r="C412" s="17" t="n"/>
      <c r="D412" s="17" t="n"/>
      <c r="E412" s="17" t="n"/>
      <c r="F412" s="17" t="n"/>
      <c r="G412" s="19" t="n"/>
      <c r="H412" s="17" t="n"/>
      <c r="I412" s="19" t="n"/>
      <c r="J412" s="17" t="n"/>
      <c r="K412" s="18" t="n"/>
      <c r="L412" s="18" t="n"/>
      <c r="M412" s="17" t="n"/>
      <c r="N412" s="17" t="n"/>
      <c r="O412" s="18" t="n"/>
      <c r="P412" s="18" t="n"/>
      <c r="Q412" s="17" t="n"/>
      <c r="R412" s="13">
        <f>IF(A412="","",N(G412)+N(I412))</f>
        <v/>
      </c>
      <c r="S412" s="12">
        <f>IF(OR(K412="",O412=""),"",O412-K412)</f>
        <v/>
      </c>
      <c r="T412" s="12">
        <f>IF(AND(C412="Cetak",L412&lt;&gt;"",L412&lt;TODAY()),"YA","")</f>
        <v/>
      </c>
      <c r="U412" s="12">
        <f>IF(B412="","",TEXT(B412,"yyyy-mm"))</f>
        <v/>
      </c>
    </row>
    <row r="413">
      <c r="A413" s="17" t="n"/>
      <c r="B413" s="18" t="n"/>
      <c r="C413" s="17" t="n"/>
      <c r="D413" s="17" t="n"/>
      <c r="E413" s="17" t="n"/>
      <c r="F413" s="17" t="n"/>
      <c r="G413" s="19" t="n"/>
      <c r="H413" s="17" t="n"/>
      <c r="I413" s="19" t="n"/>
      <c r="J413" s="17" t="n"/>
      <c r="K413" s="18" t="n"/>
      <c r="L413" s="18" t="n"/>
      <c r="M413" s="17" t="n"/>
      <c r="N413" s="17" t="n"/>
      <c r="O413" s="18" t="n"/>
      <c r="P413" s="18" t="n"/>
      <c r="Q413" s="17" t="n"/>
      <c r="R413" s="13">
        <f>IF(A413="","",N(G413)+N(I413))</f>
        <v/>
      </c>
      <c r="S413" s="12">
        <f>IF(OR(K413="",O413=""),"",O413-K413)</f>
        <v/>
      </c>
      <c r="T413" s="12">
        <f>IF(AND(C413="Cetak",L413&lt;&gt;"",L413&lt;TODAY()),"YA","")</f>
        <v/>
      </c>
      <c r="U413" s="12">
        <f>IF(B413="","",TEXT(B413,"yyyy-mm"))</f>
        <v/>
      </c>
    </row>
    <row r="414">
      <c r="A414" s="17" t="n"/>
      <c r="B414" s="18" t="n"/>
      <c r="C414" s="17" t="n"/>
      <c r="D414" s="17" t="n"/>
      <c r="E414" s="17" t="n"/>
      <c r="F414" s="17" t="n"/>
      <c r="G414" s="19" t="n"/>
      <c r="H414" s="17" t="n"/>
      <c r="I414" s="19" t="n"/>
      <c r="J414" s="17" t="n"/>
      <c r="K414" s="18" t="n"/>
      <c r="L414" s="18" t="n"/>
      <c r="M414" s="17" t="n"/>
      <c r="N414" s="17" t="n"/>
      <c r="O414" s="18" t="n"/>
      <c r="P414" s="18" t="n"/>
      <c r="Q414" s="17" t="n"/>
      <c r="R414" s="13">
        <f>IF(A414="","",N(G414)+N(I414))</f>
        <v/>
      </c>
      <c r="S414" s="12">
        <f>IF(OR(K414="",O414=""),"",O414-K414)</f>
        <v/>
      </c>
      <c r="T414" s="12">
        <f>IF(AND(C414="Cetak",L414&lt;&gt;"",L414&lt;TODAY()),"YA","")</f>
        <v/>
      </c>
      <c r="U414" s="12">
        <f>IF(B414="","",TEXT(B414,"yyyy-mm"))</f>
        <v/>
      </c>
    </row>
    <row r="415">
      <c r="A415" s="17" t="n"/>
      <c r="B415" s="18" t="n"/>
      <c r="C415" s="17" t="n"/>
      <c r="D415" s="17" t="n"/>
      <c r="E415" s="17" t="n"/>
      <c r="F415" s="17" t="n"/>
      <c r="G415" s="19" t="n"/>
      <c r="H415" s="17" t="n"/>
      <c r="I415" s="19" t="n"/>
      <c r="J415" s="17" t="n"/>
      <c r="K415" s="18" t="n"/>
      <c r="L415" s="18" t="n"/>
      <c r="M415" s="17" t="n"/>
      <c r="N415" s="17" t="n"/>
      <c r="O415" s="18" t="n"/>
      <c r="P415" s="18" t="n"/>
      <c r="Q415" s="17" t="n"/>
      <c r="R415" s="13">
        <f>IF(A415="","",N(G415)+N(I415))</f>
        <v/>
      </c>
      <c r="S415" s="12">
        <f>IF(OR(K415="",O415=""),"",O415-K415)</f>
        <v/>
      </c>
      <c r="T415" s="12">
        <f>IF(AND(C415="Cetak",L415&lt;&gt;"",L415&lt;TODAY()),"YA","")</f>
        <v/>
      </c>
      <c r="U415" s="12">
        <f>IF(B415="","",TEXT(B415,"yyyy-mm"))</f>
        <v/>
      </c>
    </row>
    <row r="416">
      <c r="A416" s="17" t="n"/>
      <c r="B416" s="18" t="n"/>
      <c r="C416" s="17" t="n"/>
      <c r="D416" s="17" t="n"/>
      <c r="E416" s="17" t="n"/>
      <c r="F416" s="17" t="n"/>
      <c r="G416" s="19" t="n"/>
      <c r="H416" s="17" t="n"/>
      <c r="I416" s="19" t="n"/>
      <c r="J416" s="17" t="n"/>
      <c r="K416" s="18" t="n"/>
      <c r="L416" s="18" t="n"/>
      <c r="M416" s="17" t="n"/>
      <c r="N416" s="17" t="n"/>
      <c r="O416" s="18" t="n"/>
      <c r="P416" s="18" t="n"/>
      <c r="Q416" s="17" t="n"/>
      <c r="R416" s="13">
        <f>IF(A416="","",N(G416)+N(I416))</f>
        <v/>
      </c>
      <c r="S416" s="12">
        <f>IF(OR(K416="",O416=""),"",O416-K416)</f>
        <v/>
      </c>
      <c r="T416" s="12">
        <f>IF(AND(C416="Cetak",L416&lt;&gt;"",L416&lt;TODAY()),"YA","")</f>
        <v/>
      </c>
      <c r="U416" s="12">
        <f>IF(B416="","",TEXT(B416,"yyyy-mm"))</f>
        <v/>
      </c>
    </row>
    <row r="417">
      <c r="A417" s="17" t="n"/>
      <c r="B417" s="18" t="n"/>
      <c r="C417" s="17" t="n"/>
      <c r="D417" s="17" t="n"/>
      <c r="E417" s="17" t="n"/>
      <c r="F417" s="17" t="n"/>
      <c r="G417" s="19" t="n"/>
      <c r="H417" s="17" t="n"/>
      <c r="I417" s="19" t="n"/>
      <c r="J417" s="17" t="n"/>
      <c r="K417" s="18" t="n"/>
      <c r="L417" s="18" t="n"/>
      <c r="M417" s="17" t="n"/>
      <c r="N417" s="17" t="n"/>
      <c r="O417" s="18" t="n"/>
      <c r="P417" s="18" t="n"/>
      <c r="Q417" s="17" t="n"/>
      <c r="R417" s="13">
        <f>IF(A417="","",N(G417)+N(I417))</f>
        <v/>
      </c>
      <c r="S417" s="12">
        <f>IF(OR(K417="",O417=""),"",O417-K417)</f>
        <v/>
      </c>
      <c r="T417" s="12">
        <f>IF(AND(C417="Cetak",L417&lt;&gt;"",L417&lt;TODAY()),"YA","")</f>
        <v/>
      </c>
      <c r="U417" s="12">
        <f>IF(B417="","",TEXT(B417,"yyyy-mm"))</f>
        <v/>
      </c>
    </row>
    <row r="418">
      <c r="A418" s="17" t="n"/>
      <c r="B418" s="18" t="n"/>
      <c r="C418" s="17" t="n"/>
      <c r="D418" s="17" t="n"/>
      <c r="E418" s="17" t="n"/>
      <c r="F418" s="17" t="n"/>
      <c r="G418" s="19" t="n"/>
      <c r="H418" s="17" t="n"/>
      <c r="I418" s="19" t="n"/>
      <c r="J418" s="17" t="n"/>
      <c r="K418" s="18" t="n"/>
      <c r="L418" s="18" t="n"/>
      <c r="M418" s="17" t="n"/>
      <c r="N418" s="17" t="n"/>
      <c r="O418" s="18" t="n"/>
      <c r="P418" s="18" t="n"/>
      <c r="Q418" s="17" t="n"/>
      <c r="R418" s="13">
        <f>IF(A418="","",N(G418)+N(I418))</f>
        <v/>
      </c>
      <c r="S418" s="12">
        <f>IF(OR(K418="",O418=""),"",O418-K418)</f>
        <v/>
      </c>
      <c r="T418" s="12">
        <f>IF(AND(C418="Cetak",L418&lt;&gt;"",L418&lt;TODAY()),"YA","")</f>
        <v/>
      </c>
      <c r="U418" s="12">
        <f>IF(B418="","",TEXT(B418,"yyyy-mm"))</f>
        <v/>
      </c>
    </row>
    <row r="419">
      <c r="A419" s="17" t="n"/>
      <c r="B419" s="18" t="n"/>
      <c r="C419" s="17" t="n"/>
      <c r="D419" s="17" t="n"/>
      <c r="E419" s="17" t="n"/>
      <c r="F419" s="17" t="n"/>
      <c r="G419" s="19" t="n"/>
      <c r="H419" s="17" t="n"/>
      <c r="I419" s="19" t="n"/>
      <c r="J419" s="17" t="n"/>
      <c r="K419" s="18" t="n"/>
      <c r="L419" s="18" t="n"/>
      <c r="M419" s="17" t="n"/>
      <c r="N419" s="17" t="n"/>
      <c r="O419" s="18" t="n"/>
      <c r="P419" s="18" t="n"/>
      <c r="Q419" s="17" t="n"/>
      <c r="R419" s="13">
        <f>IF(A419="","",N(G419)+N(I419))</f>
        <v/>
      </c>
      <c r="S419" s="12">
        <f>IF(OR(K419="",O419=""),"",O419-K419)</f>
        <v/>
      </c>
      <c r="T419" s="12">
        <f>IF(AND(C419="Cetak",L419&lt;&gt;"",L419&lt;TODAY()),"YA","")</f>
        <v/>
      </c>
      <c r="U419" s="12">
        <f>IF(B419="","",TEXT(B419,"yyyy-mm"))</f>
        <v/>
      </c>
    </row>
    <row r="420">
      <c r="A420" s="17" t="n"/>
      <c r="B420" s="18" t="n"/>
      <c r="C420" s="17" t="n"/>
      <c r="D420" s="17" t="n"/>
      <c r="E420" s="17" t="n"/>
      <c r="F420" s="17" t="n"/>
      <c r="G420" s="19" t="n"/>
      <c r="H420" s="17" t="n"/>
      <c r="I420" s="19" t="n"/>
      <c r="J420" s="17" t="n"/>
      <c r="K420" s="18" t="n"/>
      <c r="L420" s="18" t="n"/>
      <c r="M420" s="17" t="n"/>
      <c r="N420" s="17" t="n"/>
      <c r="O420" s="18" t="n"/>
      <c r="P420" s="18" t="n"/>
      <c r="Q420" s="17" t="n"/>
      <c r="R420" s="13">
        <f>IF(A420="","",N(G420)+N(I420))</f>
        <v/>
      </c>
      <c r="S420" s="12">
        <f>IF(OR(K420="",O420=""),"",O420-K420)</f>
        <v/>
      </c>
      <c r="T420" s="12">
        <f>IF(AND(C420="Cetak",L420&lt;&gt;"",L420&lt;TODAY()),"YA","")</f>
        <v/>
      </c>
      <c r="U420" s="12">
        <f>IF(B420="","",TEXT(B420,"yyyy-mm"))</f>
        <v/>
      </c>
    </row>
    <row r="421">
      <c r="A421" s="17" t="n"/>
      <c r="B421" s="18" t="n"/>
      <c r="C421" s="17" t="n"/>
      <c r="D421" s="17" t="n"/>
      <c r="E421" s="17" t="n"/>
      <c r="F421" s="17" t="n"/>
      <c r="G421" s="19" t="n"/>
      <c r="H421" s="17" t="n"/>
      <c r="I421" s="19" t="n"/>
      <c r="J421" s="17" t="n"/>
      <c r="K421" s="18" t="n"/>
      <c r="L421" s="18" t="n"/>
      <c r="M421" s="17" t="n"/>
      <c r="N421" s="17" t="n"/>
      <c r="O421" s="18" t="n"/>
      <c r="P421" s="18" t="n"/>
      <c r="Q421" s="17" t="n"/>
      <c r="R421" s="13">
        <f>IF(A421="","",N(G421)+N(I421))</f>
        <v/>
      </c>
      <c r="S421" s="12">
        <f>IF(OR(K421="",O421=""),"",O421-K421)</f>
        <v/>
      </c>
      <c r="T421" s="12">
        <f>IF(AND(C421="Cetak",L421&lt;&gt;"",L421&lt;TODAY()),"YA","")</f>
        <v/>
      </c>
      <c r="U421" s="12">
        <f>IF(B421="","",TEXT(B421,"yyyy-mm"))</f>
        <v/>
      </c>
    </row>
    <row r="422">
      <c r="A422" s="17" t="n"/>
      <c r="B422" s="18" t="n"/>
      <c r="C422" s="17" t="n"/>
      <c r="D422" s="17" t="n"/>
      <c r="E422" s="17" t="n"/>
      <c r="F422" s="17" t="n"/>
      <c r="G422" s="19" t="n"/>
      <c r="H422" s="17" t="n"/>
      <c r="I422" s="19" t="n"/>
      <c r="J422" s="17" t="n"/>
      <c r="K422" s="18" t="n"/>
      <c r="L422" s="18" t="n"/>
      <c r="M422" s="17" t="n"/>
      <c r="N422" s="17" t="n"/>
      <c r="O422" s="18" t="n"/>
      <c r="P422" s="18" t="n"/>
      <c r="Q422" s="17" t="n"/>
      <c r="R422" s="13">
        <f>IF(A422="","",N(G422)+N(I422))</f>
        <v/>
      </c>
      <c r="S422" s="12">
        <f>IF(OR(K422="",O422=""),"",O422-K422)</f>
        <v/>
      </c>
      <c r="T422" s="12">
        <f>IF(AND(C422="Cetak",L422&lt;&gt;"",L422&lt;TODAY()),"YA","")</f>
        <v/>
      </c>
      <c r="U422" s="12">
        <f>IF(B422="","",TEXT(B422,"yyyy-mm"))</f>
        <v/>
      </c>
    </row>
    <row r="423">
      <c r="A423" s="17" t="n"/>
      <c r="B423" s="18" t="n"/>
      <c r="C423" s="17" t="n"/>
      <c r="D423" s="17" t="n"/>
      <c r="E423" s="17" t="n"/>
      <c r="F423" s="17" t="n"/>
      <c r="G423" s="19" t="n"/>
      <c r="H423" s="17" t="n"/>
      <c r="I423" s="19" t="n"/>
      <c r="J423" s="17" t="n"/>
      <c r="K423" s="18" t="n"/>
      <c r="L423" s="18" t="n"/>
      <c r="M423" s="17" t="n"/>
      <c r="N423" s="17" t="n"/>
      <c r="O423" s="18" t="n"/>
      <c r="P423" s="18" t="n"/>
      <c r="Q423" s="17" t="n"/>
      <c r="R423" s="13">
        <f>IF(A423="","",N(G423)+N(I423))</f>
        <v/>
      </c>
      <c r="S423" s="12">
        <f>IF(OR(K423="",O423=""),"",O423-K423)</f>
        <v/>
      </c>
      <c r="T423" s="12">
        <f>IF(AND(C423="Cetak",L423&lt;&gt;"",L423&lt;TODAY()),"YA","")</f>
        <v/>
      </c>
      <c r="U423" s="12">
        <f>IF(B423="","",TEXT(B423,"yyyy-mm"))</f>
        <v/>
      </c>
    </row>
    <row r="424">
      <c r="A424" s="17" t="n"/>
      <c r="B424" s="18" t="n"/>
      <c r="C424" s="17" t="n"/>
      <c r="D424" s="17" t="n"/>
      <c r="E424" s="17" t="n"/>
      <c r="F424" s="17" t="n"/>
      <c r="G424" s="19" t="n"/>
      <c r="H424" s="17" t="n"/>
      <c r="I424" s="19" t="n"/>
      <c r="J424" s="17" t="n"/>
      <c r="K424" s="18" t="n"/>
      <c r="L424" s="18" t="n"/>
      <c r="M424" s="17" t="n"/>
      <c r="N424" s="17" t="n"/>
      <c r="O424" s="18" t="n"/>
      <c r="P424" s="18" t="n"/>
      <c r="Q424" s="17" t="n"/>
      <c r="R424" s="13">
        <f>IF(A424="","",N(G424)+N(I424))</f>
        <v/>
      </c>
      <c r="S424" s="12">
        <f>IF(OR(K424="",O424=""),"",O424-K424)</f>
        <v/>
      </c>
      <c r="T424" s="12">
        <f>IF(AND(C424="Cetak",L424&lt;&gt;"",L424&lt;TODAY()),"YA","")</f>
        <v/>
      </c>
      <c r="U424" s="12">
        <f>IF(B424="","",TEXT(B424,"yyyy-mm"))</f>
        <v/>
      </c>
    </row>
    <row r="425">
      <c r="A425" s="17" t="n"/>
      <c r="B425" s="18" t="n"/>
      <c r="C425" s="17" t="n"/>
      <c r="D425" s="17" t="n"/>
      <c r="E425" s="17" t="n"/>
      <c r="F425" s="17" t="n"/>
      <c r="G425" s="19" t="n"/>
      <c r="H425" s="17" t="n"/>
      <c r="I425" s="19" t="n"/>
      <c r="J425" s="17" t="n"/>
      <c r="K425" s="18" t="n"/>
      <c r="L425" s="18" t="n"/>
      <c r="M425" s="17" t="n"/>
      <c r="N425" s="17" t="n"/>
      <c r="O425" s="18" t="n"/>
      <c r="P425" s="18" t="n"/>
      <c r="Q425" s="17" t="n"/>
      <c r="R425" s="13">
        <f>IF(A425="","",N(G425)+N(I425))</f>
        <v/>
      </c>
      <c r="S425" s="12">
        <f>IF(OR(K425="",O425=""),"",O425-K425)</f>
        <v/>
      </c>
      <c r="T425" s="12">
        <f>IF(AND(C425="Cetak",L425&lt;&gt;"",L425&lt;TODAY()),"YA","")</f>
        <v/>
      </c>
      <c r="U425" s="12">
        <f>IF(B425="","",TEXT(B425,"yyyy-mm"))</f>
        <v/>
      </c>
    </row>
    <row r="426">
      <c r="A426" s="17" t="n"/>
      <c r="B426" s="18" t="n"/>
      <c r="C426" s="17" t="n"/>
      <c r="D426" s="17" t="n"/>
      <c r="E426" s="17" t="n"/>
      <c r="F426" s="17" t="n"/>
      <c r="G426" s="19" t="n"/>
      <c r="H426" s="17" t="n"/>
      <c r="I426" s="19" t="n"/>
      <c r="J426" s="17" t="n"/>
      <c r="K426" s="18" t="n"/>
      <c r="L426" s="18" t="n"/>
      <c r="M426" s="17" t="n"/>
      <c r="N426" s="17" t="n"/>
      <c r="O426" s="18" t="n"/>
      <c r="P426" s="18" t="n"/>
      <c r="Q426" s="17" t="n"/>
      <c r="R426" s="13">
        <f>IF(A426="","",N(G426)+N(I426))</f>
        <v/>
      </c>
      <c r="S426" s="12">
        <f>IF(OR(K426="",O426=""),"",O426-K426)</f>
        <v/>
      </c>
      <c r="T426" s="12">
        <f>IF(AND(C426="Cetak",L426&lt;&gt;"",L426&lt;TODAY()),"YA","")</f>
        <v/>
      </c>
      <c r="U426" s="12">
        <f>IF(B426="","",TEXT(B426,"yyyy-mm"))</f>
        <v/>
      </c>
    </row>
    <row r="427">
      <c r="A427" s="17" t="n"/>
      <c r="B427" s="18" t="n"/>
      <c r="C427" s="17" t="n"/>
      <c r="D427" s="17" t="n"/>
      <c r="E427" s="17" t="n"/>
      <c r="F427" s="17" t="n"/>
      <c r="G427" s="19" t="n"/>
      <c r="H427" s="17" t="n"/>
      <c r="I427" s="19" t="n"/>
      <c r="J427" s="17" t="n"/>
      <c r="K427" s="18" t="n"/>
      <c r="L427" s="18" t="n"/>
      <c r="M427" s="17" t="n"/>
      <c r="N427" s="17" t="n"/>
      <c r="O427" s="18" t="n"/>
      <c r="P427" s="18" t="n"/>
      <c r="Q427" s="17" t="n"/>
      <c r="R427" s="13">
        <f>IF(A427="","",N(G427)+N(I427))</f>
        <v/>
      </c>
      <c r="S427" s="12">
        <f>IF(OR(K427="",O427=""),"",O427-K427)</f>
        <v/>
      </c>
      <c r="T427" s="12">
        <f>IF(AND(C427="Cetak",L427&lt;&gt;"",L427&lt;TODAY()),"YA","")</f>
        <v/>
      </c>
      <c r="U427" s="12">
        <f>IF(B427="","",TEXT(B427,"yyyy-mm"))</f>
        <v/>
      </c>
    </row>
    <row r="428">
      <c r="A428" s="17" t="n"/>
      <c r="B428" s="18" t="n"/>
      <c r="C428" s="17" t="n"/>
      <c r="D428" s="17" t="n"/>
      <c r="E428" s="17" t="n"/>
      <c r="F428" s="17" t="n"/>
      <c r="G428" s="19" t="n"/>
      <c r="H428" s="17" t="n"/>
      <c r="I428" s="19" t="n"/>
      <c r="J428" s="17" t="n"/>
      <c r="K428" s="18" t="n"/>
      <c r="L428" s="18" t="n"/>
      <c r="M428" s="17" t="n"/>
      <c r="N428" s="17" t="n"/>
      <c r="O428" s="18" t="n"/>
      <c r="P428" s="18" t="n"/>
      <c r="Q428" s="17" t="n"/>
      <c r="R428" s="13">
        <f>IF(A428="","",N(G428)+N(I428))</f>
        <v/>
      </c>
      <c r="S428" s="12">
        <f>IF(OR(K428="",O428=""),"",O428-K428)</f>
        <v/>
      </c>
      <c r="T428" s="12">
        <f>IF(AND(C428="Cetak",L428&lt;&gt;"",L428&lt;TODAY()),"YA","")</f>
        <v/>
      </c>
      <c r="U428" s="12">
        <f>IF(B428="","",TEXT(B428,"yyyy-mm"))</f>
        <v/>
      </c>
    </row>
    <row r="429">
      <c r="A429" s="17" t="n"/>
      <c r="B429" s="18" t="n"/>
      <c r="C429" s="17" t="n"/>
      <c r="D429" s="17" t="n"/>
      <c r="E429" s="17" t="n"/>
      <c r="F429" s="17" t="n"/>
      <c r="G429" s="19" t="n"/>
      <c r="H429" s="17" t="n"/>
      <c r="I429" s="19" t="n"/>
      <c r="J429" s="17" t="n"/>
      <c r="K429" s="18" t="n"/>
      <c r="L429" s="18" t="n"/>
      <c r="M429" s="17" t="n"/>
      <c r="N429" s="17" t="n"/>
      <c r="O429" s="18" t="n"/>
      <c r="P429" s="18" t="n"/>
      <c r="Q429" s="17" t="n"/>
      <c r="R429" s="13">
        <f>IF(A429="","",N(G429)+N(I429))</f>
        <v/>
      </c>
      <c r="S429" s="12">
        <f>IF(OR(K429="",O429=""),"",O429-K429)</f>
        <v/>
      </c>
      <c r="T429" s="12">
        <f>IF(AND(C429="Cetak",L429&lt;&gt;"",L429&lt;TODAY()),"YA","")</f>
        <v/>
      </c>
      <c r="U429" s="12">
        <f>IF(B429="","",TEXT(B429,"yyyy-mm"))</f>
        <v/>
      </c>
    </row>
    <row r="430">
      <c r="A430" s="17" t="n"/>
      <c r="B430" s="18" t="n"/>
      <c r="C430" s="17" t="n"/>
      <c r="D430" s="17" t="n"/>
      <c r="E430" s="17" t="n"/>
      <c r="F430" s="17" t="n"/>
      <c r="G430" s="19" t="n"/>
      <c r="H430" s="17" t="n"/>
      <c r="I430" s="19" t="n"/>
      <c r="J430" s="17" t="n"/>
      <c r="K430" s="18" t="n"/>
      <c r="L430" s="18" t="n"/>
      <c r="M430" s="17" t="n"/>
      <c r="N430" s="17" t="n"/>
      <c r="O430" s="18" t="n"/>
      <c r="P430" s="18" t="n"/>
      <c r="Q430" s="17" t="n"/>
      <c r="R430" s="13">
        <f>IF(A430="","",N(G430)+N(I430))</f>
        <v/>
      </c>
      <c r="S430" s="12">
        <f>IF(OR(K430="",O430=""),"",O430-K430)</f>
        <v/>
      </c>
      <c r="T430" s="12">
        <f>IF(AND(C430="Cetak",L430&lt;&gt;"",L430&lt;TODAY()),"YA","")</f>
        <v/>
      </c>
      <c r="U430" s="12">
        <f>IF(B430="","",TEXT(B430,"yyyy-mm"))</f>
        <v/>
      </c>
    </row>
    <row r="431">
      <c r="A431" s="17" t="n"/>
      <c r="B431" s="18" t="n"/>
      <c r="C431" s="17" t="n"/>
      <c r="D431" s="17" t="n"/>
      <c r="E431" s="17" t="n"/>
      <c r="F431" s="17" t="n"/>
      <c r="G431" s="19" t="n"/>
      <c r="H431" s="17" t="n"/>
      <c r="I431" s="19" t="n"/>
      <c r="J431" s="17" t="n"/>
      <c r="K431" s="18" t="n"/>
      <c r="L431" s="18" t="n"/>
      <c r="M431" s="17" t="n"/>
      <c r="N431" s="17" t="n"/>
      <c r="O431" s="18" t="n"/>
      <c r="P431" s="18" t="n"/>
      <c r="Q431" s="17" t="n"/>
      <c r="R431" s="13">
        <f>IF(A431="","",N(G431)+N(I431))</f>
        <v/>
      </c>
      <c r="S431" s="12">
        <f>IF(OR(K431="",O431=""),"",O431-K431)</f>
        <v/>
      </c>
      <c r="T431" s="12">
        <f>IF(AND(C431="Cetak",L431&lt;&gt;"",L431&lt;TODAY()),"YA","")</f>
        <v/>
      </c>
      <c r="U431" s="12">
        <f>IF(B431="","",TEXT(B431,"yyyy-mm"))</f>
        <v/>
      </c>
    </row>
    <row r="432">
      <c r="A432" s="17" t="n"/>
      <c r="B432" s="18" t="n"/>
      <c r="C432" s="17" t="n"/>
      <c r="D432" s="17" t="n"/>
      <c r="E432" s="17" t="n"/>
      <c r="F432" s="17" t="n"/>
      <c r="G432" s="19" t="n"/>
      <c r="H432" s="17" t="n"/>
      <c r="I432" s="19" t="n"/>
      <c r="J432" s="17" t="n"/>
      <c r="K432" s="18" t="n"/>
      <c r="L432" s="18" t="n"/>
      <c r="M432" s="17" t="n"/>
      <c r="N432" s="17" t="n"/>
      <c r="O432" s="18" t="n"/>
      <c r="P432" s="18" t="n"/>
      <c r="Q432" s="17" t="n"/>
      <c r="R432" s="13">
        <f>IF(A432="","",N(G432)+N(I432))</f>
        <v/>
      </c>
      <c r="S432" s="12">
        <f>IF(OR(K432="",O432=""),"",O432-K432)</f>
        <v/>
      </c>
      <c r="T432" s="12">
        <f>IF(AND(C432="Cetak",L432&lt;&gt;"",L432&lt;TODAY()),"YA","")</f>
        <v/>
      </c>
      <c r="U432" s="12">
        <f>IF(B432="","",TEXT(B432,"yyyy-mm"))</f>
        <v/>
      </c>
    </row>
    <row r="433">
      <c r="A433" s="17" t="n"/>
      <c r="B433" s="18" t="n"/>
      <c r="C433" s="17" t="n"/>
      <c r="D433" s="17" t="n"/>
      <c r="E433" s="17" t="n"/>
      <c r="F433" s="17" t="n"/>
      <c r="G433" s="19" t="n"/>
      <c r="H433" s="17" t="n"/>
      <c r="I433" s="19" t="n"/>
      <c r="J433" s="17" t="n"/>
      <c r="K433" s="18" t="n"/>
      <c r="L433" s="18" t="n"/>
      <c r="M433" s="17" t="n"/>
      <c r="N433" s="17" t="n"/>
      <c r="O433" s="18" t="n"/>
      <c r="P433" s="18" t="n"/>
      <c r="Q433" s="17" t="n"/>
      <c r="R433" s="13">
        <f>IF(A433="","",N(G433)+N(I433))</f>
        <v/>
      </c>
      <c r="S433" s="12">
        <f>IF(OR(K433="",O433=""),"",O433-K433)</f>
        <v/>
      </c>
      <c r="T433" s="12">
        <f>IF(AND(C433="Cetak",L433&lt;&gt;"",L433&lt;TODAY()),"YA","")</f>
        <v/>
      </c>
      <c r="U433" s="12">
        <f>IF(B433="","",TEXT(B433,"yyyy-mm"))</f>
        <v/>
      </c>
    </row>
    <row r="434">
      <c r="A434" s="17" t="n"/>
      <c r="B434" s="18" t="n"/>
      <c r="C434" s="17" t="n"/>
      <c r="D434" s="17" t="n"/>
      <c r="E434" s="17" t="n"/>
      <c r="F434" s="17" t="n"/>
      <c r="G434" s="19" t="n"/>
      <c r="H434" s="17" t="n"/>
      <c r="I434" s="19" t="n"/>
      <c r="J434" s="17" t="n"/>
      <c r="K434" s="18" t="n"/>
      <c r="L434" s="18" t="n"/>
      <c r="M434" s="17" t="n"/>
      <c r="N434" s="17" t="n"/>
      <c r="O434" s="18" t="n"/>
      <c r="P434" s="18" t="n"/>
      <c r="Q434" s="17" t="n"/>
      <c r="R434" s="13">
        <f>IF(A434="","",N(G434)+N(I434))</f>
        <v/>
      </c>
      <c r="S434" s="12">
        <f>IF(OR(K434="",O434=""),"",O434-K434)</f>
        <v/>
      </c>
      <c r="T434" s="12">
        <f>IF(AND(C434="Cetak",L434&lt;&gt;"",L434&lt;TODAY()),"YA","")</f>
        <v/>
      </c>
      <c r="U434" s="12">
        <f>IF(B434="","",TEXT(B434,"yyyy-mm"))</f>
        <v/>
      </c>
    </row>
    <row r="435">
      <c r="A435" s="17" t="n"/>
      <c r="B435" s="18" t="n"/>
      <c r="C435" s="17" t="n"/>
      <c r="D435" s="17" t="n"/>
      <c r="E435" s="17" t="n"/>
      <c r="F435" s="17" t="n"/>
      <c r="G435" s="19" t="n"/>
      <c r="H435" s="17" t="n"/>
      <c r="I435" s="19" t="n"/>
      <c r="J435" s="17" t="n"/>
      <c r="K435" s="18" t="n"/>
      <c r="L435" s="18" t="n"/>
      <c r="M435" s="17" t="n"/>
      <c r="N435" s="17" t="n"/>
      <c r="O435" s="18" t="n"/>
      <c r="P435" s="18" t="n"/>
      <c r="Q435" s="17" t="n"/>
      <c r="R435" s="13">
        <f>IF(A435="","",N(G435)+N(I435))</f>
        <v/>
      </c>
      <c r="S435" s="12">
        <f>IF(OR(K435="",O435=""),"",O435-K435)</f>
        <v/>
      </c>
      <c r="T435" s="12">
        <f>IF(AND(C435="Cetak",L435&lt;&gt;"",L435&lt;TODAY()),"YA","")</f>
        <v/>
      </c>
      <c r="U435" s="12">
        <f>IF(B435="","",TEXT(B435,"yyyy-mm"))</f>
        <v/>
      </c>
    </row>
    <row r="436">
      <c r="A436" s="17" t="n"/>
      <c r="B436" s="18" t="n"/>
      <c r="C436" s="17" t="n"/>
      <c r="D436" s="17" t="n"/>
      <c r="E436" s="17" t="n"/>
      <c r="F436" s="17" t="n"/>
      <c r="G436" s="19" t="n"/>
      <c r="H436" s="17" t="n"/>
      <c r="I436" s="19" t="n"/>
      <c r="J436" s="17" t="n"/>
      <c r="K436" s="18" t="n"/>
      <c r="L436" s="18" t="n"/>
      <c r="M436" s="17" t="n"/>
      <c r="N436" s="17" t="n"/>
      <c r="O436" s="18" t="n"/>
      <c r="P436" s="18" t="n"/>
      <c r="Q436" s="17" t="n"/>
      <c r="R436" s="13">
        <f>IF(A436="","",N(G436)+N(I436))</f>
        <v/>
      </c>
      <c r="S436" s="12">
        <f>IF(OR(K436="",O436=""),"",O436-K436)</f>
        <v/>
      </c>
      <c r="T436" s="12">
        <f>IF(AND(C436="Cetak",L436&lt;&gt;"",L436&lt;TODAY()),"YA","")</f>
        <v/>
      </c>
      <c r="U436" s="12">
        <f>IF(B436="","",TEXT(B436,"yyyy-mm"))</f>
        <v/>
      </c>
    </row>
    <row r="437">
      <c r="A437" s="17" t="n"/>
      <c r="B437" s="18" t="n"/>
      <c r="C437" s="17" t="n"/>
      <c r="D437" s="17" t="n"/>
      <c r="E437" s="17" t="n"/>
      <c r="F437" s="17" t="n"/>
      <c r="G437" s="19" t="n"/>
      <c r="H437" s="17" t="n"/>
      <c r="I437" s="19" t="n"/>
      <c r="J437" s="17" t="n"/>
      <c r="K437" s="18" t="n"/>
      <c r="L437" s="18" t="n"/>
      <c r="M437" s="17" t="n"/>
      <c r="N437" s="17" t="n"/>
      <c r="O437" s="18" t="n"/>
      <c r="P437" s="18" t="n"/>
      <c r="Q437" s="17" t="n"/>
      <c r="R437" s="13">
        <f>IF(A437="","",N(G437)+N(I437))</f>
        <v/>
      </c>
      <c r="S437" s="12">
        <f>IF(OR(K437="",O437=""),"",O437-K437)</f>
        <v/>
      </c>
      <c r="T437" s="12">
        <f>IF(AND(C437="Cetak",L437&lt;&gt;"",L437&lt;TODAY()),"YA","")</f>
        <v/>
      </c>
      <c r="U437" s="12">
        <f>IF(B437="","",TEXT(B437,"yyyy-mm"))</f>
        <v/>
      </c>
    </row>
    <row r="438">
      <c r="A438" s="17" t="n"/>
      <c r="B438" s="18" t="n"/>
      <c r="C438" s="17" t="n"/>
      <c r="D438" s="17" t="n"/>
      <c r="E438" s="17" t="n"/>
      <c r="F438" s="17" t="n"/>
      <c r="G438" s="19" t="n"/>
      <c r="H438" s="17" t="n"/>
      <c r="I438" s="19" t="n"/>
      <c r="J438" s="17" t="n"/>
      <c r="K438" s="18" t="n"/>
      <c r="L438" s="18" t="n"/>
      <c r="M438" s="17" t="n"/>
      <c r="N438" s="17" t="n"/>
      <c r="O438" s="18" t="n"/>
      <c r="P438" s="18" t="n"/>
      <c r="Q438" s="17" t="n"/>
      <c r="R438" s="13">
        <f>IF(A438="","",N(G438)+N(I438))</f>
        <v/>
      </c>
      <c r="S438" s="12">
        <f>IF(OR(K438="",O438=""),"",O438-K438)</f>
        <v/>
      </c>
      <c r="T438" s="12">
        <f>IF(AND(C438="Cetak",L438&lt;&gt;"",L438&lt;TODAY()),"YA","")</f>
        <v/>
      </c>
      <c r="U438" s="12">
        <f>IF(B438="","",TEXT(B438,"yyyy-mm"))</f>
        <v/>
      </c>
    </row>
    <row r="439">
      <c r="A439" s="17" t="n"/>
      <c r="B439" s="18" t="n"/>
      <c r="C439" s="17" t="n"/>
      <c r="D439" s="17" t="n"/>
      <c r="E439" s="17" t="n"/>
      <c r="F439" s="17" t="n"/>
      <c r="G439" s="19" t="n"/>
      <c r="H439" s="17" t="n"/>
      <c r="I439" s="19" t="n"/>
      <c r="J439" s="17" t="n"/>
      <c r="K439" s="18" t="n"/>
      <c r="L439" s="18" t="n"/>
      <c r="M439" s="17" t="n"/>
      <c r="N439" s="17" t="n"/>
      <c r="O439" s="18" t="n"/>
      <c r="P439" s="18" t="n"/>
      <c r="Q439" s="17" t="n"/>
      <c r="R439" s="13">
        <f>IF(A439="","",N(G439)+N(I439))</f>
        <v/>
      </c>
      <c r="S439" s="12">
        <f>IF(OR(K439="",O439=""),"",O439-K439)</f>
        <v/>
      </c>
      <c r="T439" s="12">
        <f>IF(AND(C439="Cetak",L439&lt;&gt;"",L439&lt;TODAY()),"YA","")</f>
        <v/>
      </c>
      <c r="U439" s="12">
        <f>IF(B439="","",TEXT(B439,"yyyy-mm"))</f>
        <v/>
      </c>
    </row>
    <row r="440">
      <c r="A440" s="17" t="n"/>
      <c r="B440" s="18" t="n"/>
      <c r="C440" s="17" t="n"/>
      <c r="D440" s="17" t="n"/>
      <c r="E440" s="17" t="n"/>
      <c r="F440" s="17" t="n"/>
      <c r="G440" s="19" t="n"/>
      <c r="H440" s="17" t="n"/>
      <c r="I440" s="19" t="n"/>
      <c r="J440" s="17" t="n"/>
      <c r="K440" s="18" t="n"/>
      <c r="L440" s="18" t="n"/>
      <c r="M440" s="17" t="n"/>
      <c r="N440" s="17" t="n"/>
      <c r="O440" s="18" t="n"/>
      <c r="P440" s="18" t="n"/>
      <c r="Q440" s="17" t="n"/>
      <c r="R440" s="13">
        <f>IF(A440="","",N(G440)+N(I440))</f>
        <v/>
      </c>
      <c r="S440" s="12">
        <f>IF(OR(K440="",O440=""),"",O440-K440)</f>
        <v/>
      </c>
      <c r="T440" s="12">
        <f>IF(AND(C440="Cetak",L440&lt;&gt;"",L440&lt;TODAY()),"YA","")</f>
        <v/>
      </c>
      <c r="U440" s="12">
        <f>IF(B440="","",TEXT(B440,"yyyy-mm"))</f>
        <v/>
      </c>
    </row>
    <row r="441">
      <c r="A441" s="17" t="n"/>
      <c r="B441" s="18" t="n"/>
      <c r="C441" s="17" t="n"/>
      <c r="D441" s="17" t="n"/>
      <c r="E441" s="17" t="n"/>
      <c r="F441" s="17" t="n"/>
      <c r="G441" s="19" t="n"/>
      <c r="H441" s="17" t="n"/>
      <c r="I441" s="19" t="n"/>
      <c r="J441" s="17" t="n"/>
      <c r="K441" s="18" t="n"/>
      <c r="L441" s="18" t="n"/>
      <c r="M441" s="17" t="n"/>
      <c r="N441" s="17" t="n"/>
      <c r="O441" s="18" t="n"/>
      <c r="P441" s="18" t="n"/>
      <c r="Q441" s="17" t="n"/>
      <c r="R441" s="13">
        <f>IF(A441="","",N(G441)+N(I441))</f>
        <v/>
      </c>
      <c r="S441" s="12">
        <f>IF(OR(K441="",O441=""),"",O441-K441)</f>
        <v/>
      </c>
      <c r="T441" s="12">
        <f>IF(AND(C441="Cetak",L441&lt;&gt;"",L441&lt;TODAY()),"YA","")</f>
        <v/>
      </c>
      <c r="U441" s="12">
        <f>IF(B441="","",TEXT(B441,"yyyy-mm"))</f>
        <v/>
      </c>
    </row>
    <row r="442">
      <c r="A442" s="17" t="n"/>
      <c r="B442" s="18" t="n"/>
      <c r="C442" s="17" t="n"/>
      <c r="D442" s="17" t="n"/>
      <c r="E442" s="17" t="n"/>
      <c r="F442" s="17" t="n"/>
      <c r="G442" s="19" t="n"/>
      <c r="H442" s="17" t="n"/>
      <c r="I442" s="19" t="n"/>
      <c r="J442" s="17" t="n"/>
      <c r="K442" s="18" t="n"/>
      <c r="L442" s="18" t="n"/>
      <c r="M442" s="17" t="n"/>
      <c r="N442" s="17" t="n"/>
      <c r="O442" s="18" t="n"/>
      <c r="P442" s="18" t="n"/>
      <c r="Q442" s="17" t="n"/>
      <c r="R442" s="13">
        <f>IF(A442="","",N(G442)+N(I442))</f>
        <v/>
      </c>
      <c r="S442" s="12">
        <f>IF(OR(K442="",O442=""),"",O442-K442)</f>
        <v/>
      </c>
      <c r="T442" s="12">
        <f>IF(AND(C442="Cetak",L442&lt;&gt;"",L442&lt;TODAY()),"YA","")</f>
        <v/>
      </c>
      <c r="U442" s="12">
        <f>IF(B442="","",TEXT(B442,"yyyy-mm"))</f>
        <v/>
      </c>
    </row>
    <row r="443">
      <c r="A443" s="17" t="n"/>
      <c r="B443" s="18" t="n"/>
      <c r="C443" s="17" t="n"/>
      <c r="D443" s="17" t="n"/>
      <c r="E443" s="17" t="n"/>
      <c r="F443" s="17" t="n"/>
      <c r="G443" s="19" t="n"/>
      <c r="H443" s="17" t="n"/>
      <c r="I443" s="19" t="n"/>
      <c r="J443" s="17" t="n"/>
      <c r="K443" s="18" t="n"/>
      <c r="L443" s="18" t="n"/>
      <c r="M443" s="17" t="n"/>
      <c r="N443" s="17" t="n"/>
      <c r="O443" s="18" t="n"/>
      <c r="P443" s="18" t="n"/>
      <c r="Q443" s="17" t="n"/>
      <c r="R443" s="13">
        <f>IF(A443="","",N(G443)+N(I443))</f>
        <v/>
      </c>
      <c r="S443" s="12">
        <f>IF(OR(K443="",O443=""),"",O443-K443)</f>
        <v/>
      </c>
      <c r="T443" s="12">
        <f>IF(AND(C443="Cetak",L443&lt;&gt;"",L443&lt;TODAY()),"YA","")</f>
        <v/>
      </c>
      <c r="U443" s="12">
        <f>IF(B443="","",TEXT(B443,"yyyy-mm"))</f>
        <v/>
      </c>
    </row>
    <row r="444">
      <c r="A444" s="17" t="n"/>
      <c r="B444" s="18" t="n"/>
      <c r="C444" s="17" t="n"/>
      <c r="D444" s="17" t="n"/>
      <c r="E444" s="17" t="n"/>
      <c r="F444" s="17" t="n"/>
      <c r="G444" s="19" t="n"/>
      <c r="H444" s="17" t="n"/>
      <c r="I444" s="19" t="n"/>
      <c r="J444" s="17" t="n"/>
      <c r="K444" s="18" t="n"/>
      <c r="L444" s="18" t="n"/>
      <c r="M444" s="17" t="n"/>
      <c r="N444" s="17" t="n"/>
      <c r="O444" s="18" t="n"/>
      <c r="P444" s="18" t="n"/>
      <c r="Q444" s="17" t="n"/>
      <c r="R444" s="13">
        <f>IF(A444="","",N(G444)+N(I444))</f>
        <v/>
      </c>
      <c r="S444" s="12">
        <f>IF(OR(K444="",O444=""),"",O444-K444)</f>
        <v/>
      </c>
      <c r="T444" s="12">
        <f>IF(AND(C444="Cetak",L444&lt;&gt;"",L444&lt;TODAY()),"YA","")</f>
        <v/>
      </c>
      <c r="U444" s="12">
        <f>IF(B444="","",TEXT(B444,"yyyy-mm"))</f>
        <v/>
      </c>
    </row>
    <row r="445">
      <c r="A445" s="17" t="n"/>
      <c r="B445" s="18" t="n"/>
      <c r="C445" s="17" t="n"/>
      <c r="D445" s="17" t="n"/>
      <c r="E445" s="17" t="n"/>
      <c r="F445" s="17" t="n"/>
      <c r="G445" s="19" t="n"/>
      <c r="H445" s="17" t="n"/>
      <c r="I445" s="19" t="n"/>
      <c r="J445" s="17" t="n"/>
      <c r="K445" s="18" t="n"/>
      <c r="L445" s="18" t="n"/>
      <c r="M445" s="17" t="n"/>
      <c r="N445" s="17" t="n"/>
      <c r="O445" s="18" t="n"/>
      <c r="P445" s="18" t="n"/>
      <c r="Q445" s="17" t="n"/>
      <c r="R445" s="13">
        <f>IF(A445="","",N(G445)+N(I445))</f>
        <v/>
      </c>
      <c r="S445" s="12">
        <f>IF(OR(K445="",O445=""),"",O445-K445)</f>
        <v/>
      </c>
      <c r="T445" s="12">
        <f>IF(AND(C445="Cetak",L445&lt;&gt;"",L445&lt;TODAY()),"YA","")</f>
        <v/>
      </c>
      <c r="U445" s="12">
        <f>IF(B445="","",TEXT(B445,"yyyy-mm"))</f>
        <v/>
      </c>
    </row>
    <row r="446">
      <c r="A446" s="17" t="n"/>
      <c r="B446" s="18" t="n"/>
      <c r="C446" s="17" t="n"/>
      <c r="D446" s="17" t="n"/>
      <c r="E446" s="17" t="n"/>
      <c r="F446" s="17" t="n"/>
      <c r="G446" s="19" t="n"/>
      <c r="H446" s="17" t="n"/>
      <c r="I446" s="19" t="n"/>
      <c r="J446" s="17" t="n"/>
      <c r="K446" s="18" t="n"/>
      <c r="L446" s="18" t="n"/>
      <c r="M446" s="17" t="n"/>
      <c r="N446" s="17" t="n"/>
      <c r="O446" s="18" t="n"/>
      <c r="P446" s="18" t="n"/>
      <c r="Q446" s="17" t="n"/>
      <c r="R446" s="13">
        <f>IF(A446="","",N(G446)+N(I446))</f>
        <v/>
      </c>
      <c r="S446" s="12">
        <f>IF(OR(K446="",O446=""),"",O446-K446)</f>
        <v/>
      </c>
      <c r="T446" s="12">
        <f>IF(AND(C446="Cetak",L446&lt;&gt;"",L446&lt;TODAY()),"YA","")</f>
        <v/>
      </c>
      <c r="U446" s="12">
        <f>IF(B446="","",TEXT(B446,"yyyy-mm"))</f>
        <v/>
      </c>
    </row>
    <row r="447">
      <c r="A447" s="17" t="n"/>
      <c r="B447" s="18" t="n"/>
      <c r="C447" s="17" t="n"/>
      <c r="D447" s="17" t="n"/>
      <c r="E447" s="17" t="n"/>
      <c r="F447" s="17" t="n"/>
      <c r="G447" s="19" t="n"/>
      <c r="H447" s="17" t="n"/>
      <c r="I447" s="19" t="n"/>
      <c r="J447" s="17" t="n"/>
      <c r="K447" s="18" t="n"/>
      <c r="L447" s="18" t="n"/>
      <c r="M447" s="17" t="n"/>
      <c r="N447" s="17" t="n"/>
      <c r="O447" s="18" t="n"/>
      <c r="P447" s="18" t="n"/>
      <c r="Q447" s="17" t="n"/>
      <c r="R447" s="13">
        <f>IF(A447="","",N(G447)+N(I447))</f>
        <v/>
      </c>
      <c r="S447" s="12">
        <f>IF(OR(K447="",O447=""),"",O447-K447)</f>
        <v/>
      </c>
      <c r="T447" s="12">
        <f>IF(AND(C447="Cetak",L447&lt;&gt;"",L447&lt;TODAY()),"YA","")</f>
        <v/>
      </c>
      <c r="U447" s="12">
        <f>IF(B447="","",TEXT(B447,"yyyy-mm"))</f>
        <v/>
      </c>
    </row>
    <row r="448">
      <c r="A448" s="17" t="n"/>
      <c r="B448" s="18" t="n"/>
      <c r="C448" s="17" t="n"/>
      <c r="D448" s="17" t="n"/>
      <c r="E448" s="17" t="n"/>
      <c r="F448" s="17" t="n"/>
      <c r="G448" s="19" t="n"/>
      <c r="H448" s="17" t="n"/>
      <c r="I448" s="19" t="n"/>
      <c r="J448" s="17" t="n"/>
      <c r="K448" s="18" t="n"/>
      <c r="L448" s="18" t="n"/>
      <c r="M448" s="17" t="n"/>
      <c r="N448" s="17" t="n"/>
      <c r="O448" s="18" t="n"/>
      <c r="P448" s="18" t="n"/>
      <c r="Q448" s="17" t="n"/>
      <c r="R448" s="13">
        <f>IF(A448="","",N(G448)+N(I448))</f>
        <v/>
      </c>
      <c r="S448" s="12">
        <f>IF(OR(K448="",O448=""),"",O448-K448)</f>
        <v/>
      </c>
      <c r="T448" s="12">
        <f>IF(AND(C448="Cetak",L448&lt;&gt;"",L448&lt;TODAY()),"YA","")</f>
        <v/>
      </c>
      <c r="U448" s="12">
        <f>IF(B448="","",TEXT(B448,"yyyy-mm"))</f>
        <v/>
      </c>
    </row>
    <row r="449">
      <c r="A449" s="17" t="n"/>
      <c r="B449" s="18" t="n"/>
      <c r="C449" s="17" t="n"/>
      <c r="D449" s="17" t="n"/>
      <c r="E449" s="17" t="n"/>
      <c r="F449" s="17" t="n"/>
      <c r="G449" s="19" t="n"/>
      <c r="H449" s="17" t="n"/>
      <c r="I449" s="19" t="n"/>
      <c r="J449" s="17" t="n"/>
      <c r="K449" s="18" t="n"/>
      <c r="L449" s="18" t="n"/>
      <c r="M449" s="17" t="n"/>
      <c r="N449" s="17" t="n"/>
      <c r="O449" s="18" t="n"/>
      <c r="P449" s="18" t="n"/>
      <c r="Q449" s="17" t="n"/>
      <c r="R449" s="13">
        <f>IF(A449="","",N(G449)+N(I449))</f>
        <v/>
      </c>
      <c r="S449" s="12">
        <f>IF(OR(K449="",O449=""),"",O449-K449)</f>
        <v/>
      </c>
      <c r="T449" s="12">
        <f>IF(AND(C449="Cetak",L449&lt;&gt;"",L449&lt;TODAY()),"YA","")</f>
        <v/>
      </c>
      <c r="U449" s="12">
        <f>IF(B449="","",TEXT(B449,"yyyy-mm"))</f>
        <v/>
      </c>
    </row>
    <row r="450">
      <c r="A450" s="17" t="n"/>
      <c r="B450" s="18" t="n"/>
      <c r="C450" s="17" t="n"/>
      <c r="D450" s="17" t="n"/>
      <c r="E450" s="17" t="n"/>
      <c r="F450" s="17" t="n"/>
      <c r="G450" s="19" t="n"/>
      <c r="H450" s="17" t="n"/>
      <c r="I450" s="19" t="n"/>
      <c r="J450" s="17" t="n"/>
      <c r="K450" s="18" t="n"/>
      <c r="L450" s="18" t="n"/>
      <c r="M450" s="17" t="n"/>
      <c r="N450" s="17" t="n"/>
      <c r="O450" s="18" t="n"/>
      <c r="P450" s="18" t="n"/>
      <c r="Q450" s="17" t="n"/>
      <c r="R450" s="13">
        <f>IF(A450="","",N(G450)+N(I450))</f>
        <v/>
      </c>
      <c r="S450" s="12">
        <f>IF(OR(K450="",O450=""),"",O450-K450)</f>
        <v/>
      </c>
      <c r="T450" s="12">
        <f>IF(AND(C450="Cetak",L450&lt;&gt;"",L450&lt;TODAY()),"YA","")</f>
        <v/>
      </c>
      <c r="U450" s="12">
        <f>IF(B450="","",TEXT(B450,"yyyy-mm"))</f>
        <v/>
      </c>
    </row>
    <row r="451">
      <c r="A451" s="17" t="n"/>
      <c r="B451" s="18" t="n"/>
      <c r="C451" s="17" t="n"/>
      <c r="D451" s="17" t="n"/>
      <c r="E451" s="17" t="n"/>
      <c r="F451" s="17" t="n"/>
      <c r="G451" s="19" t="n"/>
      <c r="H451" s="17" t="n"/>
      <c r="I451" s="19" t="n"/>
      <c r="J451" s="17" t="n"/>
      <c r="K451" s="18" t="n"/>
      <c r="L451" s="18" t="n"/>
      <c r="M451" s="17" t="n"/>
      <c r="N451" s="17" t="n"/>
      <c r="O451" s="18" t="n"/>
      <c r="P451" s="18" t="n"/>
      <c r="Q451" s="17" t="n"/>
      <c r="R451" s="13">
        <f>IF(A451="","",N(G451)+N(I451))</f>
        <v/>
      </c>
      <c r="S451" s="12">
        <f>IF(OR(K451="",O451=""),"",O451-K451)</f>
        <v/>
      </c>
      <c r="T451" s="12">
        <f>IF(AND(C451="Cetak",L451&lt;&gt;"",L451&lt;TODAY()),"YA","")</f>
        <v/>
      </c>
      <c r="U451" s="12">
        <f>IF(B451="","",TEXT(B451,"yyyy-mm"))</f>
        <v/>
      </c>
    </row>
    <row r="452">
      <c r="A452" s="17" t="n"/>
      <c r="B452" s="18" t="n"/>
      <c r="C452" s="17" t="n"/>
      <c r="D452" s="17" t="n"/>
      <c r="E452" s="17" t="n"/>
      <c r="F452" s="17" t="n"/>
      <c r="G452" s="19" t="n"/>
      <c r="H452" s="17" t="n"/>
      <c r="I452" s="19" t="n"/>
      <c r="J452" s="17" t="n"/>
      <c r="K452" s="18" t="n"/>
      <c r="L452" s="18" t="n"/>
      <c r="M452" s="17" t="n"/>
      <c r="N452" s="17" t="n"/>
      <c r="O452" s="18" t="n"/>
      <c r="P452" s="18" t="n"/>
      <c r="Q452" s="17" t="n"/>
      <c r="R452" s="13">
        <f>IF(A452="","",N(G452)+N(I452))</f>
        <v/>
      </c>
      <c r="S452" s="12">
        <f>IF(OR(K452="",O452=""),"",O452-K452)</f>
        <v/>
      </c>
      <c r="T452" s="12">
        <f>IF(AND(C452="Cetak",L452&lt;&gt;"",L452&lt;TODAY()),"YA","")</f>
        <v/>
      </c>
      <c r="U452" s="12">
        <f>IF(B452="","",TEXT(B452,"yyyy-mm"))</f>
        <v/>
      </c>
    </row>
    <row r="453">
      <c r="A453" s="17" t="n"/>
      <c r="B453" s="18" t="n"/>
      <c r="C453" s="17" t="n"/>
      <c r="D453" s="17" t="n"/>
      <c r="E453" s="17" t="n"/>
      <c r="F453" s="17" t="n"/>
      <c r="G453" s="19" t="n"/>
      <c r="H453" s="17" t="n"/>
      <c r="I453" s="19" t="n"/>
      <c r="J453" s="17" t="n"/>
      <c r="K453" s="18" t="n"/>
      <c r="L453" s="18" t="n"/>
      <c r="M453" s="17" t="n"/>
      <c r="N453" s="17" t="n"/>
      <c r="O453" s="18" t="n"/>
      <c r="P453" s="18" t="n"/>
      <c r="Q453" s="17" t="n"/>
      <c r="R453" s="13">
        <f>IF(A453="","",N(G453)+N(I453))</f>
        <v/>
      </c>
      <c r="S453" s="12">
        <f>IF(OR(K453="",O453=""),"",O453-K453)</f>
        <v/>
      </c>
      <c r="T453" s="12">
        <f>IF(AND(C453="Cetak",L453&lt;&gt;"",L453&lt;TODAY()),"YA","")</f>
        <v/>
      </c>
      <c r="U453" s="12">
        <f>IF(B453="","",TEXT(B453,"yyyy-mm"))</f>
        <v/>
      </c>
    </row>
    <row r="454">
      <c r="A454" s="17" t="n"/>
      <c r="B454" s="18" t="n"/>
      <c r="C454" s="17" t="n"/>
      <c r="D454" s="17" t="n"/>
      <c r="E454" s="17" t="n"/>
      <c r="F454" s="17" t="n"/>
      <c r="G454" s="19" t="n"/>
      <c r="H454" s="17" t="n"/>
      <c r="I454" s="19" t="n"/>
      <c r="J454" s="17" t="n"/>
      <c r="K454" s="18" t="n"/>
      <c r="L454" s="18" t="n"/>
      <c r="M454" s="17" t="n"/>
      <c r="N454" s="17" t="n"/>
      <c r="O454" s="18" t="n"/>
      <c r="P454" s="18" t="n"/>
      <c r="Q454" s="17" t="n"/>
      <c r="R454" s="13">
        <f>IF(A454="","",N(G454)+N(I454))</f>
        <v/>
      </c>
      <c r="S454" s="12">
        <f>IF(OR(K454="",O454=""),"",O454-K454)</f>
        <v/>
      </c>
      <c r="T454" s="12">
        <f>IF(AND(C454="Cetak",L454&lt;&gt;"",L454&lt;TODAY()),"YA","")</f>
        <v/>
      </c>
      <c r="U454" s="12">
        <f>IF(B454="","",TEXT(B454,"yyyy-mm"))</f>
        <v/>
      </c>
    </row>
    <row r="455">
      <c r="A455" s="17" t="n"/>
      <c r="B455" s="18" t="n"/>
      <c r="C455" s="17" t="n"/>
      <c r="D455" s="17" t="n"/>
      <c r="E455" s="17" t="n"/>
      <c r="F455" s="17" t="n"/>
      <c r="G455" s="19" t="n"/>
      <c r="H455" s="17" t="n"/>
      <c r="I455" s="19" t="n"/>
      <c r="J455" s="17" t="n"/>
      <c r="K455" s="18" t="n"/>
      <c r="L455" s="18" t="n"/>
      <c r="M455" s="17" t="n"/>
      <c r="N455" s="17" t="n"/>
      <c r="O455" s="18" t="n"/>
      <c r="P455" s="18" t="n"/>
      <c r="Q455" s="17" t="n"/>
      <c r="R455" s="13">
        <f>IF(A455="","",N(G455)+N(I455))</f>
        <v/>
      </c>
      <c r="S455" s="12">
        <f>IF(OR(K455="",O455=""),"",O455-K455)</f>
        <v/>
      </c>
      <c r="T455" s="12">
        <f>IF(AND(C455="Cetak",L455&lt;&gt;"",L455&lt;TODAY()),"YA","")</f>
        <v/>
      </c>
      <c r="U455" s="12">
        <f>IF(B455="","",TEXT(B455,"yyyy-mm"))</f>
        <v/>
      </c>
    </row>
    <row r="456">
      <c r="A456" s="17" t="n"/>
      <c r="B456" s="18" t="n"/>
      <c r="C456" s="17" t="n"/>
      <c r="D456" s="17" t="n"/>
      <c r="E456" s="17" t="n"/>
      <c r="F456" s="17" t="n"/>
      <c r="G456" s="19" t="n"/>
      <c r="H456" s="17" t="n"/>
      <c r="I456" s="19" t="n"/>
      <c r="J456" s="17" t="n"/>
      <c r="K456" s="18" t="n"/>
      <c r="L456" s="18" t="n"/>
      <c r="M456" s="17" t="n"/>
      <c r="N456" s="17" t="n"/>
      <c r="O456" s="18" t="n"/>
      <c r="P456" s="18" t="n"/>
      <c r="Q456" s="17" t="n"/>
      <c r="R456" s="13">
        <f>IF(A456="","",N(G456)+N(I456))</f>
        <v/>
      </c>
      <c r="S456" s="12">
        <f>IF(OR(K456="",O456=""),"",O456-K456)</f>
        <v/>
      </c>
      <c r="T456" s="12">
        <f>IF(AND(C456="Cetak",L456&lt;&gt;"",L456&lt;TODAY()),"YA","")</f>
        <v/>
      </c>
      <c r="U456" s="12">
        <f>IF(B456="","",TEXT(B456,"yyyy-mm"))</f>
        <v/>
      </c>
    </row>
    <row r="457">
      <c r="A457" s="17" t="n"/>
      <c r="B457" s="18" t="n"/>
      <c r="C457" s="17" t="n"/>
      <c r="D457" s="17" t="n"/>
      <c r="E457" s="17" t="n"/>
      <c r="F457" s="17" t="n"/>
      <c r="G457" s="19" t="n"/>
      <c r="H457" s="17" t="n"/>
      <c r="I457" s="19" t="n"/>
      <c r="J457" s="17" t="n"/>
      <c r="K457" s="18" t="n"/>
      <c r="L457" s="18" t="n"/>
      <c r="M457" s="17" t="n"/>
      <c r="N457" s="17" t="n"/>
      <c r="O457" s="18" t="n"/>
      <c r="P457" s="18" t="n"/>
      <c r="Q457" s="17" t="n"/>
      <c r="R457" s="13">
        <f>IF(A457="","",N(G457)+N(I457))</f>
        <v/>
      </c>
      <c r="S457" s="12">
        <f>IF(OR(K457="",O457=""),"",O457-K457)</f>
        <v/>
      </c>
      <c r="T457" s="12">
        <f>IF(AND(C457="Cetak",L457&lt;&gt;"",L457&lt;TODAY()),"YA","")</f>
        <v/>
      </c>
      <c r="U457" s="12">
        <f>IF(B457="","",TEXT(B457,"yyyy-mm"))</f>
        <v/>
      </c>
    </row>
    <row r="458">
      <c r="A458" s="17" t="n"/>
      <c r="B458" s="18" t="n"/>
      <c r="C458" s="17" t="n"/>
      <c r="D458" s="17" t="n"/>
      <c r="E458" s="17" t="n"/>
      <c r="F458" s="17" t="n"/>
      <c r="G458" s="19" t="n"/>
      <c r="H458" s="17" t="n"/>
      <c r="I458" s="19" t="n"/>
      <c r="J458" s="17" t="n"/>
      <c r="K458" s="18" t="n"/>
      <c r="L458" s="18" t="n"/>
      <c r="M458" s="17" t="n"/>
      <c r="N458" s="17" t="n"/>
      <c r="O458" s="18" t="n"/>
      <c r="P458" s="18" t="n"/>
      <c r="Q458" s="17" t="n"/>
      <c r="R458" s="13">
        <f>IF(A458="","",N(G458)+N(I458))</f>
        <v/>
      </c>
      <c r="S458" s="12">
        <f>IF(OR(K458="",O458=""),"",O458-K458)</f>
        <v/>
      </c>
      <c r="T458" s="12">
        <f>IF(AND(C458="Cetak",L458&lt;&gt;"",L458&lt;TODAY()),"YA","")</f>
        <v/>
      </c>
      <c r="U458" s="12">
        <f>IF(B458="","",TEXT(B458,"yyyy-mm"))</f>
        <v/>
      </c>
    </row>
    <row r="459">
      <c r="A459" s="17" t="n"/>
      <c r="B459" s="18" t="n"/>
      <c r="C459" s="17" t="n"/>
      <c r="D459" s="17" t="n"/>
      <c r="E459" s="17" t="n"/>
      <c r="F459" s="17" t="n"/>
      <c r="G459" s="19" t="n"/>
      <c r="H459" s="17" t="n"/>
      <c r="I459" s="19" t="n"/>
      <c r="J459" s="17" t="n"/>
      <c r="K459" s="18" t="n"/>
      <c r="L459" s="18" t="n"/>
      <c r="M459" s="17" t="n"/>
      <c r="N459" s="17" t="n"/>
      <c r="O459" s="18" t="n"/>
      <c r="P459" s="18" t="n"/>
      <c r="Q459" s="17" t="n"/>
      <c r="R459" s="13">
        <f>IF(A459="","",N(G459)+N(I459))</f>
        <v/>
      </c>
      <c r="S459" s="12">
        <f>IF(OR(K459="",O459=""),"",O459-K459)</f>
        <v/>
      </c>
      <c r="T459" s="12">
        <f>IF(AND(C459="Cetak",L459&lt;&gt;"",L459&lt;TODAY()),"YA","")</f>
        <v/>
      </c>
      <c r="U459" s="12">
        <f>IF(B459="","",TEXT(B459,"yyyy-mm"))</f>
        <v/>
      </c>
    </row>
    <row r="460">
      <c r="A460" s="17" t="n"/>
      <c r="B460" s="18" t="n"/>
      <c r="C460" s="17" t="n"/>
      <c r="D460" s="17" t="n"/>
      <c r="E460" s="17" t="n"/>
      <c r="F460" s="17" t="n"/>
      <c r="G460" s="19" t="n"/>
      <c r="H460" s="17" t="n"/>
      <c r="I460" s="19" t="n"/>
      <c r="J460" s="17" t="n"/>
      <c r="K460" s="18" t="n"/>
      <c r="L460" s="18" t="n"/>
      <c r="M460" s="17" t="n"/>
      <c r="N460" s="17" t="n"/>
      <c r="O460" s="18" t="n"/>
      <c r="P460" s="18" t="n"/>
      <c r="Q460" s="17" t="n"/>
      <c r="R460" s="13">
        <f>IF(A460="","",N(G460)+N(I460))</f>
        <v/>
      </c>
      <c r="S460" s="12">
        <f>IF(OR(K460="",O460=""),"",O460-K460)</f>
        <v/>
      </c>
      <c r="T460" s="12">
        <f>IF(AND(C460="Cetak",L460&lt;&gt;"",L460&lt;TODAY()),"YA","")</f>
        <v/>
      </c>
      <c r="U460" s="12">
        <f>IF(B460="","",TEXT(B460,"yyyy-mm"))</f>
        <v/>
      </c>
    </row>
    <row r="461">
      <c r="A461" s="17" t="n"/>
      <c r="B461" s="18" t="n"/>
      <c r="C461" s="17" t="n"/>
      <c r="D461" s="17" t="n"/>
      <c r="E461" s="17" t="n"/>
      <c r="F461" s="17" t="n"/>
      <c r="G461" s="19" t="n"/>
      <c r="H461" s="17" t="n"/>
      <c r="I461" s="19" t="n"/>
      <c r="J461" s="17" t="n"/>
      <c r="K461" s="18" t="n"/>
      <c r="L461" s="18" t="n"/>
      <c r="M461" s="17" t="n"/>
      <c r="N461" s="17" t="n"/>
      <c r="O461" s="18" t="n"/>
      <c r="P461" s="18" t="n"/>
      <c r="Q461" s="17" t="n"/>
      <c r="R461" s="13">
        <f>IF(A461="","",N(G461)+N(I461))</f>
        <v/>
      </c>
      <c r="S461" s="12">
        <f>IF(OR(K461="",O461=""),"",O461-K461)</f>
        <v/>
      </c>
      <c r="T461" s="12">
        <f>IF(AND(C461="Cetak",L461&lt;&gt;"",L461&lt;TODAY()),"YA","")</f>
        <v/>
      </c>
      <c r="U461" s="12">
        <f>IF(B461="","",TEXT(B461,"yyyy-mm"))</f>
        <v/>
      </c>
    </row>
    <row r="462">
      <c r="A462" s="17" t="n"/>
      <c r="B462" s="18" t="n"/>
      <c r="C462" s="17" t="n"/>
      <c r="D462" s="17" t="n"/>
      <c r="E462" s="17" t="n"/>
      <c r="F462" s="17" t="n"/>
      <c r="G462" s="19" t="n"/>
      <c r="H462" s="17" t="n"/>
      <c r="I462" s="19" t="n"/>
      <c r="J462" s="17" t="n"/>
      <c r="K462" s="18" t="n"/>
      <c r="L462" s="18" t="n"/>
      <c r="M462" s="17" t="n"/>
      <c r="N462" s="17" t="n"/>
      <c r="O462" s="18" t="n"/>
      <c r="P462" s="18" t="n"/>
      <c r="Q462" s="17" t="n"/>
      <c r="R462" s="13">
        <f>IF(A462="","",N(G462)+N(I462))</f>
        <v/>
      </c>
      <c r="S462" s="12">
        <f>IF(OR(K462="",O462=""),"",O462-K462)</f>
        <v/>
      </c>
      <c r="T462" s="12">
        <f>IF(AND(C462="Cetak",L462&lt;&gt;"",L462&lt;TODAY()),"YA","")</f>
        <v/>
      </c>
      <c r="U462" s="12">
        <f>IF(B462="","",TEXT(B462,"yyyy-mm"))</f>
        <v/>
      </c>
    </row>
    <row r="463">
      <c r="A463" s="17" t="n"/>
      <c r="B463" s="18" t="n"/>
      <c r="C463" s="17" t="n"/>
      <c r="D463" s="17" t="n"/>
      <c r="E463" s="17" t="n"/>
      <c r="F463" s="17" t="n"/>
      <c r="G463" s="19" t="n"/>
      <c r="H463" s="17" t="n"/>
      <c r="I463" s="19" t="n"/>
      <c r="J463" s="17" t="n"/>
      <c r="K463" s="18" t="n"/>
      <c r="L463" s="18" t="n"/>
      <c r="M463" s="17" t="n"/>
      <c r="N463" s="17" t="n"/>
      <c r="O463" s="18" t="n"/>
      <c r="P463" s="18" t="n"/>
      <c r="Q463" s="17" t="n"/>
      <c r="R463" s="13">
        <f>IF(A463="","",N(G463)+N(I463))</f>
        <v/>
      </c>
      <c r="S463" s="12">
        <f>IF(OR(K463="",O463=""),"",O463-K463)</f>
        <v/>
      </c>
      <c r="T463" s="12">
        <f>IF(AND(C463="Cetak",L463&lt;&gt;"",L463&lt;TODAY()),"YA","")</f>
        <v/>
      </c>
      <c r="U463" s="12">
        <f>IF(B463="","",TEXT(B463,"yyyy-mm"))</f>
        <v/>
      </c>
    </row>
    <row r="464">
      <c r="A464" s="17" t="n"/>
      <c r="B464" s="18" t="n"/>
      <c r="C464" s="17" t="n"/>
      <c r="D464" s="17" t="n"/>
      <c r="E464" s="17" t="n"/>
      <c r="F464" s="17" t="n"/>
      <c r="G464" s="19" t="n"/>
      <c r="H464" s="17" t="n"/>
      <c r="I464" s="19" t="n"/>
      <c r="J464" s="17" t="n"/>
      <c r="K464" s="18" t="n"/>
      <c r="L464" s="18" t="n"/>
      <c r="M464" s="17" t="n"/>
      <c r="N464" s="17" t="n"/>
      <c r="O464" s="18" t="n"/>
      <c r="P464" s="18" t="n"/>
      <c r="Q464" s="17" t="n"/>
      <c r="R464" s="13">
        <f>IF(A464="","",N(G464)+N(I464))</f>
        <v/>
      </c>
      <c r="S464" s="12">
        <f>IF(OR(K464="",O464=""),"",O464-K464)</f>
        <v/>
      </c>
      <c r="T464" s="12">
        <f>IF(AND(C464="Cetak",L464&lt;&gt;"",L464&lt;TODAY()),"YA","")</f>
        <v/>
      </c>
      <c r="U464" s="12">
        <f>IF(B464="","",TEXT(B464,"yyyy-mm"))</f>
        <v/>
      </c>
    </row>
    <row r="465">
      <c r="A465" s="17" t="n"/>
      <c r="B465" s="18" t="n"/>
      <c r="C465" s="17" t="n"/>
      <c r="D465" s="17" t="n"/>
      <c r="E465" s="17" t="n"/>
      <c r="F465" s="17" t="n"/>
      <c r="G465" s="19" t="n"/>
      <c r="H465" s="17" t="n"/>
      <c r="I465" s="19" t="n"/>
      <c r="J465" s="17" t="n"/>
      <c r="K465" s="18" t="n"/>
      <c r="L465" s="18" t="n"/>
      <c r="M465" s="17" t="n"/>
      <c r="N465" s="17" t="n"/>
      <c r="O465" s="18" t="n"/>
      <c r="P465" s="18" t="n"/>
      <c r="Q465" s="17" t="n"/>
      <c r="R465" s="13">
        <f>IF(A465="","",N(G465)+N(I465))</f>
        <v/>
      </c>
      <c r="S465" s="12">
        <f>IF(OR(K465="",O465=""),"",O465-K465)</f>
        <v/>
      </c>
      <c r="T465" s="12">
        <f>IF(AND(C465="Cetak",L465&lt;&gt;"",L465&lt;TODAY()),"YA","")</f>
        <v/>
      </c>
      <c r="U465" s="12">
        <f>IF(B465="","",TEXT(B465,"yyyy-mm"))</f>
        <v/>
      </c>
    </row>
    <row r="466">
      <c r="A466" s="17" t="n"/>
      <c r="B466" s="18" t="n"/>
      <c r="C466" s="17" t="n"/>
      <c r="D466" s="17" t="n"/>
      <c r="E466" s="17" t="n"/>
      <c r="F466" s="17" t="n"/>
      <c r="G466" s="19" t="n"/>
      <c r="H466" s="17" t="n"/>
      <c r="I466" s="19" t="n"/>
      <c r="J466" s="17" t="n"/>
      <c r="K466" s="18" t="n"/>
      <c r="L466" s="18" t="n"/>
      <c r="M466" s="17" t="n"/>
      <c r="N466" s="17" t="n"/>
      <c r="O466" s="18" t="n"/>
      <c r="P466" s="18" t="n"/>
      <c r="Q466" s="17" t="n"/>
      <c r="R466" s="13">
        <f>IF(A466="","",N(G466)+N(I466))</f>
        <v/>
      </c>
      <c r="S466" s="12">
        <f>IF(OR(K466="",O466=""),"",O466-K466)</f>
        <v/>
      </c>
      <c r="T466" s="12">
        <f>IF(AND(C466="Cetak",L466&lt;&gt;"",L466&lt;TODAY()),"YA","")</f>
        <v/>
      </c>
      <c r="U466" s="12">
        <f>IF(B466="","",TEXT(B466,"yyyy-mm"))</f>
        <v/>
      </c>
    </row>
    <row r="467">
      <c r="A467" s="17" t="n"/>
      <c r="B467" s="18" t="n"/>
      <c r="C467" s="17" t="n"/>
      <c r="D467" s="17" t="n"/>
      <c r="E467" s="17" t="n"/>
      <c r="F467" s="17" t="n"/>
      <c r="G467" s="19" t="n"/>
      <c r="H467" s="17" t="n"/>
      <c r="I467" s="19" t="n"/>
      <c r="J467" s="17" t="n"/>
      <c r="K467" s="18" t="n"/>
      <c r="L467" s="18" t="n"/>
      <c r="M467" s="17" t="n"/>
      <c r="N467" s="17" t="n"/>
      <c r="O467" s="18" t="n"/>
      <c r="P467" s="18" t="n"/>
      <c r="Q467" s="17" t="n"/>
      <c r="R467" s="13">
        <f>IF(A467="","",N(G467)+N(I467))</f>
        <v/>
      </c>
      <c r="S467" s="12">
        <f>IF(OR(K467="",O467=""),"",O467-K467)</f>
        <v/>
      </c>
      <c r="T467" s="12">
        <f>IF(AND(C467="Cetak",L467&lt;&gt;"",L467&lt;TODAY()),"YA","")</f>
        <v/>
      </c>
      <c r="U467" s="12">
        <f>IF(B467="","",TEXT(B467,"yyyy-mm"))</f>
        <v/>
      </c>
    </row>
    <row r="468">
      <c r="A468" s="17" t="n"/>
      <c r="B468" s="18" t="n"/>
      <c r="C468" s="17" t="n"/>
      <c r="D468" s="17" t="n"/>
      <c r="E468" s="17" t="n"/>
      <c r="F468" s="17" t="n"/>
      <c r="G468" s="19" t="n"/>
      <c r="H468" s="17" t="n"/>
      <c r="I468" s="19" t="n"/>
      <c r="J468" s="17" t="n"/>
      <c r="K468" s="18" t="n"/>
      <c r="L468" s="18" t="n"/>
      <c r="M468" s="17" t="n"/>
      <c r="N468" s="17" t="n"/>
      <c r="O468" s="18" t="n"/>
      <c r="P468" s="18" t="n"/>
      <c r="Q468" s="17" t="n"/>
      <c r="R468" s="13">
        <f>IF(A468="","",N(G468)+N(I468))</f>
        <v/>
      </c>
      <c r="S468" s="12">
        <f>IF(OR(K468="",O468=""),"",O468-K468)</f>
        <v/>
      </c>
      <c r="T468" s="12">
        <f>IF(AND(C468="Cetak",L468&lt;&gt;"",L468&lt;TODAY()),"YA","")</f>
        <v/>
      </c>
      <c r="U468" s="12">
        <f>IF(B468="","",TEXT(B468,"yyyy-mm"))</f>
        <v/>
      </c>
    </row>
    <row r="469">
      <c r="A469" s="17" t="n"/>
      <c r="B469" s="18" t="n"/>
      <c r="C469" s="17" t="n"/>
      <c r="D469" s="17" t="n"/>
      <c r="E469" s="17" t="n"/>
      <c r="F469" s="17" t="n"/>
      <c r="G469" s="19" t="n"/>
      <c r="H469" s="17" t="n"/>
      <c r="I469" s="19" t="n"/>
      <c r="J469" s="17" t="n"/>
      <c r="K469" s="18" t="n"/>
      <c r="L469" s="18" t="n"/>
      <c r="M469" s="17" t="n"/>
      <c r="N469" s="17" t="n"/>
      <c r="O469" s="18" t="n"/>
      <c r="P469" s="18" t="n"/>
      <c r="Q469" s="17" t="n"/>
      <c r="R469" s="13">
        <f>IF(A469="","",N(G469)+N(I469))</f>
        <v/>
      </c>
      <c r="S469" s="12">
        <f>IF(OR(K469="",O469=""),"",O469-K469)</f>
        <v/>
      </c>
      <c r="T469" s="12">
        <f>IF(AND(C469="Cetak",L469&lt;&gt;"",L469&lt;TODAY()),"YA","")</f>
        <v/>
      </c>
      <c r="U469" s="12">
        <f>IF(B469="","",TEXT(B469,"yyyy-mm"))</f>
        <v/>
      </c>
    </row>
    <row r="470">
      <c r="A470" s="17" t="n"/>
      <c r="B470" s="18" t="n"/>
      <c r="C470" s="17" t="n"/>
      <c r="D470" s="17" t="n"/>
      <c r="E470" s="17" t="n"/>
      <c r="F470" s="17" t="n"/>
      <c r="G470" s="19" t="n"/>
      <c r="H470" s="17" t="n"/>
      <c r="I470" s="19" t="n"/>
      <c r="J470" s="17" t="n"/>
      <c r="K470" s="18" t="n"/>
      <c r="L470" s="18" t="n"/>
      <c r="M470" s="17" t="n"/>
      <c r="N470" s="17" t="n"/>
      <c r="O470" s="18" t="n"/>
      <c r="P470" s="18" t="n"/>
      <c r="Q470" s="17" t="n"/>
      <c r="R470" s="13">
        <f>IF(A470="","",N(G470)+N(I470))</f>
        <v/>
      </c>
      <c r="S470" s="12">
        <f>IF(OR(K470="",O470=""),"",O470-K470)</f>
        <v/>
      </c>
      <c r="T470" s="12">
        <f>IF(AND(C470="Cetak",L470&lt;&gt;"",L470&lt;TODAY()),"YA","")</f>
        <v/>
      </c>
      <c r="U470" s="12">
        <f>IF(B470="","",TEXT(B470,"yyyy-mm"))</f>
        <v/>
      </c>
    </row>
    <row r="471">
      <c r="A471" s="17" t="n"/>
      <c r="B471" s="18" t="n"/>
      <c r="C471" s="17" t="n"/>
      <c r="D471" s="17" t="n"/>
      <c r="E471" s="17" t="n"/>
      <c r="F471" s="17" t="n"/>
      <c r="G471" s="19" t="n"/>
      <c r="H471" s="17" t="n"/>
      <c r="I471" s="19" t="n"/>
      <c r="J471" s="17" t="n"/>
      <c r="K471" s="18" t="n"/>
      <c r="L471" s="18" t="n"/>
      <c r="M471" s="17" t="n"/>
      <c r="N471" s="17" t="n"/>
      <c r="O471" s="18" t="n"/>
      <c r="P471" s="18" t="n"/>
      <c r="Q471" s="17" t="n"/>
      <c r="R471" s="13">
        <f>IF(A471="","",N(G471)+N(I471))</f>
        <v/>
      </c>
      <c r="S471" s="12">
        <f>IF(OR(K471="",O471=""),"",O471-K471)</f>
        <v/>
      </c>
      <c r="T471" s="12">
        <f>IF(AND(C471="Cetak",L471&lt;&gt;"",L471&lt;TODAY()),"YA","")</f>
        <v/>
      </c>
      <c r="U471" s="12">
        <f>IF(B471="","",TEXT(B471,"yyyy-mm"))</f>
        <v/>
      </c>
    </row>
    <row r="472">
      <c r="A472" s="17" t="n"/>
      <c r="B472" s="18" t="n"/>
      <c r="C472" s="17" t="n"/>
      <c r="D472" s="17" t="n"/>
      <c r="E472" s="17" t="n"/>
      <c r="F472" s="17" t="n"/>
      <c r="G472" s="19" t="n"/>
      <c r="H472" s="17" t="n"/>
      <c r="I472" s="19" t="n"/>
      <c r="J472" s="17" t="n"/>
      <c r="K472" s="18" t="n"/>
      <c r="L472" s="18" t="n"/>
      <c r="M472" s="17" t="n"/>
      <c r="N472" s="17" t="n"/>
      <c r="O472" s="18" t="n"/>
      <c r="P472" s="18" t="n"/>
      <c r="Q472" s="17" t="n"/>
      <c r="R472" s="13">
        <f>IF(A472="","",N(G472)+N(I472))</f>
        <v/>
      </c>
      <c r="S472" s="12">
        <f>IF(OR(K472="",O472=""),"",O472-K472)</f>
        <v/>
      </c>
      <c r="T472" s="12">
        <f>IF(AND(C472="Cetak",L472&lt;&gt;"",L472&lt;TODAY()),"YA","")</f>
        <v/>
      </c>
      <c r="U472" s="12">
        <f>IF(B472="","",TEXT(B472,"yyyy-mm"))</f>
        <v/>
      </c>
    </row>
    <row r="473">
      <c r="A473" s="17" t="n"/>
      <c r="B473" s="18" t="n"/>
      <c r="C473" s="17" t="n"/>
      <c r="D473" s="17" t="n"/>
      <c r="E473" s="17" t="n"/>
      <c r="F473" s="17" t="n"/>
      <c r="G473" s="19" t="n"/>
      <c r="H473" s="17" t="n"/>
      <c r="I473" s="19" t="n"/>
      <c r="J473" s="17" t="n"/>
      <c r="K473" s="18" t="n"/>
      <c r="L473" s="18" t="n"/>
      <c r="M473" s="17" t="n"/>
      <c r="N473" s="17" t="n"/>
      <c r="O473" s="18" t="n"/>
      <c r="P473" s="18" t="n"/>
      <c r="Q473" s="17" t="n"/>
      <c r="R473" s="13">
        <f>IF(A473="","",N(G473)+N(I473))</f>
        <v/>
      </c>
      <c r="S473" s="12">
        <f>IF(OR(K473="",O473=""),"",O473-K473)</f>
        <v/>
      </c>
      <c r="T473" s="12">
        <f>IF(AND(C473="Cetak",L473&lt;&gt;"",L473&lt;TODAY()),"YA","")</f>
        <v/>
      </c>
      <c r="U473" s="12">
        <f>IF(B473="","",TEXT(B473,"yyyy-mm"))</f>
        <v/>
      </c>
    </row>
    <row r="474">
      <c r="A474" s="17" t="n"/>
      <c r="B474" s="18" t="n"/>
      <c r="C474" s="17" t="n"/>
      <c r="D474" s="17" t="n"/>
      <c r="E474" s="17" t="n"/>
      <c r="F474" s="17" t="n"/>
      <c r="G474" s="19" t="n"/>
      <c r="H474" s="17" t="n"/>
      <c r="I474" s="19" t="n"/>
      <c r="J474" s="17" t="n"/>
      <c r="K474" s="18" t="n"/>
      <c r="L474" s="18" t="n"/>
      <c r="M474" s="17" t="n"/>
      <c r="N474" s="17" t="n"/>
      <c r="O474" s="18" t="n"/>
      <c r="P474" s="18" t="n"/>
      <c r="Q474" s="17" t="n"/>
      <c r="R474" s="13">
        <f>IF(A474="","",N(G474)+N(I474))</f>
        <v/>
      </c>
      <c r="S474" s="12">
        <f>IF(OR(K474="",O474=""),"",O474-K474)</f>
        <v/>
      </c>
      <c r="T474" s="12">
        <f>IF(AND(C474="Cetak",L474&lt;&gt;"",L474&lt;TODAY()),"YA","")</f>
        <v/>
      </c>
      <c r="U474" s="12">
        <f>IF(B474="","",TEXT(B474,"yyyy-mm"))</f>
        <v/>
      </c>
    </row>
    <row r="475">
      <c r="A475" s="17" t="n"/>
      <c r="B475" s="18" t="n"/>
      <c r="C475" s="17" t="n"/>
      <c r="D475" s="17" t="n"/>
      <c r="E475" s="17" t="n"/>
      <c r="F475" s="17" t="n"/>
      <c r="G475" s="19" t="n"/>
      <c r="H475" s="17" t="n"/>
      <c r="I475" s="19" t="n"/>
      <c r="J475" s="17" t="n"/>
      <c r="K475" s="18" t="n"/>
      <c r="L475" s="18" t="n"/>
      <c r="M475" s="17" t="n"/>
      <c r="N475" s="17" t="n"/>
      <c r="O475" s="18" t="n"/>
      <c r="P475" s="18" t="n"/>
      <c r="Q475" s="17" t="n"/>
      <c r="R475" s="13">
        <f>IF(A475="","",N(G475)+N(I475))</f>
        <v/>
      </c>
      <c r="S475" s="12">
        <f>IF(OR(K475="",O475=""),"",O475-K475)</f>
        <v/>
      </c>
      <c r="T475" s="12">
        <f>IF(AND(C475="Cetak",L475&lt;&gt;"",L475&lt;TODAY()),"YA","")</f>
        <v/>
      </c>
      <c r="U475" s="12">
        <f>IF(B475="","",TEXT(B475,"yyyy-mm"))</f>
        <v/>
      </c>
    </row>
    <row r="476">
      <c r="A476" s="17" t="n"/>
      <c r="B476" s="18" t="n"/>
      <c r="C476" s="17" t="n"/>
      <c r="D476" s="17" t="n"/>
      <c r="E476" s="17" t="n"/>
      <c r="F476" s="17" t="n"/>
      <c r="G476" s="19" t="n"/>
      <c r="H476" s="17" t="n"/>
      <c r="I476" s="19" t="n"/>
      <c r="J476" s="17" t="n"/>
      <c r="K476" s="18" t="n"/>
      <c r="L476" s="18" t="n"/>
      <c r="M476" s="17" t="n"/>
      <c r="N476" s="17" t="n"/>
      <c r="O476" s="18" t="n"/>
      <c r="P476" s="18" t="n"/>
      <c r="Q476" s="17" t="n"/>
      <c r="R476" s="13">
        <f>IF(A476="","",N(G476)+N(I476))</f>
        <v/>
      </c>
      <c r="S476" s="12">
        <f>IF(OR(K476="",O476=""),"",O476-K476)</f>
        <v/>
      </c>
      <c r="T476" s="12">
        <f>IF(AND(C476="Cetak",L476&lt;&gt;"",L476&lt;TODAY()),"YA","")</f>
        <v/>
      </c>
      <c r="U476" s="12">
        <f>IF(B476="","",TEXT(B476,"yyyy-mm"))</f>
        <v/>
      </c>
    </row>
    <row r="477">
      <c r="A477" s="17" t="n"/>
      <c r="B477" s="18" t="n"/>
      <c r="C477" s="17" t="n"/>
      <c r="D477" s="17" t="n"/>
      <c r="E477" s="17" t="n"/>
      <c r="F477" s="17" t="n"/>
      <c r="G477" s="19" t="n"/>
      <c r="H477" s="17" t="n"/>
      <c r="I477" s="19" t="n"/>
      <c r="J477" s="17" t="n"/>
      <c r="K477" s="18" t="n"/>
      <c r="L477" s="18" t="n"/>
      <c r="M477" s="17" t="n"/>
      <c r="N477" s="17" t="n"/>
      <c r="O477" s="18" t="n"/>
      <c r="P477" s="18" t="n"/>
      <c r="Q477" s="17" t="n"/>
      <c r="R477" s="13">
        <f>IF(A477="","",N(G477)+N(I477))</f>
        <v/>
      </c>
      <c r="S477" s="12">
        <f>IF(OR(K477="",O477=""),"",O477-K477)</f>
        <v/>
      </c>
      <c r="T477" s="12">
        <f>IF(AND(C477="Cetak",L477&lt;&gt;"",L477&lt;TODAY()),"YA","")</f>
        <v/>
      </c>
      <c r="U477" s="12">
        <f>IF(B477="","",TEXT(B477,"yyyy-mm"))</f>
        <v/>
      </c>
    </row>
    <row r="478">
      <c r="A478" s="17" t="n"/>
      <c r="B478" s="18" t="n"/>
      <c r="C478" s="17" t="n"/>
      <c r="D478" s="17" t="n"/>
      <c r="E478" s="17" t="n"/>
      <c r="F478" s="17" t="n"/>
      <c r="G478" s="19" t="n"/>
      <c r="H478" s="17" t="n"/>
      <c r="I478" s="19" t="n"/>
      <c r="J478" s="17" t="n"/>
      <c r="K478" s="18" t="n"/>
      <c r="L478" s="18" t="n"/>
      <c r="M478" s="17" t="n"/>
      <c r="N478" s="17" t="n"/>
      <c r="O478" s="18" t="n"/>
      <c r="P478" s="18" t="n"/>
      <c r="Q478" s="17" t="n"/>
      <c r="R478" s="13">
        <f>IF(A478="","",N(G478)+N(I478))</f>
        <v/>
      </c>
      <c r="S478" s="12">
        <f>IF(OR(K478="",O478=""),"",O478-K478)</f>
        <v/>
      </c>
      <c r="T478" s="12">
        <f>IF(AND(C478="Cetak",L478&lt;&gt;"",L478&lt;TODAY()),"YA","")</f>
        <v/>
      </c>
      <c r="U478" s="12">
        <f>IF(B478="","",TEXT(B478,"yyyy-mm"))</f>
        <v/>
      </c>
    </row>
    <row r="479">
      <c r="A479" s="17" t="n"/>
      <c r="B479" s="18" t="n"/>
      <c r="C479" s="17" t="n"/>
      <c r="D479" s="17" t="n"/>
      <c r="E479" s="17" t="n"/>
      <c r="F479" s="17" t="n"/>
      <c r="G479" s="19" t="n"/>
      <c r="H479" s="17" t="n"/>
      <c r="I479" s="19" t="n"/>
      <c r="J479" s="17" t="n"/>
      <c r="K479" s="18" t="n"/>
      <c r="L479" s="18" t="n"/>
      <c r="M479" s="17" t="n"/>
      <c r="N479" s="17" t="n"/>
      <c r="O479" s="18" t="n"/>
      <c r="P479" s="18" t="n"/>
      <c r="Q479" s="17" t="n"/>
      <c r="R479" s="13">
        <f>IF(A479="","",N(G479)+N(I479))</f>
        <v/>
      </c>
      <c r="S479" s="12">
        <f>IF(OR(K479="",O479=""),"",O479-K479)</f>
        <v/>
      </c>
      <c r="T479" s="12">
        <f>IF(AND(C479="Cetak",L479&lt;&gt;"",L479&lt;TODAY()),"YA","")</f>
        <v/>
      </c>
      <c r="U479" s="12">
        <f>IF(B479="","",TEXT(B479,"yyyy-mm"))</f>
        <v/>
      </c>
    </row>
    <row r="480">
      <c r="A480" s="17" t="n"/>
      <c r="B480" s="18" t="n"/>
      <c r="C480" s="17" t="n"/>
      <c r="D480" s="17" t="n"/>
      <c r="E480" s="17" t="n"/>
      <c r="F480" s="17" t="n"/>
      <c r="G480" s="19" t="n"/>
      <c r="H480" s="17" t="n"/>
      <c r="I480" s="19" t="n"/>
      <c r="J480" s="17" t="n"/>
      <c r="K480" s="18" t="n"/>
      <c r="L480" s="18" t="n"/>
      <c r="M480" s="17" t="n"/>
      <c r="N480" s="17" t="n"/>
      <c r="O480" s="18" t="n"/>
      <c r="P480" s="18" t="n"/>
      <c r="Q480" s="17" t="n"/>
      <c r="R480" s="13">
        <f>IF(A480="","",N(G480)+N(I480))</f>
        <v/>
      </c>
      <c r="S480" s="12">
        <f>IF(OR(K480="",O480=""),"",O480-K480)</f>
        <v/>
      </c>
      <c r="T480" s="12">
        <f>IF(AND(C480="Cetak",L480&lt;&gt;"",L480&lt;TODAY()),"YA","")</f>
        <v/>
      </c>
      <c r="U480" s="12">
        <f>IF(B480="","",TEXT(B480,"yyyy-mm"))</f>
        <v/>
      </c>
    </row>
    <row r="481">
      <c r="A481" s="17" t="n"/>
      <c r="B481" s="18" t="n"/>
      <c r="C481" s="17" t="n"/>
      <c r="D481" s="17" t="n"/>
      <c r="E481" s="17" t="n"/>
      <c r="F481" s="17" t="n"/>
      <c r="G481" s="19" t="n"/>
      <c r="H481" s="17" t="n"/>
      <c r="I481" s="19" t="n"/>
      <c r="J481" s="17" t="n"/>
      <c r="K481" s="18" t="n"/>
      <c r="L481" s="18" t="n"/>
      <c r="M481" s="17" t="n"/>
      <c r="N481" s="17" t="n"/>
      <c r="O481" s="18" t="n"/>
      <c r="P481" s="18" t="n"/>
      <c r="Q481" s="17" t="n"/>
      <c r="R481" s="13">
        <f>IF(A481="","",N(G481)+N(I481))</f>
        <v/>
      </c>
      <c r="S481" s="12">
        <f>IF(OR(K481="",O481=""),"",O481-K481)</f>
        <v/>
      </c>
      <c r="T481" s="12">
        <f>IF(AND(C481="Cetak",L481&lt;&gt;"",L481&lt;TODAY()),"YA","")</f>
        <v/>
      </c>
      <c r="U481" s="12">
        <f>IF(B481="","",TEXT(B481,"yyyy-mm"))</f>
        <v/>
      </c>
    </row>
    <row r="482">
      <c r="A482" s="17" t="n"/>
      <c r="B482" s="18" t="n"/>
      <c r="C482" s="17" t="n"/>
      <c r="D482" s="17" t="n"/>
      <c r="E482" s="17" t="n"/>
      <c r="F482" s="17" t="n"/>
      <c r="G482" s="19" t="n"/>
      <c r="H482" s="17" t="n"/>
      <c r="I482" s="19" t="n"/>
      <c r="J482" s="17" t="n"/>
      <c r="K482" s="18" t="n"/>
      <c r="L482" s="18" t="n"/>
      <c r="M482" s="17" t="n"/>
      <c r="N482" s="17" t="n"/>
      <c r="O482" s="18" t="n"/>
      <c r="P482" s="18" t="n"/>
      <c r="Q482" s="17" t="n"/>
      <c r="R482" s="13">
        <f>IF(A482="","",N(G482)+N(I482))</f>
        <v/>
      </c>
      <c r="S482" s="12">
        <f>IF(OR(K482="",O482=""),"",O482-K482)</f>
        <v/>
      </c>
      <c r="T482" s="12">
        <f>IF(AND(C482="Cetak",L482&lt;&gt;"",L482&lt;TODAY()),"YA","")</f>
        <v/>
      </c>
      <c r="U482" s="12">
        <f>IF(B482="","",TEXT(B482,"yyyy-mm"))</f>
        <v/>
      </c>
    </row>
    <row r="483">
      <c r="A483" s="17" t="n"/>
      <c r="B483" s="18" t="n"/>
      <c r="C483" s="17" t="n"/>
      <c r="D483" s="17" t="n"/>
      <c r="E483" s="17" t="n"/>
      <c r="F483" s="17" t="n"/>
      <c r="G483" s="19" t="n"/>
      <c r="H483" s="17" t="n"/>
      <c r="I483" s="19" t="n"/>
      <c r="J483" s="17" t="n"/>
      <c r="K483" s="18" t="n"/>
      <c r="L483" s="18" t="n"/>
      <c r="M483" s="17" t="n"/>
      <c r="N483" s="17" t="n"/>
      <c r="O483" s="18" t="n"/>
      <c r="P483" s="18" t="n"/>
      <c r="Q483" s="17" t="n"/>
      <c r="R483" s="13">
        <f>IF(A483="","",N(G483)+N(I483))</f>
        <v/>
      </c>
      <c r="S483" s="12">
        <f>IF(OR(K483="",O483=""),"",O483-K483)</f>
        <v/>
      </c>
      <c r="T483" s="12">
        <f>IF(AND(C483="Cetak",L483&lt;&gt;"",L483&lt;TODAY()),"YA","")</f>
        <v/>
      </c>
      <c r="U483" s="12">
        <f>IF(B483="","",TEXT(B483,"yyyy-mm"))</f>
        <v/>
      </c>
    </row>
    <row r="484">
      <c r="A484" s="17" t="n"/>
      <c r="B484" s="18" t="n"/>
      <c r="C484" s="17" t="n"/>
      <c r="D484" s="17" t="n"/>
      <c r="E484" s="17" t="n"/>
      <c r="F484" s="17" t="n"/>
      <c r="G484" s="19" t="n"/>
      <c r="H484" s="17" t="n"/>
      <c r="I484" s="19" t="n"/>
      <c r="J484" s="17" t="n"/>
      <c r="K484" s="18" t="n"/>
      <c r="L484" s="18" t="n"/>
      <c r="M484" s="17" t="n"/>
      <c r="N484" s="17" t="n"/>
      <c r="O484" s="18" t="n"/>
      <c r="P484" s="18" t="n"/>
      <c r="Q484" s="17" t="n"/>
      <c r="R484" s="13">
        <f>IF(A484="","",N(G484)+N(I484))</f>
        <v/>
      </c>
      <c r="S484" s="12">
        <f>IF(OR(K484="",O484=""),"",O484-K484)</f>
        <v/>
      </c>
      <c r="T484" s="12">
        <f>IF(AND(C484="Cetak",L484&lt;&gt;"",L484&lt;TODAY()),"YA","")</f>
        <v/>
      </c>
      <c r="U484" s="12">
        <f>IF(B484="","",TEXT(B484,"yyyy-mm"))</f>
        <v/>
      </c>
    </row>
    <row r="485">
      <c r="A485" s="17" t="n"/>
      <c r="B485" s="18" t="n"/>
      <c r="C485" s="17" t="n"/>
      <c r="D485" s="17" t="n"/>
      <c r="E485" s="17" t="n"/>
      <c r="F485" s="17" t="n"/>
      <c r="G485" s="19" t="n"/>
      <c r="H485" s="17" t="n"/>
      <c r="I485" s="19" t="n"/>
      <c r="J485" s="17" t="n"/>
      <c r="K485" s="18" t="n"/>
      <c r="L485" s="18" t="n"/>
      <c r="M485" s="17" t="n"/>
      <c r="N485" s="17" t="n"/>
      <c r="O485" s="18" t="n"/>
      <c r="P485" s="18" t="n"/>
      <c r="Q485" s="17" t="n"/>
      <c r="R485" s="13">
        <f>IF(A485="","",N(G485)+N(I485))</f>
        <v/>
      </c>
      <c r="S485" s="12">
        <f>IF(OR(K485="",O485=""),"",O485-K485)</f>
        <v/>
      </c>
      <c r="T485" s="12">
        <f>IF(AND(C485="Cetak",L485&lt;&gt;"",L485&lt;TODAY()),"YA","")</f>
        <v/>
      </c>
      <c r="U485" s="12">
        <f>IF(B485="","",TEXT(B485,"yyyy-mm"))</f>
        <v/>
      </c>
    </row>
    <row r="486">
      <c r="A486" s="17" t="n"/>
      <c r="B486" s="18" t="n"/>
      <c r="C486" s="17" t="n"/>
      <c r="D486" s="17" t="n"/>
      <c r="E486" s="17" t="n"/>
      <c r="F486" s="17" t="n"/>
      <c r="G486" s="19" t="n"/>
      <c r="H486" s="17" t="n"/>
      <c r="I486" s="19" t="n"/>
      <c r="J486" s="17" t="n"/>
      <c r="K486" s="18" t="n"/>
      <c r="L486" s="18" t="n"/>
      <c r="M486" s="17" t="n"/>
      <c r="N486" s="17" t="n"/>
      <c r="O486" s="18" t="n"/>
      <c r="P486" s="18" t="n"/>
      <c r="Q486" s="17" t="n"/>
      <c r="R486" s="13">
        <f>IF(A486="","",N(G486)+N(I486))</f>
        <v/>
      </c>
      <c r="S486" s="12">
        <f>IF(OR(K486="",O486=""),"",O486-K486)</f>
        <v/>
      </c>
      <c r="T486" s="12">
        <f>IF(AND(C486="Cetak",L486&lt;&gt;"",L486&lt;TODAY()),"YA","")</f>
        <v/>
      </c>
      <c r="U486" s="12">
        <f>IF(B486="","",TEXT(B486,"yyyy-mm"))</f>
        <v/>
      </c>
    </row>
    <row r="487">
      <c r="A487" s="17" t="n"/>
      <c r="B487" s="18" t="n"/>
      <c r="C487" s="17" t="n"/>
      <c r="D487" s="17" t="n"/>
      <c r="E487" s="17" t="n"/>
      <c r="F487" s="17" t="n"/>
      <c r="G487" s="19" t="n"/>
      <c r="H487" s="17" t="n"/>
      <c r="I487" s="19" t="n"/>
      <c r="J487" s="17" t="n"/>
      <c r="K487" s="18" t="n"/>
      <c r="L487" s="18" t="n"/>
      <c r="M487" s="17" t="n"/>
      <c r="N487" s="17" t="n"/>
      <c r="O487" s="18" t="n"/>
      <c r="P487" s="18" t="n"/>
      <c r="Q487" s="17" t="n"/>
      <c r="R487" s="13">
        <f>IF(A487="","",N(G487)+N(I487))</f>
        <v/>
      </c>
      <c r="S487" s="12">
        <f>IF(OR(K487="",O487=""),"",O487-K487)</f>
        <v/>
      </c>
      <c r="T487" s="12">
        <f>IF(AND(C487="Cetak",L487&lt;&gt;"",L487&lt;TODAY()),"YA","")</f>
        <v/>
      </c>
      <c r="U487" s="12">
        <f>IF(B487="","",TEXT(B487,"yyyy-mm"))</f>
        <v/>
      </c>
    </row>
    <row r="488">
      <c r="A488" s="17" t="n"/>
      <c r="B488" s="18" t="n"/>
      <c r="C488" s="17" t="n"/>
      <c r="D488" s="17" t="n"/>
      <c r="E488" s="17" t="n"/>
      <c r="F488" s="17" t="n"/>
      <c r="G488" s="19" t="n"/>
      <c r="H488" s="17" t="n"/>
      <c r="I488" s="19" t="n"/>
      <c r="J488" s="17" t="n"/>
      <c r="K488" s="18" t="n"/>
      <c r="L488" s="18" t="n"/>
      <c r="M488" s="17" t="n"/>
      <c r="N488" s="17" t="n"/>
      <c r="O488" s="18" t="n"/>
      <c r="P488" s="18" t="n"/>
      <c r="Q488" s="17" t="n"/>
      <c r="R488" s="13">
        <f>IF(A488="","",N(G488)+N(I488))</f>
        <v/>
      </c>
      <c r="S488" s="12">
        <f>IF(OR(K488="",O488=""),"",O488-K488)</f>
        <v/>
      </c>
      <c r="T488" s="12">
        <f>IF(AND(C488="Cetak",L488&lt;&gt;"",L488&lt;TODAY()),"YA","")</f>
        <v/>
      </c>
      <c r="U488" s="12">
        <f>IF(B488="","",TEXT(B488,"yyyy-mm"))</f>
        <v/>
      </c>
    </row>
    <row r="489">
      <c r="A489" s="17" t="n"/>
      <c r="B489" s="18" t="n"/>
      <c r="C489" s="17" t="n"/>
      <c r="D489" s="17" t="n"/>
      <c r="E489" s="17" t="n"/>
      <c r="F489" s="17" t="n"/>
      <c r="G489" s="19" t="n"/>
      <c r="H489" s="17" t="n"/>
      <c r="I489" s="19" t="n"/>
      <c r="J489" s="17" t="n"/>
      <c r="K489" s="18" t="n"/>
      <c r="L489" s="18" t="n"/>
      <c r="M489" s="17" t="n"/>
      <c r="N489" s="17" t="n"/>
      <c r="O489" s="18" t="n"/>
      <c r="P489" s="18" t="n"/>
      <c r="Q489" s="17" t="n"/>
      <c r="R489" s="13">
        <f>IF(A489="","",N(G489)+N(I489))</f>
        <v/>
      </c>
      <c r="S489" s="12">
        <f>IF(OR(K489="",O489=""),"",O489-K489)</f>
        <v/>
      </c>
      <c r="T489" s="12">
        <f>IF(AND(C489="Cetak",L489&lt;&gt;"",L489&lt;TODAY()),"YA","")</f>
        <v/>
      </c>
      <c r="U489" s="12">
        <f>IF(B489="","",TEXT(B489,"yyyy-mm"))</f>
        <v/>
      </c>
    </row>
    <row r="490">
      <c r="A490" s="17" t="n"/>
      <c r="B490" s="18" t="n"/>
      <c r="C490" s="17" t="n"/>
      <c r="D490" s="17" t="n"/>
      <c r="E490" s="17" t="n"/>
      <c r="F490" s="17" t="n"/>
      <c r="G490" s="19" t="n"/>
      <c r="H490" s="17" t="n"/>
      <c r="I490" s="19" t="n"/>
      <c r="J490" s="17" t="n"/>
      <c r="K490" s="18" t="n"/>
      <c r="L490" s="18" t="n"/>
      <c r="M490" s="17" t="n"/>
      <c r="N490" s="17" t="n"/>
      <c r="O490" s="18" t="n"/>
      <c r="P490" s="18" t="n"/>
      <c r="Q490" s="17" t="n"/>
      <c r="R490" s="13">
        <f>IF(A490="","",N(G490)+N(I490))</f>
        <v/>
      </c>
      <c r="S490" s="12">
        <f>IF(OR(K490="",O490=""),"",O490-K490)</f>
        <v/>
      </c>
      <c r="T490" s="12">
        <f>IF(AND(C490="Cetak",L490&lt;&gt;"",L490&lt;TODAY()),"YA","")</f>
        <v/>
      </c>
      <c r="U490" s="12">
        <f>IF(B490="","",TEXT(B490,"yyyy-mm"))</f>
        <v/>
      </c>
    </row>
    <row r="491">
      <c r="A491" s="17" t="n"/>
      <c r="B491" s="18" t="n"/>
      <c r="C491" s="17" t="n"/>
      <c r="D491" s="17" t="n"/>
      <c r="E491" s="17" t="n"/>
      <c r="F491" s="17" t="n"/>
      <c r="G491" s="19" t="n"/>
      <c r="H491" s="17" t="n"/>
      <c r="I491" s="19" t="n"/>
      <c r="J491" s="17" t="n"/>
      <c r="K491" s="18" t="n"/>
      <c r="L491" s="18" t="n"/>
      <c r="M491" s="17" t="n"/>
      <c r="N491" s="17" t="n"/>
      <c r="O491" s="18" t="n"/>
      <c r="P491" s="18" t="n"/>
      <c r="Q491" s="17" t="n"/>
      <c r="R491" s="13">
        <f>IF(A491="","",N(G491)+N(I491))</f>
        <v/>
      </c>
      <c r="S491" s="12">
        <f>IF(OR(K491="",O491=""),"",O491-K491)</f>
        <v/>
      </c>
      <c r="T491" s="12">
        <f>IF(AND(C491="Cetak",L491&lt;&gt;"",L491&lt;TODAY()),"YA","")</f>
        <v/>
      </c>
      <c r="U491" s="12">
        <f>IF(B491="","",TEXT(B491,"yyyy-mm"))</f>
        <v/>
      </c>
    </row>
    <row r="492">
      <c r="A492" s="17" t="n"/>
      <c r="B492" s="18" t="n"/>
      <c r="C492" s="17" t="n"/>
      <c r="D492" s="17" t="n"/>
      <c r="E492" s="17" t="n"/>
      <c r="F492" s="17" t="n"/>
      <c r="G492" s="19" t="n"/>
      <c r="H492" s="17" t="n"/>
      <c r="I492" s="19" t="n"/>
      <c r="J492" s="17" t="n"/>
      <c r="K492" s="18" t="n"/>
      <c r="L492" s="18" t="n"/>
      <c r="M492" s="17" t="n"/>
      <c r="N492" s="17" t="n"/>
      <c r="O492" s="18" t="n"/>
      <c r="P492" s="18" t="n"/>
      <c r="Q492" s="17" t="n"/>
      <c r="R492" s="13">
        <f>IF(A492="","",N(G492)+N(I492))</f>
        <v/>
      </c>
      <c r="S492" s="12">
        <f>IF(OR(K492="",O492=""),"",O492-K492)</f>
        <v/>
      </c>
      <c r="T492" s="12">
        <f>IF(AND(C492="Cetak",L492&lt;&gt;"",L492&lt;TODAY()),"YA","")</f>
        <v/>
      </c>
      <c r="U492" s="12">
        <f>IF(B492="","",TEXT(B492,"yyyy-mm"))</f>
        <v/>
      </c>
    </row>
    <row r="493">
      <c r="A493" s="17" t="n"/>
      <c r="B493" s="18" t="n"/>
      <c r="C493" s="17" t="n"/>
      <c r="D493" s="17" t="n"/>
      <c r="E493" s="17" t="n"/>
      <c r="F493" s="17" t="n"/>
      <c r="G493" s="19" t="n"/>
      <c r="H493" s="17" t="n"/>
      <c r="I493" s="19" t="n"/>
      <c r="J493" s="17" t="n"/>
      <c r="K493" s="18" t="n"/>
      <c r="L493" s="18" t="n"/>
      <c r="M493" s="17" t="n"/>
      <c r="N493" s="17" t="n"/>
      <c r="O493" s="18" t="n"/>
      <c r="P493" s="18" t="n"/>
      <c r="Q493" s="17" t="n"/>
      <c r="R493" s="13">
        <f>IF(A493="","",N(G493)+N(I493))</f>
        <v/>
      </c>
      <c r="S493" s="12">
        <f>IF(OR(K493="",O493=""),"",O493-K493)</f>
        <v/>
      </c>
      <c r="T493" s="12">
        <f>IF(AND(C493="Cetak",L493&lt;&gt;"",L493&lt;TODAY()),"YA","")</f>
        <v/>
      </c>
      <c r="U493" s="12">
        <f>IF(B493="","",TEXT(B493,"yyyy-mm"))</f>
        <v/>
      </c>
    </row>
    <row r="494">
      <c r="A494" s="17" t="n"/>
      <c r="B494" s="18" t="n"/>
      <c r="C494" s="17" t="n"/>
      <c r="D494" s="17" t="n"/>
      <c r="E494" s="17" t="n"/>
      <c r="F494" s="17" t="n"/>
      <c r="G494" s="19" t="n"/>
      <c r="H494" s="17" t="n"/>
      <c r="I494" s="19" t="n"/>
      <c r="J494" s="17" t="n"/>
      <c r="K494" s="18" t="n"/>
      <c r="L494" s="18" t="n"/>
      <c r="M494" s="17" t="n"/>
      <c r="N494" s="17" t="n"/>
      <c r="O494" s="18" t="n"/>
      <c r="P494" s="18" t="n"/>
      <c r="Q494" s="17" t="n"/>
      <c r="R494" s="13">
        <f>IF(A494="","",N(G494)+N(I494))</f>
        <v/>
      </c>
      <c r="S494" s="12">
        <f>IF(OR(K494="",O494=""),"",O494-K494)</f>
        <v/>
      </c>
      <c r="T494" s="12">
        <f>IF(AND(C494="Cetak",L494&lt;&gt;"",L494&lt;TODAY()),"YA","")</f>
        <v/>
      </c>
      <c r="U494" s="12">
        <f>IF(B494="","",TEXT(B494,"yyyy-mm"))</f>
        <v/>
      </c>
    </row>
    <row r="495">
      <c r="A495" s="17" t="n"/>
      <c r="B495" s="18" t="n"/>
      <c r="C495" s="17" t="n"/>
      <c r="D495" s="17" t="n"/>
      <c r="E495" s="17" t="n"/>
      <c r="F495" s="17" t="n"/>
      <c r="G495" s="19" t="n"/>
      <c r="H495" s="17" t="n"/>
      <c r="I495" s="19" t="n"/>
      <c r="J495" s="17" t="n"/>
      <c r="K495" s="18" t="n"/>
      <c r="L495" s="18" t="n"/>
      <c r="M495" s="17" t="n"/>
      <c r="N495" s="17" t="n"/>
      <c r="O495" s="18" t="n"/>
      <c r="P495" s="18" t="n"/>
      <c r="Q495" s="17" t="n"/>
      <c r="R495" s="13">
        <f>IF(A495="","",N(G495)+N(I495))</f>
        <v/>
      </c>
      <c r="S495" s="12">
        <f>IF(OR(K495="",O495=""),"",O495-K495)</f>
        <v/>
      </c>
      <c r="T495" s="12">
        <f>IF(AND(C495="Cetak",L495&lt;&gt;"",L495&lt;TODAY()),"YA","")</f>
        <v/>
      </c>
      <c r="U495" s="12">
        <f>IF(B495="","",TEXT(B495,"yyyy-mm"))</f>
        <v/>
      </c>
    </row>
    <row r="496">
      <c r="A496" s="17" t="n"/>
      <c r="B496" s="18" t="n"/>
      <c r="C496" s="17" t="n"/>
      <c r="D496" s="17" t="n"/>
      <c r="E496" s="17" t="n"/>
      <c r="F496" s="17" t="n"/>
      <c r="G496" s="19" t="n"/>
      <c r="H496" s="17" t="n"/>
      <c r="I496" s="19" t="n"/>
      <c r="J496" s="17" t="n"/>
      <c r="K496" s="18" t="n"/>
      <c r="L496" s="18" t="n"/>
      <c r="M496" s="17" t="n"/>
      <c r="N496" s="17" t="n"/>
      <c r="O496" s="18" t="n"/>
      <c r="P496" s="18" t="n"/>
      <c r="Q496" s="17" t="n"/>
      <c r="R496" s="13">
        <f>IF(A496="","",N(G496)+N(I496))</f>
        <v/>
      </c>
      <c r="S496" s="12">
        <f>IF(OR(K496="",O496=""),"",O496-K496)</f>
        <v/>
      </c>
      <c r="T496" s="12">
        <f>IF(AND(C496="Cetak",L496&lt;&gt;"",L496&lt;TODAY()),"YA","")</f>
        <v/>
      </c>
      <c r="U496" s="12">
        <f>IF(B496="","",TEXT(B496,"yyyy-mm"))</f>
        <v/>
      </c>
    </row>
    <row r="497">
      <c r="A497" s="17" t="n"/>
      <c r="B497" s="18" t="n"/>
      <c r="C497" s="17" t="n"/>
      <c r="D497" s="17" t="n"/>
      <c r="E497" s="17" t="n"/>
      <c r="F497" s="17" t="n"/>
      <c r="G497" s="19" t="n"/>
      <c r="H497" s="17" t="n"/>
      <c r="I497" s="19" t="n"/>
      <c r="J497" s="17" t="n"/>
      <c r="K497" s="18" t="n"/>
      <c r="L497" s="18" t="n"/>
      <c r="M497" s="17" t="n"/>
      <c r="N497" s="17" t="n"/>
      <c r="O497" s="18" t="n"/>
      <c r="P497" s="18" t="n"/>
      <c r="Q497" s="17" t="n"/>
      <c r="R497" s="13">
        <f>IF(A497="","",N(G497)+N(I497))</f>
        <v/>
      </c>
      <c r="S497" s="12">
        <f>IF(OR(K497="",O497=""),"",O497-K497)</f>
        <v/>
      </c>
      <c r="T497" s="12">
        <f>IF(AND(C497="Cetak",L497&lt;&gt;"",L497&lt;TODAY()),"YA","")</f>
        <v/>
      </c>
      <c r="U497" s="12">
        <f>IF(B497="","",TEXT(B497,"yyyy-mm"))</f>
        <v/>
      </c>
    </row>
    <row r="498">
      <c r="A498" s="17" t="n"/>
      <c r="B498" s="18" t="n"/>
      <c r="C498" s="17" t="n"/>
      <c r="D498" s="17" t="n"/>
      <c r="E498" s="17" t="n"/>
      <c r="F498" s="17" t="n"/>
      <c r="G498" s="19" t="n"/>
      <c r="H498" s="17" t="n"/>
      <c r="I498" s="19" t="n"/>
      <c r="J498" s="17" t="n"/>
      <c r="K498" s="18" t="n"/>
      <c r="L498" s="18" t="n"/>
      <c r="M498" s="17" t="n"/>
      <c r="N498" s="17" t="n"/>
      <c r="O498" s="18" t="n"/>
      <c r="P498" s="18" t="n"/>
      <c r="Q498" s="17" t="n"/>
      <c r="R498" s="13">
        <f>IF(A498="","",N(G498)+N(I498))</f>
        <v/>
      </c>
      <c r="S498" s="12">
        <f>IF(OR(K498="",O498=""),"",O498-K498)</f>
        <v/>
      </c>
      <c r="T498" s="12">
        <f>IF(AND(C498="Cetak",L498&lt;&gt;"",L498&lt;TODAY()),"YA","")</f>
        <v/>
      </c>
      <c r="U498" s="12">
        <f>IF(B498="","",TEXT(B498,"yyyy-mm"))</f>
        <v/>
      </c>
    </row>
    <row r="499">
      <c r="A499" s="17" t="n"/>
      <c r="B499" s="18" t="n"/>
      <c r="C499" s="17" t="n"/>
      <c r="D499" s="17" t="n"/>
      <c r="E499" s="17" t="n"/>
      <c r="F499" s="17" t="n"/>
      <c r="G499" s="19" t="n"/>
      <c r="H499" s="17" t="n"/>
      <c r="I499" s="19" t="n"/>
      <c r="J499" s="17" t="n"/>
      <c r="K499" s="18" t="n"/>
      <c r="L499" s="18" t="n"/>
      <c r="M499" s="17" t="n"/>
      <c r="N499" s="17" t="n"/>
      <c r="O499" s="18" t="n"/>
      <c r="P499" s="18" t="n"/>
      <c r="Q499" s="17" t="n"/>
      <c r="R499" s="13">
        <f>IF(A499="","",N(G499)+N(I499))</f>
        <v/>
      </c>
      <c r="S499" s="12">
        <f>IF(OR(K499="",O499=""),"",O499-K499)</f>
        <v/>
      </c>
      <c r="T499" s="12">
        <f>IF(AND(C499="Cetak",L499&lt;&gt;"",L499&lt;TODAY()),"YA","")</f>
        <v/>
      </c>
      <c r="U499" s="12">
        <f>IF(B499="","",TEXT(B499,"yyyy-mm"))</f>
        <v/>
      </c>
    </row>
    <row r="500">
      <c r="A500" s="17" t="n"/>
      <c r="B500" s="18" t="n"/>
      <c r="C500" s="17" t="n"/>
      <c r="D500" s="17" t="n"/>
      <c r="E500" s="17" t="n"/>
      <c r="F500" s="17" t="n"/>
      <c r="G500" s="19" t="n"/>
      <c r="H500" s="17" t="n"/>
      <c r="I500" s="19" t="n"/>
      <c r="J500" s="17" t="n"/>
      <c r="K500" s="18" t="n"/>
      <c r="L500" s="18" t="n"/>
      <c r="M500" s="17" t="n"/>
      <c r="N500" s="17" t="n"/>
      <c r="O500" s="18" t="n"/>
      <c r="P500" s="18" t="n"/>
      <c r="Q500" s="17" t="n"/>
      <c r="R500" s="13">
        <f>IF(A500="","",N(G500)+N(I500))</f>
        <v/>
      </c>
      <c r="S500" s="12">
        <f>IF(OR(K500="",O500=""),"",O500-K500)</f>
        <v/>
      </c>
      <c r="T500" s="12">
        <f>IF(AND(C500="Cetak",L500&lt;&gt;"",L500&lt;TODAY()),"YA","")</f>
        <v/>
      </c>
      <c r="U500" s="12">
        <f>IF(B500="","",TEXT(B500,"yyyy-mm"))</f>
        <v/>
      </c>
    </row>
    <row r="501">
      <c r="A501" s="17" t="n"/>
      <c r="B501" s="18" t="n"/>
      <c r="C501" s="17" t="n"/>
      <c r="D501" s="17" t="n"/>
      <c r="E501" s="17" t="n"/>
      <c r="F501" s="17" t="n"/>
      <c r="G501" s="19" t="n"/>
      <c r="H501" s="17" t="n"/>
      <c r="I501" s="19" t="n"/>
      <c r="J501" s="17" t="n"/>
      <c r="K501" s="18" t="n"/>
      <c r="L501" s="18" t="n"/>
      <c r="M501" s="17" t="n"/>
      <c r="N501" s="17" t="n"/>
      <c r="O501" s="18" t="n"/>
      <c r="P501" s="18" t="n"/>
      <c r="Q501" s="17" t="n"/>
      <c r="R501" s="13">
        <f>IF(A501="","",N(G501)+N(I501))</f>
        <v/>
      </c>
      <c r="S501" s="12">
        <f>IF(OR(K501="",O501=""),"",O501-K501)</f>
        <v/>
      </c>
      <c r="T501" s="12">
        <f>IF(AND(C501="Cetak",L501&lt;&gt;"",L501&lt;TODAY()),"YA","")</f>
        <v/>
      </c>
      <c r="U501" s="12">
        <f>IF(B501="","",TEXT(B501,"yyyy-mm"))</f>
        <v/>
      </c>
    </row>
  </sheetData>
  <autoFilter ref="A1:U501"/>
  <conditionalFormatting sqref="A2:U501">
    <cfRule type="expression" priority="1" dxfId="1">
      <formula>$T2="YA"</formula>
    </cfRule>
    <cfRule type="expression" priority="2" dxfId="0">
      <formula>$C2="Baru"</formula>
    </cfRule>
  </conditionalFormatting>
  <dataValidations count="2">
    <dataValidation sqref="C2:C501" showDropDown="0" showInputMessage="0" showErrorMessage="0" allowBlank="1" type="list">
      <formula1>"Baru,Konfirmasi,Tunggu bayar,Cetak,Dikirim,Selesai,Batal"</formula1>
    </dataValidation>
    <dataValidation sqref="H2:H501" showDropDown="0" showInputMessage="0" showErrorMessage="0" allowBlank="1" type="list">
      <formula1>"Jabodetabek,Pulau Jawa,Luar Jawa"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8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3" customWidth="1" min="11" max="11"/>
    <col width="11" customWidth="1" min="12" max="12"/>
    <col width="10" customWidth="1" min="13" max="13"/>
    <col width="12" customWidth="1" min="14" max="14"/>
    <col width="9" customWidth="1" min="15" max="15"/>
  </cols>
  <sheetData>
    <row r="1" ht="30" customHeight="1">
      <c r="A1" s="16" t="inlineStr">
        <is>
          <t>Kode</t>
        </is>
      </c>
      <c r="B1" s="16" t="inlineStr">
        <is>
          <t>Item</t>
        </is>
      </c>
      <c r="C1" s="16" t="inlineStr">
        <is>
          <t>Kategori</t>
        </is>
      </c>
      <c r="D1" s="16" t="inlineStr">
        <is>
          <t>Satuan</t>
        </is>
      </c>
      <c r="E1" s="16" t="inlineStr">
        <is>
          <t>Harga beli / satuan</t>
        </is>
      </c>
      <c r="F1" s="16" t="inlineStr">
        <is>
          <t>Stok minimum</t>
        </is>
      </c>
      <c r="G1" s="16" t="inlineStr">
        <is>
          <t>Lead time beli (hari)</t>
        </is>
      </c>
      <c r="H1" s="16" t="inlineStr">
        <is>
          <t>Masuk total</t>
        </is>
      </c>
      <c r="I1" s="16" t="inlineStr">
        <is>
          <t>Keluar total</t>
        </is>
      </c>
      <c r="J1" s="16" t="inlineStr">
        <is>
          <t>Saldo</t>
        </is>
      </c>
      <c r="K1" s="16" t="inlineStr">
        <is>
          <t>Nilai stok</t>
        </is>
      </c>
      <c r="L1" s="16" t="inlineStr">
        <is>
          <t>Pakai 30 hari</t>
        </is>
      </c>
      <c r="M1" s="16" t="inlineStr">
        <is>
          <t>Hari tersisa</t>
        </is>
      </c>
      <c r="N1" s="16" t="inlineStr">
        <is>
          <t>Titik pesan ulang</t>
        </is>
      </c>
      <c r="O1" s="16" t="inlineStr">
        <is>
          <t>Status</t>
        </is>
      </c>
    </row>
    <row r="2">
      <c r="A2" s="20" t="inlineStr">
        <is>
          <t>F-KRE</t>
        </is>
      </c>
      <c r="B2" s="20" t="inlineStr">
        <is>
          <t>Filamen PLA matte Krem</t>
        </is>
      </c>
      <c r="C2" s="20" t="inlineStr">
        <is>
          <t>Filamen</t>
        </is>
      </c>
      <c r="D2" s="20" t="inlineStr">
        <is>
          <t>kg</t>
        </is>
      </c>
      <c r="E2" s="21" t="n">
        <v>175000</v>
      </c>
      <c r="F2" s="22" t="n">
        <v>0.5</v>
      </c>
      <c r="G2" s="22" t="n">
        <v>5</v>
      </c>
      <c r="H2" s="12">
        <f>SUMIF(Kartu_Stok!$B$2:$B$501,A2,Kartu_Stok!$C$2:$C$501)</f>
        <v/>
      </c>
      <c r="I2" s="12">
        <f>SUMIF(Kartu_Stok!$B$2:$B$501,A2,Kartu_Stok!$D$2:$D$501)</f>
        <v/>
      </c>
      <c r="J2" s="23">
        <f>H2-I2</f>
        <v/>
      </c>
      <c r="K2" s="13">
        <f>J2*E2</f>
        <v/>
      </c>
      <c r="L2" s="23">
        <f>SUMIFS(Kartu_Stok!$D$2:$D$501,Kartu_Stok!$B$2:$B$501,A2,Kartu_Stok!$A$2:$A$501,"&gt;="&amp;(TODAY()-30))</f>
        <v/>
      </c>
      <c r="M2" s="12">
        <f>IF(L2=0,"",ROUND(J2/(L2/30),0))</f>
        <v/>
      </c>
      <c r="N2" s="23">
        <f>F2+L2/30*G2</f>
        <v/>
      </c>
      <c r="O2" s="12">
        <f>IF(J2&lt;=N2,"BELI","OK")</f>
        <v/>
      </c>
    </row>
    <row r="3">
      <c r="A3" s="20" t="inlineStr">
        <is>
          <t>F-HIT</t>
        </is>
      </c>
      <c r="B3" s="20" t="inlineStr">
        <is>
          <t>Filamen PLA matte Hitam arang</t>
        </is>
      </c>
      <c r="C3" s="20" t="inlineStr">
        <is>
          <t>Filamen</t>
        </is>
      </c>
      <c r="D3" s="20" t="inlineStr">
        <is>
          <t>kg</t>
        </is>
      </c>
      <c r="E3" s="21" t="n">
        <v>175000</v>
      </c>
      <c r="F3" s="22" t="n">
        <v>0.5</v>
      </c>
      <c r="G3" s="22" t="n">
        <v>5</v>
      </c>
      <c r="H3" s="12">
        <f>SUMIF(Kartu_Stok!$B$2:$B$501,A3,Kartu_Stok!$C$2:$C$501)</f>
        <v/>
      </c>
      <c r="I3" s="12">
        <f>SUMIF(Kartu_Stok!$B$2:$B$501,A3,Kartu_Stok!$D$2:$D$501)</f>
        <v/>
      </c>
      <c r="J3" s="23">
        <f>H3-I3</f>
        <v/>
      </c>
      <c r="K3" s="13">
        <f>J3*E3</f>
        <v/>
      </c>
      <c r="L3" s="23">
        <f>SUMIFS(Kartu_Stok!$D$2:$D$501,Kartu_Stok!$B$2:$B$501,A3,Kartu_Stok!$A$2:$A$501,"&gt;="&amp;(TODAY()-30))</f>
        <v/>
      </c>
      <c r="M3" s="12">
        <f>IF(L3=0,"",ROUND(J3/(L3/30),0))</f>
        <v/>
      </c>
      <c r="N3" s="23">
        <f>F3+L3/30*G3</f>
        <v/>
      </c>
      <c r="O3" s="12">
        <f>IF(J3&lt;=N3,"BELI","OK")</f>
        <v/>
      </c>
    </row>
    <row r="4">
      <c r="A4" s="20" t="inlineStr">
        <is>
          <t>F-BAT</t>
        </is>
      </c>
      <c r="B4" s="20" t="inlineStr">
        <is>
          <t>Filamen PLA matte Merah bata</t>
        </is>
      </c>
      <c r="C4" s="20" t="inlineStr">
        <is>
          <t>Filamen</t>
        </is>
      </c>
      <c r="D4" s="20" t="inlineStr">
        <is>
          <t>kg</t>
        </is>
      </c>
      <c r="E4" s="21" t="n">
        <v>175000</v>
      </c>
      <c r="F4" s="22" t="n">
        <v>0.5</v>
      </c>
      <c r="G4" s="22" t="n">
        <v>5</v>
      </c>
      <c r="H4" s="12">
        <f>SUMIF(Kartu_Stok!$B$2:$B$501,A4,Kartu_Stok!$C$2:$C$501)</f>
        <v/>
      </c>
      <c r="I4" s="12">
        <f>SUMIF(Kartu_Stok!$B$2:$B$501,A4,Kartu_Stok!$D$2:$D$501)</f>
        <v/>
      </c>
      <c r="J4" s="23">
        <f>H4-I4</f>
        <v/>
      </c>
      <c r="K4" s="13">
        <f>J4*E4</f>
        <v/>
      </c>
      <c r="L4" s="23">
        <f>SUMIFS(Kartu_Stok!$D$2:$D$501,Kartu_Stok!$B$2:$B$501,A4,Kartu_Stok!$A$2:$A$501,"&gt;="&amp;(TODAY()-30))</f>
        <v/>
      </c>
      <c r="M4" s="12">
        <f>IF(L4=0,"",ROUND(J4/(L4/30),0))</f>
        <v/>
      </c>
      <c r="N4" s="23">
        <f>F4+L4/30*G4</f>
        <v/>
      </c>
      <c r="O4" s="12">
        <f>IF(J4&lt;=N4,"BELI","OK")</f>
        <v/>
      </c>
    </row>
    <row r="5">
      <c r="A5" s="20" t="inlineStr">
        <is>
          <t>F-ZAI</t>
        </is>
      </c>
      <c r="B5" s="20" t="inlineStr">
        <is>
          <t>Filamen PLA matte Zaitun</t>
        </is>
      </c>
      <c r="C5" s="20" t="inlineStr">
        <is>
          <t>Filamen</t>
        </is>
      </c>
      <c r="D5" s="20" t="inlineStr">
        <is>
          <t>kg</t>
        </is>
      </c>
      <c r="E5" s="21" t="n">
        <v>175000</v>
      </c>
      <c r="F5" s="22" t="n">
        <v>0.5</v>
      </c>
      <c r="G5" s="22" t="n">
        <v>5</v>
      </c>
      <c r="H5" s="12">
        <f>SUMIF(Kartu_Stok!$B$2:$B$501,A5,Kartu_Stok!$C$2:$C$501)</f>
        <v/>
      </c>
      <c r="I5" s="12">
        <f>SUMIF(Kartu_Stok!$B$2:$B$501,A5,Kartu_Stok!$D$2:$D$501)</f>
        <v/>
      </c>
      <c r="J5" s="23">
        <f>H5-I5</f>
        <v/>
      </c>
      <c r="K5" s="13">
        <f>J5*E5</f>
        <v/>
      </c>
      <c r="L5" s="23">
        <f>SUMIFS(Kartu_Stok!$D$2:$D$501,Kartu_Stok!$B$2:$B$501,A5,Kartu_Stok!$A$2:$A$501,"&gt;="&amp;(TODAY()-30))</f>
        <v/>
      </c>
      <c r="M5" s="12">
        <f>IF(L5=0,"",ROUND(J5/(L5/30),0))</f>
        <v/>
      </c>
      <c r="N5" s="23">
        <f>F5+L5/30*G5</f>
        <v/>
      </c>
      <c r="O5" s="12">
        <f>IF(J5&lt;=N5,"BELI","OK")</f>
        <v/>
      </c>
    </row>
    <row r="6">
      <c r="A6" s="20" t="inlineStr">
        <is>
          <t>F-SAL</t>
        </is>
      </c>
      <c r="B6" s="20" t="inlineStr">
        <is>
          <t>Filamen PLA matte Salmon</t>
        </is>
      </c>
      <c r="C6" s="20" t="inlineStr">
        <is>
          <t>Filamen</t>
        </is>
      </c>
      <c r="D6" s="20" t="inlineStr">
        <is>
          <t>kg</t>
        </is>
      </c>
      <c r="E6" s="21" t="n">
        <v>175000</v>
      </c>
      <c r="F6" s="22" t="n">
        <v>0.5</v>
      </c>
      <c r="G6" s="22" t="n">
        <v>5</v>
      </c>
      <c r="H6" s="12">
        <f>SUMIF(Kartu_Stok!$B$2:$B$501,A6,Kartu_Stok!$C$2:$C$501)</f>
        <v/>
      </c>
      <c r="I6" s="12">
        <f>SUMIF(Kartu_Stok!$B$2:$B$501,A6,Kartu_Stok!$D$2:$D$501)</f>
        <v/>
      </c>
      <c r="J6" s="23">
        <f>H6-I6</f>
        <v/>
      </c>
      <c r="K6" s="13">
        <f>J6*E6</f>
        <v/>
      </c>
      <c r="L6" s="23">
        <f>SUMIFS(Kartu_Stok!$D$2:$D$501,Kartu_Stok!$B$2:$B$501,A6,Kartu_Stok!$A$2:$A$501,"&gt;="&amp;(TODAY()-30))</f>
        <v/>
      </c>
      <c r="M6" s="12">
        <f>IF(L6=0,"",ROUND(J6/(L6/30),0))</f>
        <v/>
      </c>
      <c r="N6" s="23">
        <f>F6+L6/30*G6</f>
        <v/>
      </c>
      <c r="O6" s="12">
        <f>IF(J6&lt;=N6,"BELI","OK")</f>
        <v/>
      </c>
    </row>
    <row r="7">
      <c r="A7" s="20" t="inlineStr">
        <is>
          <t>F-GAD</t>
        </is>
      </c>
      <c r="B7" s="20" t="inlineStr">
        <is>
          <t>Filamen PLA natural Gading (kap)</t>
        </is>
      </c>
      <c r="C7" s="20" t="inlineStr">
        <is>
          <t>Filamen</t>
        </is>
      </c>
      <c r="D7" s="20" t="inlineStr">
        <is>
          <t>kg</t>
        </is>
      </c>
      <c r="E7" s="21" t="n">
        <v>175000</v>
      </c>
      <c r="F7" s="22" t="n">
        <v>0.5</v>
      </c>
      <c r="G7" s="22" t="n">
        <v>5</v>
      </c>
      <c r="H7" s="12">
        <f>SUMIF(Kartu_Stok!$B$2:$B$501,A7,Kartu_Stok!$C$2:$C$501)</f>
        <v/>
      </c>
      <c r="I7" s="12">
        <f>SUMIF(Kartu_Stok!$B$2:$B$501,A7,Kartu_Stok!$D$2:$D$501)</f>
        <v/>
      </c>
      <c r="J7" s="23">
        <f>H7-I7</f>
        <v/>
      </c>
      <c r="K7" s="13">
        <f>J7*E7</f>
        <v/>
      </c>
      <c r="L7" s="23">
        <f>SUMIFS(Kartu_Stok!$D$2:$D$501,Kartu_Stok!$B$2:$B$501,A7,Kartu_Stok!$A$2:$A$501,"&gt;="&amp;(TODAY()-30))</f>
        <v/>
      </c>
      <c r="M7" s="12">
        <f>IF(L7=0,"",ROUND(J7/(L7/30),0))</f>
        <v/>
      </c>
      <c r="N7" s="23">
        <f>F7+L7/30*G7</f>
        <v/>
      </c>
      <c r="O7" s="12">
        <f>IF(J7&lt;=N7,"BELI","OK")</f>
        <v/>
      </c>
    </row>
    <row r="8">
      <c r="A8" s="20" t="inlineStr">
        <is>
          <t>F-PUT</t>
        </is>
      </c>
      <c r="B8" s="20" t="inlineStr">
        <is>
          <t>Filamen PLA Putih (kap)</t>
        </is>
      </c>
      <c r="C8" s="20" t="inlineStr">
        <is>
          <t>Filamen</t>
        </is>
      </c>
      <c r="D8" s="20" t="inlineStr">
        <is>
          <t>kg</t>
        </is>
      </c>
      <c r="E8" s="21" t="n">
        <v>175000</v>
      </c>
      <c r="F8" s="22" t="n">
        <v>0.5</v>
      </c>
      <c r="G8" s="22" t="n">
        <v>5</v>
      </c>
      <c r="H8" s="12">
        <f>SUMIF(Kartu_Stok!$B$2:$B$501,A8,Kartu_Stok!$C$2:$C$501)</f>
        <v/>
      </c>
      <c r="I8" s="12">
        <f>SUMIF(Kartu_Stok!$B$2:$B$501,A8,Kartu_Stok!$D$2:$D$501)</f>
        <v/>
      </c>
      <c r="J8" s="23">
        <f>H8-I8</f>
        <v/>
      </c>
      <c r="K8" s="13">
        <f>J8*E8</f>
        <v/>
      </c>
      <c r="L8" s="23">
        <f>SUMIFS(Kartu_Stok!$D$2:$D$501,Kartu_Stok!$B$2:$B$501,A8,Kartu_Stok!$A$2:$A$501,"&gt;="&amp;(TODAY()-30))</f>
        <v/>
      </c>
      <c r="M8" s="12">
        <f>IF(L8=0,"",ROUND(J8/(L8/30),0))</f>
        <v/>
      </c>
      <c r="N8" s="23">
        <f>F8+L8/30*G8</f>
        <v/>
      </c>
      <c r="O8" s="12">
        <f>IF(J8&lt;=N8,"BELI","OK")</f>
        <v/>
      </c>
    </row>
    <row r="9">
      <c r="A9" s="20" t="inlineStr">
        <is>
          <t>K-KIT</t>
        </is>
      </c>
      <c r="B9" s="20" t="inlineStr">
        <is>
          <t>Kit kelistrikan ber-SNI/K3L</t>
        </is>
      </c>
      <c r="C9" s="20" t="inlineStr">
        <is>
          <t>Komponen</t>
        </is>
      </c>
      <c r="D9" s="20" t="inlineStr">
        <is>
          <t>pcs</t>
        </is>
      </c>
      <c r="E9" s="21" t="n">
        <v>35000</v>
      </c>
      <c r="F9" s="22" t="n">
        <v>10</v>
      </c>
      <c r="G9" s="22" t="n">
        <v>7</v>
      </c>
      <c r="H9" s="12">
        <f>SUMIF(Kartu_Stok!$B$2:$B$501,A9,Kartu_Stok!$C$2:$C$501)</f>
        <v/>
      </c>
      <c r="I9" s="12">
        <f>SUMIF(Kartu_Stok!$B$2:$B$501,A9,Kartu_Stok!$D$2:$D$501)</f>
        <v/>
      </c>
      <c r="J9" s="23">
        <f>H9-I9</f>
        <v/>
      </c>
      <c r="K9" s="13">
        <f>J9*E9</f>
        <v/>
      </c>
      <c r="L9" s="23">
        <f>SUMIFS(Kartu_Stok!$D$2:$D$501,Kartu_Stok!$B$2:$B$501,A9,Kartu_Stok!$A$2:$A$501,"&gt;="&amp;(TODAY()-30))</f>
        <v/>
      </c>
      <c r="M9" s="12">
        <f>IF(L9=0,"",ROUND(J9/(L9/30),0))</f>
        <v/>
      </c>
      <c r="N9" s="23">
        <f>F9+L9/30*G9</f>
        <v/>
      </c>
      <c r="O9" s="12">
        <f>IF(J9&lt;=N9,"BELI","OK")</f>
        <v/>
      </c>
    </row>
    <row r="10">
      <c r="A10" s="20" t="inlineStr">
        <is>
          <t>K-LED</t>
        </is>
      </c>
      <c r="B10" s="20" t="inlineStr">
        <is>
          <t>Bohlam LED 5 W hangat</t>
        </is>
      </c>
      <c r="C10" s="20" t="inlineStr">
        <is>
          <t>Komponen</t>
        </is>
      </c>
      <c r="D10" s="20" t="inlineStr">
        <is>
          <t>pcs</t>
        </is>
      </c>
      <c r="E10" s="21" t="n">
        <v>18000</v>
      </c>
      <c r="F10" s="22" t="n">
        <v>5</v>
      </c>
      <c r="G10" s="22" t="n">
        <v>7</v>
      </c>
      <c r="H10" s="12">
        <f>SUMIF(Kartu_Stok!$B$2:$B$501,A10,Kartu_Stok!$C$2:$C$501)</f>
        <v/>
      </c>
      <c r="I10" s="12">
        <f>SUMIF(Kartu_Stok!$B$2:$B$501,A10,Kartu_Stok!$D$2:$D$501)</f>
        <v/>
      </c>
      <c r="J10" s="23">
        <f>H10-I10</f>
        <v/>
      </c>
      <c r="K10" s="13">
        <f>J10*E10</f>
        <v/>
      </c>
      <c r="L10" s="23">
        <f>SUMIFS(Kartu_Stok!$D$2:$D$501,Kartu_Stok!$B$2:$B$501,A10,Kartu_Stok!$A$2:$A$501,"&gt;="&amp;(TODAY()-30))</f>
        <v/>
      </c>
      <c r="M10" s="12">
        <f>IF(L10=0,"",ROUND(J10/(L10/30),0))</f>
        <v/>
      </c>
      <c r="N10" s="23">
        <f>F10+L10/30*G10</f>
        <v/>
      </c>
      <c r="O10" s="12">
        <f>IF(J10&lt;=N10,"BELI","OK")</f>
        <v/>
      </c>
    </row>
    <row r="11">
      <c r="A11" s="20" t="inlineStr">
        <is>
          <t>K-INS</t>
        </is>
      </c>
      <c r="B11" s="20" t="inlineStr">
        <is>
          <t>Heat-set insert M20 / mur ulir</t>
        </is>
      </c>
      <c r="C11" s="20" t="inlineStr">
        <is>
          <t>Komponen</t>
        </is>
      </c>
      <c r="D11" s="20" t="inlineStr">
        <is>
          <t>pcs</t>
        </is>
      </c>
      <c r="E11" s="21" t="n">
        <v>3000</v>
      </c>
      <c r="F11" s="22" t="n">
        <v>20</v>
      </c>
      <c r="G11" s="22" t="n">
        <v>10</v>
      </c>
      <c r="H11" s="12">
        <f>SUMIF(Kartu_Stok!$B$2:$B$501,A11,Kartu_Stok!$C$2:$C$501)</f>
        <v/>
      </c>
      <c r="I11" s="12">
        <f>SUMIF(Kartu_Stok!$B$2:$B$501,A11,Kartu_Stok!$D$2:$D$501)</f>
        <v/>
      </c>
      <c r="J11" s="23">
        <f>H11-I11</f>
        <v/>
      </c>
      <c r="K11" s="13">
        <f>J11*E11</f>
        <v/>
      </c>
      <c r="L11" s="23">
        <f>SUMIFS(Kartu_Stok!$D$2:$D$501,Kartu_Stok!$B$2:$B$501,A11,Kartu_Stok!$A$2:$A$501,"&gt;="&amp;(TODAY()-30))</f>
        <v/>
      </c>
      <c r="M11" s="12">
        <f>IF(L11=0,"",ROUND(J11/(L11/30),0))</f>
        <v/>
      </c>
      <c r="N11" s="23">
        <f>F11+L11/30*G11</f>
        <v/>
      </c>
      <c r="O11" s="12">
        <f>IF(J11&lt;=N11,"BELI","OK")</f>
        <v/>
      </c>
    </row>
    <row r="12">
      <c r="A12" s="20" t="inlineStr">
        <is>
          <t>P-BOX</t>
        </is>
      </c>
      <c r="B12" s="20" t="inlineStr">
        <is>
          <t>Kardus double-wall 25×25×25</t>
        </is>
      </c>
      <c r="C12" s="20" t="inlineStr">
        <is>
          <t>Kemasan</t>
        </is>
      </c>
      <c r="D12" s="20" t="inlineStr">
        <is>
          <t>pcs</t>
        </is>
      </c>
      <c r="E12" s="21" t="n">
        <v>12000</v>
      </c>
      <c r="F12" s="22" t="n">
        <v>10</v>
      </c>
      <c r="G12" s="22" t="n">
        <v>5</v>
      </c>
      <c r="H12" s="12">
        <f>SUMIF(Kartu_Stok!$B$2:$B$501,A12,Kartu_Stok!$C$2:$C$501)</f>
        <v/>
      </c>
      <c r="I12" s="12">
        <f>SUMIF(Kartu_Stok!$B$2:$B$501,A12,Kartu_Stok!$D$2:$D$501)</f>
        <v/>
      </c>
      <c r="J12" s="23">
        <f>H12-I12</f>
        <v/>
      </c>
      <c r="K12" s="13">
        <f>J12*E12</f>
        <v/>
      </c>
      <c r="L12" s="23">
        <f>SUMIFS(Kartu_Stok!$D$2:$D$501,Kartu_Stok!$B$2:$B$501,A12,Kartu_Stok!$A$2:$A$501,"&gt;="&amp;(TODAY()-30))</f>
        <v/>
      </c>
      <c r="M12" s="12">
        <f>IF(L12=0,"",ROUND(J12/(L12/30),0))</f>
        <v/>
      </c>
      <c r="N12" s="23">
        <f>F12+L12/30*G12</f>
        <v/>
      </c>
      <c r="O12" s="12">
        <f>IF(J12&lt;=N12,"BELI","OK")</f>
        <v/>
      </c>
    </row>
    <row r="13">
      <c r="A13" s="20" t="inlineStr">
        <is>
          <t>P-BUS</t>
        </is>
      </c>
      <c r="B13" s="20" t="inlineStr">
        <is>
          <t>Busa / sleeve pelindung</t>
        </is>
      </c>
      <c r="C13" s="20" t="inlineStr">
        <is>
          <t>Kemasan</t>
        </is>
      </c>
      <c r="D13" s="20" t="inlineStr">
        <is>
          <t>pcs</t>
        </is>
      </c>
      <c r="E13" s="21" t="n">
        <v>5000</v>
      </c>
      <c r="F13" s="22" t="n">
        <v>10</v>
      </c>
      <c r="G13" s="22" t="n">
        <v>5</v>
      </c>
      <c r="H13" s="12">
        <f>SUMIF(Kartu_Stok!$B$2:$B$501,A13,Kartu_Stok!$C$2:$C$501)</f>
        <v/>
      </c>
      <c r="I13" s="12">
        <f>SUMIF(Kartu_Stok!$B$2:$B$501,A13,Kartu_Stok!$D$2:$D$501)</f>
        <v/>
      </c>
      <c r="J13" s="23">
        <f>H13-I13</f>
        <v/>
      </c>
      <c r="K13" s="13">
        <f>J13*E13</f>
        <v/>
      </c>
      <c r="L13" s="23">
        <f>SUMIFS(Kartu_Stok!$D$2:$D$501,Kartu_Stok!$B$2:$B$501,A13,Kartu_Stok!$A$2:$A$501,"&gt;="&amp;(TODAY()-30))</f>
        <v/>
      </c>
      <c r="M13" s="12">
        <f>IF(L13=0,"",ROUND(J13/(L13/30),0))</f>
        <v/>
      </c>
      <c r="N13" s="23">
        <f>F13+L13/30*G13</f>
        <v/>
      </c>
      <c r="O13" s="12">
        <f>IF(J13&lt;=N13,"BELI","OK")</f>
        <v/>
      </c>
    </row>
    <row r="14">
      <c r="A14" s="20" t="inlineStr">
        <is>
          <t>P-KRT</t>
        </is>
      </c>
      <c r="B14" s="20" t="inlineStr">
        <is>
          <t>Kartu ucapan + stiker</t>
        </is>
      </c>
      <c r="C14" s="20" t="inlineStr">
        <is>
          <t>Kemasan</t>
        </is>
      </c>
      <c r="D14" s="20" t="inlineStr">
        <is>
          <t>pcs</t>
        </is>
      </c>
      <c r="E14" s="21" t="n">
        <v>1500</v>
      </c>
      <c r="F14" s="22" t="n">
        <v>20</v>
      </c>
      <c r="G14" s="22" t="n">
        <v>7</v>
      </c>
      <c r="H14" s="12">
        <f>SUMIF(Kartu_Stok!$B$2:$B$501,A14,Kartu_Stok!$C$2:$C$501)</f>
        <v/>
      </c>
      <c r="I14" s="12">
        <f>SUMIF(Kartu_Stok!$B$2:$B$501,A14,Kartu_Stok!$D$2:$D$501)</f>
        <v/>
      </c>
      <c r="J14" s="23">
        <f>H14-I14</f>
        <v/>
      </c>
      <c r="K14" s="13">
        <f>J14*E14</f>
        <v/>
      </c>
      <c r="L14" s="23">
        <f>SUMIFS(Kartu_Stok!$D$2:$D$501,Kartu_Stok!$B$2:$B$501,A14,Kartu_Stok!$A$2:$A$501,"&gt;="&amp;(TODAY()-30))</f>
        <v/>
      </c>
      <c r="M14" s="12">
        <f>IF(L14=0,"",ROUND(J14/(L14/30),0))</f>
        <v/>
      </c>
      <c r="N14" s="23">
        <f>F14+L14/30*G14</f>
        <v/>
      </c>
      <c r="O14" s="12">
        <f>IF(J14&lt;=N14,"BELI","OK")</f>
        <v/>
      </c>
    </row>
    <row r="15">
      <c r="A15" s="20" t="inlineStr">
        <is>
          <t>M-PLI</t>
        </is>
      </c>
      <c r="B15" s="20" t="inlineStr">
        <is>
          <t>Modul kap Silinder plisir (gading)</t>
        </is>
      </c>
      <c r="C15" s="20" t="inlineStr">
        <is>
          <t>Modul jadi</t>
        </is>
      </c>
      <c r="D15" s="20" t="inlineStr">
        <is>
          <t>pcs</t>
        </is>
      </c>
      <c r="E15" s="21" t="n">
        <v>0</v>
      </c>
      <c r="F15" s="22" t="n">
        <v>1</v>
      </c>
      <c r="G15" s="22" t="n">
        <v>0</v>
      </c>
      <c r="H15" s="12">
        <f>SUMIF(Kartu_Stok!$B$2:$B$501,A15,Kartu_Stok!$C$2:$C$501)</f>
        <v/>
      </c>
      <c r="I15" s="12">
        <f>SUMIF(Kartu_Stok!$B$2:$B$501,A15,Kartu_Stok!$D$2:$D$501)</f>
        <v/>
      </c>
      <c r="J15" s="23">
        <f>H15-I15</f>
        <v/>
      </c>
      <c r="K15" s="13">
        <f>J15*E15</f>
        <v/>
      </c>
      <c r="L15" s="23">
        <f>SUMIFS(Kartu_Stok!$D$2:$D$501,Kartu_Stok!$B$2:$B$501,A15,Kartu_Stok!$A$2:$A$501,"&gt;="&amp;(TODAY()-30))</f>
        <v/>
      </c>
      <c r="M15" s="12">
        <f>IF(L15=0,"",ROUND(J15/(L15/30),0))</f>
        <v/>
      </c>
      <c r="N15" s="23">
        <f>F15+L15/30*G15</f>
        <v/>
      </c>
      <c r="O15" s="12">
        <f>IF(J15&lt;=N15,"BELI","OK")</f>
        <v/>
      </c>
    </row>
    <row r="16">
      <c r="A16" s="20" t="inlineStr">
        <is>
          <t>M-KER</t>
        </is>
      </c>
      <c r="B16" s="20" t="inlineStr">
        <is>
          <t>Modul kap Kerucut (gading)</t>
        </is>
      </c>
      <c r="C16" s="20" t="inlineStr">
        <is>
          <t>Modul jadi</t>
        </is>
      </c>
      <c r="D16" s="20" t="inlineStr">
        <is>
          <t>pcs</t>
        </is>
      </c>
      <c r="E16" s="21" t="n">
        <v>0</v>
      </c>
      <c r="F16" s="22" t="n">
        <v>1</v>
      </c>
      <c r="G16" s="22" t="n">
        <v>0</v>
      </c>
      <c r="H16" s="12">
        <f>SUMIF(Kartu_Stok!$B$2:$B$501,A16,Kartu_Stok!$C$2:$C$501)</f>
        <v/>
      </c>
      <c r="I16" s="12">
        <f>SUMIF(Kartu_Stok!$B$2:$B$501,A16,Kartu_Stok!$D$2:$D$501)</f>
        <v/>
      </c>
      <c r="J16" s="23">
        <f>H16-I16</f>
        <v/>
      </c>
      <c r="K16" s="13">
        <f>J16*E16</f>
        <v/>
      </c>
      <c r="L16" s="23">
        <f>SUMIFS(Kartu_Stok!$D$2:$D$501,Kartu_Stok!$B$2:$B$501,A16,Kartu_Stok!$A$2:$A$501,"&gt;="&amp;(TODAY()-30))</f>
        <v/>
      </c>
      <c r="M16" s="12">
        <f>IF(L16=0,"",ROUND(J16/(L16/30),0))</f>
        <v/>
      </c>
      <c r="N16" s="23">
        <f>F16+L16/30*G16</f>
        <v/>
      </c>
      <c r="O16" s="12">
        <f>IF(J16&lt;=N16,"BELI","OK")</f>
        <v/>
      </c>
    </row>
    <row r="17">
      <c r="A17" s="20" t="inlineStr">
        <is>
          <t>M-KOT</t>
        </is>
      </c>
      <c r="B17" s="20" t="inlineStr">
        <is>
          <t>Modul kap Kotak (gading)</t>
        </is>
      </c>
      <c r="C17" s="20" t="inlineStr">
        <is>
          <t>Modul jadi</t>
        </is>
      </c>
      <c r="D17" s="20" t="inlineStr">
        <is>
          <t>pcs</t>
        </is>
      </c>
      <c r="E17" s="21" t="n">
        <v>0</v>
      </c>
      <c r="F17" s="22" t="n">
        <v>1</v>
      </c>
      <c r="G17" s="22" t="n">
        <v>0</v>
      </c>
      <c r="H17" s="12">
        <f>SUMIF(Kartu_Stok!$B$2:$B$501,A17,Kartu_Stok!$C$2:$C$501)</f>
        <v/>
      </c>
      <c r="I17" s="12">
        <f>SUMIF(Kartu_Stok!$B$2:$B$501,A17,Kartu_Stok!$D$2:$D$501)</f>
        <v/>
      </c>
      <c r="J17" s="23">
        <f>H17-I17</f>
        <v/>
      </c>
      <c r="K17" s="13">
        <f>J17*E17</f>
        <v/>
      </c>
      <c r="L17" s="23">
        <f>SUMIFS(Kartu_Stok!$D$2:$D$501,Kartu_Stok!$B$2:$B$501,A17,Kartu_Stok!$A$2:$A$501,"&gt;="&amp;(TODAY()-30))</f>
        <v/>
      </c>
      <c r="M17" s="12">
        <f>IF(L17=0,"",ROUND(J17/(L17/30),0))</f>
        <v/>
      </c>
      <c r="N17" s="23">
        <f>F17+L17/30*G17</f>
        <v/>
      </c>
      <c r="O17" s="12">
        <f>IF(J17&lt;=N17,"BELI","OK")</f>
        <v/>
      </c>
    </row>
    <row r="18">
      <c r="A18" s="20" t="inlineStr">
        <is>
          <t>M-BOL</t>
        </is>
      </c>
      <c r="B18" s="20" t="inlineStr">
        <is>
          <t>Modul badan Bola</t>
        </is>
      </c>
      <c r="C18" s="20" t="inlineStr">
        <is>
          <t>Modul jadi</t>
        </is>
      </c>
      <c r="D18" s="20" t="inlineStr">
        <is>
          <t>pcs</t>
        </is>
      </c>
      <c r="E18" s="21" t="n">
        <v>0</v>
      </c>
      <c r="F18" s="22" t="n">
        <v>1</v>
      </c>
      <c r="G18" s="22" t="n">
        <v>0</v>
      </c>
      <c r="H18" s="12">
        <f>SUMIF(Kartu_Stok!$B$2:$B$501,A18,Kartu_Stok!$C$2:$C$501)</f>
        <v/>
      </c>
      <c r="I18" s="12">
        <f>SUMIF(Kartu_Stok!$B$2:$B$501,A18,Kartu_Stok!$D$2:$D$501)</f>
        <v/>
      </c>
      <c r="J18" s="23">
        <f>H18-I18</f>
        <v/>
      </c>
      <c r="K18" s="13">
        <f>J18*E18</f>
        <v/>
      </c>
      <c r="L18" s="23">
        <f>SUMIFS(Kartu_Stok!$D$2:$D$501,Kartu_Stok!$B$2:$B$501,A18,Kartu_Stok!$A$2:$A$501,"&gt;="&amp;(TODAY()-30))</f>
        <v/>
      </c>
      <c r="M18" s="12">
        <f>IF(L18=0,"",ROUND(J18/(L18/30),0))</f>
        <v/>
      </c>
      <c r="N18" s="23">
        <f>F18+L18/30*G18</f>
        <v/>
      </c>
      <c r="O18" s="12">
        <f>IF(J18&lt;=N18,"BELI","OK")</f>
        <v/>
      </c>
    </row>
    <row r="19">
      <c r="A19" s="20" t="inlineStr">
        <is>
          <t>M-KUB</t>
        </is>
      </c>
      <c r="B19" s="20" t="inlineStr">
        <is>
          <t>Modul badan Kubus</t>
        </is>
      </c>
      <c r="C19" s="20" t="inlineStr">
        <is>
          <t>Modul jadi</t>
        </is>
      </c>
      <c r="D19" s="20" t="inlineStr">
        <is>
          <t>pcs</t>
        </is>
      </c>
      <c r="E19" s="21" t="n">
        <v>0</v>
      </c>
      <c r="F19" s="22" t="n">
        <v>1</v>
      </c>
      <c r="G19" s="22" t="n">
        <v>0</v>
      </c>
      <c r="H19" s="12">
        <f>SUMIF(Kartu_Stok!$B$2:$B$501,A19,Kartu_Stok!$C$2:$C$501)</f>
        <v/>
      </c>
      <c r="I19" s="12">
        <f>SUMIF(Kartu_Stok!$B$2:$B$501,A19,Kartu_Stok!$D$2:$D$501)</f>
        <v/>
      </c>
      <c r="J19" s="23">
        <f>H19-I19</f>
        <v/>
      </c>
      <c r="K19" s="13">
        <f>J19*E19</f>
        <v/>
      </c>
      <c r="L19" s="23">
        <f>SUMIFS(Kartu_Stok!$D$2:$D$501,Kartu_Stok!$B$2:$B$501,A19,Kartu_Stok!$A$2:$A$501,"&gt;="&amp;(TODAY()-30))</f>
        <v/>
      </c>
      <c r="M19" s="12">
        <f>IF(L19=0,"",ROUND(J19/(L19/30),0))</f>
        <v/>
      </c>
      <c r="N19" s="23">
        <f>F19+L19/30*G19</f>
        <v/>
      </c>
      <c r="O19" s="12">
        <f>IF(J19&lt;=N19,"BELI","OK")</f>
        <v/>
      </c>
    </row>
    <row r="20">
      <c r="A20" s="20" t="inlineStr">
        <is>
          <t>M-CIN</t>
        </is>
      </c>
      <c r="B20" s="20" t="inlineStr">
        <is>
          <t>Modul badan Cincin</t>
        </is>
      </c>
      <c r="C20" s="20" t="inlineStr">
        <is>
          <t>Modul jadi</t>
        </is>
      </c>
      <c r="D20" s="20" t="inlineStr">
        <is>
          <t>pcs</t>
        </is>
      </c>
      <c r="E20" s="21" t="n">
        <v>0</v>
      </c>
      <c r="F20" s="22" t="n">
        <v>1</v>
      </c>
      <c r="G20" s="22" t="n">
        <v>0</v>
      </c>
      <c r="H20" s="12">
        <f>SUMIF(Kartu_Stok!$B$2:$B$501,A20,Kartu_Stok!$C$2:$C$501)</f>
        <v/>
      </c>
      <c r="I20" s="12">
        <f>SUMIF(Kartu_Stok!$B$2:$B$501,A20,Kartu_Stok!$D$2:$D$501)</f>
        <v/>
      </c>
      <c r="J20" s="23">
        <f>H20-I20</f>
        <v/>
      </c>
      <c r="K20" s="13">
        <f>J20*E20</f>
        <v/>
      </c>
      <c r="L20" s="23">
        <f>SUMIFS(Kartu_Stok!$D$2:$D$501,Kartu_Stok!$B$2:$B$501,A20,Kartu_Stok!$A$2:$A$501,"&gt;="&amp;(TODAY()-30))</f>
        <v/>
      </c>
      <c r="M20" s="12">
        <f>IF(L20=0,"",ROUND(J20/(L20/30),0))</f>
        <v/>
      </c>
      <c r="N20" s="23">
        <f>F20+L20/30*G20</f>
        <v/>
      </c>
      <c r="O20" s="12">
        <f>IF(J20&lt;=N20,"BELI","OK")</f>
        <v/>
      </c>
    </row>
    <row r="21">
      <c r="A21" s="20" t="inlineStr">
        <is>
          <t>M-HEK</t>
        </is>
      </c>
      <c r="B21" s="20" t="inlineStr">
        <is>
          <t>Modul badan Heksagon</t>
        </is>
      </c>
      <c r="C21" s="20" t="inlineStr">
        <is>
          <t>Modul jadi</t>
        </is>
      </c>
      <c r="D21" s="20" t="inlineStr">
        <is>
          <t>pcs</t>
        </is>
      </c>
      <c r="E21" s="21" t="n">
        <v>0</v>
      </c>
      <c r="F21" s="22" t="n">
        <v>1</v>
      </c>
      <c r="G21" s="22" t="n">
        <v>0</v>
      </c>
      <c r="H21" s="12">
        <f>SUMIF(Kartu_Stok!$B$2:$B$501,A21,Kartu_Stok!$C$2:$C$501)</f>
        <v/>
      </c>
      <c r="I21" s="12">
        <f>SUMIF(Kartu_Stok!$B$2:$B$501,A21,Kartu_Stok!$D$2:$D$501)</f>
        <v/>
      </c>
      <c r="J21" s="23">
        <f>H21-I21</f>
        <v/>
      </c>
      <c r="K21" s="13">
        <f>J21*E21</f>
        <v/>
      </c>
      <c r="L21" s="23">
        <f>SUMIFS(Kartu_Stok!$D$2:$D$501,Kartu_Stok!$B$2:$B$501,A21,Kartu_Stok!$A$2:$A$501,"&gt;="&amp;(TODAY()-30))</f>
        <v/>
      </c>
      <c r="M21" s="12">
        <f>IF(L21=0,"",ROUND(J21/(L21/30),0))</f>
        <v/>
      </c>
      <c r="N21" s="23">
        <f>F21+L21/30*G21</f>
        <v/>
      </c>
      <c r="O21" s="12">
        <f>IF(J21&lt;=N21,"BELI","OK")</f>
        <v/>
      </c>
    </row>
    <row r="22">
      <c r="A22" s="20" t="inlineStr">
        <is>
          <t>M-SIL</t>
        </is>
      </c>
      <c r="B22" s="20" t="inlineStr">
        <is>
          <t>Modul badan Silinder</t>
        </is>
      </c>
      <c r="C22" s="20" t="inlineStr">
        <is>
          <t>Modul jadi</t>
        </is>
      </c>
      <c r="D22" s="20" t="inlineStr">
        <is>
          <t>pcs</t>
        </is>
      </c>
      <c r="E22" s="21" t="n">
        <v>0</v>
      </c>
      <c r="F22" s="22" t="n">
        <v>1</v>
      </c>
      <c r="G22" s="22" t="n">
        <v>0</v>
      </c>
      <c r="H22" s="12">
        <f>SUMIF(Kartu_Stok!$B$2:$B$501,A22,Kartu_Stok!$C$2:$C$501)</f>
        <v/>
      </c>
      <c r="I22" s="12">
        <f>SUMIF(Kartu_Stok!$B$2:$B$501,A22,Kartu_Stok!$D$2:$D$501)</f>
        <v/>
      </c>
      <c r="J22" s="23">
        <f>H22-I22</f>
        <v/>
      </c>
      <c r="K22" s="13">
        <f>J22*E22</f>
        <v/>
      </c>
      <c r="L22" s="23">
        <f>SUMIFS(Kartu_Stok!$D$2:$D$501,Kartu_Stok!$B$2:$B$501,A22,Kartu_Stok!$A$2:$A$501,"&gt;="&amp;(TODAY()-30))</f>
        <v/>
      </c>
      <c r="M22" s="12">
        <f>IF(L22=0,"",ROUND(J22/(L22/30),0))</f>
        <v/>
      </c>
      <c r="N22" s="23">
        <f>F22+L22/30*G22</f>
        <v/>
      </c>
      <c r="O22" s="12">
        <f>IF(J22&lt;=N22,"BELI","OK")</f>
        <v/>
      </c>
    </row>
    <row r="23">
      <c r="A23" s="20" t="inlineStr">
        <is>
          <t>M-BUL</t>
        </is>
      </c>
      <c r="B23" s="20" t="inlineStr">
        <is>
          <t>Modul alas Bulat</t>
        </is>
      </c>
      <c r="C23" s="20" t="inlineStr">
        <is>
          <t>Modul jadi</t>
        </is>
      </c>
      <c r="D23" s="20" t="inlineStr">
        <is>
          <t>pcs</t>
        </is>
      </c>
      <c r="E23" s="21" t="n">
        <v>0</v>
      </c>
      <c r="F23" s="22" t="n">
        <v>1</v>
      </c>
      <c r="G23" s="22" t="n">
        <v>0</v>
      </c>
      <c r="H23" s="12">
        <f>SUMIF(Kartu_Stok!$B$2:$B$501,A23,Kartu_Stok!$C$2:$C$501)</f>
        <v/>
      </c>
      <c r="I23" s="12">
        <f>SUMIF(Kartu_Stok!$B$2:$B$501,A23,Kartu_Stok!$D$2:$D$501)</f>
        <v/>
      </c>
      <c r="J23" s="23">
        <f>H23-I23</f>
        <v/>
      </c>
      <c r="K23" s="13">
        <f>J23*E23</f>
        <v/>
      </c>
      <c r="L23" s="23">
        <f>SUMIFS(Kartu_Stok!$D$2:$D$501,Kartu_Stok!$B$2:$B$501,A23,Kartu_Stok!$A$2:$A$501,"&gt;="&amp;(TODAY()-30))</f>
        <v/>
      </c>
      <c r="M23" s="12">
        <f>IF(L23=0,"",ROUND(J23/(L23/30),0))</f>
        <v/>
      </c>
      <c r="N23" s="23">
        <f>F23+L23/30*G23</f>
        <v/>
      </c>
      <c r="O23" s="12">
        <f>IF(J23&lt;=N23,"BELI","OK")</f>
        <v/>
      </c>
    </row>
    <row r="24">
      <c r="A24" s="20" t="inlineStr">
        <is>
          <t>M-SEG</t>
        </is>
      </c>
      <c r="B24" s="20" t="inlineStr">
        <is>
          <t>Modul alas Segitiga</t>
        </is>
      </c>
      <c r="C24" s="20" t="inlineStr">
        <is>
          <t>Modul jadi</t>
        </is>
      </c>
      <c r="D24" s="20" t="inlineStr">
        <is>
          <t>pcs</t>
        </is>
      </c>
      <c r="E24" s="21" t="n">
        <v>0</v>
      </c>
      <c r="F24" s="22" t="n">
        <v>1</v>
      </c>
      <c r="G24" s="22" t="n">
        <v>0</v>
      </c>
      <c r="H24" s="12">
        <f>SUMIF(Kartu_Stok!$B$2:$B$501,A24,Kartu_Stok!$C$2:$C$501)</f>
        <v/>
      </c>
      <c r="I24" s="12">
        <f>SUMIF(Kartu_Stok!$B$2:$B$501,A24,Kartu_Stok!$D$2:$D$501)</f>
        <v/>
      </c>
      <c r="J24" s="23">
        <f>H24-I24</f>
        <v/>
      </c>
      <c r="K24" s="13">
        <f>J24*E24</f>
        <v/>
      </c>
      <c r="L24" s="23">
        <f>SUMIFS(Kartu_Stok!$D$2:$D$501,Kartu_Stok!$B$2:$B$501,A24,Kartu_Stok!$A$2:$A$501,"&gt;="&amp;(TODAY()-30))</f>
        <v/>
      </c>
      <c r="M24" s="12">
        <f>IF(L24=0,"",ROUND(J24/(L24/30),0))</f>
        <v/>
      </c>
      <c r="N24" s="23">
        <f>F24+L24/30*G24</f>
        <v/>
      </c>
      <c r="O24" s="12">
        <f>IF(J24&lt;=N24,"BELI","OK")</f>
        <v/>
      </c>
    </row>
    <row r="25">
      <c r="A25" s="20" t="inlineStr">
        <is>
          <t>M-KT2</t>
        </is>
      </c>
      <c r="B25" s="20" t="inlineStr">
        <is>
          <t>Modul alas Kotak</t>
        </is>
      </c>
      <c r="C25" s="20" t="inlineStr">
        <is>
          <t>Modul jadi</t>
        </is>
      </c>
      <c r="D25" s="20" t="inlineStr">
        <is>
          <t>pcs</t>
        </is>
      </c>
      <c r="E25" s="21" t="n">
        <v>0</v>
      </c>
      <c r="F25" s="22" t="n">
        <v>1</v>
      </c>
      <c r="G25" s="22" t="n">
        <v>0</v>
      </c>
      <c r="H25" s="12">
        <f>SUMIF(Kartu_Stok!$B$2:$B$501,A25,Kartu_Stok!$C$2:$C$501)</f>
        <v/>
      </c>
      <c r="I25" s="12">
        <f>SUMIF(Kartu_Stok!$B$2:$B$501,A25,Kartu_Stok!$D$2:$D$501)</f>
        <v/>
      </c>
      <c r="J25" s="23">
        <f>H25-I25</f>
        <v/>
      </c>
      <c r="K25" s="13">
        <f>J25*E25</f>
        <v/>
      </c>
      <c r="L25" s="23">
        <f>SUMIFS(Kartu_Stok!$D$2:$D$501,Kartu_Stok!$B$2:$B$501,A25,Kartu_Stok!$A$2:$A$501,"&gt;="&amp;(TODAY()-30))</f>
        <v/>
      </c>
      <c r="M25" s="12">
        <f>IF(L25=0,"",ROUND(J25/(L25/30),0))</f>
        <v/>
      </c>
      <c r="N25" s="23">
        <f>F25+L25/30*G25</f>
        <v/>
      </c>
      <c r="O25" s="12">
        <f>IF(J25&lt;=N25,"BELI","OK")</f>
        <v/>
      </c>
    </row>
    <row r="26">
      <c r="A26" s="20" t="inlineStr">
        <is>
          <t>M-BUN</t>
        </is>
      </c>
      <c r="B26" s="20" t="inlineStr">
        <is>
          <t>Modul alas Bunga</t>
        </is>
      </c>
      <c r="C26" s="20" t="inlineStr">
        <is>
          <t>Modul jadi</t>
        </is>
      </c>
      <c r="D26" s="20" t="inlineStr">
        <is>
          <t>pcs</t>
        </is>
      </c>
      <c r="E26" s="21" t="n">
        <v>0</v>
      </c>
      <c r="F26" s="22" t="n">
        <v>1</v>
      </c>
      <c r="G26" s="22" t="n">
        <v>0</v>
      </c>
      <c r="H26" s="12">
        <f>SUMIF(Kartu_Stok!$B$2:$B$501,A26,Kartu_Stok!$C$2:$C$501)</f>
        <v/>
      </c>
      <c r="I26" s="12">
        <f>SUMIF(Kartu_Stok!$B$2:$B$501,A26,Kartu_Stok!$D$2:$D$501)</f>
        <v/>
      </c>
      <c r="J26" s="23">
        <f>H26-I26</f>
        <v/>
      </c>
      <c r="K26" s="13">
        <f>J26*E26</f>
        <v/>
      </c>
      <c r="L26" s="23">
        <f>SUMIFS(Kartu_Stok!$D$2:$D$501,Kartu_Stok!$B$2:$B$501,A26,Kartu_Stok!$A$2:$A$501,"&gt;="&amp;(TODAY()-30))</f>
        <v/>
      </c>
      <c r="M26" s="12">
        <f>IF(L26=0,"",ROUND(J26/(L26/30),0))</f>
        <v/>
      </c>
      <c r="N26" s="23">
        <f>F26+L26/30*G26</f>
        <v/>
      </c>
      <c r="O26" s="12">
        <f>IF(J26&lt;=N26,"BELI","OK")</f>
        <v/>
      </c>
    </row>
    <row r="28">
      <c r="A28" s="24" t="inlineStr">
        <is>
          <t>Nilai seluruh stok</t>
        </is>
      </c>
      <c r="K28" s="25">
        <f>SUM(K2:K26)</f>
        <v/>
      </c>
    </row>
    <row r="29">
      <c r="A29" s="4" t="inlineStr">
        <is>
          <t>Catatan: Saldo dihitung dari Kartu_Stok. Jangan mengetik angka di kolom H–O. Harga beli, stok minimum, dan lead time (biru) boleh diubah. Modul jadi: stok minimum 1 per bentuk warna gading/krem untuk menjaga janji 3–5 hari.</t>
        </is>
      </c>
    </row>
  </sheetData>
  <conditionalFormatting sqref="A2:O26">
    <cfRule type="expression" priority="1" dxfId="1">
      <formula>$O2="BELI"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9" customWidth="1" min="4" max="4"/>
    <col width="36" customWidth="1" min="5" max="5"/>
    <col width="12" customWidth="1" min="6" max="6"/>
    <col width="30" customWidth="1" min="7" max="7"/>
    <col width="8" customWidth="1" min="8" max="8"/>
  </cols>
  <sheetData>
    <row r="1" ht="30" customHeight="1">
      <c r="A1" s="16" t="inlineStr">
        <is>
          <t>Tanggal</t>
        </is>
      </c>
      <c r="B1" s="16" t="inlineStr">
        <is>
          <t>Kode item</t>
        </is>
      </c>
      <c r="C1" s="16" t="inlineStr">
        <is>
          <t>Masuk</t>
        </is>
      </c>
      <c r="D1" s="16" t="inlineStr">
        <is>
          <t>Keluar</t>
        </is>
      </c>
      <c r="E1" s="16" t="inlineStr">
        <is>
          <t>Keterangan (nota / pesanan)</t>
        </is>
      </c>
      <c r="F1" s="16" t="inlineStr">
        <is>
          <t>Ref pesanan</t>
        </is>
      </c>
      <c r="G1" s="16" t="inlineStr">
        <is>
          <t>Nama item</t>
        </is>
      </c>
      <c r="H1" s="16" t="inlineStr">
        <is>
          <t>Satuan</t>
        </is>
      </c>
    </row>
    <row r="2">
      <c r="A2" s="18" t="n">
        <v>46301</v>
      </c>
      <c r="B2" s="17" t="inlineStr">
        <is>
          <t>F-KRE</t>
        </is>
      </c>
      <c r="C2" s="26" t="n">
        <v>1</v>
      </c>
      <c r="D2" s="26" t="inlineStr"/>
      <c r="E2" s="17" t="inlineStr">
        <is>
          <t>Stok awal 1 roll (contoh, hapus)</t>
        </is>
      </c>
      <c r="F2" s="17" t="inlineStr"/>
      <c r="G2" s="12">
        <f>IF(B2="","",IFERROR(VLOOKUP(B2,Stok!$A$2:$D$60,2,FALSE),"kode?"))</f>
        <v/>
      </c>
      <c r="H2" s="12">
        <f>IF(B2="","",IFERROR(VLOOKUP(B2,Stok!$A$2:$D$60,4,FALSE),""))</f>
        <v/>
      </c>
    </row>
    <row r="3">
      <c r="A3" s="18" t="n">
        <v>46301</v>
      </c>
      <c r="B3" s="17" t="inlineStr">
        <is>
          <t>K-KIT</t>
        </is>
      </c>
      <c r="C3" s="26" t="n">
        <v>20</v>
      </c>
      <c r="D3" s="26" t="inlineStr"/>
      <c r="E3" s="17" t="inlineStr">
        <is>
          <t>Beli 20 pcs MOQ (contoh, hapus)</t>
        </is>
      </c>
      <c r="F3" s="17" t="inlineStr"/>
      <c r="G3" s="12">
        <f>IF(B3="","",IFERROR(VLOOKUP(B3,Stok!$A$2:$D$60,2,FALSE),"kode?"))</f>
        <v/>
      </c>
      <c r="H3" s="12">
        <f>IF(B3="","",IFERROR(VLOOKUP(B3,Stok!$A$2:$D$60,4,FALSE),""))</f>
        <v/>
      </c>
    </row>
    <row r="4">
      <c r="A4" s="18" t="n">
        <v>46303</v>
      </c>
      <c r="B4" s="17" t="inlineStr">
        <is>
          <t>F-KRE</t>
        </is>
      </c>
      <c r="C4" s="26" t="inlineStr"/>
      <c r="D4" s="26" t="n">
        <v>0.45</v>
      </c>
      <c r="E4" s="17" t="inlineStr">
        <is>
          <t>Cetak pesanan (contoh, hapus)</t>
        </is>
      </c>
      <c r="F4" s="17" t="inlineStr">
        <is>
          <t>P261006-01</t>
        </is>
      </c>
      <c r="G4" s="12">
        <f>IF(B4="","",IFERROR(VLOOKUP(B4,Stok!$A$2:$D$60,2,FALSE),"kode?"))</f>
        <v/>
      </c>
      <c r="H4" s="12">
        <f>IF(B4="","",IFERROR(VLOOKUP(B4,Stok!$A$2:$D$60,4,FALSE),""))</f>
        <v/>
      </c>
    </row>
    <row r="5">
      <c r="A5" s="18" t="n"/>
      <c r="B5" s="17" t="n"/>
      <c r="C5" s="26" t="n"/>
      <c r="D5" s="26" t="n"/>
      <c r="E5" s="17" t="n"/>
      <c r="F5" s="17" t="n"/>
      <c r="G5" s="12">
        <f>IF(B5="","",IFERROR(VLOOKUP(B5,Stok!$A$2:$D$60,2,FALSE),"kode?"))</f>
        <v/>
      </c>
      <c r="H5" s="12">
        <f>IF(B5="","",IFERROR(VLOOKUP(B5,Stok!$A$2:$D$60,4,FALSE),""))</f>
        <v/>
      </c>
    </row>
    <row r="6">
      <c r="A6" s="18" t="n"/>
      <c r="B6" s="17" t="n"/>
      <c r="C6" s="26" t="n"/>
      <c r="D6" s="26" t="n"/>
      <c r="E6" s="17" t="n"/>
      <c r="F6" s="17" t="n"/>
      <c r="G6" s="12">
        <f>IF(B6="","",IFERROR(VLOOKUP(B6,Stok!$A$2:$D$60,2,FALSE),"kode?"))</f>
        <v/>
      </c>
      <c r="H6" s="12">
        <f>IF(B6="","",IFERROR(VLOOKUP(B6,Stok!$A$2:$D$60,4,FALSE),""))</f>
        <v/>
      </c>
    </row>
    <row r="7">
      <c r="A7" s="18" t="n"/>
      <c r="B7" s="17" t="n"/>
      <c r="C7" s="26" t="n"/>
      <c r="D7" s="26" t="n"/>
      <c r="E7" s="17" t="n"/>
      <c r="F7" s="17" t="n"/>
      <c r="G7" s="12">
        <f>IF(B7="","",IFERROR(VLOOKUP(B7,Stok!$A$2:$D$60,2,FALSE),"kode?"))</f>
        <v/>
      </c>
      <c r="H7" s="12">
        <f>IF(B7="","",IFERROR(VLOOKUP(B7,Stok!$A$2:$D$60,4,FALSE),""))</f>
        <v/>
      </c>
    </row>
    <row r="8">
      <c r="A8" s="18" t="n"/>
      <c r="B8" s="17" t="n"/>
      <c r="C8" s="26" t="n"/>
      <c r="D8" s="26" t="n"/>
      <c r="E8" s="17" t="n"/>
      <c r="F8" s="17" t="n"/>
      <c r="G8" s="12">
        <f>IF(B8="","",IFERROR(VLOOKUP(B8,Stok!$A$2:$D$60,2,FALSE),"kode?"))</f>
        <v/>
      </c>
      <c r="H8" s="12">
        <f>IF(B8="","",IFERROR(VLOOKUP(B8,Stok!$A$2:$D$60,4,FALSE),""))</f>
        <v/>
      </c>
    </row>
    <row r="9">
      <c r="A9" s="18" t="n"/>
      <c r="B9" s="17" t="n"/>
      <c r="C9" s="26" t="n"/>
      <c r="D9" s="26" t="n"/>
      <c r="E9" s="17" t="n"/>
      <c r="F9" s="17" t="n"/>
      <c r="G9" s="12">
        <f>IF(B9="","",IFERROR(VLOOKUP(B9,Stok!$A$2:$D$60,2,FALSE),"kode?"))</f>
        <v/>
      </c>
      <c r="H9" s="12">
        <f>IF(B9="","",IFERROR(VLOOKUP(B9,Stok!$A$2:$D$60,4,FALSE),""))</f>
        <v/>
      </c>
    </row>
    <row r="10">
      <c r="A10" s="18" t="n"/>
      <c r="B10" s="17" t="n"/>
      <c r="C10" s="26" t="n"/>
      <c r="D10" s="26" t="n"/>
      <c r="E10" s="17" t="n"/>
      <c r="F10" s="17" t="n"/>
      <c r="G10" s="12">
        <f>IF(B10="","",IFERROR(VLOOKUP(B10,Stok!$A$2:$D$60,2,FALSE),"kode?"))</f>
        <v/>
      </c>
      <c r="H10" s="12">
        <f>IF(B10="","",IFERROR(VLOOKUP(B10,Stok!$A$2:$D$60,4,FALSE),""))</f>
        <v/>
      </c>
    </row>
    <row r="11">
      <c r="A11" s="18" t="n"/>
      <c r="B11" s="17" t="n"/>
      <c r="C11" s="26" t="n"/>
      <c r="D11" s="26" t="n"/>
      <c r="E11" s="17" t="n"/>
      <c r="F11" s="17" t="n"/>
      <c r="G11" s="12">
        <f>IF(B11="","",IFERROR(VLOOKUP(B11,Stok!$A$2:$D$60,2,FALSE),"kode?"))</f>
        <v/>
      </c>
      <c r="H11" s="12">
        <f>IF(B11="","",IFERROR(VLOOKUP(B11,Stok!$A$2:$D$60,4,FALSE),""))</f>
        <v/>
      </c>
    </row>
    <row r="12">
      <c r="A12" s="18" t="n"/>
      <c r="B12" s="17" t="n"/>
      <c r="C12" s="26" t="n"/>
      <c r="D12" s="26" t="n"/>
      <c r="E12" s="17" t="n"/>
      <c r="F12" s="17" t="n"/>
      <c r="G12" s="12">
        <f>IF(B12="","",IFERROR(VLOOKUP(B12,Stok!$A$2:$D$60,2,FALSE),"kode?"))</f>
        <v/>
      </c>
      <c r="H12" s="12">
        <f>IF(B12="","",IFERROR(VLOOKUP(B12,Stok!$A$2:$D$60,4,FALSE),""))</f>
        <v/>
      </c>
    </row>
    <row r="13">
      <c r="A13" s="18" t="n"/>
      <c r="B13" s="17" t="n"/>
      <c r="C13" s="26" t="n"/>
      <c r="D13" s="26" t="n"/>
      <c r="E13" s="17" t="n"/>
      <c r="F13" s="17" t="n"/>
      <c r="G13" s="12">
        <f>IF(B13="","",IFERROR(VLOOKUP(B13,Stok!$A$2:$D$60,2,FALSE),"kode?"))</f>
        <v/>
      </c>
      <c r="H13" s="12">
        <f>IF(B13="","",IFERROR(VLOOKUP(B13,Stok!$A$2:$D$60,4,FALSE),""))</f>
        <v/>
      </c>
    </row>
    <row r="14">
      <c r="A14" s="18" t="n"/>
      <c r="B14" s="17" t="n"/>
      <c r="C14" s="26" t="n"/>
      <c r="D14" s="26" t="n"/>
      <c r="E14" s="17" t="n"/>
      <c r="F14" s="17" t="n"/>
      <c r="G14" s="12">
        <f>IF(B14="","",IFERROR(VLOOKUP(B14,Stok!$A$2:$D$60,2,FALSE),"kode?"))</f>
        <v/>
      </c>
      <c r="H14" s="12">
        <f>IF(B14="","",IFERROR(VLOOKUP(B14,Stok!$A$2:$D$60,4,FALSE),""))</f>
        <v/>
      </c>
    </row>
    <row r="15">
      <c r="A15" s="18" t="n"/>
      <c r="B15" s="17" t="n"/>
      <c r="C15" s="26" t="n"/>
      <c r="D15" s="26" t="n"/>
      <c r="E15" s="17" t="n"/>
      <c r="F15" s="17" t="n"/>
      <c r="G15" s="12">
        <f>IF(B15="","",IFERROR(VLOOKUP(B15,Stok!$A$2:$D$60,2,FALSE),"kode?"))</f>
        <v/>
      </c>
      <c r="H15" s="12">
        <f>IF(B15="","",IFERROR(VLOOKUP(B15,Stok!$A$2:$D$60,4,FALSE),""))</f>
        <v/>
      </c>
    </row>
    <row r="16">
      <c r="A16" s="18" t="n"/>
      <c r="B16" s="17" t="n"/>
      <c r="C16" s="26" t="n"/>
      <c r="D16" s="26" t="n"/>
      <c r="E16" s="17" t="n"/>
      <c r="F16" s="17" t="n"/>
      <c r="G16" s="12">
        <f>IF(B16="","",IFERROR(VLOOKUP(B16,Stok!$A$2:$D$60,2,FALSE),"kode?"))</f>
        <v/>
      </c>
      <c r="H16" s="12">
        <f>IF(B16="","",IFERROR(VLOOKUP(B16,Stok!$A$2:$D$60,4,FALSE),""))</f>
        <v/>
      </c>
    </row>
    <row r="17">
      <c r="A17" s="18" t="n"/>
      <c r="B17" s="17" t="n"/>
      <c r="C17" s="26" t="n"/>
      <c r="D17" s="26" t="n"/>
      <c r="E17" s="17" t="n"/>
      <c r="F17" s="17" t="n"/>
      <c r="G17" s="12">
        <f>IF(B17="","",IFERROR(VLOOKUP(B17,Stok!$A$2:$D$60,2,FALSE),"kode?"))</f>
        <v/>
      </c>
      <c r="H17" s="12">
        <f>IF(B17="","",IFERROR(VLOOKUP(B17,Stok!$A$2:$D$60,4,FALSE),""))</f>
        <v/>
      </c>
    </row>
    <row r="18">
      <c r="A18" s="18" t="n"/>
      <c r="B18" s="17" t="n"/>
      <c r="C18" s="26" t="n"/>
      <c r="D18" s="26" t="n"/>
      <c r="E18" s="17" t="n"/>
      <c r="F18" s="17" t="n"/>
      <c r="G18" s="12">
        <f>IF(B18="","",IFERROR(VLOOKUP(B18,Stok!$A$2:$D$60,2,FALSE),"kode?"))</f>
        <v/>
      </c>
      <c r="H18" s="12">
        <f>IF(B18="","",IFERROR(VLOOKUP(B18,Stok!$A$2:$D$60,4,FALSE),""))</f>
        <v/>
      </c>
    </row>
    <row r="19">
      <c r="A19" s="18" t="n"/>
      <c r="B19" s="17" t="n"/>
      <c r="C19" s="26" t="n"/>
      <c r="D19" s="26" t="n"/>
      <c r="E19" s="17" t="n"/>
      <c r="F19" s="17" t="n"/>
      <c r="G19" s="12">
        <f>IF(B19="","",IFERROR(VLOOKUP(B19,Stok!$A$2:$D$60,2,FALSE),"kode?"))</f>
        <v/>
      </c>
      <c r="H19" s="12">
        <f>IF(B19="","",IFERROR(VLOOKUP(B19,Stok!$A$2:$D$60,4,FALSE),""))</f>
        <v/>
      </c>
    </row>
    <row r="20">
      <c r="A20" s="18" t="n"/>
      <c r="B20" s="17" t="n"/>
      <c r="C20" s="26" t="n"/>
      <c r="D20" s="26" t="n"/>
      <c r="E20" s="17" t="n"/>
      <c r="F20" s="17" t="n"/>
      <c r="G20" s="12">
        <f>IF(B20="","",IFERROR(VLOOKUP(B20,Stok!$A$2:$D$60,2,FALSE),"kode?"))</f>
        <v/>
      </c>
      <c r="H20" s="12">
        <f>IF(B20="","",IFERROR(VLOOKUP(B20,Stok!$A$2:$D$60,4,FALSE),""))</f>
        <v/>
      </c>
    </row>
    <row r="21">
      <c r="A21" s="18" t="n"/>
      <c r="B21" s="17" t="n"/>
      <c r="C21" s="26" t="n"/>
      <c r="D21" s="26" t="n"/>
      <c r="E21" s="17" t="n"/>
      <c r="F21" s="17" t="n"/>
      <c r="G21" s="12">
        <f>IF(B21="","",IFERROR(VLOOKUP(B21,Stok!$A$2:$D$60,2,FALSE),"kode?"))</f>
        <v/>
      </c>
      <c r="H21" s="12">
        <f>IF(B21="","",IFERROR(VLOOKUP(B21,Stok!$A$2:$D$60,4,FALSE),""))</f>
        <v/>
      </c>
    </row>
    <row r="22">
      <c r="A22" s="18" t="n"/>
      <c r="B22" s="17" t="n"/>
      <c r="C22" s="26" t="n"/>
      <c r="D22" s="26" t="n"/>
      <c r="E22" s="17" t="n"/>
      <c r="F22" s="17" t="n"/>
      <c r="G22" s="12">
        <f>IF(B22="","",IFERROR(VLOOKUP(B22,Stok!$A$2:$D$60,2,FALSE),"kode?"))</f>
        <v/>
      </c>
      <c r="H22" s="12">
        <f>IF(B22="","",IFERROR(VLOOKUP(B22,Stok!$A$2:$D$60,4,FALSE),""))</f>
        <v/>
      </c>
    </row>
    <row r="23">
      <c r="A23" s="18" t="n"/>
      <c r="B23" s="17" t="n"/>
      <c r="C23" s="26" t="n"/>
      <c r="D23" s="26" t="n"/>
      <c r="E23" s="17" t="n"/>
      <c r="F23" s="17" t="n"/>
      <c r="G23" s="12">
        <f>IF(B23="","",IFERROR(VLOOKUP(B23,Stok!$A$2:$D$60,2,FALSE),"kode?"))</f>
        <v/>
      </c>
      <c r="H23" s="12">
        <f>IF(B23="","",IFERROR(VLOOKUP(B23,Stok!$A$2:$D$60,4,FALSE),""))</f>
        <v/>
      </c>
    </row>
    <row r="24">
      <c r="A24" s="18" t="n"/>
      <c r="B24" s="17" t="n"/>
      <c r="C24" s="26" t="n"/>
      <c r="D24" s="26" t="n"/>
      <c r="E24" s="17" t="n"/>
      <c r="F24" s="17" t="n"/>
      <c r="G24" s="12">
        <f>IF(B24="","",IFERROR(VLOOKUP(B24,Stok!$A$2:$D$60,2,FALSE),"kode?"))</f>
        <v/>
      </c>
      <c r="H24" s="12">
        <f>IF(B24="","",IFERROR(VLOOKUP(B24,Stok!$A$2:$D$60,4,FALSE),""))</f>
        <v/>
      </c>
    </row>
    <row r="25">
      <c r="A25" s="18" t="n"/>
      <c r="B25" s="17" t="n"/>
      <c r="C25" s="26" t="n"/>
      <c r="D25" s="26" t="n"/>
      <c r="E25" s="17" t="n"/>
      <c r="F25" s="17" t="n"/>
      <c r="G25" s="12">
        <f>IF(B25="","",IFERROR(VLOOKUP(B25,Stok!$A$2:$D$60,2,FALSE),"kode?"))</f>
        <v/>
      </c>
      <c r="H25" s="12">
        <f>IF(B25="","",IFERROR(VLOOKUP(B25,Stok!$A$2:$D$60,4,FALSE),""))</f>
        <v/>
      </c>
    </row>
    <row r="26">
      <c r="A26" s="18" t="n"/>
      <c r="B26" s="17" t="n"/>
      <c r="C26" s="26" t="n"/>
      <c r="D26" s="26" t="n"/>
      <c r="E26" s="17" t="n"/>
      <c r="F26" s="17" t="n"/>
      <c r="G26" s="12">
        <f>IF(B26="","",IFERROR(VLOOKUP(B26,Stok!$A$2:$D$60,2,FALSE),"kode?"))</f>
        <v/>
      </c>
      <c r="H26" s="12">
        <f>IF(B26="","",IFERROR(VLOOKUP(B26,Stok!$A$2:$D$60,4,FALSE),""))</f>
        <v/>
      </c>
    </row>
    <row r="27">
      <c r="A27" s="18" t="n"/>
      <c r="B27" s="17" t="n"/>
      <c r="C27" s="26" t="n"/>
      <c r="D27" s="26" t="n"/>
      <c r="E27" s="17" t="n"/>
      <c r="F27" s="17" t="n"/>
      <c r="G27" s="12">
        <f>IF(B27="","",IFERROR(VLOOKUP(B27,Stok!$A$2:$D$60,2,FALSE),"kode?"))</f>
        <v/>
      </c>
      <c r="H27" s="12">
        <f>IF(B27="","",IFERROR(VLOOKUP(B27,Stok!$A$2:$D$60,4,FALSE),""))</f>
        <v/>
      </c>
    </row>
    <row r="28">
      <c r="A28" s="18" t="n"/>
      <c r="B28" s="17" t="n"/>
      <c r="C28" s="26" t="n"/>
      <c r="D28" s="26" t="n"/>
      <c r="E28" s="17" t="n"/>
      <c r="F28" s="17" t="n"/>
      <c r="G28" s="12">
        <f>IF(B28="","",IFERROR(VLOOKUP(B28,Stok!$A$2:$D$60,2,FALSE),"kode?"))</f>
        <v/>
      </c>
      <c r="H28" s="12">
        <f>IF(B28="","",IFERROR(VLOOKUP(B28,Stok!$A$2:$D$60,4,FALSE),""))</f>
        <v/>
      </c>
    </row>
    <row r="29">
      <c r="A29" s="18" t="n"/>
      <c r="B29" s="17" t="n"/>
      <c r="C29" s="26" t="n"/>
      <c r="D29" s="26" t="n"/>
      <c r="E29" s="17" t="n"/>
      <c r="F29" s="17" t="n"/>
      <c r="G29" s="12">
        <f>IF(B29="","",IFERROR(VLOOKUP(B29,Stok!$A$2:$D$60,2,FALSE),"kode?"))</f>
        <v/>
      </c>
      <c r="H29" s="12">
        <f>IF(B29="","",IFERROR(VLOOKUP(B29,Stok!$A$2:$D$60,4,FALSE),""))</f>
        <v/>
      </c>
    </row>
    <row r="30">
      <c r="A30" s="18" t="n"/>
      <c r="B30" s="17" t="n"/>
      <c r="C30" s="26" t="n"/>
      <c r="D30" s="26" t="n"/>
      <c r="E30" s="17" t="n"/>
      <c r="F30" s="17" t="n"/>
      <c r="G30" s="12">
        <f>IF(B30="","",IFERROR(VLOOKUP(B30,Stok!$A$2:$D$60,2,FALSE),"kode?"))</f>
        <v/>
      </c>
      <c r="H30" s="12">
        <f>IF(B30="","",IFERROR(VLOOKUP(B30,Stok!$A$2:$D$60,4,FALSE),""))</f>
        <v/>
      </c>
    </row>
    <row r="31">
      <c r="A31" s="18" t="n"/>
      <c r="B31" s="17" t="n"/>
      <c r="C31" s="26" t="n"/>
      <c r="D31" s="26" t="n"/>
      <c r="E31" s="17" t="n"/>
      <c r="F31" s="17" t="n"/>
      <c r="G31" s="12">
        <f>IF(B31="","",IFERROR(VLOOKUP(B31,Stok!$A$2:$D$60,2,FALSE),"kode?"))</f>
        <v/>
      </c>
      <c r="H31" s="12">
        <f>IF(B31="","",IFERROR(VLOOKUP(B31,Stok!$A$2:$D$60,4,FALSE),""))</f>
        <v/>
      </c>
    </row>
    <row r="32">
      <c r="A32" s="18" t="n"/>
      <c r="B32" s="17" t="n"/>
      <c r="C32" s="26" t="n"/>
      <c r="D32" s="26" t="n"/>
      <c r="E32" s="17" t="n"/>
      <c r="F32" s="17" t="n"/>
      <c r="G32" s="12">
        <f>IF(B32="","",IFERROR(VLOOKUP(B32,Stok!$A$2:$D$60,2,FALSE),"kode?"))</f>
        <v/>
      </c>
      <c r="H32" s="12">
        <f>IF(B32="","",IFERROR(VLOOKUP(B32,Stok!$A$2:$D$60,4,FALSE),""))</f>
        <v/>
      </c>
    </row>
    <row r="33">
      <c r="A33" s="18" t="n"/>
      <c r="B33" s="17" t="n"/>
      <c r="C33" s="26" t="n"/>
      <c r="D33" s="26" t="n"/>
      <c r="E33" s="17" t="n"/>
      <c r="F33" s="17" t="n"/>
      <c r="G33" s="12">
        <f>IF(B33="","",IFERROR(VLOOKUP(B33,Stok!$A$2:$D$60,2,FALSE),"kode?"))</f>
        <v/>
      </c>
      <c r="H33" s="12">
        <f>IF(B33="","",IFERROR(VLOOKUP(B33,Stok!$A$2:$D$60,4,FALSE),""))</f>
        <v/>
      </c>
    </row>
    <row r="34">
      <c r="A34" s="18" t="n"/>
      <c r="B34" s="17" t="n"/>
      <c r="C34" s="26" t="n"/>
      <c r="D34" s="26" t="n"/>
      <c r="E34" s="17" t="n"/>
      <c r="F34" s="17" t="n"/>
      <c r="G34" s="12">
        <f>IF(B34="","",IFERROR(VLOOKUP(B34,Stok!$A$2:$D$60,2,FALSE),"kode?"))</f>
        <v/>
      </c>
      <c r="H34" s="12">
        <f>IF(B34="","",IFERROR(VLOOKUP(B34,Stok!$A$2:$D$60,4,FALSE),""))</f>
        <v/>
      </c>
    </row>
    <row r="35">
      <c r="A35" s="18" t="n"/>
      <c r="B35" s="17" t="n"/>
      <c r="C35" s="26" t="n"/>
      <c r="D35" s="26" t="n"/>
      <c r="E35" s="17" t="n"/>
      <c r="F35" s="17" t="n"/>
      <c r="G35" s="12">
        <f>IF(B35="","",IFERROR(VLOOKUP(B35,Stok!$A$2:$D$60,2,FALSE),"kode?"))</f>
        <v/>
      </c>
      <c r="H35" s="12">
        <f>IF(B35="","",IFERROR(VLOOKUP(B35,Stok!$A$2:$D$60,4,FALSE),""))</f>
        <v/>
      </c>
    </row>
    <row r="36">
      <c r="A36" s="18" t="n"/>
      <c r="B36" s="17" t="n"/>
      <c r="C36" s="26" t="n"/>
      <c r="D36" s="26" t="n"/>
      <c r="E36" s="17" t="n"/>
      <c r="F36" s="17" t="n"/>
      <c r="G36" s="12">
        <f>IF(B36="","",IFERROR(VLOOKUP(B36,Stok!$A$2:$D$60,2,FALSE),"kode?"))</f>
        <v/>
      </c>
      <c r="H36" s="12">
        <f>IF(B36="","",IFERROR(VLOOKUP(B36,Stok!$A$2:$D$60,4,FALSE),""))</f>
        <v/>
      </c>
    </row>
    <row r="37">
      <c r="A37" s="18" t="n"/>
      <c r="B37" s="17" t="n"/>
      <c r="C37" s="26" t="n"/>
      <c r="D37" s="26" t="n"/>
      <c r="E37" s="17" t="n"/>
      <c r="F37" s="17" t="n"/>
      <c r="G37" s="12">
        <f>IF(B37="","",IFERROR(VLOOKUP(B37,Stok!$A$2:$D$60,2,FALSE),"kode?"))</f>
        <v/>
      </c>
      <c r="H37" s="12">
        <f>IF(B37="","",IFERROR(VLOOKUP(B37,Stok!$A$2:$D$60,4,FALSE),""))</f>
        <v/>
      </c>
    </row>
    <row r="38">
      <c r="A38" s="18" t="n"/>
      <c r="B38" s="17" t="n"/>
      <c r="C38" s="26" t="n"/>
      <c r="D38" s="26" t="n"/>
      <c r="E38" s="17" t="n"/>
      <c r="F38" s="17" t="n"/>
      <c r="G38" s="12">
        <f>IF(B38="","",IFERROR(VLOOKUP(B38,Stok!$A$2:$D$60,2,FALSE),"kode?"))</f>
        <v/>
      </c>
      <c r="H38" s="12">
        <f>IF(B38="","",IFERROR(VLOOKUP(B38,Stok!$A$2:$D$60,4,FALSE),""))</f>
        <v/>
      </c>
    </row>
    <row r="39">
      <c r="A39" s="18" t="n"/>
      <c r="B39" s="17" t="n"/>
      <c r="C39" s="26" t="n"/>
      <c r="D39" s="26" t="n"/>
      <c r="E39" s="17" t="n"/>
      <c r="F39" s="17" t="n"/>
      <c r="G39" s="12">
        <f>IF(B39="","",IFERROR(VLOOKUP(B39,Stok!$A$2:$D$60,2,FALSE),"kode?"))</f>
        <v/>
      </c>
      <c r="H39" s="12">
        <f>IF(B39="","",IFERROR(VLOOKUP(B39,Stok!$A$2:$D$60,4,FALSE),""))</f>
        <v/>
      </c>
    </row>
    <row r="40">
      <c r="A40" s="18" t="n"/>
      <c r="B40" s="17" t="n"/>
      <c r="C40" s="26" t="n"/>
      <c r="D40" s="26" t="n"/>
      <c r="E40" s="17" t="n"/>
      <c r="F40" s="17" t="n"/>
      <c r="G40" s="12">
        <f>IF(B40="","",IFERROR(VLOOKUP(B40,Stok!$A$2:$D$60,2,FALSE),"kode?"))</f>
        <v/>
      </c>
      <c r="H40" s="12">
        <f>IF(B40="","",IFERROR(VLOOKUP(B40,Stok!$A$2:$D$60,4,FALSE),""))</f>
        <v/>
      </c>
    </row>
    <row r="41">
      <c r="A41" s="18" t="n"/>
      <c r="B41" s="17" t="n"/>
      <c r="C41" s="26" t="n"/>
      <c r="D41" s="26" t="n"/>
      <c r="E41" s="17" t="n"/>
      <c r="F41" s="17" t="n"/>
      <c r="G41" s="12">
        <f>IF(B41="","",IFERROR(VLOOKUP(B41,Stok!$A$2:$D$60,2,FALSE),"kode?"))</f>
        <v/>
      </c>
      <c r="H41" s="12">
        <f>IF(B41="","",IFERROR(VLOOKUP(B41,Stok!$A$2:$D$60,4,FALSE),""))</f>
        <v/>
      </c>
    </row>
    <row r="42">
      <c r="A42" s="18" t="n"/>
      <c r="B42" s="17" t="n"/>
      <c r="C42" s="26" t="n"/>
      <c r="D42" s="26" t="n"/>
      <c r="E42" s="17" t="n"/>
      <c r="F42" s="17" t="n"/>
      <c r="G42" s="12">
        <f>IF(B42="","",IFERROR(VLOOKUP(B42,Stok!$A$2:$D$60,2,FALSE),"kode?"))</f>
        <v/>
      </c>
      <c r="H42" s="12">
        <f>IF(B42="","",IFERROR(VLOOKUP(B42,Stok!$A$2:$D$60,4,FALSE),""))</f>
        <v/>
      </c>
    </row>
    <row r="43">
      <c r="A43" s="18" t="n"/>
      <c r="B43" s="17" t="n"/>
      <c r="C43" s="26" t="n"/>
      <c r="D43" s="26" t="n"/>
      <c r="E43" s="17" t="n"/>
      <c r="F43" s="17" t="n"/>
      <c r="G43" s="12">
        <f>IF(B43="","",IFERROR(VLOOKUP(B43,Stok!$A$2:$D$60,2,FALSE),"kode?"))</f>
        <v/>
      </c>
      <c r="H43" s="12">
        <f>IF(B43="","",IFERROR(VLOOKUP(B43,Stok!$A$2:$D$60,4,FALSE),""))</f>
        <v/>
      </c>
    </row>
    <row r="44">
      <c r="A44" s="18" t="n"/>
      <c r="B44" s="17" t="n"/>
      <c r="C44" s="26" t="n"/>
      <c r="D44" s="26" t="n"/>
      <c r="E44" s="17" t="n"/>
      <c r="F44" s="17" t="n"/>
      <c r="G44" s="12">
        <f>IF(B44="","",IFERROR(VLOOKUP(B44,Stok!$A$2:$D$60,2,FALSE),"kode?"))</f>
        <v/>
      </c>
      <c r="H44" s="12">
        <f>IF(B44="","",IFERROR(VLOOKUP(B44,Stok!$A$2:$D$60,4,FALSE),""))</f>
        <v/>
      </c>
    </row>
    <row r="45">
      <c r="A45" s="18" t="n"/>
      <c r="B45" s="17" t="n"/>
      <c r="C45" s="26" t="n"/>
      <c r="D45" s="26" t="n"/>
      <c r="E45" s="17" t="n"/>
      <c r="F45" s="17" t="n"/>
      <c r="G45" s="12">
        <f>IF(B45="","",IFERROR(VLOOKUP(B45,Stok!$A$2:$D$60,2,FALSE),"kode?"))</f>
        <v/>
      </c>
      <c r="H45" s="12">
        <f>IF(B45="","",IFERROR(VLOOKUP(B45,Stok!$A$2:$D$60,4,FALSE),""))</f>
        <v/>
      </c>
    </row>
    <row r="46">
      <c r="A46" s="18" t="n"/>
      <c r="B46" s="17" t="n"/>
      <c r="C46" s="26" t="n"/>
      <c r="D46" s="26" t="n"/>
      <c r="E46" s="17" t="n"/>
      <c r="F46" s="17" t="n"/>
      <c r="G46" s="12">
        <f>IF(B46="","",IFERROR(VLOOKUP(B46,Stok!$A$2:$D$60,2,FALSE),"kode?"))</f>
        <v/>
      </c>
      <c r="H46" s="12">
        <f>IF(B46="","",IFERROR(VLOOKUP(B46,Stok!$A$2:$D$60,4,FALSE),""))</f>
        <v/>
      </c>
    </row>
    <row r="47">
      <c r="A47" s="18" t="n"/>
      <c r="B47" s="17" t="n"/>
      <c r="C47" s="26" t="n"/>
      <c r="D47" s="26" t="n"/>
      <c r="E47" s="17" t="n"/>
      <c r="F47" s="17" t="n"/>
      <c r="G47" s="12">
        <f>IF(B47="","",IFERROR(VLOOKUP(B47,Stok!$A$2:$D$60,2,FALSE),"kode?"))</f>
        <v/>
      </c>
      <c r="H47" s="12">
        <f>IF(B47="","",IFERROR(VLOOKUP(B47,Stok!$A$2:$D$60,4,FALSE),""))</f>
        <v/>
      </c>
    </row>
    <row r="48">
      <c r="A48" s="18" t="n"/>
      <c r="B48" s="17" t="n"/>
      <c r="C48" s="26" t="n"/>
      <c r="D48" s="26" t="n"/>
      <c r="E48" s="17" t="n"/>
      <c r="F48" s="17" t="n"/>
      <c r="G48" s="12">
        <f>IF(B48="","",IFERROR(VLOOKUP(B48,Stok!$A$2:$D$60,2,FALSE),"kode?"))</f>
        <v/>
      </c>
      <c r="H48" s="12">
        <f>IF(B48="","",IFERROR(VLOOKUP(B48,Stok!$A$2:$D$60,4,FALSE),""))</f>
        <v/>
      </c>
    </row>
    <row r="49">
      <c r="A49" s="18" t="n"/>
      <c r="B49" s="17" t="n"/>
      <c r="C49" s="26" t="n"/>
      <c r="D49" s="26" t="n"/>
      <c r="E49" s="17" t="n"/>
      <c r="F49" s="17" t="n"/>
      <c r="G49" s="12">
        <f>IF(B49="","",IFERROR(VLOOKUP(B49,Stok!$A$2:$D$60,2,FALSE),"kode?"))</f>
        <v/>
      </c>
      <c r="H49" s="12">
        <f>IF(B49="","",IFERROR(VLOOKUP(B49,Stok!$A$2:$D$60,4,FALSE),""))</f>
        <v/>
      </c>
    </row>
    <row r="50">
      <c r="A50" s="18" t="n"/>
      <c r="B50" s="17" t="n"/>
      <c r="C50" s="26" t="n"/>
      <c r="D50" s="26" t="n"/>
      <c r="E50" s="17" t="n"/>
      <c r="F50" s="17" t="n"/>
      <c r="G50" s="12">
        <f>IF(B50="","",IFERROR(VLOOKUP(B50,Stok!$A$2:$D$60,2,FALSE),"kode?"))</f>
        <v/>
      </c>
      <c r="H50" s="12">
        <f>IF(B50="","",IFERROR(VLOOKUP(B50,Stok!$A$2:$D$60,4,FALSE),""))</f>
        <v/>
      </c>
    </row>
    <row r="51">
      <c r="A51" s="18" t="n"/>
      <c r="B51" s="17" t="n"/>
      <c r="C51" s="26" t="n"/>
      <c r="D51" s="26" t="n"/>
      <c r="E51" s="17" t="n"/>
      <c r="F51" s="17" t="n"/>
      <c r="G51" s="12">
        <f>IF(B51="","",IFERROR(VLOOKUP(B51,Stok!$A$2:$D$60,2,FALSE),"kode?"))</f>
        <v/>
      </c>
      <c r="H51" s="12">
        <f>IF(B51="","",IFERROR(VLOOKUP(B51,Stok!$A$2:$D$60,4,FALSE),""))</f>
        <v/>
      </c>
    </row>
    <row r="52">
      <c r="A52" s="18" t="n"/>
      <c r="B52" s="17" t="n"/>
      <c r="C52" s="26" t="n"/>
      <c r="D52" s="26" t="n"/>
      <c r="E52" s="17" t="n"/>
      <c r="F52" s="17" t="n"/>
      <c r="G52" s="12">
        <f>IF(B52="","",IFERROR(VLOOKUP(B52,Stok!$A$2:$D$60,2,FALSE),"kode?"))</f>
        <v/>
      </c>
      <c r="H52" s="12">
        <f>IF(B52="","",IFERROR(VLOOKUP(B52,Stok!$A$2:$D$60,4,FALSE),""))</f>
        <v/>
      </c>
    </row>
    <row r="53">
      <c r="A53" s="18" t="n"/>
      <c r="B53" s="17" t="n"/>
      <c r="C53" s="26" t="n"/>
      <c r="D53" s="26" t="n"/>
      <c r="E53" s="17" t="n"/>
      <c r="F53" s="17" t="n"/>
      <c r="G53" s="12">
        <f>IF(B53="","",IFERROR(VLOOKUP(B53,Stok!$A$2:$D$60,2,FALSE),"kode?"))</f>
        <v/>
      </c>
      <c r="H53" s="12">
        <f>IF(B53="","",IFERROR(VLOOKUP(B53,Stok!$A$2:$D$60,4,FALSE),""))</f>
        <v/>
      </c>
    </row>
    <row r="54">
      <c r="A54" s="18" t="n"/>
      <c r="B54" s="17" t="n"/>
      <c r="C54" s="26" t="n"/>
      <c r="D54" s="26" t="n"/>
      <c r="E54" s="17" t="n"/>
      <c r="F54" s="17" t="n"/>
      <c r="G54" s="12">
        <f>IF(B54="","",IFERROR(VLOOKUP(B54,Stok!$A$2:$D$60,2,FALSE),"kode?"))</f>
        <v/>
      </c>
      <c r="H54" s="12">
        <f>IF(B54="","",IFERROR(VLOOKUP(B54,Stok!$A$2:$D$60,4,FALSE),""))</f>
        <v/>
      </c>
    </row>
    <row r="55">
      <c r="A55" s="18" t="n"/>
      <c r="B55" s="17" t="n"/>
      <c r="C55" s="26" t="n"/>
      <c r="D55" s="26" t="n"/>
      <c r="E55" s="17" t="n"/>
      <c r="F55" s="17" t="n"/>
      <c r="G55" s="12">
        <f>IF(B55="","",IFERROR(VLOOKUP(B55,Stok!$A$2:$D$60,2,FALSE),"kode?"))</f>
        <v/>
      </c>
      <c r="H55" s="12">
        <f>IF(B55="","",IFERROR(VLOOKUP(B55,Stok!$A$2:$D$60,4,FALSE),""))</f>
        <v/>
      </c>
    </row>
    <row r="56">
      <c r="A56" s="18" t="n"/>
      <c r="B56" s="17" t="n"/>
      <c r="C56" s="26" t="n"/>
      <c r="D56" s="26" t="n"/>
      <c r="E56" s="17" t="n"/>
      <c r="F56" s="17" t="n"/>
      <c r="G56" s="12">
        <f>IF(B56="","",IFERROR(VLOOKUP(B56,Stok!$A$2:$D$60,2,FALSE),"kode?"))</f>
        <v/>
      </c>
      <c r="H56" s="12">
        <f>IF(B56="","",IFERROR(VLOOKUP(B56,Stok!$A$2:$D$60,4,FALSE),""))</f>
        <v/>
      </c>
    </row>
    <row r="57">
      <c r="A57" s="18" t="n"/>
      <c r="B57" s="17" t="n"/>
      <c r="C57" s="26" t="n"/>
      <c r="D57" s="26" t="n"/>
      <c r="E57" s="17" t="n"/>
      <c r="F57" s="17" t="n"/>
      <c r="G57" s="12">
        <f>IF(B57="","",IFERROR(VLOOKUP(B57,Stok!$A$2:$D$60,2,FALSE),"kode?"))</f>
        <v/>
      </c>
      <c r="H57" s="12">
        <f>IF(B57="","",IFERROR(VLOOKUP(B57,Stok!$A$2:$D$60,4,FALSE),""))</f>
        <v/>
      </c>
    </row>
    <row r="58">
      <c r="A58" s="18" t="n"/>
      <c r="B58" s="17" t="n"/>
      <c r="C58" s="26" t="n"/>
      <c r="D58" s="26" t="n"/>
      <c r="E58" s="17" t="n"/>
      <c r="F58" s="17" t="n"/>
      <c r="G58" s="12">
        <f>IF(B58="","",IFERROR(VLOOKUP(B58,Stok!$A$2:$D$60,2,FALSE),"kode?"))</f>
        <v/>
      </c>
      <c r="H58" s="12">
        <f>IF(B58="","",IFERROR(VLOOKUP(B58,Stok!$A$2:$D$60,4,FALSE),""))</f>
        <v/>
      </c>
    </row>
    <row r="59">
      <c r="A59" s="18" t="n"/>
      <c r="B59" s="17" t="n"/>
      <c r="C59" s="26" t="n"/>
      <c r="D59" s="26" t="n"/>
      <c r="E59" s="17" t="n"/>
      <c r="F59" s="17" t="n"/>
      <c r="G59" s="12">
        <f>IF(B59="","",IFERROR(VLOOKUP(B59,Stok!$A$2:$D$60,2,FALSE),"kode?"))</f>
        <v/>
      </c>
      <c r="H59" s="12">
        <f>IF(B59="","",IFERROR(VLOOKUP(B59,Stok!$A$2:$D$60,4,FALSE),""))</f>
        <v/>
      </c>
    </row>
    <row r="60">
      <c r="A60" s="18" t="n"/>
      <c r="B60" s="17" t="n"/>
      <c r="C60" s="26" t="n"/>
      <c r="D60" s="26" t="n"/>
      <c r="E60" s="17" t="n"/>
      <c r="F60" s="17" t="n"/>
      <c r="G60" s="12">
        <f>IF(B60="","",IFERROR(VLOOKUP(B60,Stok!$A$2:$D$60,2,FALSE),"kode?"))</f>
        <v/>
      </c>
      <c r="H60" s="12">
        <f>IF(B60="","",IFERROR(VLOOKUP(B60,Stok!$A$2:$D$60,4,FALSE),""))</f>
        <v/>
      </c>
    </row>
    <row r="61">
      <c r="A61" s="18" t="n"/>
      <c r="B61" s="17" t="n"/>
      <c r="C61" s="26" t="n"/>
      <c r="D61" s="26" t="n"/>
      <c r="E61" s="17" t="n"/>
      <c r="F61" s="17" t="n"/>
      <c r="G61" s="12">
        <f>IF(B61="","",IFERROR(VLOOKUP(B61,Stok!$A$2:$D$60,2,FALSE),"kode?"))</f>
        <v/>
      </c>
      <c r="H61" s="12">
        <f>IF(B61="","",IFERROR(VLOOKUP(B61,Stok!$A$2:$D$60,4,FALSE),""))</f>
        <v/>
      </c>
    </row>
    <row r="62">
      <c r="A62" s="18" t="n"/>
      <c r="B62" s="17" t="n"/>
      <c r="C62" s="26" t="n"/>
      <c r="D62" s="26" t="n"/>
      <c r="E62" s="17" t="n"/>
      <c r="F62" s="17" t="n"/>
      <c r="G62" s="12">
        <f>IF(B62="","",IFERROR(VLOOKUP(B62,Stok!$A$2:$D$60,2,FALSE),"kode?"))</f>
        <v/>
      </c>
      <c r="H62" s="12">
        <f>IF(B62="","",IFERROR(VLOOKUP(B62,Stok!$A$2:$D$60,4,FALSE),""))</f>
        <v/>
      </c>
    </row>
    <row r="63">
      <c r="A63" s="18" t="n"/>
      <c r="B63" s="17" t="n"/>
      <c r="C63" s="26" t="n"/>
      <c r="D63" s="26" t="n"/>
      <c r="E63" s="17" t="n"/>
      <c r="F63" s="17" t="n"/>
      <c r="G63" s="12">
        <f>IF(B63="","",IFERROR(VLOOKUP(B63,Stok!$A$2:$D$60,2,FALSE),"kode?"))</f>
        <v/>
      </c>
      <c r="H63" s="12">
        <f>IF(B63="","",IFERROR(VLOOKUP(B63,Stok!$A$2:$D$60,4,FALSE),""))</f>
        <v/>
      </c>
    </row>
    <row r="64">
      <c r="A64" s="18" t="n"/>
      <c r="B64" s="17" t="n"/>
      <c r="C64" s="26" t="n"/>
      <c r="D64" s="26" t="n"/>
      <c r="E64" s="17" t="n"/>
      <c r="F64" s="17" t="n"/>
      <c r="G64" s="12">
        <f>IF(B64="","",IFERROR(VLOOKUP(B64,Stok!$A$2:$D$60,2,FALSE),"kode?"))</f>
        <v/>
      </c>
      <c r="H64" s="12">
        <f>IF(B64="","",IFERROR(VLOOKUP(B64,Stok!$A$2:$D$60,4,FALSE),""))</f>
        <v/>
      </c>
    </row>
    <row r="65">
      <c r="A65" s="18" t="n"/>
      <c r="B65" s="17" t="n"/>
      <c r="C65" s="26" t="n"/>
      <c r="D65" s="26" t="n"/>
      <c r="E65" s="17" t="n"/>
      <c r="F65" s="17" t="n"/>
      <c r="G65" s="12">
        <f>IF(B65="","",IFERROR(VLOOKUP(B65,Stok!$A$2:$D$60,2,FALSE),"kode?"))</f>
        <v/>
      </c>
      <c r="H65" s="12">
        <f>IF(B65="","",IFERROR(VLOOKUP(B65,Stok!$A$2:$D$60,4,FALSE),""))</f>
        <v/>
      </c>
    </row>
    <row r="66">
      <c r="A66" s="18" t="n"/>
      <c r="B66" s="17" t="n"/>
      <c r="C66" s="26" t="n"/>
      <c r="D66" s="26" t="n"/>
      <c r="E66" s="17" t="n"/>
      <c r="F66" s="17" t="n"/>
      <c r="G66" s="12">
        <f>IF(B66="","",IFERROR(VLOOKUP(B66,Stok!$A$2:$D$60,2,FALSE),"kode?"))</f>
        <v/>
      </c>
      <c r="H66" s="12">
        <f>IF(B66="","",IFERROR(VLOOKUP(B66,Stok!$A$2:$D$60,4,FALSE),""))</f>
        <v/>
      </c>
    </row>
    <row r="67">
      <c r="A67" s="18" t="n"/>
      <c r="B67" s="17" t="n"/>
      <c r="C67" s="26" t="n"/>
      <c r="D67" s="26" t="n"/>
      <c r="E67" s="17" t="n"/>
      <c r="F67" s="17" t="n"/>
      <c r="G67" s="12">
        <f>IF(B67="","",IFERROR(VLOOKUP(B67,Stok!$A$2:$D$60,2,FALSE),"kode?"))</f>
        <v/>
      </c>
      <c r="H67" s="12">
        <f>IF(B67="","",IFERROR(VLOOKUP(B67,Stok!$A$2:$D$60,4,FALSE),""))</f>
        <v/>
      </c>
    </row>
    <row r="68">
      <c r="A68" s="18" t="n"/>
      <c r="B68" s="17" t="n"/>
      <c r="C68" s="26" t="n"/>
      <c r="D68" s="26" t="n"/>
      <c r="E68" s="17" t="n"/>
      <c r="F68" s="17" t="n"/>
      <c r="G68" s="12">
        <f>IF(B68="","",IFERROR(VLOOKUP(B68,Stok!$A$2:$D$60,2,FALSE),"kode?"))</f>
        <v/>
      </c>
      <c r="H68" s="12">
        <f>IF(B68="","",IFERROR(VLOOKUP(B68,Stok!$A$2:$D$60,4,FALSE),""))</f>
        <v/>
      </c>
    </row>
    <row r="69">
      <c r="A69" s="18" t="n"/>
      <c r="B69" s="17" t="n"/>
      <c r="C69" s="26" t="n"/>
      <c r="D69" s="26" t="n"/>
      <c r="E69" s="17" t="n"/>
      <c r="F69" s="17" t="n"/>
      <c r="G69" s="12">
        <f>IF(B69="","",IFERROR(VLOOKUP(B69,Stok!$A$2:$D$60,2,FALSE),"kode?"))</f>
        <v/>
      </c>
      <c r="H69" s="12">
        <f>IF(B69="","",IFERROR(VLOOKUP(B69,Stok!$A$2:$D$60,4,FALSE),""))</f>
        <v/>
      </c>
    </row>
    <row r="70">
      <c r="A70" s="18" t="n"/>
      <c r="B70" s="17" t="n"/>
      <c r="C70" s="26" t="n"/>
      <c r="D70" s="26" t="n"/>
      <c r="E70" s="17" t="n"/>
      <c r="F70" s="17" t="n"/>
      <c r="G70" s="12">
        <f>IF(B70="","",IFERROR(VLOOKUP(B70,Stok!$A$2:$D$60,2,FALSE),"kode?"))</f>
        <v/>
      </c>
      <c r="H70" s="12">
        <f>IF(B70="","",IFERROR(VLOOKUP(B70,Stok!$A$2:$D$60,4,FALSE),""))</f>
        <v/>
      </c>
    </row>
    <row r="71">
      <c r="A71" s="18" t="n"/>
      <c r="B71" s="17" t="n"/>
      <c r="C71" s="26" t="n"/>
      <c r="D71" s="26" t="n"/>
      <c r="E71" s="17" t="n"/>
      <c r="F71" s="17" t="n"/>
      <c r="G71" s="12">
        <f>IF(B71="","",IFERROR(VLOOKUP(B71,Stok!$A$2:$D$60,2,FALSE),"kode?"))</f>
        <v/>
      </c>
      <c r="H71" s="12">
        <f>IF(B71="","",IFERROR(VLOOKUP(B71,Stok!$A$2:$D$60,4,FALSE),""))</f>
        <v/>
      </c>
    </row>
    <row r="72">
      <c r="A72" s="18" t="n"/>
      <c r="B72" s="17" t="n"/>
      <c r="C72" s="26" t="n"/>
      <c r="D72" s="26" t="n"/>
      <c r="E72" s="17" t="n"/>
      <c r="F72" s="17" t="n"/>
      <c r="G72" s="12">
        <f>IF(B72="","",IFERROR(VLOOKUP(B72,Stok!$A$2:$D$60,2,FALSE),"kode?"))</f>
        <v/>
      </c>
      <c r="H72" s="12">
        <f>IF(B72="","",IFERROR(VLOOKUP(B72,Stok!$A$2:$D$60,4,FALSE),""))</f>
        <v/>
      </c>
    </row>
    <row r="73">
      <c r="A73" s="18" t="n"/>
      <c r="B73" s="17" t="n"/>
      <c r="C73" s="26" t="n"/>
      <c r="D73" s="26" t="n"/>
      <c r="E73" s="17" t="n"/>
      <c r="F73" s="17" t="n"/>
      <c r="G73" s="12">
        <f>IF(B73="","",IFERROR(VLOOKUP(B73,Stok!$A$2:$D$60,2,FALSE),"kode?"))</f>
        <v/>
      </c>
      <c r="H73" s="12">
        <f>IF(B73="","",IFERROR(VLOOKUP(B73,Stok!$A$2:$D$60,4,FALSE),""))</f>
        <v/>
      </c>
    </row>
    <row r="74">
      <c r="A74" s="18" t="n"/>
      <c r="B74" s="17" t="n"/>
      <c r="C74" s="26" t="n"/>
      <c r="D74" s="26" t="n"/>
      <c r="E74" s="17" t="n"/>
      <c r="F74" s="17" t="n"/>
      <c r="G74" s="12">
        <f>IF(B74="","",IFERROR(VLOOKUP(B74,Stok!$A$2:$D$60,2,FALSE),"kode?"))</f>
        <v/>
      </c>
      <c r="H74" s="12">
        <f>IF(B74="","",IFERROR(VLOOKUP(B74,Stok!$A$2:$D$60,4,FALSE),""))</f>
        <v/>
      </c>
    </row>
    <row r="75">
      <c r="A75" s="18" t="n"/>
      <c r="B75" s="17" t="n"/>
      <c r="C75" s="26" t="n"/>
      <c r="D75" s="26" t="n"/>
      <c r="E75" s="17" t="n"/>
      <c r="F75" s="17" t="n"/>
      <c r="G75" s="12">
        <f>IF(B75="","",IFERROR(VLOOKUP(B75,Stok!$A$2:$D$60,2,FALSE),"kode?"))</f>
        <v/>
      </c>
      <c r="H75" s="12">
        <f>IF(B75="","",IFERROR(VLOOKUP(B75,Stok!$A$2:$D$60,4,FALSE),""))</f>
        <v/>
      </c>
    </row>
    <row r="76">
      <c r="A76" s="18" t="n"/>
      <c r="B76" s="17" t="n"/>
      <c r="C76" s="26" t="n"/>
      <c r="D76" s="26" t="n"/>
      <c r="E76" s="17" t="n"/>
      <c r="F76" s="17" t="n"/>
      <c r="G76" s="12">
        <f>IF(B76="","",IFERROR(VLOOKUP(B76,Stok!$A$2:$D$60,2,FALSE),"kode?"))</f>
        <v/>
      </c>
      <c r="H76" s="12">
        <f>IF(B76="","",IFERROR(VLOOKUP(B76,Stok!$A$2:$D$60,4,FALSE),""))</f>
        <v/>
      </c>
    </row>
    <row r="77">
      <c r="A77" s="18" t="n"/>
      <c r="B77" s="17" t="n"/>
      <c r="C77" s="26" t="n"/>
      <c r="D77" s="26" t="n"/>
      <c r="E77" s="17" t="n"/>
      <c r="F77" s="17" t="n"/>
      <c r="G77" s="12">
        <f>IF(B77="","",IFERROR(VLOOKUP(B77,Stok!$A$2:$D$60,2,FALSE),"kode?"))</f>
        <v/>
      </c>
      <c r="H77" s="12">
        <f>IF(B77="","",IFERROR(VLOOKUP(B77,Stok!$A$2:$D$60,4,FALSE),""))</f>
        <v/>
      </c>
    </row>
    <row r="78">
      <c r="A78" s="18" t="n"/>
      <c r="B78" s="17" t="n"/>
      <c r="C78" s="26" t="n"/>
      <c r="D78" s="26" t="n"/>
      <c r="E78" s="17" t="n"/>
      <c r="F78" s="17" t="n"/>
      <c r="G78" s="12">
        <f>IF(B78="","",IFERROR(VLOOKUP(B78,Stok!$A$2:$D$60,2,FALSE),"kode?"))</f>
        <v/>
      </c>
      <c r="H78" s="12">
        <f>IF(B78="","",IFERROR(VLOOKUP(B78,Stok!$A$2:$D$60,4,FALSE),""))</f>
        <v/>
      </c>
    </row>
    <row r="79">
      <c r="A79" s="18" t="n"/>
      <c r="B79" s="17" t="n"/>
      <c r="C79" s="26" t="n"/>
      <c r="D79" s="26" t="n"/>
      <c r="E79" s="17" t="n"/>
      <c r="F79" s="17" t="n"/>
      <c r="G79" s="12">
        <f>IF(B79="","",IFERROR(VLOOKUP(B79,Stok!$A$2:$D$60,2,FALSE),"kode?"))</f>
        <v/>
      </c>
      <c r="H79" s="12">
        <f>IF(B79="","",IFERROR(VLOOKUP(B79,Stok!$A$2:$D$60,4,FALSE),""))</f>
        <v/>
      </c>
    </row>
    <row r="80">
      <c r="A80" s="18" t="n"/>
      <c r="B80" s="17" t="n"/>
      <c r="C80" s="26" t="n"/>
      <c r="D80" s="26" t="n"/>
      <c r="E80" s="17" t="n"/>
      <c r="F80" s="17" t="n"/>
      <c r="G80" s="12">
        <f>IF(B80="","",IFERROR(VLOOKUP(B80,Stok!$A$2:$D$60,2,FALSE),"kode?"))</f>
        <v/>
      </c>
      <c r="H80" s="12">
        <f>IF(B80="","",IFERROR(VLOOKUP(B80,Stok!$A$2:$D$60,4,FALSE),""))</f>
        <v/>
      </c>
    </row>
    <row r="81">
      <c r="A81" s="18" t="n"/>
      <c r="B81" s="17" t="n"/>
      <c r="C81" s="26" t="n"/>
      <c r="D81" s="26" t="n"/>
      <c r="E81" s="17" t="n"/>
      <c r="F81" s="17" t="n"/>
      <c r="G81" s="12">
        <f>IF(B81="","",IFERROR(VLOOKUP(B81,Stok!$A$2:$D$60,2,FALSE),"kode?"))</f>
        <v/>
      </c>
      <c r="H81" s="12">
        <f>IF(B81="","",IFERROR(VLOOKUP(B81,Stok!$A$2:$D$60,4,FALSE),""))</f>
        <v/>
      </c>
    </row>
    <row r="82">
      <c r="A82" s="18" t="n"/>
      <c r="B82" s="17" t="n"/>
      <c r="C82" s="26" t="n"/>
      <c r="D82" s="26" t="n"/>
      <c r="E82" s="17" t="n"/>
      <c r="F82" s="17" t="n"/>
      <c r="G82" s="12">
        <f>IF(B82="","",IFERROR(VLOOKUP(B82,Stok!$A$2:$D$60,2,FALSE),"kode?"))</f>
        <v/>
      </c>
      <c r="H82" s="12">
        <f>IF(B82="","",IFERROR(VLOOKUP(B82,Stok!$A$2:$D$60,4,FALSE),""))</f>
        <v/>
      </c>
    </row>
    <row r="83">
      <c r="A83" s="18" t="n"/>
      <c r="B83" s="17" t="n"/>
      <c r="C83" s="26" t="n"/>
      <c r="D83" s="26" t="n"/>
      <c r="E83" s="17" t="n"/>
      <c r="F83" s="17" t="n"/>
      <c r="G83" s="12">
        <f>IF(B83="","",IFERROR(VLOOKUP(B83,Stok!$A$2:$D$60,2,FALSE),"kode?"))</f>
        <v/>
      </c>
      <c r="H83" s="12">
        <f>IF(B83="","",IFERROR(VLOOKUP(B83,Stok!$A$2:$D$60,4,FALSE),""))</f>
        <v/>
      </c>
    </row>
    <row r="84">
      <c r="A84" s="18" t="n"/>
      <c r="B84" s="17" t="n"/>
      <c r="C84" s="26" t="n"/>
      <c r="D84" s="26" t="n"/>
      <c r="E84" s="17" t="n"/>
      <c r="F84" s="17" t="n"/>
      <c r="G84" s="12">
        <f>IF(B84="","",IFERROR(VLOOKUP(B84,Stok!$A$2:$D$60,2,FALSE),"kode?"))</f>
        <v/>
      </c>
      <c r="H84" s="12">
        <f>IF(B84="","",IFERROR(VLOOKUP(B84,Stok!$A$2:$D$60,4,FALSE),""))</f>
        <v/>
      </c>
    </row>
    <row r="85">
      <c r="A85" s="18" t="n"/>
      <c r="B85" s="17" t="n"/>
      <c r="C85" s="26" t="n"/>
      <c r="D85" s="26" t="n"/>
      <c r="E85" s="17" t="n"/>
      <c r="F85" s="17" t="n"/>
      <c r="G85" s="12">
        <f>IF(B85="","",IFERROR(VLOOKUP(B85,Stok!$A$2:$D$60,2,FALSE),"kode?"))</f>
        <v/>
      </c>
      <c r="H85" s="12">
        <f>IF(B85="","",IFERROR(VLOOKUP(B85,Stok!$A$2:$D$60,4,FALSE),""))</f>
        <v/>
      </c>
    </row>
    <row r="86">
      <c r="A86" s="18" t="n"/>
      <c r="B86" s="17" t="n"/>
      <c r="C86" s="26" t="n"/>
      <c r="D86" s="26" t="n"/>
      <c r="E86" s="17" t="n"/>
      <c r="F86" s="17" t="n"/>
      <c r="G86" s="12">
        <f>IF(B86="","",IFERROR(VLOOKUP(B86,Stok!$A$2:$D$60,2,FALSE),"kode?"))</f>
        <v/>
      </c>
      <c r="H86" s="12">
        <f>IF(B86="","",IFERROR(VLOOKUP(B86,Stok!$A$2:$D$60,4,FALSE),""))</f>
        <v/>
      </c>
    </row>
    <row r="87">
      <c r="A87" s="18" t="n"/>
      <c r="B87" s="17" t="n"/>
      <c r="C87" s="26" t="n"/>
      <c r="D87" s="26" t="n"/>
      <c r="E87" s="17" t="n"/>
      <c r="F87" s="17" t="n"/>
      <c r="G87" s="12">
        <f>IF(B87="","",IFERROR(VLOOKUP(B87,Stok!$A$2:$D$60,2,FALSE),"kode?"))</f>
        <v/>
      </c>
      <c r="H87" s="12">
        <f>IF(B87="","",IFERROR(VLOOKUP(B87,Stok!$A$2:$D$60,4,FALSE),""))</f>
        <v/>
      </c>
    </row>
    <row r="88">
      <c r="A88" s="18" t="n"/>
      <c r="B88" s="17" t="n"/>
      <c r="C88" s="26" t="n"/>
      <c r="D88" s="26" t="n"/>
      <c r="E88" s="17" t="n"/>
      <c r="F88" s="17" t="n"/>
      <c r="G88" s="12">
        <f>IF(B88="","",IFERROR(VLOOKUP(B88,Stok!$A$2:$D$60,2,FALSE),"kode?"))</f>
        <v/>
      </c>
      <c r="H88" s="12">
        <f>IF(B88="","",IFERROR(VLOOKUP(B88,Stok!$A$2:$D$60,4,FALSE),""))</f>
        <v/>
      </c>
    </row>
    <row r="89">
      <c r="A89" s="18" t="n"/>
      <c r="B89" s="17" t="n"/>
      <c r="C89" s="26" t="n"/>
      <c r="D89" s="26" t="n"/>
      <c r="E89" s="17" t="n"/>
      <c r="F89" s="17" t="n"/>
      <c r="G89" s="12">
        <f>IF(B89="","",IFERROR(VLOOKUP(B89,Stok!$A$2:$D$60,2,FALSE),"kode?"))</f>
        <v/>
      </c>
      <c r="H89" s="12">
        <f>IF(B89="","",IFERROR(VLOOKUP(B89,Stok!$A$2:$D$60,4,FALSE),""))</f>
        <v/>
      </c>
    </row>
    <row r="90">
      <c r="A90" s="18" t="n"/>
      <c r="B90" s="17" t="n"/>
      <c r="C90" s="26" t="n"/>
      <c r="D90" s="26" t="n"/>
      <c r="E90" s="17" t="n"/>
      <c r="F90" s="17" t="n"/>
      <c r="G90" s="12">
        <f>IF(B90="","",IFERROR(VLOOKUP(B90,Stok!$A$2:$D$60,2,FALSE),"kode?"))</f>
        <v/>
      </c>
      <c r="H90" s="12">
        <f>IF(B90="","",IFERROR(VLOOKUP(B90,Stok!$A$2:$D$60,4,FALSE),""))</f>
        <v/>
      </c>
    </row>
    <row r="91">
      <c r="A91" s="18" t="n"/>
      <c r="B91" s="17" t="n"/>
      <c r="C91" s="26" t="n"/>
      <c r="D91" s="26" t="n"/>
      <c r="E91" s="17" t="n"/>
      <c r="F91" s="17" t="n"/>
      <c r="G91" s="12">
        <f>IF(B91="","",IFERROR(VLOOKUP(B91,Stok!$A$2:$D$60,2,FALSE),"kode?"))</f>
        <v/>
      </c>
      <c r="H91" s="12">
        <f>IF(B91="","",IFERROR(VLOOKUP(B91,Stok!$A$2:$D$60,4,FALSE),""))</f>
        <v/>
      </c>
    </row>
    <row r="92">
      <c r="A92" s="18" t="n"/>
      <c r="B92" s="17" t="n"/>
      <c r="C92" s="26" t="n"/>
      <c r="D92" s="26" t="n"/>
      <c r="E92" s="17" t="n"/>
      <c r="F92" s="17" t="n"/>
      <c r="G92" s="12">
        <f>IF(B92="","",IFERROR(VLOOKUP(B92,Stok!$A$2:$D$60,2,FALSE),"kode?"))</f>
        <v/>
      </c>
      <c r="H92" s="12">
        <f>IF(B92="","",IFERROR(VLOOKUP(B92,Stok!$A$2:$D$60,4,FALSE),""))</f>
        <v/>
      </c>
    </row>
    <row r="93">
      <c r="A93" s="18" t="n"/>
      <c r="B93" s="17" t="n"/>
      <c r="C93" s="26" t="n"/>
      <c r="D93" s="26" t="n"/>
      <c r="E93" s="17" t="n"/>
      <c r="F93" s="17" t="n"/>
      <c r="G93" s="12">
        <f>IF(B93="","",IFERROR(VLOOKUP(B93,Stok!$A$2:$D$60,2,FALSE),"kode?"))</f>
        <v/>
      </c>
      <c r="H93" s="12">
        <f>IF(B93="","",IFERROR(VLOOKUP(B93,Stok!$A$2:$D$60,4,FALSE),""))</f>
        <v/>
      </c>
    </row>
    <row r="94">
      <c r="A94" s="18" t="n"/>
      <c r="B94" s="17" t="n"/>
      <c r="C94" s="26" t="n"/>
      <c r="D94" s="26" t="n"/>
      <c r="E94" s="17" t="n"/>
      <c r="F94" s="17" t="n"/>
      <c r="G94" s="12">
        <f>IF(B94="","",IFERROR(VLOOKUP(B94,Stok!$A$2:$D$60,2,FALSE),"kode?"))</f>
        <v/>
      </c>
      <c r="H94" s="12">
        <f>IF(B94="","",IFERROR(VLOOKUP(B94,Stok!$A$2:$D$60,4,FALSE),""))</f>
        <v/>
      </c>
    </row>
    <row r="95">
      <c r="A95" s="18" t="n"/>
      <c r="B95" s="17" t="n"/>
      <c r="C95" s="26" t="n"/>
      <c r="D95" s="26" t="n"/>
      <c r="E95" s="17" t="n"/>
      <c r="F95" s="17" t="n"/>
      <c r="G95" s="12">
        <f>IF(B95="","",IFERROR(VLOOKUP(B95,Stok!$A$2:$D$60,2,FALSE),"kode?"))</f>
        <v/>
      </c>
      <c r="H95" s="12">
        <f>IF(B95="","",IFERROR(VLOOKUP(B95,Stok!$A$2:$D$60,4,FALSE),""))</f>
        <v/>
      </c>
    </row>
    <row r="96">
      <c r="A96" s="18" t="n"/>
      <c r="B96" s="17" t="n"/>
      <c r="C96" s="26" t="n"/>
      <c r="D96" s="26" t="n"/>
      <c r="E96" s="17" t="n"/>
      <c r="F96" s="17" t="n"/>
      <c r="G96" s="12">
        <f>IF(B96="","",IFERROR(VLOOKUP(B96,Stok!$A$2:$D$60,2,FALSE),"kode?"))</f>
        <v/>
      </c>
      <c r="H96" s="12">
        <f>IF(B96="","",IFERROR(VLOOKUP(B96,Stok!$A$2:$D$60,4,FALSE),""))</f>
        <v/>
      </c>
    </row>
    <row r="97">
      <c r="A97" s="18" t="n"/>
      <c r="B97" s="17" t="n"/>
      <c r="C97" s="26" t="n"/>
      <c r="D97" s="26" t="n"/>
      <c r="E97" s="17" t="n"/>
      <c r="F97" s="17" t="n"/>
      <c r="G97" s="12">
        <f>IF(B97="","",IFERROR(VLOOKUP(B97,Stok!$A$2:$D$60,2,FALSE),"kode?"))</f>
        <v/>
      </c>
      <c r="H97" s="12">
        <f>IF(B97="","",IFERROR(VLOOKUP(B97,Stok!$A$2:$D$60,4,FALSE),""))</f>
        <v/>
      </c>
    </row>
    <row r="98">
      <c r="A98" s="18" t="n"/>
      <c r="B98" s="17" t="n"/>
      <c r="C98" s="26" t="n"/>
      <c r="D98" s="26" t="n"/>
      <c r="E98" s="17" t="n"/>
      <c r="F98" s="17" t="n"/>
      <c r="G98" s="12">
        <f>IF(B98="","",IFERROR(VLOOKUP(B98,Stok!$A$2:$D$60,2,FALSE),"kode?"))</f>
        <v/>
      </c>
      <c r="H98" s="12">
        <f>IF(B98="","",IFERROR(VLOOKUP(B98,Stok!$A$2:$D$60,4,FALSE),""))</f>
        <v/>
      </c>
    </row>
    <row r="99">
      <c r="A99" s="18" t="n"/>
      <c r="B99" s="17" t="n"/>
      <c r="C99" s="26" t="n"/>
      <c r="D99" s="26" t="n"/>
      <c r="E99" s="17" t="n"/>
      <c r="F99" s="17" t="n"/>
      <c r="G99" s="12">
        <f>IF(B99="","",IFERROR(VLOOKUP(B99,Stok!$A$2:$D$60,2,FALSE),"kode?"))</f>
        <v/>
      </c>
      <c r="H99" s="12">
        <f>IF(B99="","",IFERROR(VLOOKUP(B99,Stok!$A$2:$D$60,4,FALSE),""))</f>
        <v/>
      </c>
    </row>
    <row r="100">
      <c r="A100" s="18" t="n"/>
      <c r="B100" s="17" t="n"/>
      <c r="C100" s="26" t="n"/>
      <c r="D100" s="26" t="n"/>
      <c r="E100" s="17" t="n"/>
      <c r="F100" s="17" t="n"/>
      <c r="G100" s="12">
        <f>IF(B100="","",IFERROR(VLOOKUP(B100,Stok!$A$2:$D$60,2,FALSE),"kode?"))</f>
        <v/>
      </c>
      <c r="H100" s="12">
        <f>IF(B100="","",IFERROR(VLOOKUP(B100,Stok!$A$2:$D$60,4,FALSE),""))</f>
        <v/>
      </c>
    </row>
    <row r="101">
      <c r="A101" s="18" t="n"/>
      <c r="B101" s="17" t="n"/>
      <c r="C101" s="26" t="n"/>
      <c r="D101" s="26" t="n"/>
      <c r="E101" s="17" t="n"/>
      <c r="F101" s="17" t="n"/>
      <c r="G101" s="12">
        <f>IF(B101="","",IFERROR(VLOOKUP(B101,Stok!$A$2:$D$60,2,FALSE),"kode?"))</f>
        <v/>
      </c>
      <c r="H101" s="12">
        <f>IF(B101="","",IFERROR(VLOOKUP(B101,Stok!$A$2:$D$60,4,FALSE),""))</f>
        <v/>
      </c>
    </row>
    <row r="102">
      <c r="A102" s="18" t="n"/>
      <c r="B102" s="17" t="n"/>
      <c r="C102" s="26" t="n"/>
      <c r="D102" s="26" t="n"/>
      <c r="E102" s="17" t="n"/>
      <c r="F102" s="17" t="n"/>
      <c r="G102" s="12">
        <f>IF(B102="","",IFERROR(VLOOKUP(B102,Stok!$A$2:$D$60,2,FALSE),"kode?"))</f>
        <v/>
      </c>
      <c r="H102" s="12">
        <f>IF(B102="","",IFERROR(VLOOKUP(B102,Stok!$A$2:$D$60,4,FALSE),""))</f>
        <v/>
      </c>
    </row>
    <row r="103">
      <c r="A103" s="18" t="n"/>
      <c r="B103" s="17" t="n"/>
      <c r="C103" s="26" t="n"/>
      <c r="D103" s="26" t="n"/>
      <c r="E103" s="17" t="n"/>
      <c r="F103" s="17" t="n"/>
      <c r="G103" s="12">
        <f>IF(B103="","",IFERROR(VLOOKUP(B103,Stok!$A$2:$D$60,2,FALSE),"kode?"))</f>
        <v/>
      </c>
      <c r="H103" s="12">
        <f>IF(B103="","",IFERROR(VLOOKUP(B103,Stok!$A$2:$D$60,4,FALSE),""))</f>
        <v/>
      </c>
    </row>
    <row r="104">
      <c r="A104" s="18" t="n"/>
      <c r="B104" s="17" t="n"/>
      <c r="C104" s="26" t="n"/>
      <c r="D104" s="26" t="n"/>
      <c r="E104" s="17" t="n"/>
      <c r="F104" s="17" t="n"/>
      <c r="G104" s="12">
        <f>IF(B104="","",IFERROR(VLOOKUP(B104,Stok!$A$2:$D$60,2,FALSE),"kode?"))</f>
        <v/>
      </c>
      <c r="H104" s="12">
        <f>IF(B104="","",IFERROR(VLOOKUP(B104,Stok!$A$2:$D$60,4,FALSE),""))</f>
        <v/>
      </c>
    </row>
    <row r="105">
      <c r="A105" s="18" t="n"/>
      <c r="B105" s="17" t="n"/>
      <c r="C105" s="26" t="n"/>
      <c r="D105" s="26" t="n"/>
      <c r="E105" s="17" t="n"/>
      <c r="F105" s="17" t="n"/>
      <c r="G105" s="12">
        <f>IF(B105="","",IFERROR(VLOOKUP(B105,Stok!$A$2:$D$60,2,FALSE),"kode?"))</f>
        <v/>
      </c>
      <c r="H105" s="12">
        <f>IF(B105="","",IFERROR(VLOOKUP(B105,Stok!$A$2:$D$60,4,FALSE),""))</f>
        <v/>
      </c>
    </row>
    <row r="106">
      <c r="A106" s="18" t="n"/>
      <c r="B106" s="17" t="n"/>
      <c r="C106" s="26" t="n"/>
      <c r="D106" s="26" t="n"/>
      <c r="E106" s="17" t="n"/>
      <c r="F106" s="17" t="n"/>
      <c r="G106" s="12">
        <f>IF(B106="","",IFERROR(VLOOKUP(B106,Stok!$A$2:$D$60,2,FALSE),"kode?"))</f>
        <v/>
      </c>
      <c r="H106" s="12">
        <f>IF(B106="","",IFERROR(VLOOKUP(B106,Stok!$A$2:$D$60,4,FALSE),""))</f>
        <v/>
      </c>
    </row>
    <row r="107">
      <c r="A107" s="18" t="n"/>
      <c r="B107" s="17" t="n"/>
      <c r="C107" s="26" t="n"/>
      <c r="D107" s="26" t="n"/>
      <c r="E107" s="17" t="n"/>
      <c r="F107" s="17" t="n"/>
      <c r="G107" s="12">
        <f>IF(B107="","",IFERROR(VLOOKUP(B107,Stok!$A$2:$D$60,2,FALSE),"kode?"))</f>
        <v/>
      </c>
      <c r="H107" s="12">
        <f>IF(B107="","",IFERROR(VLOOKUP(B107,Stok!$A$2:$D$60,4,FALSE),""))</f>
        <v/>
      </c>
    </row>
    <row r="108">
      <c r="A108" s="18" t="n"/>
      <c r="B108" s="17" t="n"/>
      <c r="C108" s="26" t="n"/>
      <c r="D108" s="26" t="n"/>
      <c r="E108" s="17" t="n"/>
      <c r="F108" s="17" t="n"/>
      <c r="G108" s="12">
        <f>IF(B108="","",IFERROR(VLOOKUP(B108,Stok!$A$2:$D$60,2,FALSE),"kode?"))</f>
        <v/>
      </c>
      <c r="H108" s="12">
        <f>IF(B108="","",IFERROR(VLOOKUP(B108,Stok!$A$2:$D$60,4,FALSE),""))</f>
        <v/>
      </c>
    </row>
    <row r="109">
      <c r="A109" s="18" t="n"/>
      <c r="B109" s="17" t="n"/>
      <c r="C109" s="26" t="n"/>
      <c r="D109" s="26" t="n"/>
      <c r="E109" s="17" t="n"/>
      <c r="F109" s="17" t="n"/>
      <c r="G109" s="12">
        <f>IF(B109="","",IFERROR(VLOOKUP(B109,Stok!$A$2:$D$60,2,FALSE),"kode?"))</f>
        <v/>
      </c>
      <c r="H109" s="12">
        <f>IF(B109="","",IFERROR(VLOOKUP(B109,Stok!$A$2:$D$60,4,FALSE),""))</f>
        <v/>
      </c>
    </row>
    <row r="110">
      <c r="A110" s="18" t="n"/>
      <c r="B110" s="17" t="n"/>
      <c r="C110" s="26" t="n"/>
      <c r="D110" s="26" t="n"/>
      <c r="E110" s="17" t="n"/>
      <c r="F110" s="17" t="n"/>
      <c r="G110" s="12">
        <f>IF(B110="","",IFERROR(VLOOKUP(B110,Stok!$A$2:$D$60,2,FALSE),"kode?"))</f>
        <v/>
      </c>
      <c r="H110" s="12">
        <f>IF(B110="","",IFERROR(VLOOKUP(B110,Stok!$A$2:$D$60,4,FALSE),""))</f>
        <v/>
      </c>
    </row>
    <row r="111">
      <c r="A111" s="18" t="n"/>
      <c r="B111" s="17" t="n"/>
      <c r="C111" s="26" t="n"/>
      <c r="D111" s="26" t="n"/>
      <c r="E111" s="17" t="n"/>
      <c r="F111" s="17" t="n"/>
      <c r="G111" s="12">
        <f>IF(B111="","",IFERROR(VLOOKUP(B111,Stok!$A$2:$D$60,2,FALSE),"kode?"))</f>
        <v/>
      </c>
      <c r="H111" s="12">
        <f>IF(B111="","",IFERROR(VLOOKUP(B111,Stok!$A$2:$D$60,4,FALSE),""))</f>
        <v/>
      </c>
    </row>
    <row r="112">
      <c r="A112" s="18" t="n"/>
      <c r="B112" s="17" t="n"/>
      <c r="C112" s="26" t="n"/>
      <c r="D112" s="26" t="n"/>
      <c r="E112" s="17" t="n"/>
      <c r="F112" s="17" t="n"/>
      <c r="G112" s="12">
        <f>IF(B112="","",IFERROR(VLOOKUP(B112,Stok!$A$2:$D$60,2,FALSE),"kode?"))</f>
        <v/>
      </c>
      <c r="H112" s="12">
        <f>IF(B112="","",IFERROR(VLOOKUP(B112,Stok!$A$2:$D$60,4,FALSE),""))</f>
        <v/>
      </c>
    </row>
    <row r="113">
      <c r="A113" s="18" t="n"/>
      <c r="B113" s="17" t="n"/>
      <c r="C113" s="26" t="n"/>
      <c r="D113" s="26" t="n"/>
      <c r="E113" s="17" t="n"/>
      <c r="F113" s="17" t="n"/>
      <c r="G113" s="12">
        <f>IF(B113="","",IFERROR(VLOOKUP(B113,Stok!$A$2:$D$60,2,FALSE),"kode?"))</f>
        <v/>
      </c>
      <c r="H113" s="12">
        <f>IF(B113="","",IFERROR(VLOOKUP(B113,Stok!$A$2:$D$60,4,FALSE),""))</f>
        <v/>
      </c>
    </row>
    <row r="114">
      <c r="A114" s="18" t="n"/>
      <c r="B114" s="17" t="n"/>
      <c r="C114" s="26" t="n"/>
      <c r="D114" s="26" t="n"/>
      <c r="E114" s="17" t="n"/>
      <c r="F114" s="17" t="n"/>
      <c r="G114" s="12">
        <f>IF(B114="","",IFERROR(VLOOKUP(B114,Stok!$A$2:$D$60,2,FALSE),"kode?"))</f>
        <v/>
      </c>
      <c r="H114" s="12">
        <f>IF(B114="","",IFERROR(VLOOKUP(B114,Stok!$A$2:$D$60,4,FALSE),""))</f>
        <v/>
      </c>
    </row>
    <row r="115">
      <c r="A115" s="18" t="n"/>
      <c r="B115" s="17" t="n"/>
      <c r="C115" s="26" t="n"/>
      <c r="D115" s="26" t="n"/>
      <c r="E115" s="17" t="n"/>
      <c r="F115" s="17" t="n"/>
      <c r="G115" s="12">
        <f>IF(B115="","",IFERROR(VLOOKUP(B115,Stok!$A$2:$D$60,2,FALSE),"kode?"))</f>
        <v/>
      </c>
      <c r="H115" s="12">
        <f>IF(B115="","",IFERROR(VLOOKUP(B115,Stok!$A$2:$D$60,4,FALSE),""))</f>
        <v/>
      </c>
    </row>
    <row r="116">
      <c r="A116" s="18" t="n"/>
      <c r="B116" s="17" t="n"/>
      <c r="C116" s="26" t="n"/>
      <c r="D116" s="26" t="n"/>
      <c r="E116" s="17" t="n"/>
      <c r="F116" s="17" t="n"/>
      <c r="G116" s="12">
        <f>IF(B116="","",IFERROR(VLOOKUP(B116,Stok!$A$2:$D$60,2,FALSE),"kode?"))</f>
        <v/>
      </c>
      <c r="H116" s="12">
        <f>IF(B116="","",IFERROR(VLOOKUP(B116,Stok!$A$2:$D$60,4,FALSE),""))</f>
        <v/>
      </c>
    </row>
    <row r="117">
      <c r="A117" s="18" t="n"/>
      <c r="B117" s="17" t="n"/>
      <c r="C117" s="26" t="n"/>
      <c r="D117" s="26" t="n"/>
      <c r="E117" s="17" t="n"/>
      <c r="F117" s="17" t="n"/>
      <c r="G117" s="12">
        <f>IF(B117="","",IFERROR(VLOOKUP(B117,Stok!$A$2:$D$60,2,FALSE),"kode?"))</f>
        <v/>
      </c>
      <c r="H117" s="12">
        <f>IF(B117="","",IFERROR(VLOOKUP(B117,Stok!$A$2:$D$60,4,FALSE),""))</f>
        <v/>
      </c>
    </row>
    <row r="118">
      <c r="A118" s="18" t="n"/>
      <c r="B118" s="17" t="n"/>
      <c r="C118" s="26" t="n"/>
      <c r="D118" s="26" t="n"/>
      <c r="E118" s="17" t="n"/>
      <c r="F118" s="17" t="n"/>
      <c r="G118" s="12">
        <f>IF(B118="","",IFERROR(VLOOKUP(B118,Stok!$A$2:$D$60,2,FALSE),"kode?"))</f>
        <v/>
      </c>
      <c r="H118" s="12">
        <f>IF(B118="","",IFERROR(VLOOKUP(B118,Stok!$A$2:$D$60,4,FALSE),""))</f>
        <v/>
      </c>
    </row>
    <row r="119">
      <c r="A119" s="18" t="n"/>
      <c r="B119" s="17" t="n"/>
      <c r="C119" s="26" t="n"/>
      <c r="D119" s="26" t="n"/>
      <c r="E119" s="17" t="n"/>
      <c r="F119" s="17" t="n"/>
      <c r="G119" s="12">
        <f>IF(B119="","",IFERROR(VLOOKUP(B119,Stok!$A$2:$D$60,2,FALSE),"kode?"))</f>
        <v/>
      </c>
      <c r="H119" s="12">
        <f>IF(B119="","",IFERROR(VLOOKUP(B119,Stok!$A$2:$D$60,4,FALSE),""))</f>
        <v/>
      </c>
    </row>
    <row r="120">
      <c r="A120" s="18" t="n"/>
      <c r="B120" s="17" t="n"/>
      <c r="C120" s="26" t="n"/>
      <c r="D120" s="26" t="n"/>
      <c r="E120" s="17" t="n"/>
      <c r="F120" s="17" t="n"/>
      <c r="G120" s="12">
        <f>IF(B120="","",IFERROR(VLOOKUP(B120,Stok!$A$2:$D$60,2,FALSE),"kode?"))</f>
        <v/>
      </c>
      <c r="H120" s="12">
        <f>IF(B120="","",IFERROR(VLOOKUP(B120,Stok!$A$2:$D$60,4,FALSE),""))</f>
        <v/>
      </c>
    </row>
    <row r="121">
      <c r="A121" s="18" t="n"/>
      <c r="B121" s="17" t="n"/>
      <c r="C121" s="26" t="n"/>
      <c r="D121" s="26" t="n"/>
      <c r="E121" s="17" t="n"/>
      <c r="F121" s="17" t="n"/>
      <c r="G121" s="12">
        <f>IF(B121="","",IFERROR(VLOOKUP(B121,Stok!$A$2:$D$60,2,FALSE),"kode?"))</f>
        <v/>
      </c>
      <c r="H121" s="12">
        <f>IF(B121="","",IFERROR(VLOOKUP(B121,Stok!$A$2:$D$60,4,FALSE),""))</f>
        <v/>
      </c>
    </row>
    <row r="122">
      <c r="A122" s="18" t="n"/>
      <c r="B122" s="17" t="n"/>
      <c r="C122" s="26" t="n"/>
      <c r="D122" s="26" t="n"/>
      <c r="E122" s="17" t="n"/>
      <c r="F122" s="17" t="n"/>
      <c r="G122" s="12">
        <f>IF(B122="","",IFERROR(VLOOKUP(B122,Stok!$A$2:$D$60,2,FALSE),"kode?"))</f>
        <v/>
      </c>
      <c r="H122" s="12">
        <f>IF(B122="","",IFERROR(VLOOKUP(B122,Stok!$A$2:$D$60,4,FALSE),""))</f>
        <v/>
      </c>
    </row>
    <row r="123">
      <c r="A123" s="18" t="n"/>
      <c r="B123" s="17" t="n"/>
      <c r="C123" s="26" t="n"/>
      <c r="D123" s="26" t="n"/>
      <c r="E123" s="17" t="n"/>
      <c r="F123" s="17" t="n"/>
      <c r="G123" s="12">
        <f>IF(B123="","",IFERROR(VLOOKUP(B123,Stok!$A$2:$D$60,2,FALSE),"kode?"))</f>
        <v/>
      </c>
      <c r="H123" s="12">
        <f>IF(B123="","",IFERROR(VLOOKUP(B123,Stok!$A$2:$D$60,4,FALSE),""))</f>
        <v/>
      </c>
    </row>
    <row r="124">
      <c r="A124" s="18" t="n"/>
      <c r="B124" s="17" t="n"/>
      <c r="C124" s="26" t="n"/>
      <c r="D124" s="26" t="n"/>
      <c r="E124" s="17" t="n"/>
      <c r="F124" s="17" t="n"/>
      <c r="G124" s="12">
        <f>IF(B124="","",IFERROR(VLOOKUP(B124,Stok!$A$2:$D$60,2,FALSE),"kode?"))</f>
        <v/>
      </c>
      <c r="H124" s="12">
        <f>IF(B124="","",IFERROR(VLOOKUP(B124,Stok!$A$2:$D$60,4,FALSE),""))</f>
        <v/>
      </c>
    </row>
    <row r="125">
      <c r="A125" s="18" t="n"/>
      <c r="B125" s="17" t="n"/>
      <c r="C125" s="26" t="n"/>
      <c r="D125" s="26" t="n"/>
      <c r="E125" s="17" t="n"/>
      <c r="F125" s="17" t="n"/>
      <c r="G125" s="12">
        <f>IF(B125="","",IFERROR(VLOOKUP(B125,Stok!$A$2:$D$60,2,FALSE),"kode?"))</f>
        <v/>
      </c>
      <c r="H125" s="12">
        <f>IF(B125="","",IFERROR(VLOOKUP(B125,Stok!$A$2:$D$60,4,FALSE),""))</f>
        <v/>
      </c>
    </row>
    <row r="126">
      <c r="A126" s="18" t="n"/>
      <c r="B126" s="17" t="n"/>
      <c r="C126" s="26" t="n"/>
      <c r="D126" s="26" t="n"/>
      <c r="E126" s="17" t="n"/>
      <c r="F126" s="17" t="n"/>
      <c r="G126" s="12">
        <f>IF(B126="","",IFERROR(VLOOKUP(B126,Stok!$A$2:$D$60,2,FALSE),"kode?"))</f>
        <v/>
      </c>
      <c r="H126" s="12">
        <f>IF(B126="","",IFERROR(VLOOKUP(B126,Stok!$A$2:$D$60,4,FALSE),""))</f>
        <v/>
      </c>
    </row>
    <row r="127">
      <c r="A127" s="18" t="n"/>
      <c r="B127" s="17" t="n"/>
      <c r="C127" s="26" t="n"/>
      <c r="D127" s="26" t="n"/>
      <c r="E127" s="17" t="n"/>
      <c r="F127" s="17" t="n"/>
      <c r="G127" s="12">
        <f>IF(B127="","",IFERROR(VLOOKUP(B127,Stok!$A$2:$D$60,2,FALSE),"kode?"))</f>
        <v/>
      </c>
      <c r="H127" s="12">
        <f>IF(B127="","",IFERROR(VLOOKUP(B127,Stok!$A$2:$D$60,4,FALSE),""))</f>
        <v/>
      </c>
    </row>
    <row r="128">
      <c r="A128" s="18" t="n"/>
      <c r="B128" s="17" t="n"/>
      <c r="C128" s="26" t="n"/>
      <c r="D128" s="26" t="n"/>
      <c r="E128" s="17" t="n"/>
      <c r="F128" s="17" t="n"/>
      <c r="G128" s="12">
        <f>IF(B128="","",IFERROR(VLOOKUP(B128,Stok!$A$2:$D$60,2,FALSE),"kode?"))</f>
        <v/>
      </c>
      <c r="H128" s="12">
        <f>IF(B128="","",IFERROR(VLOOKUP(B128,Stok!$A$2:$D$60,4,FALSE),""))</f>
        <v/>
      </c>
    </row>
    <row r="129">
      <c r="A129" s="18" t="n"/>
      <c r="B129" s="17" t="n"/>
      <c r="C129" s="26" t="n"/>
      <c r="D129" s="26" t="n"/>
      <c r="E129" s="17" t="n"/>
      <c r="F129" s="17" t="n"/>
      <c r="G129" s="12">
        <f>IF(B129="","",IFERROR(VLOOKUP(B129,Stok!$A$2:$D$60,2,FALSE),"kode?"))</f>
        <v/>
      </c>
      <c r="H129" s="12">
        <f>IF(B129="","",IFERROR(VLOOKUP(B129,Stok!$A$2:$D$60,4,FALSE),""))</f>
        <v/>
      </c>
    </row>
    <row r="130">
      <c r="A130" s="18" t="n"/>
      <c r="B130" s="17" t="n"/>
      <c r="C130" s="26" t="n"/>
      <c r="D130" s="26" t="n"/>
      <c r="E130" s="17" t="n"/>
      <c r="F130" s="17" t="n"/>
      <c r="G130" s="12">
        <f>IF(B130="","",IFERROR(VLOOKUP(B130,Stok!$A$2:$D$60,2,FALSE),"kode?"))</f>
        <v/>
      </c>
      <c r="H130" s="12">
        <f>IF(B130="","",IFERROR(VLOOKUP(B130,Stok!$A$2:$D$60,4,FALSE),""))</f>
        <v/>
      </c>
    </row>
    <row r="131">
      <c r="A131" s="18" t="n"/>
      <c r="B131" s="17" t="n"/>
      <c r="C131" s="26" t="n"/>
      <c r="D131" s="26" t="n"/>
      <c r="E131" s="17" t="n"/>
      <c r="F131" s="17" t="n"/>
      <c r="G131" s="12">
        <f>IF(B131="","",IFERROR(VLOOKUP(B131,Stok!$A$2:$D$60,2,FALSE),"kode?"))</f>
        <v/>
      </c>
      <c r="H131" s="12">
        <f>IF(B131="","",IFERROR(VLOOKUP(B131,Stok!$A$2:$D$60,4,FALSE),""))</f>
        <v/>
      </c>
    </row>
    <row r="132">
      <c r="A132" s="18" t="n"/>
      <c r="B132" s="17" t="n"/>
      <c r="C132" s="26" t="n"/>
      <c r="D132" s="26" t="n"/>
      <c r="E132" s="17" t="n"/>
      <c r="F132" s="17" t="n"/>
      <c r="G132" s="12">
        <f>IF(B132="","",IFERROR(VLOOKUP(B132,Stok!$A$2:$D$60,2,FALSE),"kode?"))</f>
        <v/>
      </c>
      <c r="H132" s="12">
        <f>IF(B132="","",IFERROR(VLOOKUP(B132,Stok!$A$2:$D$60,4,FALSE),""))</f>
        <v/>
      </c>
    </row>
    <row r="133">
      <c r="A133" s="18" t="n"/>
      <c r="B133" s="17" t="n"/>
      <c r="C133" s="26" t="n"/>
      <c r="D133" s="26" t="n"/>
      <c r="E133" s="17" t="n"/>
      <c r="F133" s="17" t="n"/>
      <c r="G133" s="12">
        <f>IF(B133="","",IFERROR(VLOOKUP(B133,Stok!$A$2:$D$60,2,FALSE),"kode?"))</f>
        <v/>
      </c>
      <c r="H133" s="12">
        <f>IF(B133="","",IFERROR(VLOOKUP(B133,Stok!$A$2:$D$60,4,FALSE),""))</f>
        <v/>
      </c>
    </row>
    <row r="134">
      <c r="A134" s="18" t="n"/>
      <c r="B134" s="17" t="n"/>
      <c r="C134" s="26" t="n"/>
      <c r="D134" s="26" t="n"/>
      <c r="E134" s="17" t="n"/>
      <c r="F134" s="17" t="n"/>
      <c r="G134" s="12">
        <f>IF(B134="","",IFERROR(VLOOKUP(B134,Stok!$A$2:$D$60,2,FALSE),"kode?"))</f>
        <v/>
      </c>
      <c r="H134" s="12">
        <f>IF(B134="","",IFERROR(VLOOKUP(B134,Stok!$A$2:$D$60,4,FALSE),""))</f>
        <v/>
      </c>
    </row>
    <row r="135">
      <c r="A135" s="18" t="n"/>
      <c r="B135" s="17" t="n"/>
      <c r="C135" s="26" t="n"/>
      <c r="D135" s="26" t="n"/>
      <c r="E135" s="17" t="n"/>
      <c r="F135" s="17" t="n"/>
      <c r="G135" s="12">
        <f>IF(B135="","",IFERROR(VLOOKUP(B135,Stok!$A$2:$D$60,2,FALSE),"kode?"))</f>
        <v/>
      </c>
      <c r="H135" s="12">
        <f>IF(B135="","",IFERROR(VLOOKUP(B135,Stok!$A$2:$D$60,4,FALSE),""))</f>
        <v/>
      </c>
    </row>
    <row r="136">
      <c r="A136" s="18" t="n"/>
      <c r="B136" s="17" t="n"/>
      <c r="C136" s="26" t="n"/>
      <c r="D136" s="26" t="n"/>
      <c r="E136" s="17" t="n"/>
      <c r="F136" s="17" t="n"/>
      <c r="G136" s="12">
        <f>IF(B136="","",IFERROR(VLOOKUP(B136,Stok!$A$2:$D$60,2,FALSE),"kode?"))</f>
        <v/>
      </c>
      <c r="H136" s="12">
        <f>IF(B136="","",IFERROR(VLOOKUP(B136,Stok!$A$2:$D$60,4,FALSE),""))</f>
        <v/>
      </c>
    </row>
    <row r="137">
      <c r="A137" s="18" t="n"/>
      <c r="B137" s="17" t="n"/>
      <c r="C137" s="26" t="n"/>
      <c r="D137" s="26" t="n"/>
      <c r="E137" s="17" t="n"/>
      <c r="F137" s="17" t="n"/>
      <c r="G137" s="12">
        <f>IF(B137="","",IFERROR(VLOOKUP(B137,Stok!$A$2:$D$60,2,FALSE),"kode?"))</f>
        <v/>
      </c>
      <c r="H137" s="12">
        <f>IF(B137="","",IFERROR(VLOOKUP(B137,Stok!$A$2:$D$60,4,FALSE),""))</f>
        <v/>
      </c>
    </row>
    <row r="138">
      <c r="A138" s="18" t="n"/>
      <c r="B138" s="17" t="n"/>
      <c r="C138" s="26" t="n"/>
      <c r="D138" s="26" t="n"/>
      <c r="E138" s="17" t="n"/>
      <c r="F138" s="17" t="n"/>
      <c r="G138" s="12">
        <f>IF(B138="","",IFERROR(VLOOKUP(B138,Stok!$A$2:$D$60,2,FALSE),"kode?"))</f>
        <v/>
      </c>
      <c r="H138" s="12">
        <f>IF(B138="","",IFERROR(VLOOKUP(B138,Stok!$A$2:$D$60,4,FALSE),""))</f>
        <v/>
      </c>
    </row>
    <row r="139">
      <c r="A139" s="18" t="n"/>
      <c r="B139" s="17" t="n"/>
      <c r="C139" s="26" t="n"/>
      <c r="D139" s="26" t="n"/>
      <c r="E139" s="17" t="n"/>
      <c r="F139" s="17" t="n"/>
      <c r="G139" s="12">
        <f>IF(B139="","",IFERROR(VLOOKUP(B139,Stok!$A$2:$D$60,2,FALSE),"kode?"))</f>
        <v/>
      </c>
      <c r="H139" s="12">
        <f>IF(B139="","",IFERROR(VLOOKUP(B139,Stok!$A$2:$D$60,4,FALSE),""))</f>
        <v/>
      </c>
    </row>
    <row r="140">
      <c r="A140" s="18" t="n"/>
      <c r="B140" s="17" t="n"/>
      <c r="C140" s="26" t="n"/>
      <c r="D140" s="26" t="n"/>
      <c r="E140" s="17" t="n"/>
      <c r="F140" s="17" t="n"/>
      <c r="G140" s="12">
        <f>IF(B140="","",IFERROR(VLOOKUP(B140,Stok!$A$2:$D$60,2,FALSE),"kode?"))</f>
        <v/>
      </c>
      <c r="H140" s="12">
        <f>IF(B140="","",IFERROR(VLOOKUP(B140,Stok!$A$2:$D$60,4,FALSE),""))</f>
        <v/>
      </c>
    </row>
    <row r="141">
      <c r="A141" s="18" t="n"/>
      <c r="B141" s="17" t="n"/>
      <c r="C141" s="26" t="n"/>
      <c r="D141" s="26" t="n"/>
      <c r="E141" s="17" t="n"/>
      <c r="F141" s="17" t="n"/>
      <c r="G141" s="12">
        <f>IF(B141="","",IFERROR(VLOOKUP(B141,Stok!$A$2:$D$60,2,FALSE),"kode?"))</f>
        <v/>
      </c>
      <c r="H141" s="12">
        <f>IF(B141="","",IFERROR(VLOOKUP(B141,Stok!$A$2:$D$60,4,FALSE),""))</f>
        <v/>
      </c>
    </row>
    <row r="142">
      <c r="A142" s="18" t="n"/>
      <c r="B142" s="17" t="n"/>
      <c r="C142" s="26" t="n"/>
      <c r="D142" s="26" t="n"/>
      <c r="E142" s="17" t="n"/>
      <c r="F142" s="17" t="n"/>
      <c r="G142" s="12">
        <f>IF(B142="","",IFERROR(VLOOKUP(B142,Stok!$A$2:$D$60,2,FALSE),"kode?"))</f>
        <v/>
      </c>
      <c r="H142" s="12">
        <f>IF(B142="","",IFERROR(VLOOKUP(B142,Stok!$A$2:$D$60,4,FALSE),""))</f>
        <v/>
      </c>
    </row>
    <row r="143">
      <c r="A143" s="18" t="n"/>
      <c r="B143" s="17" t="n"/>
      <c r="C143" s="26" t="n"/>
      <c r="D143" s="26" t="n"/>
      <c r="E143" s="17" t="n"/>
      <c r="F143" s="17" t="n"/>
      <c r="G143" s="12">
        <f>IF(B143="","",IFERROR(VLOOKUP(B143,Stok!$A$2:$D$60,2,FALSE),"kode?"))</f>
        <v/>
      </c>
      <c r="H143" s="12">
        <f>IF(B143="","",IFERROR(VLOOKUP(B143,Stok!$A$2:$D$60,4,FALSE),""))</f>
        <v/>
      </c>
    </row>
    <row r="144">
      <c r="A144" s="18" t="n"/>
      <c r="B144" s="17" t="n"/>
      <c r="C144" s="26" t="n"/>
      <c r="D144" s="26" t="n"/>
      <c r="E144" s="17" t="n"/>
      <c r="F144" s="17" t="n"/>
      <c r="G144" s="12">
        <f>IF(B144="","",IFERROR(VLOOKUP(B144,Stok!$A$2:$D$60,2,FALSE),"kode?"))</f>
        <v/>
      </c>
      <c r="H144" s="12">
        <f>IF(B144="","",IFERROR(VLOOKUP(B144,Stok!$A$2:$D$60,4,FALSE),""))</f>
        <v/>
      </c>
    </row>
    <row r="145">
      <c r="A145" s="18" t="n"/>
      <c r="B145" s="17" t="n"/>
      <c r="C145" s="26" t="n"/>
      <c r="D145" s="26" t="n"/>
      <c r="E145" s="17" t="n"/>
      <c r="F145" s="17" t="n"/>
      <c r="G145" s="12">
        <f>IF(B145="","",IFERROR(VLOOKUP(B145,Stok!$A$2:$D$60,2,FALSE),"kode?"))</f>
        <v/>
      </c>
      <c r="H145" s="12">
        <f>IF(B145="","",IFERROR(VLOOKUP(B145,Stok!$A$2:$D$60,4,FALSE),""))</f>
        <v/>
      </c>
    </row>
    <row r="146">
      <c r="A146" s="18" t="n"/>
      <c r="B146" s="17" t="n"/>
      <c r="C146" s="26" t="n"/>
      <c r="D146" s="26" t="n"/>
      <c r="E146" s="17" t="n"/>
      <c r="F146" s="17" t="n"/>
      <c r="G146" s="12">
        <f>IF(B146="","",IFERROR(VLOOKUP(B146,Stok!$A$2:$D$60,2,FALSE),"kode?"))</f>
        <v/>
      </c>
      <c r="H146" s="12">
        <f>IF(B146="","",IFERROR(VLOOKUP(B146,Stok!$A$2:$D$60,4,FALSE),""))</f>
        <v/>
      </c>
    </row>
    <row r="147">
      <c r="A147" s="18" t="n"/>
      <c r="B147" s="17" t="n"/>
      <c r="C147" s="26" t="n"/>
      <c r="D147" s="26" t="n"/>
      <c r="E147" s="17" t="n"/>
      <c r="F147" s="17" t="n"/>
      <c r="G147" s="12">
        <f>IF(B147="","",IFERROR(VLOOKUP(B147,Stok!$A$2:$D$60,2,FALSE),"kode?"))</f>
        <v/>
      </c>
      <c r="H147" s="12">
        <f>IF(B147="","",IFERROR(VLOOKUP(B147,Stok!$A$2:$D$60,4,FALSE),""))</f>
        <v/>
      </c>
    </row>
    <row r="148">
      <c r="A148" s="18" t="n"/>
      <c r="B148" s="17" t="n"/>
      <c r="C148" s="26" t="n"/>
      <c r="D148" s="26" t="n"/>
      <c r="E148" s="17" t="n"/>
      <c r="F148" s="17" t="n"/>
      <c r="G148" s="12">
        <f>IF(B148="","",IFERROR(VLOOKUP(B148,Stok!$A$2:$D$60,2,FALSE),"kode?"))</f>
        <v/>
      </c>
      <c r="H148" s="12">
        <f>IF(B148="","",IFERROR(VLOOKUP(B148,Stok!$A$2:$D$60,4,FALSE),""))</f>
        <v/>
      </c>
    </row>
    <row r="149">
      <c r="A149" s="18" t="n"/>
      <c r="B149" s="17" t="n"/>
      <c r="C149" s="26" t="n"/>
      <c r="D149" s="26" t="n"/>
      <c r="E149" s="17" t="n"/>
      <c r="F149" s="17" t="n"/>
      <c r="G149" s="12">
        <f>IF(B149="","",IFERROR(VLOOKUP(B149,Stok!$A$2:$D$60,2,FALSE),"kode?"))</f>
        <v/>
      </c>
      <c r="H149" s="12">
        <f>IF(B149="","",IFERROR(VLOOKUP(B149,Stok!$A$2:$D$60,4,FALSE),""))</f>
        <v/>
      </c>
    </row>
    <row r="150">
      <c r="A150" s="18" t="n"/>
      <c r="B150" s="17" t="n"/>
      <c r="C150" s="26" t="n"/>
      <c r="D150" s="26" t="n"/>
      <c r="E150" s="17" t="n"/>
      <c r="F150" s="17" t="n"/>
      <c r="G150" s="12">
        <f>IF(B150="","",IFERROR(VLOOKUP(B150,Stok!$A$2:$D$60,2,FALSE),"kode?"))</f>
        <v/>
      </c>
      <c r="H150" s="12">
        <f>IF(B150="","",IFERROR(VLOOKUP(B150,Stok!$A$2:$D$60,4,FALSE),""))</f>
        <v/>
      </c>
    </row>
    <row r="151">
      <c r="A151" s="18" t="n"/>
      <c r="B151" s="17" t="n"/>
      <c r="C151" s="26" t="n"/>
      <c r="D151" s="26" t="n"/>
      <c r="E151" s="17" t="n"/>
      <c r="F151" s="17" t="n"/>
      <c r="G151" s="12">
        <f>IF(B151="","",IFERROR(VLOOKUP(B151,Stok!$A$2:$D$60,2,FALSE),"kode?"))</f>
        <v/>
      </c>
      <c r="H151" s="12">
        <f>IF(B151="","",IFERROR(VLOOKUP(B151,Stok!$A$2:$D$60,4,FALSE),""))</f>
        <v/>
      </c>
    </row>
    <row r="152">
      <c r="A152" s="18" t="n"/>
      <c r="B152" s="17" t="n"/>
      <c r="C152" s="26" t="n"/>
      <c r="D152" s="26" t="n"/>
      <c r="E152" s="17" t="n"/>
      <c r="F152" s="17" t="n"/>
      <c r="G152" s="12">
        <f>IF(B152="","",IFERROR(VLOOKUP(B152,Stok!$A$2:$D$60,2,FALSE),"kode?"))</f>
        <v/>
      </c>
      <c r="H152" s="12">
        <f>IF(B152="","",IFERROR(VLOOKUP(B152,Stok!$A$2:$D$60,4,FALSE),""))</f>
        <v/>
      </c>
    </row>
    <row r="153">
      <c r="A153" s="18" t="n"/>
      <c r="B153" s="17" t="n"/>
      <c r="C153" s="26" t="n"/>
      <c r="D153" s="26" t="n"/>
      <c r="E153" s="17" t="n"/>
      <c r="F153" s="17" t="n"/>
      <c r="G153" s="12">
        <f>IF(B153="","",IFERROR(VLOOKUP(B153,Stok!$A$2:$D$60,2,FALSE),"kode?"))</f>
        <v/>
      </c>
      <c r="H153" s="12">
        <f>IF(B153="","",IFERROR(VLOOKUP(B153,Stok!$A$2:$D$60,4,FALSE),""))</f>
        <v/>
      </c>
    </row>
    <row r="154">
      <c r="A154" s="18" t="n"/>
      <c r="B154" s="17" t="n"/>
      <c r="C154" s="26" t="n"/>
      <c r="D154" s="26" t="n"/>
      <c r="E154" s="17" t="n"/>
      <c r="F154" s="17" t="n"/>
      <c r="G154" s="12">
        <f>IF(B154="","",IFERROR(VLOOKUP(B154,Stok!$A$2:$D$60,2,FALSE),"kode?"))</f>
        <v/>
      </c>
      <c r="H154" s="12">
        <f>IF(B154="","",IFERROR(VLOOKUP(B154,Stok!$A$2:$D$60,4,FALSE),""))</f>
        <v/>
      </c>
    </row>
    <row r="155">
      <c r="A155" s="18" t="n"/>
      <c r="B155" s="17" t="n"/>
      <c r="C155" s="26" t="n"/>
      <c r="D155" s="26" t="n"/>
      <c r="E155" s="17" t="n"/>
      <c r="F155" s="17" t="n"/>
      <c r="G155" s="12">
        <f>IF(B155="","",IFERROR(VLOOKUP(B155,Stok!$A$2:$D$60,2,FALSE),"kode?"))</f>
        <v/>
      </c>
      <c r="H155" s="12">
        <f>IF(B155="","",IFERROR(VLOOKUP(B155,Stok!$A$2:$D$60,4,FALSE),""))</f>
        <v/>
      </c>
    </row>
    <row r="156">
      <c r="A156" s="18" t="n"/>
      <c r="B156" s="17" t="n"/>
      <c r="C156" s="26" t="n"/>
      <c r="D156" s="26" t="n"/>
      <c r="E156" s="17" t="n"/>
      <c r="F156" s="17" t="n"/>
      <c r="G156" s="12">
        <f>IF(B156="","",IFERROR(VLOOKUP(B156,Stok!$A$2:$D$60,2,FALSE),"kode?"))</f>
        <v/>
      </c>
      <c r="H156" s="12">
        <f>IF(B156="","",IFERROR(VLOOKUP(B156,Stok!$A$2:$D$60,4,FALSE),""))</f>
        <v/>
      </c>
    </row>
    <row r="157">
      <c r="A157" s="18" t="n"/>
      <c r="B157" s="17" t="n"/>
      <c r="C157" s="26" t="n"/>
      <c r="D157" s="26" t="n"/>
      <c r="E157" s="17" t="n"/>
      <c r="F157" s="17" t="n"/>
      <c r="G157" s="12">
        <f>IF(B157="","",IFERROR(VLOOKUP(B157,Stok!$A$2:$D$60,2,FALSE),"kode?"))</f>
        <v/>
      </c>
      <c r="H157" s="12">
        <f>IF(B157="","",IFERROR(VLOOKUP(B157,Stok!$A$2:$D$60,4,FALSE),""))</f>
        <v/>
      </c>
    </row>
    <row r="158">
      <c r="A158" s="18" t="n"/>
      <c r="B158" s="17" t="n"/>
      <c r="C158" s="26" t="n"/>
      <c r="D158" s="26" t="n"/>
      <c r="E158" s="17" t="n"/>
      <c r="F158" s="17" t="n"/>
      <c r="G158" s="12">
        <f>IF(B158="","",IFERROR(VLOOKUP(B158,Stok!$A$2:$D$60,2,FALSE),"kode?"))</f>
        <v/>
      </c>
      <c r="H158" s="12">
        <f>IF(B158="","",IFERROR(VLOOKUP(B158,Stok!$A$2:$D$60,4,FALSE),""))</f>
        <v/>
      </c>
    </row>
    <row r="159">
      <c r="A159" s="18" t="n"/>
      <c r="B159" s="17" t="n"/>
      <c r="C159" s="26" t="n"/>
      <c r="D159" s="26" t="n"/>
      <c r="E159" s="17" t="n"/>
      <c r="F159" s="17" t="n"/>
      <c r="G159" s="12">
        <f>IF(B159="","",IFERROR(VLOOKUP(B159,Stok!$A$2:$D$60,2,FALSE),"kode?"))</f>
        <v/>
      </c>
      <c r="H159" s="12">
        <f>IF(B159="","",IFERROR(VLOOKUP(B159,Stok!$A$2:$D$60,4,FALSE),""))</f>
        <v/>
      </c>
    </row>
    <row r="160">
      <c r="A160" s="18" t="n"/>
      <c r="B160" s="17" t="n"/>
      <c r="C160" s="26" t="n"/>
      <c r="D160" s="26" t="n"/>
      <c r="E160" s="17" t="n"/>
      <c r="F160" s="17" t="n"/>
      <c r="G160" s="12">
        <f>IF(B160="","",IFERROR(VLOOKUP(B160,Stok!$A$2:$D$60,2,FALSE),"kode?"))</f>
        <v/>
      </c>
      <c r="H160" s="12">
        <f>IF(B160="","",IFERROR(VLOOKUP(B160,Stok!$A$2:$D$60,4,FALSE),""))</f>
        <v/>
      </c>
    </row>
    <row r="161">
      <c r="A161" s="18" t="n"/>
      <c r="B161" s="17" t="n"/>
      <c r="C161" s="26" t="n"/>
      <c r="D161" s="26" t="n"/>
      <c r="E161" s="17" t="n"/>
      <c r="F161" s="17" t="n"/>
      <c r="G161" s="12">
        <f>IF(B161="","",IFERROR(VLOOKUP(B161,Stok!$A$2:$D$60,2,FALSE),"kode?"))</f>
        <v/>
      </c>
      <c r="H161" s="12">
        <f>IF(B161="","",IFERROR(VLOOKUP(B161,Stok!$A$2:$D$60,4,FALSE),""))</f>
        <v/>
      </c>
    </row>
    <row r="162">
      <c r="A162" s="18" t="n"/>
      <c r="B162" s="17" t="n"/>
      <c r="C162" s="26" t="n"/>
      <c r="D162" s="26" t="n"/>
      <c r="E162" s="17" t="n"/>
      <c r="F162" s="17" t="n"/>
      <c r="G162" s="12">
        <f>IF(B162="","",IFERROR(VLOOKUP(B162,Stok!$A$2:$D$60,2,FALSE),"kode?"))</f>
        <v/>
      </c>
      <c r="H162" s="12">
        <f>IF(B162="","",IFERROR(VLOOKUP(B162,Stok!$A$2:$D$60,4,FALSE),""))</f>
        <v/>
      </c>
    </row>
    <row r="163">
      <c r="A163" s="18" t="n"/>
      <c r="B163" s="17" t="n"/>
      <c r="C163" s="26" t="n"/>
      <c r="D163" s="26" t="n"/>
      <c r="E163" s="17" t="n"/>
      <c r="F163" s="17" t="n"/>
      <c r="G163" s="12">
        <f>IF(B163="","",IFERROR(VLOOKUP(B163,Stok!$A$2:$D$60,2,FALSE),"kode?"))</f>
        <v/>
      </c>
      <c r="H163" s="12">
        <f>IF(B163="","",IFERROR(VLOOKUP(B163,Stok!$A$2:$D$60,4,FALSE),""))</f>
        <v/>
      </c>
    </row>
    <row r="164">
      <c r="A164" s="18" t="n"/>
      <c r="B164" s="17" t="n"/>
      <c r="C164" s="26" t="n"/>
      <c r="D164" s="26" t="n"/>
      <c r="E164" s="17" t="n"/>
      <c r="F164" s="17" t="n"/>
      <c r="G164" s="12">
        <f>IF(B164="","",IFERROR(VLOOKUP(B164,Stok!$A$2:$D$60,2,FALSE),"kode?"))</f>
        <v/>
      </c>
      <c r="H164" s="12">
        <f>IF(B164="","",IFERROR(VLOOKUP(B164,Stok!$A$2:$D$60,4,FALSE),""))</f>
        <v/>
      </c>
    </row>
    <row r="165">
      <c r="A165" s="18" t="n"/>
      <c r="B165" s="17" t="n"/>
      <c r="C165" s="26" t="n"/>
      <c r="D165" s="26" t="n"/>
      <c r="E165" s="17" t="n"/>
      <c r="F165" s="17" t="n"/>
      <c r="G165" s="12">
        <f>IF(B165="","",IFERROR(VLOOKUP(B165,Stok!$A$2:$D$60,2,FALSE),"kode?"))</f>
        <v/>
      </c>
      <c r="H165" s="12">
        <f>IF(B165="","",IFERROR(VLOOKUP(B165,Stok!$A$2:$D$60,4,FALSE),""))</f>
        <v/>
      </c>
    </row>
    <row r="166">
      <c r="A166" s="18" t="n"/>
      <c r="B166" s="17" t="n"/>
      <c r="C166" s="26" t="n"/>
      <c r="D166" s="26" t="n"/>
      <c r="E166" s="17" t="n"/>
      <c r="F166" s="17" t="n"/>
      <c r="G166" s="12">
        <f>IF(B166="","",IFERROR(VLOOKUP(B166,Stok!$A$2:$D$60,2,FALSE),"kode?"))</f>
        <v/>
      </c>
      <c r="H166" s="12">
        <f>IF(B166="","",IFERROR(VLOOKUP(B166,Stok!$A$2:$D$60,4,FALSE),""))</f>
        <v/>
      </c>
    </row>
    <row r="167">
      <c r="A167" s="18" t="n"/>
      <c r="B167" s="17" t="n"/>
      <c r="C167" s="26" t="n"/>
      <c r="D167" s="26" t="n"/>
      <c r="E167" s="17" t="n"/>
      <c r="F167" s="17" t="n"/>
      <c r="G167" s="12">
        <f>IF(B167="","",IFERROR(VLOOKUP(B167,Stok!$A$2:$D$60,2,FALSE),"kode?"))</f>
        <v/>
      </c>
      <c r="H167" s="12">
        <f>IF(B167="","",IFERROR(VLOOKUP(B167,Stok!$A$2:$D$60,4,FALSE),""))</f>
        <v/>
      </c>
    </row>
    <row r="168">
      <c r="A168" s="18" t="n"/>
      <c r="B168" s="17" t="n"/>
      <c r="C168" s="26" t="n"/>
      <c r="D168" s="26" t="n"/>
      <c r="E168" s="17" t="n"/>
      <c r="F168" s="17" t="n"/>
      <c r="G168" s="12">
        <f>IF(B168="","",IFERROR(VLOOKUP(B168,Stok!$A$2:$D$60,2,FALSE),"kode?"))</f>
        <v/>
      </c>
      <c r="H168" s="12">
        <f>IF(B168="","",IFERROR(VLOOKUP(B168,Stok!$A$2:$D$60,4,FALSE),""))</f>
        <v/>
      </c>
    </row>
    <row r="169">
      <c r="A169" s="18" t="n"/>
      <c r="B169" s="17" t="n"/>
      <c r="C169" s="26" t="n"/>
      <c r="D169" s="26" t="n"/>
      <c r="E169" s="17" t="n"/>
      <c r="F169" s="17" t="n"/>
      <c r="G169" s="12">
        <f>IF(B169="","",IFERROR(VLOOKUP(B169,Stok!$A$2:$D$60,2,FALSE),"kode?"))</f>
        <v/>
      </c>
      <c r="H169" s="12">
        <f>IF(B169="","",IFERROR(VLOOKUP(B169,Stok!$A$2:$D$60,4,FALSE),""))</f>
        <v/>
      </c>
    </row>
    <row r="170">
      <c r="A170" s="18" t="n"/>
      <c r="B170" s="17" t="n"/>
      <c r="C170" s="26" t="n"/>
      <c r="D170" s="26" t="n"/>
      <c r="E170" s="17" t="n"/>
      <c r="F170" s="17" t="n"/>
      <c r="G170" s="12">
        <f>IF(B170="","",IFERROR(VLOOKUP(B170,Stok!$A$2:$D$60,2,FALSE),"kode?"))</f>
        <v/>
      </c>
      <c r="H170" s="12">
        <f>IF(B170="","",IFERROR(VLOOKUP(B170,Stok!$A$2:$D$60,4,FALSE),""))</f>
        <v/>
      </c>
    </row>
    <row r="171">
      <c r="A171" s="18" t="n"/>
      <c r="B171" s="17" t="n"/>
      <c r="C171" s="26" t="n"/>
      <c r="D171" s="26" t="n"/>
      <c r="E171" s="17" t="n"/>
      <c r="F171" s="17" t="n"/>
      <c r="G171" s="12">
        <f>IF(B171="","",IFERROR(VLOOKUP(B171,Stok!$A$2:$D$60,2,FALSE),"kode?"))</f>
        <v/>
      </c>
      <c r="H171" s="12">
        <f>IF(B171="","",IFERROR(VLOOKUP(B171,Stok!$A$2:$D$60,4,FALSE),""))</f>
        <v/>
      </c>
    </row>
    <row r="172">
      <c r="A172" s="18" t="n"/>
      <c r="B172" s="17" t="n"/>
      <c r="C172" s="26" t="n"/>
      <c r="D172" s="26" t="n"/>
      <c r="E172" s="17" t="n"/>
      <c r="F172" s="17" t="n"/>
      <c r="G172" s="12">
        <f>IF(B172="","",IFERROR(VLOOKUP(B172,Stok!$A$2:$D$60,2,FALSE),"kode?"))</f>
        <v/>
      </c>
      <c r="H172" s="12">
        <f>IF(B172="","",IFERROR(VLOOKUP(B172,Stok!$A$2:$D$60,4,FALSE),""))</f>
        <v/>
      </c>
    </row>
    <row r="173">
      <c r="A173" s="18" t="n"/>
      <c r="B173" s="17" t="n"/>
      <c r="C173" s="26" t="n"/>
      <c r="D173" s="26" t="n"/>
      <c r="E173" s="17" t="n"/>
      <c r="F173" s="17" t="n"/>
      <c r="G173" s="12">
        <f>IF(B173="","",IFERROR(VLOOKUP(B173,Stok!$A$2:$D$60,2,FALSE),"kode?"))</f>
        <v/>
      </c>
      <c r="H173" s="12">
        <f>IF(B173="","",IFERROR(VLOOKUP(B173,Stok!$A$2:$D$60,4,FALSE),""))</f>
        <v/>
      </c>
    </row>
    <row r="174">
      <c r="A174" s="18" t="n"/>
      <c r="B174" s="17" t="n"/>
      <c r="C174" s="26" t="n"/>
      <c r="D174" s="26" t="n"/>
      <c r="E174" s="17" t="n"/>
      <c r="F174" s="17" t="n"/>
      <c r="G174" s="12">
        <f>IF(B174="","",IFERROR(VLOOKUP(B174,Stok!$A$2:$D$60,2,FALSE),"kode?"))</f>
        <v/>
      </c>
      <c r="H174" s="12">
        <f>IF(B174="","",IFERROR(VLOOKUP(B174,Stok!$A$2:$D$60,4,FALSE),""))</f>
        <v/>
      </c>
    </row>
    <row r="175">
      <c r="A175" s="18" t="n"/>
      <c r="B175" s="17" t="n"/>
      <c r="C175" s="26" t="n"/>
      <c r="D175" s="26" t="n"/>
      <c r="E175" s="17" t="n"/>
      <c r="F175" s="17" t="n"/>
      <c r="G175" s="12">
        <f>IF(B175="","",IFERROR(VLOOKUP(B175,Stok!$A$2:$D$60,2,FALSE),"kode?"))</f>
        <v/>
      </c>
      <c r="H175" s="12">
        <f>IF(B175="","",IFERROR(VLOOKUP(B175,Stok!$A$2:$D$60,4,FALSE),""))</f>
        <v/>
      </c>
    </row>
    <row r="176">
      <c r="A176" s="18" t="n"/>
      <c r="B176" s="17" t="n"/>
      <c r="C176" s="26" t="n"/>
      <c r="D176" s="26" t="n"/>
      <c r="E176" s="17" t="n"/>
      <c r="F176" s="17" t="n"/>
      <c r="G176" s="12">
        <f>IF(B176="","",IFERROR(VLOOKUP(B176,Stok!$A$2:$D$60,2,FALSE),"kode?"))</f>
        <v/>
      </c>
      <c r="H176" s="12">
        <f>IF(B176="","",IFERROR(VLOOKUP(B176,Stok!$A$2:$D$60,4,FALSE),""))</f>
        <v/>
      </c>
    </row>
    <row r="177">
      <c r="A177" s="18" t="n"/>
      <c r="B177" s="17" t="n"/>
      <c r="C177" s="26" t="n"/>
      <c r="D177" s="26" t="n"/>
      <c r="E177" s="17" t="n"/>
      <c r="F177" s="17" t="n"/>
      <c r="G177" s="12">
        <f>IF(B177="","",IFERROR(VLOOKUP(B177,Stok!$A$2:$D$60,2,FALSE),"kode?"))</f>
        <v/>
      </c>
      <c r="H177" s="12">
        <f>IF(B177="","",IFERROR(VLOOKUP(B177,Stok!$A$2:$D$60,4,FALSE),""))</f>
        <v/>
      </c>
    </row>
    <row r="178">
      <c r="A178" s="18" t="n"/>
      <c r="B178" s="17" t="n"/>
      <c r="C178" s="26" t="n"/>
      <c r="D178" s="26" t="n"/>
      <c r="E178" s="17" t="n"/>
      <c r="F178" s="17" t="n"/>
      <c r="G178" s="12">
        <f>IF(B178="","",IFERROR(VLOOKUP(B178,Stok!$A$2:$D$60,2,FALSE),"kode?"))</f>
        <v/>
      </c>
      <c r="H178" s="12">
        <f>IF(B178="","",IFERROR(VLOOKUP(B178,Stok!$A$2:$D$60,4,FALSE),""))</f>
        <v/>
      </c>
    </row>
    <row r="179">
      <c r="A179" s="18" t="n"/>
      <c r="B179" s="17" t="n"/>
      <c r="C179" s="26" t="n"/>
      <c r="D179" s="26" t="n"/>
      <c r="E179" s="17" t="n"/>
      <c r="F179" s="17" t="n"/>
      <c r="G179" s="12">
        <f>IF(B179="","",IFERROR(VLOOKUP(B179,Stok!$A$2:$D$60,2,FALSE),"kode?"))</f>
        <v/>
      </c>
      <c r="H179" s="12">
        <f>IF(B179="","",IFERROR(VLOOKUP(B179,Stok!$A$2:$D$60,4,FALSE),""))</f>
        <v/>
      </c>
    </row>
    <row r="180">
      <c r="A180" s="18" t="n"/>
      <c r="B180" s="17" t="n"/>
      <c r="C180" s="26" t="n"/>
      <c r="D180" s="26" t="n"/>
      <c r="E180" s="17" t="n"/>
      <c r="F180" s="17" t="n"/>
      <c r="G180" s="12">
        <f>IF(B180="","",IFERROR(VLOOKUP(B180,Stok!$A$2:$D$60,2,FALSE),"kode?"))</f>
        <v/>
      </c>
      <c r="H180" s="12">
        <f>IF(B180="","",IFERROR(VLOOKUP(B180,Stok!$A$2:$D$60,4,FALSE),""))</f>
        <v/>
      </c>
    </row>
    <row r="181">
      <c r="A181" s="18" t="n"/>
      <c r="B181" s="17" t="n"/>
      <c r="C181" s="26" t="n"/>
      <c r="D181" s="26" t="n"/>
      <c r="E181" s="17" t="n"/>
      <c r="F181" s="17" t="n"/>
      <c r="G181" s="12">
        <f>IF(B181="","",IFERROR(VLOOKUP(B181,Stok!$A$2:$D$60,2,FALSE),"kode?"))</f>
        <v/>
      </c>
      <c r="H181" s="12">
        <f>IF(B181="","",IFERROR(VLOOKUP(B181,Stok!$A$2:$D$60,4,FALSE),""))</f>
        <v/>
      </c>
    </row>
    <row r="182">
      <c r="A182" s="18" t="n"/>
      <c r="B182" s="17" t="n"/>
      <c r="C182" s="26" t="n"/>
      <c r="D182" s="26" t="n"/>
      <c r="E182" s="17" t="n"/>
      <c r="F182" s="17" t="n"/>
      <c r="G182" s="12">
        <f>IF(B182="","",IFERROR(VLOOKUP(B182,Stok!$A$2:$D$60,2,FALSE),"kode?"))</f>
        <v/>
      </c>
      <c r="H182" s="12">
        <f>IF(B182="","",IFERROR(VLOOKUP(B182,Stok!$A$2:$D$60,4,FALSE),""))</f>
        <v/>
      </c>
    </row>
    <row r="183">
      <c r="A183" s="18" t="n"/>
      <c r="B183" s="17" t="n"/>
      <c r="C183" s="26" t="n"/>
      <c r="D183" s="26" t="n"/>
      <c r="E183" s="17" t="n"/>
      <c r="F183" s="17" t="n"/>
      <c r="G183" s="12">
        <f>IF(B183="","",IFERROR(VLOOKUP(B183,Stok!$A$2:$D$60,2,FALSE),"kode?"))</f>
        <v/>
      </c>
      <c r="H183" s="12">
        <f>IF(B183="","",IFERROR(VLOOKUP(B183,Stok!$A$2:$D$60,4,FALSE),""))</f>
        <v/>
      </c>
    </row>
    <row r="184">
      <c r="A184" s="18" t="n"/>
      <c r="B184" s="17" t="n"/>
      <c r="C184" s="26" t="n"/>
      <c r="D184" s="26" t="n"/>
      <c r="E184" s="17" t="n"/>
      <c r="F184" s="17" t="n"/>
      <c r="G184" s="12">
        <f>IF(B184="","",IFERROR(VLOOKUP(B184,Stok!$A$2:$D$60,2,FALSE),"kode?"))</f>
        <v/>
      </c>
      <c r="H184" s="12">
        <f>IF(B184="","",IFERROR(VLOOKUP(B184,Stok!$A$2:$D$60,4,FALSE),""))</f>
        <v/>
      </c>
    </row>
    <row r="185">
      <c r="A185" s="18" t="n"/>
      <c r="B185" s="17" t="n"/>
      <c r="C185" s="26" t="n"/>
      <c r="D185" s="26" t="n"/>
      <c r="E185" s="17" t="n"/>
      <c r="F185" s="17" t="n"/>
      <c r="G185" s="12">
        <f>IF(B185="","",IFERROR(VLOOKUP(B185,Stok!$A$2:$D$60,2,FALSE),"kode?"))</f>
        <v/>
      </c>
      <c r="H185" s="12">
        <f>IF(B185="","",IFERROR(VLOOKUP(B185,Stok!$A$2:$D$60,4,FALSE),""))</f>
        <v/>
      </c>
    </row>
    <row r="186">
      <c r="A186" s="18" t="n"/>
      <c r="B186" s="17" t="n"/>
      <c r="C186" s="26" t="n"/>
      <c r="D186" s="26" t="n"/>
      <c r="E186" s="17" t="n"/>
      <c r="F186" s="17" t="n"/>
      <c r="G186" s="12">
        <f>IF(B186="","",IFERROR(VLOOKUP(B186,Stok!$A$2:$D$60,2,FALSE),"kode?"))</f>
        <v/>
      </c>
      <c r="H186" s="12">
        <f>IF(B186="","",IFERROR(VLOOKUP(B186,Stok!$A$2:$D$60,4,FALSE),""))</f>
        <v/>
      </c>
    </row>
    <row r="187">
      <c r="A187" s="18" t="n"/>
      <c r="B187" s="17" t="n"/>
      <c r="C187" s="26" t="n"/>
      <c r="D187" s="26" t="n"/>
      <c r="E187" s="17" t="n"/>
      <c r="F187" s="17" t="n"/>
      <c r="G187" s="12">
        <f>IF(B187="","",IFERROR(VLOOKUP(B187,Stok!$A$2:$D$60,2,FALSE),"kode?"))</f>
        <v/>
      </c>
      <c r="H187" s="12">
        <f>IF(B187="","",IFERROR(VLOOKUP(B187,Stok!$A$2:$D$60,4,FALSE),""))</f>
        <v/>
      </c>
    </row>
    <row r="188">
      <c r="A188" s="18" t="n"/>
      <c r="B188" s="17" t="n"/>
      <c r="C188" s="26" t="n"/>
      <c r="D188" s="26" t="n"/>
      <c r="E188" s="17" t="n"/>
      <c r="F188" s="17" t="n"/>
      <c r="G188" s="12">
        <f>IF(B188="","",IFERROR(VLOOKUP(B188,Stok!$A$2:$D$60,2,FALSE),"kode?"))</f>
        <v/>
      </c>
      <c r="H188" s="12">
        <f>IF(B188="","",IFERROR(VLOOKUP(B188,Stok!$A$2:$D$60,4,FALSE),""))</f>
        <v/>
      </c>
    </row>
    <row r="189">
      <c r="A189" s="18" t="n"/>
      <c r="B189" s="17" t="n"/>
      <c r="C189" s="26" t="n"/>
      <c r="D189" s="26" t="n"/>
      <c r="E189" s="17" t="n"/>
      <c r="F189" s="17" t="n"/>
      <c r="G189" s="12">
        <f>IF(B189="","",IFERROR(VLOOKUP(B189,Stok!$A$2:$D$60,2,FALSE),"kode?"))</f>
        <v/>
      </c>
      <c r="H189" s="12">
        <f>IF(B189="","",IFERROR(VLOOKUP(B189,Stok!$A$2:$D$60,4,FALSE),""))</f>
        <v/>
      </c>
    </row>
    <row r="190">
      <c r="A190" s="18" t="n"/>
      <c r="B190" s="17" t="n"/>
      <c r="C190" s="26" t="n"/>
      <c r="D190" s="26" t="n"/>
      <c r="E190" s="17" t="n"/>
      <c r="F190" s="17" t="n"/>
      <c r="G190" s="12">
        <f>IF(B190="","",IFERROR(VLOOKUP(B190,Stok!$A$2:$D$60,2,FALSE),"kode?"))</f>
        <v/>
      </c>
      <c r="H190" s="12">
        <f>IF(B190="","",IFERROR(VLOOKUP(B190,Stok!$A$2:$D$60,4,FALSE),""))</f>
        <v/>
      </c>
    </row>
    <row r="191">
      <c r="A191" s="18" t="n"/>
      <c r="B191" s="17" t="n"/>
      <c r="C191" s="26" t="n"/>
      <c r="D191" s="26" t="n"/>
      <c r="E191" s="17" t="n"/>
      <c r="F191" s="17" t="n"/>
      <c r="G191" s="12">
        <f>IF(B191="","",IFERROR(VLOOKUP(B191,Stok!$A$2:$D$60,2,FALSE),"kode?"))</f>
        <v/>
      </c>
      <c r="H191" s="12">
        <f>IF(B191="","",IFERROR(VLOOKUP(B191,Stok!$A$2:$D$60,4,FALSE),""))</f>
        <v/>
      </c>
    </row>
    <row r="192">
      <c r="A192" s="18" t="n"/>
      <c r="B192" s="17" t="n"/>
      <c r="C192" s="26" t="n"/>
      <c r="D192" s="26" t="n"/>
      <c r="E192" s="17" t="n"/>
      <c r="F192" s="17" t="n"/>
      <c r="G192" s="12">
        <f>IF(B192="","",IFERROR(VLOOKUP(B192,Stok!$A$2:$D$60,2,FALSE),"kode?"))</f>
        <v/>
      </c>
      <c r="H192" s="12">
        <f>IF(B192="","",IFERROR(VLOOKUP(B192,Stok!$A$2:$D$60,4,FALSE),""))</f>
        <v/>
      </c>
    </row>
    <row r="193">
      <c r="A193" s="18" t="n"/>
      <c r="B193" s="17" t="n"/>
      <c r="C193" s="26" t="n"/>
      <c r="D193" s="26" t="n"/>
      <c r="E193" s="17" t="n"/>
      <c r="F193" s="17" t="n"/>
      <c r="G193" s="12">
        <f>IF(B193="","",IFERROR(VLOOKUP(B193,Stok!$A$2:$D$60,2,FALSE),"kode?"))</f>
        <v/>
      </c>
      <c r="H193" s="12">
        <f>IF(B193="","",IFERROR(VLOOKUP(B193,Stok!$A$2:$D$60,4,FALSE),""))</f>
        <v/>
      </c>
    </row>
    <row r="194">
      <c r="A194" s="18" t="n"/>
      <c r="B194" s="17" t="n"/>
      <c r="C194" s="26" t="n"/>
      <c r="D194" s="26" t="n"/>
      <c r="E194" s="17" t="n"/>
      <c r="F194" s="17" t="n"/>
      <c r="G194" s="12">
        <f>IF(B194="","",IFERROR(VLOOKUP(B194,Stok!$A$2:$D$60,2,FALSE),"kode?"))</f>
        <v/>
      </c>
      <c r="H194" s="12">
        <f>IF(B194="","",IFERROR(VLOOKUP(B194,Stok!$A$2:$D$60,4,FALSE),""))</f>
        <v/>
      </c>
    </row>
    <row r="195">
      <c r="A195" s="18" t="n"/>
      <c r="B195" s="17" t="n"/>
      <c r="C195" s="26" t="n"/>
      <c r="D195" s="26" t="n"/>
      <c r="E195" s="17" t="n"/>
      <c r="F195" s="17" t="n"/>
      <c r="G195" s="12">
        <f>IF(B195="","",IFERROR(VLOOKUP(B195,Stok!$A$2:$D$60,2,FALSE),"kode?"))</f>
        <v/>
      </c>
      <c r="H195" s="12">
        <f>IF(B195="","",IFERROR(VLOOKUP(B195,Stok!$A$2:$D$60,4,FALSE),""))</f>
        <v/>
      </c>
    </row>
    <row r="196">
      <c r="A196" s="18" t="n"/>
      <c r="B196" s="17" t="n"/>
      <c r="C196" s="26" t="n"/>
      <c r="D196" s="26" t="n"/>
      <c r="E196" s="17" t="n"/>
      <c r="F196" s="17" t="n"/>
      <c r="G196" s="12">
        <f>IF(B196="","",IFERROR(VLOOKUP(B196,Stok!$A$2:$D$60,2,FALSE),"kode?"))</f>
        <v/>
      </c>
      <c r="H196" s="12">
        <f>IF(B196="","",IFERROR(VLOOKUP(B196,Stok!$A$2:$D$60,4,FALSE),""))</f>
        <v/>
      </c>
    </row>
    <row r="197">
      <c r="A197" s="18" t="n"/>
      <c r="B197" s="17" t="n"/>
      <c r="C197" s="26" t="n"/>
      <c r="D197" s="26" t="n"/>
      <c r="E197" s="17" t="n"/>
      <c r="F197" s="17" t="n"/>
      <c r="G197" s="12">
        <f>IF(B197="","",IFERROR(VLOOKUP(B197,Stok!$A$2:$D$60,2,FALSE),"kode?"))</f>
        <v/>
      </c>
      <c r="H197" s="12">
        <f>IF(B197="","",IFERROR(VLOOKUP(B197,Stok!$A$2:$D$60,4,FALSE),""))</f>
        <v/>
      </c>
    </row>
    <row r="198">
      <c r="A198" s="18" t="n"/>
      <c r="B198" s="17" t="n"/>
      <c r="C198" s="26" t="n"/>
      <c r="D198" s="26" t="n"/>
      <c r="E198" s="17" t="n"/>
      <c r="F198" s="17" t="n"/>
      <c r="G198" s="12">
        <f>IF(B198="","",IFERROR(VLOOKUP(B198,Stok!$A$2:$D$60,2,FALSE),"kode?"))</f>
        <v/>
      </c>
      <c r="H198" s="12">
        <f>IF(B198="","",IFERROR(VLOOKUP(B198,Stok!$A$2:$D$60,4,FALSE),""))</f>
        <v/>
      </c>
    </row>
    <row r="199">
      <c r="A199" s="18" t="n"/>
      <c r="B199" s="17" t="n"/>
      <c r="C199" s="26" t="n"/>
      <c r="D199" s="26" t="n"/>
      <c r="E199" s="17" t="n"/>
      <c r="F199" s="17" t="n"/>
      <c r="G199" s="12">
        <f>IF(B199="","",IFERROR(VLOOKUP(B199,Stok!$A$2:$D$60,2,FALSE),"kode?"))</f>
        <v/>
      </c>
      <c r="H199" s="12">
        <f>IF(B199="","",IFERROR(VLOOKUP(B199,Stok!$A$2:$D$60,4,FALSE),""))</f>
        <v/>
      </c>
    </row>
    <row r="200">
      <c r="A200" s="18" t="n"/>
      <c r="B200" s="17" t="n"/>
      <c r="C200" s="26" t="n"/>
      <c r="D200" s="26" t="n"/>
      <c r="E200" s="17" t="n"/>
      <c r="F200" s="17" t="n"/>
      <c r="G200" s="12">
        <f>IF(B200="","",IFERROR(VLOOKUP(B200,Stok!$A$2:$D$60,2,FALSE),"kode?"))</f>
        <v/>
      </c>
      <c r="H200" s="12">
        <f>IF(B200="","",IFERROR(VLOOKUP(B200,Stok!$A$2:$D$60,4,FALSE),""))</f>
        <v/>
      </c>
    </row>
    <row r="201">
      <c r="A201" s="18" t="n"/>
      <c r="B201" s="17" t="n"/>
      <c r="C201" s="26" t="n"/>
      <c r="D201" s="26" t="n"/>
      <c r="E201" s="17" t="n"/>
      <c r="F201" s="17" t="n"/>
      <c r="G201" s="12">
        <f>IF(B201="","",IFERROR(VLOOKUP(B201,Stok!$A$2:$D$60,2,FALSE),"kode?"))</f>
        <v/>
      </c>
      <c r="H201" s="12">
        <f>IF(B201="","",IFERROR(VLOOKUP(B201,Stok!$A$2:$D$60,4,FALSE),""))</f>
        <v/>
      </c>
    </row>
    <row r="202">
      <c r="A202" s="18" t="n"/>
      <c r="B202" s="17" t="n"/>
      <c r="C202" s="26" t="n"/>
      <c r="D202" s="26" t="n"/>
      <c r="E202" s="17" t="n"/>
      <c r="F202" s="17" t="n"/>
      <c r="G202" s="12">
        <f>IF(B202="","",IFERROR(VLOOKUP(B202,Stok!$A$2:$D$60,2,FALSE),"kode?"))</f>
        <v/>
      </c>
      <c r="H202" s="12">
        <f>IF(B202="","",IFERROR(VLOOKUP(B202,Stok!$A$2:$D$60,4,FALSE),""))</f>
        <v/>
      </c>
    </row>
    <row r="203">
      <c r="A203" s="18" t="n"/>
      <c r="B203" s="17" t="n"/>
      <c r="C203" s="26" t="n"/>
      <c r="D203" s="26" t="n"/>
      <c r="E203" s="17" t="n"/>
      <c r="F203" s="17" t="n"/>
      <c r="G203" s="12">
        <f>IF(B203="","",IFERROR(VLOOKUP(B203,Stok!$A$2:$D$60,2,FALSE),"kode?"))</f>
        <v/>
      </c>
      <c r="H203" s="12">
        <f>IF(B203="","",IFERROR(VLOOKUP(B203,Stok!$A$2:$D$60,4,FALSE),""))</f>
        <v/>
      </c>
    </row>
    <row r="204">
      <c r="A204" s="18" t="n"/>
      <c r="B204" s="17" t="n"/>
      <c r="C204" s="26" t="n"/>
      <c r="D204" s="26" t="n"/>
      <c r="E204" s="17" t="n"/>
      <c r="F204" s="17" t="n"/>
      <c r="G204" s="12">
        <f>IF(B204="","",IFERROR(VLOOKUP(B204,Stok!$A$2:$D$60,2,FALSE),"kode?"))</f>
        <v/>
      </c>
      <c r="H204" s="12">
        <f>IF(B204="","",IFERROR(VLOOKUP(B204,Stok!$A$2:$D$60,4,FALSE),""))</f>
        <v/>
      </c>
    </row>
    <row r="205">
      <c r="A205" s="18" t="n"/>
      <c r="B205" s="17" t="n"/>
      <c r="C205" s="26" t="n"/>
      <c r="D205" s="26" t="n"/>
      <c r="E205" s="17" t="n"/>
      <c r="F205" s="17" t="n"/>
      <c r="G205" s="12">
        <f>IF(B205="","",IFERROR(VLOOKUP(B205,Stok!$A$2:$D$60,2,FALSE),"kode?"))</f>
        <v/>
      </c>
      <c r="H205" s="12">
        <f>IF(B205="","",IFERROR(VLOOKUP(B205,Stok!$A$2:$D$60,4,FALSE),""))</f>
        <v/>
      </c>
    </row>
    <row r="206">
      <c r="A206" s="18" t="n"/>
      <c r="B206" s="17" t="n"/>
      <c r="C206" s="26" t="n"/>
      <c r="D206" s="26" t="n"/>
      <c r="E206" s="17" t="n"/>
      <c r="F206" s="17" t="n"/>
      <c r="G206" s="12">
        <f>IF(B206="","",IFERROR(VLOOKUP(B206,Stok!$A$2:$D$60,2,FALSE),"kode?"))</f>
        <v/>
      </c>
      <c r="H206" s="12">
        <f>IF(B206="","",IFERROR(VLOOKUP(B206,Stok!$A$2:$D$60,4,FALSE),""))</f>
        <v/>
      </c>
    </row>
    <row r="207">
      <c r="A207" s="18" t="n"/>
      <c r="B207" s="17" t="n"/>
      <c r="C207" s="26" t="n"/>
      <c r="D207" s="26" t="n"/>
      <c r="E207" s="17" t="n"/>
      <c r="F207" s="17" t="n"/>
      <c r="G207" s="12">
        <f>IF(B207="","",IFERROR(VLOOKUP(B207,Stok!$A$2:$D$60,2,FALSE),"kode?"))</f>
        <v/>
      </c>
      <c r="H207" s="12">
        <f>IF(B207="","",IFERROR(VLOOKUP(B207,Stok!$A$2:$D$60,4,FALSE),""))</f>
        <v/>
      </c>
    </row>
    <row r="208">
      <c r="A208" s="18" t="n"/>
      <c r="B208" s="17" t="n"/>
      <c r="C208" s="26" t="n"/>
      <c r="D208" s="26" t="n"/>
      <c r="E208" s="17" t="n"/>
      <c r="F208" s="17" t="n"/>
      <c r="G208" s="12">
        <f>IF(B208="","",IFERROR(VLOOKUP(B208,Stok!$A$2:$D$60,2,FALSE),"kode?"))</f>
        <v/>
      </c>
      <c r="H208" s="12">
        <f>IF(B208="","",IFERROR(VLOOKUP(B208,Stok!$A$2:$D$60,4,FALSE),""))</f>
        <v/>
      </c>
    </row>
    <row r="209">
      <c r="A209" s="18" t="n"/>
      <c r="B209" s="17" t="n"/>
      <c r="C209" s="26" t="n"/>
      <c r="D209" s="26" t="n"/>
      <c r="E209" s="17" t="n"/>
      <c r="F209" s="17" t="n"/>
      <c r="G209" s="12">
        <f>IF(B209="","",IFERROR(VLOOKUP(B209,Stok!$A$2:$D$60,2,FALSE),"kode?"))</f>
        <v/>
      </c>
      <c r="H209" s="12">
        <f>IF(B209="","",IFERROR(VLOOKUP(B209,Stok!$A$2:$D$60,4,FALSE),""))</f>
        <v/>
      </c>
    </row>
    <row r="210">
      <c r="A210" s="18" t="n"/>
      <c r="B210" s="17" t="n"/>
      <c r="C210" s="26" t="n"/>
      <c r="D210" s="26" t="n"/>
      <c r="E210" s="17" t="n"/>
      <c r="F210" s="17" t="n"/>
      <c r="G210" s="12">
        <f>IF(B210="","",IFERROR(VLOOKUP(B210,Stok!$A$2:$D$60,2,FALSE),"kode?"))</f>
        <v/>
      </c>
      <c r="H210" s="12">
        <f>IF(B210="","",IFERROR(VLOOKUP(B210,Stok!$A$2:$D$60,4,FALSE),""))</f>
        <v/>
      </c>
    </row>
    <row r="211">
      <c r="A211" s="18" t="n"/>
      <c r="B211" s="17" t="n"/>
      <c r="C211" s="26" t="n"/>
      <c r="D211" s="26" t="n"/>
      <c r="E211" s="17" t="n"/>
      <c r="F211" s="17" t="n"/>
      <c r="G211" s="12">
        <f>IF(B211="","",IFERROR(VLOOKUP(B211,Stok!$A$2:$D$60,2,FALSE),"kode?"))</f>
        <v/>
      </c>
      <c r="H211" s="12">
        <f>IF(B211="","",IFERROR(VLOOKUP(B211,Stok!$A$2:$D$60,4,FALSE),""))</f>
        <v/>
      </c>
    </row>
    <row r="212">
      <c r="A212" s="18" t="n"/>
      <c r="B212" s="17" t="n"/>
      <c r="C212" s="26" t="n"/>
      <c r="D212" s="26" t="n"/>
      <c r="E212" s="17" t="n"/>
      <c r="F212" s="17" t="n"/>
      <c r="G212" s="12">
        <f>IF(B212="","",IFERROR(VLOOKUP(B212,Stok!$A$2:$D$60,2,FALSE),"kode?"))</f>
        <v/>
      </c>
      <c r="H212" s="12">
        <f>IF(B212="","",IFERROR(VLOOKUP(B212,Stok!$A$2:$D$60,4,FALSE),""))</f>
        <v/>
      </c>
    </row>
    <row r="213">
      <c r="A213" s="18" t="n"/>
      <c r="B213" s="17" t="n"/>
      <c r="C213" s="26" t="n"/>
      <c r="D213" s="26" t="n"/>
      <c r="E213" s="17" t="n"/>
      <c r="F213" s="17" t="n"/>
      <c r="G213" s="12">
        <f>IF(B213="","",IFERROR(VLOOKUP(B213,Stok!$A$2:$D$60,2,FALSE),"kode?"))</f>
        <v/>
      </c>
      <c r="H213" s="12">
        <f>IF(B213="","",IFERROR(VLOOKUP(B213,Stok!$A$2:$D$60,4,FALSE),""))</f>
        <v/>
      </c>
    </row>
    <row r="214">
      <c r="A214" s="18" t="n"/>
      <c r="B214" s="17" t="n"/>
      <c r="C214" s="26" t="n"/>
      <c r="D214" s="26" t="n"/>
      <c r="E214" s="17" t="n"/>
      <c r="F214" s="17" t="n"/>
      <c r="G214" s="12">
        <f>IF(B214="","",IFERROR(VLOOKUP(B214,Stok!$A$2:$D$60,2,FALSE),"kode?"))</f>
        <v/>
      </c>
      <c r="H214" s="12">
        <f>IF(B214="","",IFERROR(VLOOKUP(B214,Stok!$A$2:$D$60,4,FALSE),""))</f>
        <v/>
      </c>
    </row>
    <row r="215">
      <c r="A215" s="18" t="n"/>
      <c r="B215" s="17" t="n"/>
      <c r="C215" s="26" t="n"/>
      <c r="D215" s="26" t="n"/>
      <c r="E215" s="17" t="n"/>
      <c r="F215" s="17" t="n"/>
      <c r="G215" s="12">
        <f>IF(B215="","",IFERROR(VLOOKUP(B215,Stok!$A$2:$D$60,2,FALSE),"kode?"))</f>
        <v/>
      </c>
      <c r="H215" s="12">
        <f>IF(B215="","",IFERROR(VLOOKUP(B215,Stok!$A$2:$D$60,4,FALSE),""))</f>
        <v/>
      </c>
    </row>
    <row r="216">
      <c r="A216" s="18" t="n"/>
      <c r="B216" s="17" t="n"/>
      <c r="C216" s="26" t="n"/>
      <c r="D216" s="26" t="n"/>
      <c r="E216" s="17" t="n"/>
      <c r="F216" s="17" t="n"/>
      <c r="G216" s="12">
        <f>IF(B216="","",IFERROR(VLOOKUP(B216,Stok!$A$2:$D$60,2,FALSE),"kode?"))</f>
        <v/>
      </c>
      <c r="H216" s="12">
        <f>IF(B216="","",IFERROR(VLOOKUP(B216,Stok!$A$2:$D$60,4,FALSE),""))</f>
        <v/>
      </c>
    </row>
    <row r="217">
      <c r="A217" s="18" t="n"/>
      <c r="B217" s="17" t="n"/>
      <c r="C217" s="26" t="n"/>
      <c r="D217" s="26" t="n"/>
      <c r="E217" s="17" t="n"/>
      <c r="F217" s="17" t="n"/>
      <c r="G217" s="12">
        <f>IF(B217="","",IFERROR(VLOOKUP(B217,Stok!$A$2:$D$60,2,FALSE),"kode?"))</f>
        <v/>
      </c>
      <c r="H217" s="12">
        <f>IF(B217="","",IFERROR(VLOOKUP(B217,Stok!$A$2:$D$60,4,FALSE),""))</f>
        <v/>
      </c>
    </row>
    <row r="218">
      <c r="A218" s="18" t="n"/>
      <c r="B218" s="17" t="n"/>
      <c r="C218" s="26" t="n"/>
      <c r="D218" s="26" t="n"/>
      <c r="E218" s="17" t="n"/>
      <c r="F218" s="17" t="n"/>
      <c r="G218" s="12">
        <f>IF(B218="","",IFERROR(VLOOKUP(B218,Stok!$A$2:$D$60,2,FALSE),"kode?"))</f>
        <v/>
      </c>
      <c r="H218" s="12">
        <f>IF(B218="","",IFERROR(VLOOKUP(B218,Stok!$A$2:$D$60,4,FALSE),""))</f>
        <v/>
      </c>
    </row>
    <row r="219">
      <c r="A219" s="18" t="n"/>
      <c r="B219" s="17" t="n"/>
      <c r="C219" s="26" t="n"/>
      <c r="D219" s="26" t="n"/>
      <c r="E219" s="17" t="n"/>
      <c r="F219" s="17" t="n"/>
      <c r="G219" s="12">
        <f>IF(B219="","",IFERROR(VLOOKUP(B219,Stok!$A$2:$D$60,2,FALSE),"kode?"))</f>
        <v/>
      </c>
      <c r="H219" s="12">
        <f>IF(B219="","",IFERROR(VLOOKUP(B219,Stok!$A$2:$D$60,4,FALSE),""))</f>
        <v/>
      </c>
    </row>
    <row r="220">
      <c r="A220" s="18" t="n"/>
      <c r="B220" s="17" t="n"/>
      <c r="C220" s="26" t="n"/>
      <c r="D220" s="26" t="n"/>
      <c r="E220" s="17" t="n"/>
      <c r="F220" s="17" t="n"/>
      <c r="G220" s="12">
        <f>IF(B220="","",IFERROR(VLOOKUP(B220,Stok!$A$2:$D$60,2,FALSE),"kode?"))</f>
        <v/>
      </c>
      <c r="H220" s="12">
        <f>IF(B220="","",IFERROR(VLOOKUP(B220,Stok!$A$2:$D$60,4,FALSE),""))</f>
        <v/>
      </c>
    </row>
    <row r="221">
      <c r="A221" s="18" t="n"/>
      <c r="B221" s="17" t="n"/>
      <c r="C221" s="26" t="n"/>
      <c r="D221" s="26" t="n"/>
      <c r="E221" s="17" t="n"/>
      <c r="F221" s="17" t="n"/>
      <c r="G221" s="12">
        <f>IF(B221="","",IFERROR(VLOOKUP(B221,Stok!$A$2:$D$60,2,FALSE),"kode?"))</f>
        <v/>
      </c>
      <c r="H221" s="12">
        <f>IF(B221="","",IFERROR(VLOOKUP(B221,Stok!$A$2:$D$60,4,FALSE),""))</f>
        <v/>
      </c>
    </row>
    <row r="222">
      <c r="A222" s="18" t="n"/>
      <c r="B222" s="17" t="n"/>
      <c r="C222" s="26" t="n"/>
      <c r="D222" s="26" t="n"/>
      <c r="E222" s="17" t="n"/>
      <c r="F222" s="17" t="n"/>
      <c r="G222" s="12">
        <f>IF(B222="","",IFERROR(VLOOKUP(B222,Stok!$A$2:$D$60,2,FALSE),"kode?"))</f>
        <v/>
      </c>
      <c r="H222" s="12">
        <f>IF(B222="","",IFERROR(VLOOKUP(B222,Stok!$A$2:$D$60,4,FALSE),""))</f>
        <v/>
      </c>
    </row>
    <row r="223">
      <c r="A223" s="18" t="n"/>
      <c r="B223" s="17" t="n"/>
      <c r="C223" s="26" t="n"/>
      <c r="D223" s="26" t="n"/>
      <c r="E223" s="17" t="n"/>
      <c r="F223" s="17" t="n"/>
      <c r="G223" s="12">
        <f>IF(B223="","",IFERROR(VLOOKUP(B223,Stok!$A$2:$D$60,2,FALSE),"kode?"))</f>
        <v/>
      </c>
      <c r="H223" s="12">
        <f>IF(B223="","",IFERROR(VLOOKUP(B223,Stok!$A$2:$D$60,4,FALSE),""))</f>
        <v/>
      </c>
    </row>
    <row r="224">
      <c r="A224" s="18" t="n"/>
      <c r="B224" s="17" t="n"/>
      <c r="C224" s="26" t="n"/>
      <c r="D224" s="26" t="n"/>
      <c r="E224" s="17" t="n"/>
      <c r="F224" s="17" t="n"/>
      <c r="G224" s="12">
        <f>IF(B224="","",IFERROR(VLOOKUP(B224,Stok!$A$2:$D$60,2,FALSE),"kode?"))</f>
        <v/>
      </c>
      <c r="H224" s="12">
        <f>IF(B224="","",IFERROR(VLOOKUP(B224,Stok!$A$2:$D$60,4,FALSE),""))</f>
        <v/>
      </c>
    </row>
    <row r="225">
      <c r="A225" s="18" t="n"/>
      <c r="B225" s="17" t="n"/>
      <c r="C225" s="26" t="n"/>
      <c r="D225" s="26" t="n"/>
      <c r="E225" s="17" t="n"/>
      <c r="F225" s="17" t="n"/>
      <c r="G225" s="12">
        <f>IF(B225="","",IFERROR(VLOOKUP(B225,Stok!$A$2:$D$60,2,FALSE),"kode?"))</f>
        <v/>
      </c>
      <c r="H225" s="12">
        <f>IF(B225="","",IFERROR(VLOOKUP(B225,Stok!$A$2:$D$60,4,FALSE),""))</f>
        <v/>
      </c>
    </row>
    <row r="226">
      <c r="A226" s="18" t="n"/>
      <c r="B226" s="17" t="n"/>
      <c r="C226" s="26" t="n"/>
      <c r="D226" s="26" t="n"/>
      <c r="E226" s="17" t="n"/>
      <c r="F226" s="17" t="n"/>
      <c r="G226" s="12">
        <f>IF(B226="","",IFERROR(VLOOKUP(B226,Stok!$A$2:$D$60,2,FALSE),"kode?"))</f>
        <v/>
      </c>
      <c r="H226" s="12">
        <f>IF(B226="","",IFERROR(VLOOKUP(B226,Stok!$A$2:$D$60,4,FALSE),""))</f>
        <v/>
      </c>
    </row>
    <row r="227">
      <c r="A227" s="18" t="n"/>
      <c r="B227" s="17" t="n"/>
      <c r="C227" s="26" t="n"/>
      <c r="D227" s="26" t="n"/>
      <c r="E227" s="17" t="n"/>
      <c r="F227" s="17" t="n"/>
      <c r="G227" s="12">
        <f>IF(B227="","",IFERROR(VLOOKUP(B227,Stok!$A$2:$D$60,2,FALSE),"kode?"))</f>
        <v/>
      </c>
      <c r="H227" s="12">
        <f>IF(B227="","",IFERROR(VLOOKUP(B227,Stok!$A$2:$D$60,4,FALSE),""))</f>
        <v/>
      </c>
    </row>
    <row r="228">
      <c r="A228" s="18" t="n"/>
      <c r="B228" s="17" t="n"/>
      <c r="C228" s="26" t="n"/>
      <c r="D228" s="26" t="n"/>
      <c r="E228" s="17" t="n"/>
      <c r="F228" s="17" t="n"/>
      <c r="G228" s="12">
        <f>IF(B228="","",IFERROR(VLOOKUP(B228,Stok!$A$2:$D$60,2,FALSE),"kode?"))</f>
        <v/>
      </c>
      <c r="H228" s="12">
        <f>IF(B228="","",IFERROR(VLOOKUP(B228,Stok!$A$2:$D$60,4,FALSE),""))</f>
        <v/>
      </c>
    </row>
    <row r="229">
      <c r="A229" s="18" t="n"/>
      <c r="B229" s="17" t="n"/>
      <c r="C229" s="26" t="n"/>
      <c r="D229" s="26" t="n"/>
      <c r="E229" s="17" t="n"/>
      <c r="F229" s="17" t="n"/>
      <c r="G229" s="12">
        <f>IF(B229="","",IFERROR(VLOOKUP(B229,Stok!$A$2:$D$60,2,FALSE),"kode?"))</f>
        <v/>
      </c>
      <c r="H229" s="12">
        <f>IF(B229="","",IFERROR(VLOOKUP(B229,Stok!$A$2:$D$60,4,FALSE),""))</f>
        <v/>
      </c>
    </row>
    <row r="230">
      <c r="A230" s="18" t="n"/>
      <c r="B230" s="17" t="n"/>
      <c r="C230" s="26" t="n"/>
      <c r="D230" s="26" t="n"/>
      <c r="E230" s="17" t="n"/>
      <c r="F230" s="17" t="n"/>
      <c r="G230" s="12">
        <f>IF(B230="","",IFERROR(VLOOKUP(B230,Stok!$A$2:$D$60,2,FALSE),"kode?"))</f>
        <v/>
      </c>
      <c r="H230" s="12">
        <f>IF(B230="","",IFERROR(VLOOKUP(B230,Stok!$A$2:$D$60,4,FALSE),""))</f>
        <v/>
      </c>
    </row>
    <row r="231">
      <c r="A231" s="18" t="n"/>
      <c r="B231" s="17" t="n"/>
      <c r="C231" s="26" t="n"/>
      <c r="D231" s="26" t="n"/>
      <c r="E231" s="17" t="n"/>
      <c r="F231" s="17" t="n"/>
      <c r="G231" s="12">
        <f>IF(B231="","",IFERROR(VLOOKUP(B231,Stok!$A$2:$D$60,2,FALSE),"kode?"))</f>
        <v/>
      </c>
      <c r="H231" s="12">
        <f>IF(B231="","",IFERROR(VLOOKUP(B231,Stok!$A$2:$D$60,4,FALSE),""))</f>
        <v/>
      </c>
    </row>
    <row r="232">
      <c r="A232" s="18" t="n"/>
      <c r="B232" s="17" t="n"/>
      <c r="C232" s="26" t="n"/>
      <c r="D232" s="26" t="n"/>
      <c r="E232" s="17" t="n"/>
      <c r="F232" s="17" t="n"/>
      <c r="G232" s="12">
        <f>IF(B232="","",IFERROR(VLOOKUP(B232,Stok!$A$2:$D$60,2,FALSE),"kode?"))</f>
        <v/>
      </c>
      <c r="H232" s="12">
        <f>IF(B232="","",IFERROR(VLOOKUP(B232,Stok!$A$2:$D$60,4,FALSE),""))</f>
        <v/>
      </c>
    </row>
    <row r="233">
      <c r="A233" s="18" t="n"/>
      <c r="B233" s="17" t="n"/>
      <c r="C233" s="26" t="n"/>
      <c r="D233" s="26" t="n"/>
      <c r="E233" s="17" t="n"/>
      <c r="F233" s="17" t="n"/>
      <c r="G233" s="12">
        <f>IF(B233="","",IFERROR(VLOOKUP(B233,Stok!$A$2:$D$60,2,FALSE),"kode?"))</f>
        <v/>
      </c>
      <c r="H233" s="12">
        <f>IF(B233="","",IFERROR(VLOOKUP(B233,Stok!$A$2:$D$60,4,FALSE),""))</f>
        <v/>
      </c>
    </row>
    <row r="234">
      <c r="A234" s="18" t="n"/>
      <c r="B234" s="17" t="n"/>
      <c r="C234" s="26" t="n"/>
      <c r="D234" s="26" t="n"/>
      <c r="E234" s="17" t="n"/>
      <c r="F234" s="17" t="n"/>
      <c r="G234" s="12">
        <f>IF(B234="","",IFERROR(VLOOKUP(B234,Stok!$A$2:$D$60,2,FALSE),"kode?"))</f>
        <v/>
      </c>
      <c r="H234" s="12">
        <f>IF(B234="","",IFERROR(VLOOKUP(B234,Stok!$A$2:$D$60,4,FALSE),""))</f>
        <v/>
      </c>
    </row>
    <row r="235">
      <c r="A235" s="18" t="n"/>
      <c r="B235" s="17" t="n"/>
      <c r="C235" s="26" t="n"/>
      <c r="D235" s="26" t="n"/>
      <c r="E235" s="17" t="n"/>
      <c r="F235" s="17" t="n"/>
      <c r="G235" s="12">
        <f>IF(B235="","",IFERROR(VLOOKUP(B235,Stok!$A$2:$D$60,2,FALSE),"kode?"))</f>
        <v/>
      </c>
      <c r="H235" s="12">
        <f>IF(B235="","",IFERROR(VLOOKUP(B235,Stok!$A$2:$D$60,4,FALSE),""))</f>
        <v/>
      </c>
    </row>
    <row r="236">
      <c r="A236" s="18" t="n"/>
      <c r="B236" s="17" t="n"/>
      <c r="C236" s="26" t="n"/>
      <c r="D236" s="26" t="n"/>
      <c r="E236" s="17" t="n"/>
      <c r="F236" s="17" t="n"/>
      <c r="G236" s="12">
        <f>IF(B236="","",IFERROR(VLOOKUP(B236,Stok!$A$2:$D$60,2,FALSE),"kode?"))</f>
        <v/>
      </c>
      <c r="H236" s="12">
        <f>IF(B236="","",IFERROR(VLOOKUP(B236,Stok!$A$2:$D$60,4,FALSE),""))</f>
        <v/>
      </c>
    </row>
    <row r="237">
      <c r="A237" s="18" t="n"/>
      <c r="B237" s="17" t="n"/>
      <c r="C237" s="26" t="n"/>
      <c r="D237" s="26" t="n"/>
      <c r="E237" s="17" t="n"/>
      <c r="F237" s="17" t="n"/>
      <c r="G237" s="12">
        <f>IF(B237="","",IFERROR(VLOOKUP(B237,Stok!$A$2:$D$60,2,FALSE),"kode?"))</f>
        <v/>
      </c>
      <c r="H237" s="12">
        <f>IF(B237="","",IFERROR(VLOOKUP(B237,Stok!$A$2:$D$60,4,FALSE),""))</f>
        <v/>
      </c>
    </row>
    <row r="238">
      <c r="A238" s="18" t="n"/>
      <c r="B238" s="17" t="n"/>
      <c r="C238" s="26" t="n"/>
      <c r="D238" s="26" t="n"/>
      <c r="E238" s="17" t="n"/>
      <c r="F238" s="17" t="n"/>
      <c r="G238" s="12">
        <f>IF(B238="","",IFERROR(VLOOKUP(B238,Stok!$A$2:$D$60,2,FALSE),"kode?"))</f>
        <v/>
      </c>
      <c r="H238" s="12">
        <f>IF(B238="","",IFERROR(VLOOKUP(B238,Stok!$A$2:$D$60,4,FALSE),""))</f>
        <v/>
      </c>
    </row>
    <row r="239">
      <c r="A239" s="18" t="n"/>
      <c r="B239" s="17" t="n"/>
      <c r="C239" s="26" t="n"/>
      <c r="D239" s="26" t="n"/>
      <c r="E239" s="17" t="n"/>
      <c r="F239" s="17" t="n"/>
      <c r="G239" s="12">
        <f>IF(B239="","",IFERROR(VLOOKUP(B239,Stok!$A$2:$D$60,2,FALSE),"kode?"))</f>
        <v/>
      </c>
      <c r="H239" s="12">
        <f>IF(B239="","",IFERROR(VLOOKUP(B239,Stok!$A$2:$D$60,4,FALSE),""))</f>
        <v/>
      </c>
    </row>
    <row r="240">
      <c r="A240" s="18" t="n"/>
      <c r="B240" s="17" t="n"/>
      <c r="C240" s="26" t="n"/>
      <c r="D240" s="26" t="n"/>
      <c r="E240" s="17" t="n"/>
      <c r="F240" s="17" t="n"/>
      <c r="G240" s="12">
        <f>IF(B240="","",IFERROR(VLOOKUP(B240,Stok!$A$2:$D$60,2,FALSE),"kode?"))</f>
        <v/>
      </c>
      <c r="H240" s="12">
        <f>IF(B240="","",IFERROR(VLOOKUP(B240,Stok!$A$2:$D$60,4,FALSE),""))</f>
        <v/>
      </c>
    </row>
    <row r="241">
      <c r="A241" s="18" t="n"/>
      <c r="B241" s="17" t="n"/>
      <c r="C241" s="26" t="n"/>
      <c r="D241" s="26" t="n"/>
      <c r="E241" s="17" t="n"/>
      <c r="F241" s="17" t="n"/>
      <c r="G241" s="12">
        <f>IF(B241="","",IFERROR(VLOOKUP(B241,Stok!$A$2:$D$60,2,FALSE),"kode?"))</f>
        <v/>
      </c>
      <c r="H241" s="12">
        <f>IF(B241="","",IFERROR(VLOOKUP(B241,Stok!$A$2:$D$60,4,FALSE),""))</f>
        <v/>
      </c>
    </row>
    <row r="242">
      <c r="A242" s="18" t="n"/>
      <c r="B242" s="17" t="n"/>
      <c r="C242" s="26" t="n"/>
      <c r="D242" s="26" t="n"/>
      <c r="E242" s="17" t="n"/>
      <c r="F242" s="17" t="n"/>
      <c r="G242" s="12">
        <f>IF(B242="","",IFERROR(VLOOKUP(B242,Stok!$A$2:$D$60,2,FALSE),"kode?"))</f>
        <v/>
      </c>
      <c r="H242" s="12">
        <f>IF(B242="","",IFERROR(VLOOKUP(B242,Stok!$A$2:$D$60,4,FALSE),""))</f>
        <v/>
      </c>
    </row>
    <row r="243">
      <c r="A243" s="18" t="n"/>
      <c r="B243" s="17" t="n"/>
      <c r="C243" s="26" t="n"/>
      <c r="D243" s="26" t="n"/>
      <c r="E243" s="17" t="n"/>
      <c r="F243" s="17" t="n"/>
      <c r="G243" s="12">
        <f>IF(B243="","",IFERROR(VLOOKUP(B243,Stok!$A$2:$D$60,2,FALSE),"kode?"))</f>
        <v/>
      </c>
      <c r="H243" s="12">
        <f>IF(B243="","",IFERROR(VLOOKUP(B243,Stok!$A$2:$D$60,4,FALSE),""))</f>
        <v/>
      </c>
    </row>
    <row r="244">
      <c r="A244" s="18" t="n"/>
      <c r="B244" s="17" t="n"/>
      <c r="C244" s="26" t="n"/>
      <c r="D244" s="26" t="n"/>
      <c r="E244" s="17" t="n"/>
      <c r="F244" s="17" t="n"/>
      <c r="G244" s="12">
        <f>IF(B244="","",IFERROR(VLOOKUP(B244,Stok!$A$2:$D$60,2,FALSE),"kode?"))</f>
        <v/>
      </c>
      <c r="H244" s="12">
        <f>IF(B244="","",IFERROR(VLOOKUP(B244,Stok!$A$2:$D$60,4,FALSE),""))</f>
        <v/>
      </c>
    </row>
    <row r="245">
      <c r="A245" s="18" t="n"/>
      <c r="B245" s="17" t="n"/>
      <c r="C245" s="26" t="n"/>
      <c r="D245" s="26" t="n"/>
      <c r="E245" s="17" t="n"/>
      <c r="F245" s="17" t="n"/>
      <c r="G245" s="12">
        <f>IF(B245="","",IFERROR(VLOOKUP(B245,Stok!$A$2:$D$60,2,FALSE),"kode?"))</f>
        <v/>
      </c>
      <c r="H245" s="12">
        <f>IF(B245="","",IFERROR(VLOOKUP(B245,Stok!$A$2:$D$60,4,FALSE),""))</f>
        <v/>
      </c>
    </row>
    <row r="246">
      <c r="A246" s="18" t="n"/>
      <c r="B246" s="17" t="n"/>
      <c r="C246" s="26" t="n"/>
      <c r="D246" s="26" t="n"/>
      <c r="E246" s="17" t="n"/>
      <c r="F246" s="17" t="n"/>
      <c r="G246" s="12">
        <f>IF(B246="","",IFERROR(VLOOKUP(B246,Stok!$A$2:$D$60,2,FALSE),"kode?"))</f>
        <v/>
      </c>
      <c r="H246" s="12">
        <f>IF(B246="","",IFERROR(VLOOKUP(B246,Stok!$A$2:$D$60,4,FALSE),""))</f>
        <v/>
      </c>
    </row>
    <row r="247">
      <c r="A247" s="18" t="n"/>
      <c r="B247" s="17" t="n"/>
      <c r="C247" s="26" t="n"/>
      <c r="D247" s="26" t="n"/>
      <c r="E247" s="17" t="n"/>
      <c r="F247" s="17" t="n"/>
      <c r="G247" s="12">
        <f>IF(B247="","",IFERROR(VLOOKUP(B247,Stok!$A$2:$D$60,2,FALSE),"kode?"))</f>
        <v/>
      </c>
      <c r="H247" s="12">
        <f>IF(B247="","",IFERROR(VLOOKUP(B247,Stok!$A$2:$D$60,4,FALSE),""))</f>
        <v/>
      </c>
    </row>
    <row r="248">
      <c r="A248" s="18" t="n"/>
      <c r="B248" s="17" t="n"/>
      <c r="C248" s="26" t="n"/>
      <c r="D248" s="26" t="n"/>
      <c r="E248" s="17" t="n"/>
      <c r="F248" s="17" t="n"/>
      <c r="G248" s="12">
        <f>IF(B248="","",IFERROR(VLOOKUP(B248,Stok!$A$2:$D$60,2,FALSE),"kode?"))</f>
        <v/>
      </c>
      <c r="H248" s="12">
        <f>IF(B248="","",IFERROR(VLOOKUP(B248,Stok!$A$2:$D$60,4,FALSE),""))</f>
        <v/>
      </c>
    </row>
    <row r="249">
      <c r="A249" s="18" t="n"/>
      <c r="B249" s="17" t="n"/>
      <c r="C249" s="26" t="n"/>
      <c r="D249" s="26" t="n"/>
      <c r="E249" s="17" t="n"/>
      <c r="F249" s="17" t="n"/>
      <c r="G249" s="12">
        <f>IF(B249="","",IFERROR(VLOOKUP(B249,Stok!$A$2:$D$60,2,FALSE),"kode?"))</f>
        <v/>
      </c>
      <c r="H249" s="12">
        <f>IF(B249="","",IFERROR(VLOOKUP(B249,Stok!$A$2:$D$60,4,FALSE),""))</f>
        <v/>
      </c>
    </row>
    <row r="250">
      <c r="A250" s="18" t="n"/>
      <c r="B250" s="17" t="n"/>
      <c r="C250" s="26" t="n"/>
      <c r="D250" s="26" t="n"/>
      <c r="E250" s="17" t="n"/>
      <c r="F250" s="17" t="n"/>
      <c r="G250" s="12">
        <f>IF(B250="","",IFERROR(VLOOKUP(B250,Stok!$A$2:$D$60,2,FALSE),"kode?"))</f>
        <v/>
      </c>
      <c r="H250" s="12">
        <f>IF(B250="","",IFERROR(VLOOKUP(B250,Stok!$A$2:$D$60,4,FALSE),""))</f>
        <v/>
      </c>
    </row>
    <row r="251">
      <c r="A251" s="18" t="n"/>
      <c r="B251" s="17" t="n"/>
      <c r="C251" s="26" t="n"/>
      <c r="D251" s="26" t="n"/>
      <c r="E251" s="17" t="n"/>
      <c r="F251" s="17" t="n"/>
      <c r="G251" s="12">
        <f>IF(B251="","",IFERROR(VLOOKUP(B251,Stok!$A$2:$D$60,2,FALSE),"kode?"))</f>
        <v/>
      </c>
      <c r="H251" s="12">
        <f>IF(B251="","",IFERROR(VLOOKUP(B251,Stok!$A$2:$D$60,4,FALSE),""))</f>
        <v/>
      </c>
    </row>
    <row r="252">
      <c r="A252" s="18" t="n"/>
      <c r="B252" s="17" t="n"/>
      <c r="C252" s="26" t="n"/>
      <c r="D252" s="26" t="n"/>
      <c r="E252" s="17" t="n"/>
      <c r="F252" s="17" t="n"/>
      <c r="G252" s="12">
        <f>IF(B252="","",IFERROR(VLOOKUP(B252,Stok!$A$2:$D$60,2,FALSE),"kode?"))</f>
        <v/>
      </c>
      <c r="H252" s="12">
        <f>IF(B252="","",IFERROR(VLOOKUP(B252,Stok!$A$2:$D$60,4,FALSE),""))</f>
        <v/>
      </c>
    </row>
    <row r="253">
      <c r="A253" s="18" t="n"/>
      <c r="B253" s="17" t="n"/>
      <c r="C253" s="26" t="n"/>
      <c r="D253" s="26" t="n"/>
      <c r="E253" s="17" t="n"/>
      <c r="F253" s="17" t="n"/>
      <c r="G253" s="12">
        <f>IF(B253="","",IFERROR(VLOOKUP(B253,Stok!$A$2:$D$60,2,FALSE),"kode?"))</f>
        <v/>
      </c>
      <c r="H253" s="12">
        <f>IF(B253="","",IFERROR(VLOOKUP(B253,Stok!$A$2:$D$60,4,FALSE),""))</f>
        <v/>
      </c>
    </row>
    <row r="254">
      <c r="A254" s="18" t="n"/>
      <c r="B254" s="17" t="n"/>
      <c r="C254" s="26" t="n"/>
      <c r="D254" s="26" t="n"/>
      <c r="E254" s="17" t="n"/>
      <c r="F254" s="17" t="n"/>
      <c r="G254" s="12">
        <f>IF(B254="","",IFERROR(VLOOKUP(B254,Stok!$A$2:$D$60,2,FALSE),"kode?"))</f>
        <v/>
      </c>
      <c r="H254" s="12">
        <f>IF(B254="","",IFERROR(VLOOKUP(B254,Stok!$A$2:$D$60,4,FALSE),""))</f>
        <v/>
      </c>
    </row>
    <row r="255">
      <c r="A255" s="18" t="n"/>
      <c r="B255" s="17" t="n"/>
      <c r="C255" s="26" t="n"/>
      <c r="D255" s="26" t="n"/>
      <c r="E255" s="17" t="n"/>
      <c r="F255" s="17" t="n"/>
      <c r="G255" s="12">
        <f>IF(B255="","",IFERROR(VLOOKUP(B255,Stok!$A$2:$D$60,2,FALSE),"kode?"))</f>
        <v/>
      </c>
      <c r="H255" s="12">
        <f>IF(B255="","",IFERROR(VLOOKUP(B255,Stok!$A$2:$D$60,4,FALSE),""))</f>
        <v/>
      </c>
    </row>
    <row r="256">
      <c r="A256" s="18" t="n"/>
      <c r="B256" s="17" t="n"/>
      <c r="C256" s="26" t="n"/>
      <c r="D256" s="26" t="n"/>
      <c r="E256" s="17" t="n"/>
      <c r="F256" s="17" t="n"/>
      <c r="G256" s="12">
        <f>IF(B256="","",IFERROR(VLOOKUP(B256,Stok!$A$2:$D$60,2,FALSE),"kode?"))</f>
        <v/>
      </c>
      <c r="H256" s="12">
        <f>IF(B256="","",IFERROR(VLOOKUP(B256,Stok!$A$2:$D$60,4,FALSE),""))</f>
        <v/>
      </c>
    </row>
    <row r="257">
      <c r="A257" s="18" t="n"/>
      <c r="B257" s="17" t="n"/>
      <c r="C257" s="26" t="n"/>
      <c r="D257" s="26" t="n"/>
      <c r="E257" s="17" t="n"/>
      <c r="F257" s="17" t="n"/>
      <c r="G257" s="12">
        <f>IF(B257="","",IFERROR(VLOOKUP(B257,Stok!$A$2:$D$60,2,FALSE),"kode?"))</f>
        <v/>
      </c>
      <c r="H257" s="12">
        <f>IF(B257="","",IFERROR(VLOOKUP(B257,Stok!$A$2:$D$60,4,FALSE),""))</f>
        <v/>
      </c>
    </row>
    <row r="258">
      <c r="A258" s="18" t="n"/>
      <c r="B258" s="17" t="n"/>
      <c r="C258" s="26" t="n"/>
      <c r="D258" s="26" t="n"/>
      <c r="E258" s="17" t="n"/>
      <c r="F258" s="17" t="n"/>
      <c r="G258" s="12">
        <f>IF(B258="","",IFERROR(VLOOKUP(B258,Stok!$A$2:$D$60,2,FALSE),"kode?"))</f>
        <v/>
      </c>
      <c r="H258" s="12">
        <f>IF(B258="","",IFERROR(VLOOKUP(B258,Stok!$A$2:$D$60,4,FALSE),""))</f>
        <v/>
      </c>
    </row>
    <row r="259">
      <c r="A259" s="18" t="n"/>
      <c r="B259" s="17" t="n"/>
      <c r="C259" s="26" t="n"/>
      <c r="D259" s="26" t="n"/>
      <c r="E259" s="17" t="n"/>
      <c r="F259" s="17" t="n"/>
      <c r="G259" s="12">
        <f>IF(B259="","",IFERROR(VLOOKUP(B259,Stok!$A$2:$D$60,2,FALSE),"kode?"))</f>
        <v/>
      </c>
      <c r="H259" s="12">
        <f>IF(B259="","",IFERROR(VLOOKUP(B259,Stok!$A$2:$D$60,4,FALSE),""))</f>
        <v/>
      </c>
    </row>
    <row r="260">
      <c r="A260" s="18" t="n"/>
      <c r="B260" s="17" t="n"/>
      <c r="C260" s="26" t="n"/>
      <c r="D260" s="26" t="n"/>
      <c r="E260" s="17" t="n"/>
      <c r="F260" s="17" t="n"/>
      <c r="G260" s="12">
        <f>IF(B260="","",IFERROR(VLOOKUP(B260,Stok!$A$2:$D$60,2,FALSE),"kode?"))</f>
        <v/>
      </c>
      <c r="H260" s="12">
        <f>IF(B260="","",IFERROR(VLOOKUP(B260,Stok!$A$2:$D$60,4,FALSE),""))</f>
        <v/>
      </c>
    </row>
    <row r="261">
      <c r="A261" s="18" t="n"/>
      <c r="B261" s="17" t="n"/>
      <c r="C261" s="26" t="n"/>
      <c r="D261" s="26" t="n"/>
      <c r="E261" s="17" t="n"/>
      <c r="F261" s="17" t="n"/>
      <c r="G261" s="12">
        <f>IF(B261="","",IFERROR(VLOOKUP(B261,Stok!$A$2:$D$60,2,FALSE),"kode?"))</f>
        <v/>
      </c>
      <c r="H261" s="12">
        <f>IF(B261="","",IFERROR(VLOOKUP(B261,Stok!$A$2:$D$60,4,FALSE),""))</f>
        <v/>
      </c>
    </row>
    <row r="262">
      <c r="A262" s="18" t="n"/>
      <c r="B262" s="17" t="n"/>
      <c r="C262" s="26" t="n"/>
      <c r="D262" s="26" t="n"/>
      <c r="E262" s="17" t="n"/>
      <c r="F262" s="17" t="n"/>
      <c r="G262" s="12">
        <f>IF(B262="","",IFERROR(VLOOKUP(B262,Stok!$A$2:$D$60,2,FALSE),"kode?"))</f>
        <v/>
      </c>
      <c r="H262" s="12">
        <f>IF(B262="","",IFERROR(VLOOKUP(B262,Stok!$A$2:$D$60,4,FALSE),""))</f>
        <v/>
      </c>
    </row>
    <row r="263">
      <c r="A263" s="18" t="n"/>
      <c r="B263" s="17" t="n"/>
      <c r="C263" s="26" t="n"/>
      <c r="D263" s="26" t="n"/>
      <c r="E263" s="17" t="n"/>
      <c r="F263" s="17" t="n"/>
      <c r="G263" s="12">
        <f>IF(B263="","",IFERROR(VLOOKUP(B263,Stok!$A$2:$D$60,2,FALSE),"kode?"))</f>
        <v/>
      </c>
      <c r="H263" s="12">
        <f>IF(B263="","",IFERROR(VLOOKUP(B263,Stok!$A$2:$D$60,4,FALSE),""))</f>
        <v/>
      </c>
    </row>
    <row r="264">
      <c r="A264" s="18" t="n"/>
      <c r="B264" s="17" t="n"/>
      <c r="C264" s="26" t="n"/>
      <c r="D264" s="26" t="n"/>
      <c r="E264" s="17" t="n"/>
      <c r="F264" s="17" t="n"/>
      <c r="G264" s="12">
        <f>IF(B264="","",IFERROR(VLOOKUP(B264,Stok!$A$2:$D$60,2,FALSE),"kode?"))</f>
        <v/>
      </c>
      <c r="H264" s="12">
        <f>IF(B264="","",IFERROR(VLOOKUP(B264,Stok!$A$2:$D$60,4,FALSE),""))</f>
        <v/>
      </c>
    </row>
    <row r="265">
      <c r="A265" s="18" t="n"/>
      <c r="B265" s="17" t="n"/>
      <c r="C265" s="26" t="n"/>
      <c r="D265" s="26" t="n"/>
      <c r="E265" s="17" t="n"/>
      <c r="F265" s="17" t="n"/>
      <c r="G265" s="12">
        <f>IF(B265="","",IFERROR(VLOOKUP(B265,Stok!$A$2:$D$60,2,FALSE),"kode?"))</f>
        <v/>
      </c>
      <c r="H265" s="12">
        <f>IF(B265="","",IFERROR(VLOOKUP(B265,Stok!$A$2:$D$60,4,FALSE),""))</f>
        <v/>
      </c>
    </row>
    <row r="266">
      <c r="A266" s="18" t="n"/>
      <c r="B266" s="17" t="n"/>
      <c r="C266" s="26" t="n"/>
      <c r="D266" s="26" t="n"/>
      <c r="E266" s="17" t="n"/>
      <c r="F266" s="17" t="n"/>
      <c r="G266" s="12">
        <f>IF(B266="","",IFERROR(VLOOKUP(B266,Stok!$A$2:$D$60,2,FALSE),"kode?"))</f>
        <v/>
      </c>
      <c r="H266" s="12">
        <f>IF(B266="","",IFERROR(VLOOKUP(B266,Stok!$A$2:$D$60,4,FALSE),""))</f>
        <v/>
      </c>
    </row>
    <row r="267">
      <c r="A267" s="18" t="n"/>
      <c r="B267" s="17" t="n"/>
      <c r="C267" s="26" t="n"/>
      <c r="D267" s="26" t="n"/>
      <c r="E267" s="17" t="n"/>
      <c r="F267" s="17" t="n"/>
      <c r="G267" s="12">
        <f>IF(B267="","",IFERROR(VLOOKUP(B267,Stok!$A$2:$D$60,2,FALSE),"kode?"))</f>
        <v/>
      </c>
      <c r="H267" s="12">
        <f>IF(B267="","",IFERROR(VLOOKUP(B267,Stok!$A$2:$D$60,4,FALSE),""))</f>
        <v/>
      </c>
    </row>
    <row r="268">
      <c r="A268" s="18" t="n"/>
      <c r="B268" s="17" t="n"/>
      <c r="C268" s="26" t="n"/>
      <c r="D268" s="26" t="n"/>
      <c r="E268" s="17" t="n"/>
      <c r="F268" s="17" t="n"/>
      <c r="G268" s="12">
        <f>IF(B268="","",IFERROR(VLOOKUP(B268,Stok!$A$2:$D$60,2,FALSE),"kode?"))</f>
        <v/>
      </c>
      <c r="H268" s="12">
        <f>IF(B268="","",IFERROR(VLOOKUP(B268,Stok!$A$2:$D$60,4,FALSE),""))</f>
        <v/>
      </c>
    </row>
    <row r="269">
      <c r="A269" s="18" t="n"/>
      <c r="B269" s="17" t="n"/>
      <c r="C269" s="26" t="n"/>
      <c r="D269" s="26" t="n"/>
      <c r="E269" s="17" t="n"/>
      <c r="F269" s="17" t="n"/>
      <c r="G269" s="12">
        <f>IF(B269="","",IFERROR(VLOOKUP(B269,Stok!$A$2:$D$60,2,FALSE),"kode?"))</f>
        <v/>
      </c>
      <c r="H269" s="12">
        <f>IF(B269="","",IFERROR(VLOOKUP(B269,Stok!$A$2:$D$60,4,FALSE),""))</f>
        <v/>
      </c>
    </row>
    <row r="270">
      <c r="A270" s="18" t="n"/>
      <c r="B270" s="17" t="n"/>
      <c r="C270" s="26" t="n"/>
      <c r="D270" s="26" t="n"/>
      <c r="E270" s="17" t="n"/>
      <c r="F270" s="17" t="n"/>
      <c r="G270" s="12">
        <f>IF(B270="","",IFERROR(VLOOKUP(B270,Stok!$A$2:$D$60,2,FALSE),"kode?"))</f>
        <v/>
      </c>
      <c r="H270" s="12">
        <f>IF(B270="","",IFERROR(VLOOKUP(B270,Stok!$A$2:$D$60,4,FALSE),""))</f>
        <v/>
      </c>
    </row>
    <row r="271">
      <c r="A271" s="18" t="n"/>
      <c r="B271" s="17" t="n"/>
      <c r="C271" s="26" t="n"/>
      <c r="D271" s="26" t="n"/>
      <c r="E271" s="17" t="n"/>
      <c r="F271" s="17" t="n"/>
      <c r="G271" s="12">
        <f>IF(B271="","",IFERROR(VLOOKUP(B271,Stok!$A$2:$D$60,2,FALSE),"kode?"))</f>
        <v/>
      </c>
      <c r="H271" s="12">
        <f>IF(B271="","",IFERROR(VLOOKUP(B271,Stok!$A$2:$D$60,4,FALSE),""))</f>
        <v/>
      </c>
    </row>
    <row r="272">
      <c r="A272" s="18" t="n"/>
      <c r="B272" s="17" t="n"/>
      <c r="C272" s="26" t="n"/>
      <c r="D272" s="26" t="n"/>
      <c r="E272" s="17" t="n"/>
      <c r="F272" s="17" t="n"/>
      <c r="G272" s="12">
        <f>IF(B272="","",IFERROR(VLOOKUP(B272,Stok!$A$2:$D$60,2,FALSE),"kode?"))</f>
        <v/>
      </c>
      <c r="H272" s="12">
        <f>IF(B272="","",IFERROR(VLOOKUP(B272,Stok!$A$2:$D$60,4,FALSE),""))</f>
        <v/>
      </c>
    </row>
    <row r="273">
      <c r="A273" s="18" t="n"/>
      <c r="B273" s="17" t="n"/>
      <c r="C273" s="26" t="n"/>
      <c r="D273" s="26" t="n"/>
      <c r="E273" s="17" t="n"/>
      <c r="F273" s="17" t="n"/>
      <c r="G273" s="12">
        <f>IF(B273="","",IFERROR(VLOOKUP(B273,Stok!$A$2:$D$60,2,FALSE),"kode?"))</f>
        <v/>
      </c>
      <c r="H273" s="12">
        <f>IF(B273="","",IFERROR(VLOOKUP(B273,Stok!$A$2:$D$60,4,FALSE),""))</f>
        <v/>
      </c>
    </row>
    <row r="274">
      <c r="A274" s="18" t="n"/>
      <c r="B274" s="17" t="n"/>
      <c r="C274" s="26" t="n"/>
      <c r="D274" s="26" t="n"/>
      <c r="E274" s="17" t="n"/>
      <c r="F274" s="17" t="n"/>
      <c r="G274" s="12">
        <f>IF(B274="","",IFERROR(VLOOKUP(B274,Stok!$A$2:$D$60,2,FALSE),"kode?"))</f>
        <v/>
      </c>
      <c r="H274" s="12">
        <f>IF(B274="","",IFERROR(VLOOKUP(B274,Stok!$A$2:$D$60,4,FALSE),""))</f>
        <v/>
      </c>
    </row>
    <row r="275">
      <c r="A275" s="18" t="n"/>
      <c r="B275" s="17" t="n"/>
      <c r="C275" s="26" t="n"/>
      <c r="D275" s="26" t="n"/>
      <c r="E275" s="17" t="n"/>
      <c r="F275" s="17" t="n"/>
      <c r="G275" s="12">
        <f>IF(B275="","",IFERROR(VLOOKUP(B275,Stok!$A$2:$D$60,2,FALSE),"kode?"))</f>
        <v/>
      </c>
      <c r="H275" s="12">
        <f>IF(B275="","",IFERROR(VLOOKUP(B275,Stok!$A$2:$D$60,4,FALSE),""))</f>
        <v/>
      </c>
    </row>
    <row r="276">
      <c r="A276" s="18" t="n"/>
      <c r="B276" s="17" t="n"/>
      <c r="C276" s="26" t="n"/>
      <c r="D276" s="26" t="n"/>
      <c r="E276" s="17" t="n"/>
      <c r="F276" s="17" t="n"/>
      <c r="G276" s="12">
        <f>IF(B276="","",IFERROR(VLOOKUP(B276,Stok!$A$2:$D$60,2,FALSE),"kode?"))</f>
        <v/>
      </c>
      <c r="H276" s="12">
        <f>IF(B276="","",IFERROR(VLOOKUP(B276,Stok!$A$2:$D$60,4,FALSE),""))</f>
        <v/>
      </c>
    </row>
    <row r="277">
      <c r="A277" s="18" t="n"/>
      <c r="B277" s="17" t="n"/>
      <c r="C277" s="26" t="n"/>
      <c r="D277" s="26" t="n"/>
      <c r="E277" s="17" t="n"/>
      <c r="F277" s="17" t="n"/>
      <c r="G277" s="12">
        <f>IF(B277="","",IFERROR(VLOOKUP(B277,Stok!$A$2:$D$60,2,FALSE),"kode?"))</f>
        <v/>
      </c>
      <c r="H277" s="12">
        <f>IF(B277="","",IFERROR(VLOOKUP(B277,Stok!$A$2:$D$60,4,FALSE),""))</f>
        <v/>
      </c>
    </row>
    <row r="278">
      <c r="A278" s="18" t="n"/>
      <c r="B278" s="17" t="n"/>
      <c r="C278" s="26" t="n"/>
      <c r="D278" s="26" t="n"/>
      <c r="E278" s="17" t="n"/>
      <c r="F278" s="17" t="n"/>
      <c r="G278" s="12">
        <f>IF(B278="","",IFERROR(VLOOKUP(B278,Stok!$A$2:$D$60,2,FALSE),"kode?"))</f>
        <v/>
      </c>
      <c r="H278" s="12">
        <f>IF(B278="","",IFERROR(VLOOKUP(B278,Stok!$A$2:$D$60,4,FALSE),""))</f>
        <v/>
      </c>
    </row>
    <row r="279">
      <c r="A279" s="18" t="n"/>
      <c r="B279" s="17" t="n"/>
      <c r="C279" s="26" t="n"/>
      <c r="D279" s="26" t="n"/>
      <c r="E279" s="17" t="n"/>
      <c r="F279" s="17" t="n"/>
      <c r="G279" s="12">
        <f>IF(B279="","",IFERROR(VLOOKUP(B279,Stok!$A$2:$D$60,2,FALSE),"kode?"))</f>
        <v/>
      </c>
      <c r="H279" s="12">
        <f>IF(B279="","",IFERROR(VLOOKUP(B279,Stok!$A$2:$D$60,4,FALSE),""))</f>
        <v/>
      </c>
    </row>
    <row r="280">
      <c r="A280" s="18" t="n"/>
      <c r="B280" s="17" t="n"/>
      <c r="C280" s="26" t="n"/>
      <c r="D280" s="26" t="n"/>
      <c r="E280" s="17" t="n"/>
      <c r="F280" s="17" t="n"/>
      <c r="G280" s="12">
        <f>IF(B280="","",IFERROR(VLOOKUP(B280,Stok!$A$2:$D$60,2,FALSE),"kode?"))</f>
        <v/>
      </c>
      <c r="H280" s="12">
        <f>IF(B280="","",IFERROR(VLOOKUP(B280,Stok!$A$2:$D$60,4,FALSE),""))</f>
        <v/>
      </c>
    </row>
    <row r="281">
      <c r="A281" s="18" t="n"/>
      <c r="B281" s="17" t="n"/>
      <c r="C281" s="26" t="n"/>
      <c r="D281" s="26" t="n"/>
      <c r="E281" s="17" t="n"/>
      <c r="F281" s="17" t="n"/>
      <c r="G281" s="12">
        <f>IF(B281="","",IFERROR(VLOOKUP(B281,Stok!$A$2:$D$60,2,FALSE),"kode?"))</f>
        <v/>
      </c>
      <c r="H281" s="12">
        <f>IF(B281="","",IFERROR(VLOOKUP(B281,Stok!$A$2:$D$60,4,FALSE),""))</f>
        <v/>
      </c>
    </row>
    <row r="282">
      <c r="A282" s="18" t="n"/>
      <c r="B282" s="17" t="n"/>
      <c r="C282" s="26" t="n"/>
      <c r="D282" s="26" t="n"/>
      <c r="E282" s="17" t="n"/>
      <c r="F282" s="17" t="n"/>
      <c r="G282" s="12">
        <f>IF(B282="","",IFERROR(VLOOKUP(B282,Stok!$A$2:$D$60,2,FALSE),"kode?"))</f>
        <v/>
      </c>
      <c r="H282" s="12">
        <f>IF(B282="","",IFERROR(VLOOKUP(B282,Stok!$A$2:$D$60,4,FALSE),""))</f>
        <v/>
      </c>
    </row>
    <row r="283">
      <c r="A283" s="18" t="n"/>
      <c r="B283" s="17" t="n"/>
      <c r="C283" s="26" t="n"/>
      <c r="D283" s="26" t="n"/>
      <c r="E283" s="17" t="n"/>
      <c r="F283" s="17" t="n"/>
      <c r="G283" s="12">
        <f>IF(B283="","",IFERROR(VLOOKUP(B283,Stok!$A$2:$D$60,2,FALSE),"kode?"))</f>
        <v/>
      </c>
      <c r="H283" s="12">
        <f>IF(B283="","",IFERROR(VLOOKUP(B283,Stok!$A$2:$D$60,4,FALSE),""))</f>
        <v/>
      </c>
    </row>
    <row r="284">
      <c r="A284" s="18" t="n"/>
      <c r="B284" s="17" t="n"/>
      <c r="C284" s="26" t="n"/>
      <c r="D284" s="26" t="n"/>
      <c r="E284" s="17" t="n"/>
      <c r="F284" s="17" t="n"/>
      <c r="G284" s="12">
        <f>IF(B284="","",IFERROR(VLOOKUP(B284,Stok!$A$2:$D$60,2,FALSE),"kode?"))</f>
        <v/>
      </c>
      <c r="H284" s="12">
        <f>IF(B284="","",IFERROR(VLOOKUP(B284,Stok!$A$2:$D$60,4,FALSE),""))</f>
        <v/>
      </c>
    </row>
    <row r="285">
      <c r="A285" s="18" t="n"/>
      <c r="B285" s="17" t="n"/>
      <c r="C285" s="26" t="n"/>
      <c r="D285" s="26" t="n"/>
      <c r="E285" s="17" t="n"/>
      <c r="F285" s="17" t="n"/>
      <c r="G285" s="12">
        <f>IF(B285="","",IFERROR(VLOOKUP(B285,Stok!$A$2:$D$60,2,FALSE),"kode?"))</f>
        <v/>
      </c>
      <c r="H285" s="12">
        <f>IF(B285="","",IFERROR(VLOOKUP(B285,Stok!$A$2:$D$60,4,FALSE),""))</f>
        <v/>
      </c>
    </row>
    <row r="286">
      <c r="A286" s="18" t="n"/>
      <c r="B286" s="17" t="n"/>
      <c r="C286" s="26" t="n"/>
      <c r="D286" s="26" t="n"/>
      <c r="E286" s="17" t="n"/>
      <c r="F286" s="17" t="n"/>
      <c r="G286" s="12">
        <f>IF(B286="","",IFERROR(VLOOKUP(B286,Stok!$A$2:$D$60,2,FALSE),"kode?"))</f>
        <v/>
      </c>
      <c r="H286" s="12">
        <f>IF(B286="","",IFERROR(VLOOKUP(B286,Stok!$A$2:$D$60,4,FALSE),""))</f>
        <v/>
      </c>
    </row>
    <row r="287">
      <c r="A287" s="18" t="n"/>
      <c r="B287" s="17" t="n"/>
      <c r="C287" s="26" t="n"/>
      <c r="D287" s="26" t="n"/>
      <c r="E287" s="17" t="n"/>
      <c r="F287" s="17" t="n"/>
      <c r="G287" s="12">
        <f>IF(B287="","",IFERROR(VLOOKUP(B287,Stok!$A$2:$D$60,2,FALSE),"kode?"))</f>
        <v/>
      </c>
      <c r="H287" s="12">
        <f>IF(B287="","",IFERROR(VLOOKUP(B287,Stok!$A$2:$D$60,4,FALSE),""))</f>
        <v/>
      </c>
    </row>
    <row r="288">
      <c r="A288" s="18" t="n"/>
      <c r="B288" s="17" t="n"/>
      <c r="C288" s="26" t="n"/>
      <c r="D288" s="26" t="n"/>
      <c r="E288" s="17" t="n"/>
      <c r="F288" s="17" t="n"/>
      <c r="G288" s="12">
        <f>IF(B288="","",IFERROR(VLOOKUP(B288,Stok!$A$2:$D$60,2,FALSE),"kode?"))</f>
        <v/>
      </c>
      <c r="H288" s="12">
        <f>IF(B288="","",IFERROR(VLOOKUP(B288,Stok!$A$2:$D$60,4,FALSE),""))</f>
        <v/>
      </c>
    </row>
    <row r="289">
      <c r="A289" s="18" t="n"/>
      <c r="B289" s="17" t="n"/>
      <c r="C289" s="26" t="n"/>
      <c r="D289" s="26" t="n"/>
      <c r="E289" s="17" t="n"/>
      <c r="F289" s="17" t="n"/>
      <c r="G289" s="12">
        <f>IF(B289="","",IFERROR(VLOOKUP(B289,Stok!$A$2:$D$60,2,FALSE),"kode?"))</f>
        <v/>
      </c>
      <c r="H289" s="12">
        <f>IF(B289="","",IFERROR(VLOOKUP(B289,Stok!$A$2:$D$60,4,FALSE),""))</f>
        <v/>
      </c>
    </row>
    <row r="290">
      <c r="A290" s="18" t="n"/>
      <c r="B290" s="17" t="n"/>
      <c r="C290" s="26" t="n"/>
      <c r="D290" s="26" t="n"/>
      <c r="E290" s="17" t="n"/>
      <c r="F290" s="17" t="n"/>
      <c r="G290" s="12">
        <f>IF(B290="","",IFERROR(VLOOKUP(B290,Stok!$A$2:$D$60,2,FALSE),"kode?"))</f>
        <v/>
      </c>
      <c r="H290" s="12">
        <f>IF(B290="","",IFERROR(VLOOKUP(B290,Stok!$A$2:$D$60,4,FALSE),""))</f>
        <v/>
      </c>
    </row>
    <row r="291">
      <c r="A291" s="18" t="n"/>
      <c r="B291" s="17" t="n"/>
      <c r="C291" s="26" t="n"/>
      <c r="D291" s="26" t="n"/>
      <c r="E291" s="17" t="n"/>
      <c r="F291" s="17" t="n"/>
      <c r="G291" s="12">
        <f>IF(B291="","",IFERROR(VLOOKUP(B291,Stok!$A$2:$D$60,2,FALSE),"kode?"))</f>
        <v/>
      </c>
      <c r="H291" s="12">
        <f>IF(B291="","",IFERROR(VLOOKUP(B291,Stok!$A$2:$D$60,4,FALSE),""))</f>
        <v/>
      </c>
    </row>
    <row r="292">
      <c r="A292" s="18" t="n"/>
      <c r="B292" s="17" t="n"/>
      <c r="C292" s="26" t="n"/>
      <c r="D292" s="26" t="n"/>
      <c r="E292" s="17" t="n"/>
      <c r="F292" s="17" t="n"/>
      <c r="G292" s="12">
        <f>IF(B292="","",IFERROR(VLOOKUP(B292,Stok!$A$2:$D$60,2,FALSE),"kode?"))</f>
        <v/>
      </c>
      <c r="H292" s="12">
        <f>IF(B292="","",IFERROR(VLOOKUP(B292,Stok!$A$2:$D$60,4,FALSE),""))</f>
        <v/>
      </c>
    </row>
    <row r="293">
      <c r="A293" s="18" t="n"/>
      <c r="B293" s="17" t="n"/>
      <c r="C293" s="26" t="n"/>
      <c r="D293" s="26" t="n"/>
      <c r="E293" s="17" t="n"/>
      <c r="F293" s="17" t="n"/>
      <c r="G293" s="12">
        <f>IF(B293="","",IFERROR(VLOOKUP(B293,Stok!$A$2:$D$60,2,FALSE),"kode?"))</f>
        <v/>
      </c>
      <c r="H293" s="12">
        <f>IF(B293="","",IFERROR(VLOOKUP(B293,Stok!$A$2:$D$60,4,FALSE),""))</f>
        <v/>
      </c>
    </row>
    <row r="294">
      <c r="A294" s="18" t="n"/>
      <c r="B294" s="17" t="n"/>
      <c r="C294" s="26" t="n"/>
      <c r="D294" s="26" t="n"/>
      <c r="E294" s="17" t="n"/>
      <c r="F294" s="17" t="n"/>
      <c r="G294" s="12">
        <f>IF(B294="","",IFERROR(VLOOKUP(B294,Stok!$A$2:$D$60,2,FALSE),"kode?"))</f>
        <v/>
      </c>
      <c r="H294" s="12">
        <f>IF(B294="","",IFERROR(VLOOKUP(B294,Stok!$A$2:$D$60,4,FALSE),""))</f>
        <v/>
      </c>
    </row>
    <row r="295">
      <c r="A295" s="18" t="n"/>
      <c r="B295" s="17" t="n"/>
      <c r="C295" s="26" t="n"/>
      <c r="D295" s="26" t="n"/>
      <c r="E295" s="17" t="n"/>
      <c r="F295" s="17" t="n"/>
      <c r="G295" s="12">
        <f>IF(B295="","",IFERROR(VLOOKUP(B295,Stok!$A$2:$D$60,2,FALSE),"kode?"))</f>
        <v/>
      </c>
      <c r="H295" s="12">
        <f>IF(B295="","",IFERROR(VLOOKUP(B295,Stok!$A$2:$D$60,4,FALSE),""))</f>
        <v/>
      </c>
    </row>
    <row r="296">
      <c r="A296" s="18" t="n"/>
      <c r="B296" s="17" t="n"/>
      <c r="C296" s="26" t="n"/>
      <c r="D296" s="26" t="n"/>
      <c r="E296" s="17" t="n"/>
      <c r="F296" s="17" t="n"/>
      <c r="G296" s="12">
        <f>IF(B296="","",IFERROR(VLOOKUP(B296,Stok!$A$2:$D$60,2,FALSE),"kode?"))</f>
        <v/>
      </c>
      <c r="H296" s="12">
        <f>IF(B296="","",IFERROR(VLOOKUP(B296,Stok!$A$2:$D$60,4,FALSE),""))</f>
        <v/>
      </c>
    </row>
    <row r="297">
      <c r="A297" s="18" t="n"/>
      <c r="B297" s="17" t="n"/>
      <c r="C297" s="26" t="n"/>
      <c r="D297" s="26" t="n"/>
      <c r="E297" s="17" t="n"/>
      <c r="F297" s="17" t="n"/>
      <c r="G297" s="12">
        <f>IF(B297="","",IFERROR(VLOOKUP(B297,Stok!$A$2:$D$60,2,FALSE),"kode?"))</f>
        <v/>
      </c>
      <c r="H297" s="12">
        <f>IF(B297="","",IFERROR(VLOOKUP(B297,Stok!$A$2:$D$60,4,FALSE),""))</f>
        <v/>
      </c>
    </row>
    <row r="298">
      <c r="A298" s="18" t="n"/>
      <c r="B298" s="17" t="n"/>
      <c r="C298" s="26" t="n"/>
      <c r="D298" s="26" t="n"/>
      <c r="E298" s="17" t="n"/>
      <c r="F298" s="17" t="n"/>
      <c r="G298" s="12">
        <f>IF(B298="","",IFERROR(VLOOKUP(B298,Stok!$A$2:$D$60,2,FALSE),"kode?"))</f>
        <v/>
      </c>
      <c r="H298" s="12">
        <f>IF(B298="","",IFERROR(VLOOKUP(B298,Stok!$A$2:$D$60,4,FALSE),""))</f>
        <v/>
      </c>
    </row>
    <row r="299">
      <c r="A299" s="18" t="n"/>
      <c r="B299" s="17" t="n"/>
      <c r="C299" s="26" t="n"/>
      <c r="D299" s="26" t="n"/>
      <c r="E299" s="17" t="n"/>
      <c r="F299" s="17" t="n"/>
      <c r="G299" s="12">
        <f>IF(B299="","",IFERROR(VLOOKUP(B299,Stok!$A$2:$D$60,2,FALSE),"kode?"))</f>
        <v/>
      </c>
      <c r="H299" s="12">
        <f>IF(B299="","",IFERROR(VLOOKUP(B299,Stok!$A$2:$D$60,4,FALSE),""))</f>
        <v/>
      </c>
    </row>
    <row r="300">
      <c r="A300" s="18" t="n"/>
      <c r="B300" s="17" t="n"/>
      <c r="C300" s="26" t="n"/>
      <c r="D300" s="26" t="n"/>
      <c r="E300" s="17" t="n"/>
      <c r="F300" s="17" t="n"/>
      <c r="G300" s="12">
        <f>IF(B300="","",IFERROR(VLOOKUP(B300,Stok!$A$2:$D$60,2,FALSE),"kode?"))</f>
        <v/>
      </c>
      <c r="H300" s="12">
        <f>IF(B300="","",IFERROR(VLOOKUP(B300,Stok!$A$2:$D$60,4,FALSE),""))</f>
        <v/>
      </c>
    </row>
    <row r="301">
      <c r="A301" s="18" t="n"/>
      <c r="B301" s="17" t="n"/>
      <c r="C301" s="26" t="n"/>
      <c r="D301" s="26" t="n"/>
      <c r="E301" s="17" t="n"/>
      <c r="F301" s="17" t="n"/>
      <c r="G301" s="12">
        <f>IF(B301="","",IFERROR(VLOOKUP(B301,Stok!$A$2:$D$60,2,FALSE),"kode?"))</f>
        <v/>
      </c>
      <c r="H301" s="12">
        <f>IF(B301="","",IFERROR(VLOOKUP(B301,Stok!$A$2:$D$60,4,FALSE),""))</f>
        <v/>
      </c>
    </row>
    <row r="302">
      <c r="A302" s="18" t="n"/>
      <c r="B302" s="17" t="n"/>
      <c r="C302" s="26" t="n"/>
      <c r="D302" s="26" t="n"/>
      <c r="E302" s="17" t="n"/>
      <c r="F302" s="17" t="n"/>
      <c r="G302" s="12">
        <f>IF(B302="","",IFERROR(VLOOKUP(B302,Stok!$A$2:$D$60,2,FALSE),"kode?"))</f>
        <v/>
      </c>
      <c r="H302" s="12">
        <f>IF(B302="","",IFERROR(VLOOKUP(B302,Stok!$A$2:$D$60,4,FALSE),""))</f>
        <v/>
      </c>
    </row>
    <row r="303">
      <c r="A303" s="18" t="n"/>
      <c r="B303" s="17" t="n"/>
      <c r="C303" s="26" t="n"/>
      <c r="D303" s="26" t="n"/>
      <c r="E303" s="17" t="n"/>
      <c r="F303" s="17" t="n"/>
      <c r="G303" s="12">
        <f>IF(B303="","",IFERROR(VLOOKUP(B303,Stok!$A$2:$D$60,2,FALSE),"kode?"))</f>
        <v/>
      </c>
      <c r="H303" s="12">
        <f>IF(B303="","",IFERROR(VLOOKUP(B303,Stok!$A$2:$D$60,4,FALSE),""))</f>
        <v/>
      </c>
    </row>
    <row r="304">
      <c r="A304" s="18" t="n"/>
      <c r="B304" s="17" t="n"/>
      <c r="C304" s="26" t="n"/>
      <c r="D304" s="26" t="n"/>
      <c r="E304" s="17" t="n"/>
      <c r="F304" s="17" t="n"/>
      <c r="G304" s="12">
        <f>IF(B304="","",IFERROR(VLOOKUP(B304,Stok!$A$2:$D$60,2,FALSE),"kode?"))</f>
        <v/>
      </c>
      <c r="H304" s="12">
        <f>IF(B304="","",IFERROR(VLOOKUP(B304,Stok!$A$2:$D$60,4,FALSE),""))</f>
        <v/>
      </c>
    </row>
    <row r="305">
      <c r="A305" s="18" t="n"/>
      <c r="B305" s="17" t="n"/>
      <c r="C305" s="26" t="n"/>
      <c r="D305" s="26" t="n"/>
      <c r="E305" s="17" t="n"/>
      <c r="F305" s="17" t="n"/>
      <c r="G305" s="12">
        <f>IF(B305="","",IFERROR(VLOOKUP(B305,Stok!$A$2:$D$60,2,FALSE),"kode?"))</f>
        <v/>
      </c>
      <c r="H305" s="12">
        <f>IF(B305="","",IFERROR(VLOOKUP(B305,Stok!$A$2:$D$60,4,FALSE),""))</f>
        <v/>
      </c>
    </row>
    <row r="306">
      <c r="A306" s="18" t="n"/>
      <c r="B306" s="17" t="n"/>
      <c r="C306" s="26" t="n"/>
      <c r="D306" s="26" t="n"/>
      <c r="E306" s="17" t="n"/>
      <c r="F306" s="17" t="n"/>
      <c r="G306" s="12">
        <f>IF(B306="","",IFERROR(VLOOKUP(B306,Stok!$A$2:$D$60,2,FALSE),"kode?"))</f>
        <v/>
      </c>
      <c r="H306" s="12">
        <f>IF(B306="","",IFERROR(VLOOKUP(B306,Stok!$A$2:$D$60,4,FALSE),""))</f>
        <v/>
      </c>
    </row>
    <row r="307">
      <c r="A307" s="18" t="n"/>
      <c r="B307" s="17" t="n"/>
      <c r="C307" s="26" t="n"/>
      <c r="D307" s="26" t="n"/>
      <c r="E307" s="17" t="n"/>
      <c r="F307" s="17" t="n"/>
      <c r="G307" s="12">
        <f>IF(B307="","",IFERROR(VLOOKUP(B307,Stok!$A$2:$D$60,2,FALSE),"kode?"))</f>
        <v/>
      </c>
      <c r="H307" s="12">
        <f>IF(B307="","",IFERROR(VLOOKUP(B307,Stok!$A$2:$D$60,4,FALSE),""))</f>
        <v/>
      </c>
    </row>
    <row r="308">
      <c r="A308" s="18" t="n"/>
      <c r="B308" s="17" t="n"/>
      <c r="C308" s="26" t="n"/>
      <c r="D308" s="26" t="n"/>
      <c r="E308" s="17" t="n"/>
      <c r="F308" s="17" t="n"/>
      <c r="G308" s="12">
        <f>IF(B308="","",IFERROR(VLOOKUP(B308,Stok!$A$2:$D$60,2,FALSE),"kode?"))</f>
        <v/>
      </c>
      <c r="H308" s="12">
        <f>IF(B308="","",IFERROR(VLOOKUP(B308,Stok!$A$2:$D$60,4,FALSE),""))</f>
        <v/>
      </c>
    </row>
    <row r="309">
      <c r="A309" s="18" t="n"/>
      <c r="B309" s="17" t="n"/>
      <c r="C309" s="26" t="n"/>
      <c r="D309" s="26" t="n"/>
      <c r="E309" s="17" t="n"/>
      <c r="F309" s="17" t="n"/>
      <c r="G309" s="12">
        <f>IF(B309="","",IFERROR(VLOOKUP(B309,Stok!$A$2:$D$60,2,FALSE),"kode?"))</f>
        <v/>
      </c>
      <c r="H309" s="12">
        <f>IF(B309="","",IFERROR(VLOOKUP(B309,Stok!$A$2:$D$60,4,FALSE),""))</f>
        <v/>
      </c>
    </row>
    <row r="310">
      <c r="A310" s="18" t="n"/>
      <c r="B310" s="17" t="n"/>
      <c r="C310" s="26" t="n"/>
      <c r="D310" s="26" t="n"/>
      <c r="E310" s="17" t="n"/>
      <c r="F310" s="17" t="n"/>
      <c r="G310" s="12">
        <f>IF(B310="","",IFERROR(VLOOKUP(B310,Stok!$A$2:$D$60,2,FALSE),"kode?"))</f>
        <v/>
      </c>
      <c r="H310" s="12">
        <f>IF(B310="","",IFERROR(VLOOKUP(B310,Stok!$A$2:$D$60,4,FALSE),""))</f>
        <v/>
      </c>
    </row>
    <row r="311">
      <c r="A311" s="18" t="n"/>
      <c r="B311" s="17" t="n"/>
      <c r="C311" s="26" t="n"/>
      <c r="D311" s="26" t="n"/>
      <c r="E311" s="17" t="n"/>
      <c r="F311" s="17" t="n"/>
      <c r="G311" s="12">
        <f>IF(B311="","",IFERROR(VLOOKUP(B311,Stok!$A$2:$D$60,2,FALSE),"kode?"))</f>
        <v/>
      </c>
      <c r="H311" s="12">
        <f>IF(B311="","",IFERROR(VLOOKUP(B311,Stok!$A$2:$D$60,4,FALSE),""))</f>
        <v/>
      </c>
    </row>
    <row r="312">
      <c r="A312" s="18" t="n"/>
      <c r="B312" s="17" t="n"/>
      <c r="C312" s="26" t="n"/>
      <c r="D312" s="26" t="n"/>
      <c r="E312" s="17" t="n"/>
      <c r="F312" s="17" t="n"/>
      <c r="G312" s="12">
        <f>IF(B312="","",IFERROR(VLOOKUP(B312,Stok!$A$2:$D$60,2,FALSE),"kode?"))</f>
        <v/>
      </c>
      <c r="H312" s="12">
        <f>IF(B312="","",IFERROR(VLOOKUP(B312,Stok!$A$2:$D$60,4,FALSE),""))</f>
        <v/>
      </c>
    </row>
    <row r="313">
      <c r="A313" s="18" t="n"/>
      <c r="B313" s="17" t="n"/>
      <c r="C313" s="26" t="n"/>
      <c r="D313" s="26" t="n"/>
      <c r="E313" s="17" t="n"/>
      <c r="F313" s="17" t="n"/>
      <c r="G313" s="12">
        <f>IF(B313="","",IFERROR(VLOOKUP(B313,Stok!$A$2:$D$60,2,FALSE),"kode?"))</f>
        <v/>
      </c>
      <c r="H313" s="12">
        <f>IF(B313="","",IFERROR(VLOOKUP(B313,Stok!$A$2:$D$60,4,FALSE),""))</f>
        <v/>
      </c>
    </row>
    <row r="314">
      <c r="A314" s="18" t="n"/>
      <c r="B314" s="17" t="n"/>
      <c r="C314" s="26" t="n"/>
      <c r="D314" s="26" t="n"/>
      <c r="E314" s="17" t="n"/>
      <c r="F314" s="17" t="n"/>
      <c r="G314" s="12">
        <f>IF(B314="","",IFERROR(VLOOKUP(B314,Stok!$A$2:$D$60,2,FALSE),"kode?"))</f>
        <v/>
      </c>
      <c r="H314" s="12">
        <f>IF(B314="","",IFERROR(VLOOKUP(B314,Stok!$A$2:$D$60,4,FALSE),""))</f>
        <v/>
      </c>
    </row>
    <row r="315">
      <c r="A315" s="18" t="n"/>
      <c r="B315" s="17" t="n"/>
      <c r="C315" s="26" t="n"/>
      <c r="D315" s="26" t="n"/>
      <c r="E315" s="17" t="n"/>
      <c r="F315" s="17" t="n"/>
      <c r="G315" s="12">
        <f>IF(B315="","",IFERROR(VLOOKUP(B315,Stok!$A$2:$D$60,2,FALSE),"kode?"))</f>
        <v/>
      </c>
      <c r="H315" s="12">
        <f>IF(B315="","",IFERROR(VLOOKUP(B315,Stok!$A$2:$D$60,4,FALSE),""))</f>
        <v/>
      </c>
    </row>
    <row r="316">
      <c r="A316" s="18" t="n"/>
      <c r="B316" s="17" t="n"/>
      <c r="C316" s="26" t="n"/>
      <c r="D316" s="26" t="n"/>
      <c r="E316" s="17" t="n"/>
      <c r="F316" s="17" t="n"/>
      <c r="G316" s="12">
        <f>IF(B316="","",IFERROR(VLOOKUP(B316,Stok!$A$2:$D$60,2,FALSE),"kode?"))</f>
        <v/>
      </c>
      <c r="H316" s="12">
        <f>IF(B316="","",IFERROR(VLOOKUP(B316,Stok!$A$2:$D$60,4,FALSE),""))</f>
        <v/>
      </c>
    </row>
    <row r="317">
      <c r="A317" s="18" t="n"/>
      <c r="B317" s="17" t="n"/>
      <c r="C317" s="26" t="n"/>
      <c r="D317" s="26" t="n"/>
      <c r="E317" s="17" t="n"/>
      <c r="F317" s="17" t="n"/>
      <c r="G317" s="12">
        <f>IF(B317="","",IFERROR(VLOOKUP(B317,Stok!$A$2:$D$60,2,FALSE),"kode?"))</f>
        <v/>
      </c>
      <c r="H317" s="12">
        <f>IF(B317="","",IFERROR(VLOOKUP(B317,Stok!$A$2:$D$60,4,FALSE),""))</f>
        <v/>
      </c>
    </row>
    <row r="318">
      <c r="A318" s="18" t="n"/>
      <c r="B318" s="17" t="n"/>
      <c r="C318" s="26" t="n"/>
      <c r="D318" s="26" t="n"/>
      <c r="E318" s="17" t="n"/>
      <c r="F318" s="17" t="n"/>
      <c r="G318" s="12">
        <f>IF(B318="","",IFERROR(VLOOKUP(B318,Stok!$A$2:$D$60,2,FALSE),"kode?"))</f>
        <v/>
      </c>
      <c r="H318" s="12">
        <f>IF(B318="","",IFERROR(VLOOKUP(B318,Stok!$A$2:$D$60,4,FALSE),""))</f>
        <v/>
      </c>
    </row>
    <row r="319">
      <c r="A319" s="18" t="n"/>
      <c r="B319" s="17" t="n"/>
      <c r="C319" s="26" t="n"/>
      <c r="D319" s="26" t="n"/>
      <c r="E319" s="17" t="n"/>
      <c r="F319" s="17" t="n"/>
      <c r="G319" s="12">
        <f>IF(B319="","",IFERROR(VLOOKUP(B319,Stok!$A$2:$D$60,2,FALSE),"kode?"))</f>
        <v/>
      </c>
      <c r="H319" s="12">
        <f>IF(B319="","",IFERROR(VLOOKUP(B319,Stok!$A$2:$D$60,4,FALSE),""))</f>
        <v/>
      </c>
    </row>
    <row r="320">
      <c r="A320" s="18" t="n"/>
      <c r="B320" s="17" t="n"/>
      <c r="C320" s="26" t="n"/>
      <c r="D320" s="26" t="n"/>
      <c r="E320" s="17" t="n"/>
      <c r="F320" s="17" t="n"/>
      <c r="G320" s="12">
        <f>IF(B320="","",IFERROR(VLOOKUP(B320,Stok!$A$2:$D$60,2,FALSE),"kode?"))</f>
        <v/>
      </c>
      <c r="H320" s="12">
        <f>IF(B320="","",IFERROR(VLOOKUP(B320,Stok!$A$2:$D$60,4,FALSE),""))</f>
        <v/>
      </c>
    </row>
    <row r="321">
      <c r="A321" s="18" t="n"/>
      <c r="B321" s="17" t="n"/>
      <c r="C321" s="26" t="n"/>
      <c r="D321" s="26" t="n"/>
      <c r="E321" s="17" t="n"/>
      <c r="F321" s="17" t="n"/>
      <c r="G321" s="12">
        <f>IF(B321="","",IFERROR(VLOOKUP(B321,Stok!$A$2:$D$60,2,FALSE),"kode?"))</f>
        <v/>
      </c>
      <c r="H321" s="12">
        <f>IF(B321="","",IFERROR(VLOOKUP(B321,Stok!$A$2:$D$60,4,FALSE),""))</f>
        <v/>
      </c>
    </row>
    <row r="322">
      <c r="A322" s="18" t="n"/>
      <c r="B322" s="17" t="n"/>
      <c r="C322" s="26" t="n"/>
      <c r="D322" s="26" t="n"/>
      <c r="E322" s="17" t="n"/>
      <c r="F322" s="17" t="n"/>
      <c r="G322" s="12">
        <f>IF(B322="","",IFERROR(VLOOKUP(B322,Stok!$A$2:$D$60,2,FALSE),"kode?"))</f>
        <v/>
      </c>
      <c r="H322" s="12">
        <f>IF(B322="","",IFERROR(VLOOKUP(B322,Stok!$A$2:$D$60,4,FALSE),""))</f>
        <v/>
      </c>
    </row>
    <row r="323">
      <c r="A323" s="18" t="n"/>
      <c r="B323" s="17" t="n"/>
      <c r="C323" s="26" t="n"/>
      <c r="D323" s="26" t="n"/>
      <c r="E323" s="17" t="n"/>
      <c r="F323" s="17" t="n"/>
      <c r="G323" s="12">
        <f>IF(B323="","",IFERROR(VLOOKUP(B323,Stok!$A$2:$D$60,2,FALSE),"kode?"))</f>
        <v/>
      </c>
      <c r="H323" s="12">
        <f>IF(B323="","",IFERROR(VLOOKUP(B323,Stok!$A$2:$D$60,4,FALSE),""))</f>
        <v/>
      </c>
    </row>
    <row r="324">
      <c r="A324" s="18" t="n"/>
      <c r="B324" s="17" t="n"/>
      <c r="C324" s="26" t="n"/>
      <c r="D324" s="26" t="n"/>
      <c r="E324" s="17" t="n"/>
      <c r="F324" s="17" t="n"/>
      <c r="G324" s="12">
        <f>IF(B324="","",IFERROR(VLOOKUP(B324,Stok!$A$2:$D$60,2,FALSE),"kode?"))</f>
        <v/>
      </c>
      <c r="H324" s="12">
        <f>IF(B324="","",IFERROR(VLOOKUP(B324,Stok!$A$2:$D$60,4,FALSE),""))</f>
        <v/>
      </c>
    </row>
    <row r="325">
      <c r="A325" s="18" t="n"/>
      <c r="B325" s="17" t="n"/>
      <c r="C325" s="26" t="n"/>
      <c r="D325" s="26" t="n"/>
      <c r="E325" s="17" t="n"/>
      <c r="F325" s="17" t="n"/>
      <c r="G325" s="12">
        <f>IF(B325="","",IFERROR(VLOOKUP(B325,Stok!$A$2:$D$60,2,FALSE),"kode?"))</f>
        <v/>
      </c>
      <c r="H325" s="12">
        <f>IF(B325="","",IFERROR(VLOOKUP(B325,Stok!$A$2:$D$60,4,FALSE),""))</f>
        <v/>
      </c>
    </row>
    <row r="326">
      <c r="A326" s="18" t="n"/>
      <c r="B326" s="17" t="n"/>
      <c r="C326" s="26" t="n"/>
      <c r="D326" s="26" t="n"/>
      <c r="E326" s="17" t="n"/>
      <c r="F326" s="17" t="n"/>
      <c r="G326" s="12">
        <f>IF(B326="","",IFERROR(VLOOKUP(B326,Stok!$A$2:$D$60,2,FALSE),"kode?"))</f>
        <v/>
      </c>
      <c r="H326" s="12">
        <f>IF(B326="","",IFERROR(VLOOKUP(B326,Stok!$A$2:$D$60,4,FALSE),""))</f>
        <v/>
      </c>
    </row>
    <row r="327">
      <c r="A327" s="18" t="n"/>
      <c r="B327" s="17" t="n"/>
      <c r="C327" s="26" t="n"/>
      <c r="D327" s="26" t="n"/>
      <c r="E327" s="17" t="n"/>
      <c r="F327" s="17" t="n"/>
      <c r="G327" s="12">
        <f>IF(B327="","",IFERROR(VLOOKUP(B327,Stok!$A$2:$D$60,2,FALSE),"kode?"))</f>
        <v/>
      </c>
      <c r="H327" s="12">
        <f>IF(B327="","",IFERROR(VLOOKUP(B327,Stok!$A$2:$D$60,4,FALSE),""))</f>
        <v/>
      </c>
    </row>
    <row r="328">
      <c r="A328" s="18" t="n"/>
      <c r="B328" s="17" t="n"/>
      <c r="C328" s="26" t="n"/>
      <c r="D328" s="26" t="n"/>
      <c r="E328" s="17" t="n"/>
      <c r="F328" s="17" t="n"/>
      <c r="G328" s="12">
        <f>IF(B328="","",IFERROR(VLOOKUP(B328,Stok!$A$2:$D$60,2,FALSE),"kode?"))</f>
        <v/>
      </c>
      <c r="H328" s="12">
        <f>IF(B328="","",IFERROR(VLOOKUP(B328,Stok!$A$2:$D$60,4,FALSE),""))</f>
        <v/>
      </c>
    </row>
    <row r="329">
      <c r="A329" s="18" t="n"/>
      <c r="B329" s="17" t="n"/>
      <c r="C329" s="26" t="n"/>
      <c r="D329" s="26" t="n"/>
      <c r="E329" s="17" t="n"/>
      <c r="F329" s="17" t="n"/>
      <c r="G329" s="12">
        <f>IF(B329="","",IFERROR(VLOOKUP(B329,Stok!$A$2:$D$60,2,FALSE),"kode?"))</f>
        <v/>
      </c>
      <c r="H329" s="12">
        <f>IF(B329="","",IFERROR(VLOOKUP(B329,Stok!$A$2:$D$60,4,FALSE),""))</f>
        <v/>
      </c>
    </row>
    <row r="330">
      <c r="A330" s="18" t="n"/>
      <c r="B330" s="17" t="n"/>
      <c r="C330" s="26" t="n"/>
      <c r="D330" s="26" t="n"/>
      <c r="E330" s="17" t="n"/>
      <c r="F330" s="17" t="n"/>
      <c r="G330" s="12">
        <f>IF(B330="","",IFERROR(VLOOKUP(B330,Stok!$A$2:$D$60,2,FALSE),"kode?"))</f>
        <v/>
      </c>
      <c r="H330" s="12">
        <f>IF(B330="","",IFERROR(VLOOKUP(B330,Stok!$A$2:$D$60,4,FALSE),""))</f>
        <v/>
      </c>
    </row>
    <row r="331">
      <c r="A331" s="18" t="n"/>
      <c r="B331" s="17" t="n"/>
      <c r="C331" s="26" t="n"/>
      <c r="D331" s="26" t="n"/>
      <c r="E331" s="17" t="n"/>
      <c r="F331" s="17" t="n"/>
      <c r="G331" s="12">
        <f>IF(B331="","",IFERROR(VLOOKUP(B331,Stok!$A$2:$D$60,2,FALSE),"kode?"))</f>
        <v/>
      </c>
      <c r="H331" s="12">
        <f>IF(B331="","",IFERROR(VLOOKUP(B331,Stok!$A$2:$D$60,4,FALSE),""))</f>
        <v/>
      </c>
    </row>
    <row r="332">
      <c r="A332" s="18" t="n"/>
      <c r="B332" s="17" t="n"/>
      <c r="C332" s="26" t="n"/>
      <c r="D332" s="26" t="n"/>
      <c r="E332" s="17" t="n"/>
      <c r="F332" s="17" t="n"/>
      <c r="G332" s="12">
        <f>IF(B332="","",IFERROR(VLOOKUP(B332,Stok!$A$2:$D$60,2,FALSE),"kode?"))</f>
        <v/>
      </c>
      <c r="H332" s="12">
        <f>IF(B332="","",IFERROR(VLOOKUP(B332,Stok!$A$2:$D$60,4,FALSE),""))</f>
        <v/>
      </c>
    </row>
    <row r="333">
      <c r="A333" s="18" t="n"/>
      <c r="B333" s="17" t="n"/>
      <c r="C333" s="26" t="n"/>
      <c r="D333" s="26" t="n"/>
      <c r="E333" s="17" t="n"/>
      <c r="F333" s="17" t="n"/>
      <c r="G333" s="12">
        <f>IF(B333="","",IFERROR(VLOOKUP(B333,Stok!$A$2:$D$60,2,FALSE),"kode?"))</f>
        <v/>
      </c>
      <c r="H333" s="12">
        <f>IF(B333="","",IFERROR(VLOOKUP(B333,Stok!$A$2:$D$60,4,FALSE),""))</f>
        <v/>
      </c>
    </row>
    <row r="334">
      <c r="A334" s="18" t="n"/>
      <c r="B334" s="17" t="n"/>
      <c r="C334" s="26" t="n"/>
      <c r="D334" s="26" t="n"/>
      <c r="E334" s="17" t="n"/>
      <c r="F334" s="17" t="n"/>
      <c r="G334" s="12">
        <f>IF(B334="","",IFERROR(VLOOKUP(B334,Stok!$A$2:$D$60,2,FALSE),"kode?"))</f>
        <v/>
      </c>
      <c r="H334" s="12">
        <f>IF(B334="","",IFERROR(VLOOKUP(B334,Stok!$A$2:$D$60,4,FALSE),""))</f>
        <v/>
      </c>
    </row>
    <row r="335">
      <c r="A335" s="18" t="n"/>
      <c r="B335" s="17" t="n"/>
      <c r="C335" s="26" t="n"/>
      <c r="D335" s="26" t="n"/>
      <c r="E335" s="17" t="n"/>
      <c r="F335" s="17" t="n"/>
      <c r="G335" s="12">
        <f>IF(B335="","",IFERROR(VLOOKUP(B335,Stok!$A$2:$D$60,2,FALSE),"kode?"))</f>
        <v/>
      </c>
      <c r="H335" s="12">
        <f>IF(B335="","",IFERROR(VLOOKUP(B335,Stok!$A$2:$D$60,4,FALSE),""))</f>
        <v/>
      </c>
    </row>
    <row r="336">
      <c r="A336" s="18" t="n"/>
      <c r="B336" s="17" t="n"/>
      <c r="C336" s="26" t="n"/>
      <c r="D336" s="26" t="n"/>
      <c r="E336" s="17" t="n"/>
      <c r="F336" s="17" t="n"/>
      <c r="G336" s="12">
        <f>IF(B336="","",IFERROR(VLOOKUP(B336,Stok!$A$2:$D$60,2,FALSE),"kode?"))</f>
        <v/>
      </c>
      <c r="H336" s="12">
        <f>IF(B336="","",IFERROR(VLOOKUP(B336,Stok!$A$2:$D$60,4,FALSE),""))</f>
        <v/>
      </c>
    </row>
    <row r="337">
      <c r="A337" s="18" t="n"/>
      <c r="B337" s="17" t="n"/>
      <c r="C337" s="26" t="n"/>
      <c r="D337" s="26" t="n"/>
      <c r="E337" s="17" t="n"/>
      <c r="F337" s="17" t="n"/>
      <c r="G337" s="12">
        <f>IF(B337="","",IFERROR(VLOOKUP(B337,Stok!$A$2:$D$60,2,FALSE),"kode?"))</f>
        <v/>
      </c>
      <c r="H337" s="12">
        <f>IF(B337="","",IFERROR(VLOOKUP(B337,Stok!$A$2:$D$60,4,FALSE),""))</f>
        <v/>
      </c>
    </row>
    <row r="338">
      <c r="A338" s="18" t="n"/>
      <c r="B338" s="17" t="n"/>
      <c r="C338" s="26" t="n"/>
      <c r="D338" s="26" t="n"/>
      <c r="E338" s="17" t="n"/>
      <c r="F338" s="17" t="n"/>
      <c r="G338" s="12">
        <f>IF(B338="","",IFERROR(VLOOKUP(B338,Stok!$A$2:$D$60,2,FALSE),"kode?"))</f>
        <v/>
      </c>
      <c r="H338" s="12">
        <f>IF(B338="","",IFERROR(VLOOKUP(B338,Stok!$A$2:$D$60,4,FALSE),""))</f>
        <v/>
      </c>
    </row>
    <row r="339">
      <c r="A339" s="18" t="n"/>
      <c r="B339" s="17" t="n"/>
      <c r="C339" s="26" t="n"/>
      <c r="D339" s="26" t="n"/>
      <c r="E339" s="17" t="n"/>
      <c r="F339" s="17" t="n"/>
      <c r="G339" s="12">
        <f>IF(B339="","",IFERROR(VLOOKUP(B339,Stok!$A$2:$D$60,2,FALSE),"kode?"))</f>
        <v/>
      </c>
      <c r="H339" s="12">
        <f>IF(B339="","",IFERROR(VLOOKUP(B339,Stok!$A$2:$D$60,4,FALSE),""))</f>
        <v/>
      </c>
    </row>
    <row r="340">
      <c r="A340" s="18" t="n"/>
      <c r="B340" s="17" t="n"/>
      <c r="C340" s="26" t="n"/>
      <c r="D340" s="26" t="n"/>
      <c r="E340" s="17" t="n"/>
      <c r="F340" s="17" t="n"/>
      <c r="G340" s="12">
        <f>IF(B340="","",IFERROR(VLOOKUP(B340,Stok!$A$2:$D$60,2,FALSE),"kode?"))</f>
        <v/>
      </c>
      <c r="H340" s="12">
        <f>IF(B340="","",IFERROR(VLOOKUP(B340,Stok!$A$2:$D$60,4,FALSE),""))</f>
        <v/>
      </c>
    </row>
    <row r="341">
      <c r="A341" s="18" t="n"/>
      <c r="B341" s="17" t="n"/>
      <c r="C341" s="26" t="n"/>
      <c r="D341" s="26" t="n"/>
      <c r="E341" s="17" t="n"/>
      <c r="F341" s="17" t="n"/>
      <c r="G341" s="12">
        <f>IF(B341="","",IFERROR(VLOOKUP(B341,Stok!$A$2:$D$60,2,FALSE),"kode?"))</f>
        <v/>
      </c>
      <c r="H341" s="12">
        <f>IF(B341="","",IFERROR(VLOOKUP(B341,Stok!$A$2:$D$60,4,FALSE),""))</f>
        <v/>
      </c>
    </row>
    <row r="342">
      <c r="A342" s="18" t="n"/>
      <c r="B342" s="17" t="n"/>
      <c r="C342" s="26" t="n"/>
      <c r="D342" s="26" t="n"/>
      <c r="E342" s="17" t="n"/>
      <c r="F342" s="17" t="n"/>
      <c r="G342" s="12">
        <f>IF(B342="","",IFERROR(VLOOKUP(B342,Stok!$A$2:$D$60,2,FALSE),"kode?"))</f>
        <v/>
      </c>
      <c r="H342" s="12">
        <f>IF(B342="","",IFERROR(VLOOKUP(B342,Stok!$A$2:$D$60,4,FALSE),""))</f>
        <v/>
      </c>
    </row>
    <row r="343">
      <c r="A343" s="18" t="n"/>
      <c r="B343" s="17" t="n"/>
      <c r="C343" s="26" t="n"/>
      <c r="D343" s="26" t="n"/>
      <c r="E343" s="17" t="n"/>
      <c r="F343" s="17" t="n"/>
      <c r="G343" s="12">
        <f>IF(B343="","",IFERROR(VLOOKUP(B343,Stok!$A$2:$D$60,2,FALSE),"kode?"))</f>
        <v/>
      </c>
      <c r="H343" s="12">
        <f>IF(B343="","",IFERROR(VLOOKUP(B343,Stok!$A$2:$D$60,4,FALSE),""))</f>
        <v/>
      </c>
    </row>
    <row r="344">
      <c r="A344" s="18" t="n"/>
      <c r="B344" s="17" t="n"/>
      <c r="C344" s="26" t="n"/>
      <c r="D344" s="26" t="n"/>
      <c r="E344" s="17" t="n"/>
      <c r="F344" s="17" t="n"/>
      <c r="G344" s="12">
        <f>IF(B344="","",IFERROR(VLOOKUP(B344,Stok!$A$2:$D$60,2,FALSE),"kode?"))</f>
        <v/>
      </c>
      <c r="H344" s="12">
        <f>IF(B344="","",IFERROR(VLOOKUP(B344,Stok!$A$2:$D$60,4,FALSE),""))</f>
        <v/>
      </c>
    </row>
    <row r="345">
      <c r="A345" s="18" t="n"/>
      <c r="B345" s="17" t="n"/>
      <c r="C345" s="26" t="n"/>
      <c r="D345" s="26" t="n"/>
      <c r="E345" s="17" t="n"/>
      <c r="F345" s="17" t="n"/>
      <c r="G345" s="12">
        <f>IF(B345="","",IFERROR(VLOOKUP(B345,Stok!$A$2:$D$60,2,FALSE),"kode?"))</f>
        <v/>
      </c>
      <c r="H345" s="12">
        <f>IF(B345="","",IFERROR(VLOOKUP(B345,Stok!$A$2:$D$60,4,FALSE),""))</f>
        <v/>
      </c>
    </row>
    <row r="346">
      <c r="A346" s="18" t="n"/>
      <c r="B346" s="17" t="n"/>
      <c r="C346" s="26" t="n"/>
      <c r="D346" s="26" t="n"/>
      <c r="E346" s="17" t="n"/>
      <c r="F346" s="17" t="n"/>
      <c r="G346" s="12">
        <f>IF(B346="","",IFERROR(VLOOKUP(B346,Stok!$A$2:$D$60,2,FALSE),"kode?"))</f>
        <v/>
      </c>
      <c r="H346" s="12">
        <f>IF(B346="","",IFERROR(VLOOKUP(B346,Stok!$A$2:$D$60,4,FALSE),""))</f>
        <v/>
      </c>
    </row>
    <row r="347">
      <c r="A347" s="18" t="n"/>
      <c r="B347" s="17" t="n"/>
      <c r="C347" s="26" t="n"/>
      <c r="D347" s="26" t="n"/>
      <c r="E347" s="17" t="n"/>
      <c r="F347" s="17" t="n"/>
      <c r="G347" s="12">
        <f>IF(B347="","",IFERROR(VLOOKUP(B347,Stok!$A$2:$D$60,2,FALSE),"kode?"))</f>
        <v/>
      </c>
      <c r="H347" s="12">
        <f>IF(B347="","",IFERROR(VLOOKUP(B347,Stok!$A$2:$D$60,4,FALSE),""))</f>
        <v/>
      </c>
    </row>
    <row r="348">
      <c r="A348" s="18" t="n"/>
      <c r="B348" s="17" t="n"/>
      <c r="C348" s="26" t="n"/>
      <c r="D348" s="26" t="n"/>
      <c r="E348" s="17" t="n"/>
      <c r="F348" s="17" t="n"/>
      <c r="G348" s="12">
        <f>IF(B348="","",IFERROR(VLOOKUP(B348,Stok!$A$2:$D$60,2,FALSE),"kode?"))</f>
        <v/>
      </c>
      <c r="H348" s="12">
        <f>IF(B348="","",IFERROR(VLOOKUP(B348,Stok!$A$2:$D$60,4,FALSE),""))</f>
        <v/>
      </c>
    </row>
    <row r="349">
      <c r="A349" s="18" t="n"/>
      <c r="B349" s="17" t="n"/>
      <c r="C349" s="26" t="n"/>
      <c r="D349" s="26" t="n"/>
      <c r="E349" s="17" t="n"/>
      <c r="F349" s="17" t="n"/>
      <c r="G349" s="12">
        <f>IF(B349="","",IFERROR(VLOOKUP(B349,Stok!$A$2:$D$60,2,FALSE),"kode?"))</f>
        <v/>
      </c>
      <c r="H349" s="12">
        <f>IF(B349="","",IFERROR(VLOOKUP(B349,Stok!$A$2:$D$60,4,FALSE),""))</f>
        <v/>
      </c>
    </row>
    <row r="350">
      <c r="A350" s="18" t="n"/>
      <c r="B350" s="17" t="n"/>
      <c r="C350" s="26" t="n"/>
      <c r="D350" s="26" t="n"/>
      <c r="E350" s="17" t="n"/>
      <c r="F350" s="17" t="n"/>
      <c r="G350" s="12">
        <f>IF(B350="","",IFERROR(VLOOKUP(B350,Stok!$A$2:$D$60,2,FALSE),"kode?"))</f>
        <v/>
      </c>
      <c r="H350" s="12">
        <f>IF(B350="","",IFERROR(VLOOKUP(B350,Stok!$A$2:$D$60,4,FALSE),""))</f>
        <v/>
      </c>
    </row>
    <row r="351">
      <c r="A351" s="18" t="n"/>
      <c r="B351" s="17" t="n"/>
      <c r="C351" s="26" t="n"/>
      <c r="D351" s="26" t="n"/>
      <c r="E351" s="17" t="n"/>
      <c r="F351" s="17" t="n"/>
      <c r="G351" s="12">
        <f>IF(B351="","",IFERROR(VLOOKUP(B351,Stok!$A$2:$D$60,2,FALSE),"kode?"))</f>
        <v/>
      </c>
      <c r="H351" s="12">
        <f>IF(B351="","",IFERROR(VLOOKUP(B351,Stok!$A$2:$D$60,4,FALSE),""))</f>
        <v/>
      </c>
    </row>
    <row r="352">
      <c r="A352" s="18" t="n"/>
      <c r="B352" s="17" t="n"/>
      <c r="C352" s="26" t="n"/>
      <c r="D352" s="26" t="n"/>
      <c r="E352" s="17" t="n"/>
      <c r="F352" s="17" t="n"/>
      <c r="G352" s="12">
        <f>IF(B352="","",IFERROR(VLOOKUP(B352,Stok!$A$2:$D$60,2,FALSE),"kode?"))</f>
        <v/>
      </c>
      <c r="H352" s="12">
        <f>IF(B352="","",IFERROR(VLOOKUP(B352,Stok!$A$2:$D$60,4,FALSE),""))</f>
        <v/>
      </c>
    </row>
    <row r="353">
      <c r="A353" s="18" t="n"/>
      <c r="B353" s="17" t="n"/>
      <c r="C353" s="26" t="n"/>
      <c r="D353" s="26" t="n"/>
      <c r="E353" s="17" t="n"/>
      <c r="F353" s="17" t="n"/>
      <c r="G353" s="12">
        <f>IF(B353="","",IFERROR(VLOOKUP(B353,Stok!$A$2:$D$60,2,FALSE),"kode?"))</f>
        <v/>
      </c>
      <c r="H353" s="12">
        <f>IF(B353="","",IFERROR(VLOOKUP(B353,Stok!$A$2:$D$60,4,FALSE),""))</f>
        <v/>
      </c>
    </row>
    <row r="354">
      <c r="A354" s="18" t="n"/>
      <c r="B354" s="17" t="n"/>
      <c r="C354" s="26" t="n"/>
      <c r="D354" s="26" t="n"/>
      <c r="E354" s="17" t="n"/>
      <c r="F354" s="17" t="n"/>
      <c r="G354" s="12">
        <f>IF(B354="","",IFERROR(VLOOKUP(B354,Stok!$A$2:$D$60,2,FALSE),"kode?"))</f>
        <v/>
      </c>
      <c r="H354" s="12">
        <f>IF(B354="","",IFERROR(VLOOKUP(B354,Stok!$A$2:$D$60,4,FALSE),""))</f>
        <v/>
      </c>
    </row>
    <row r="355">
      <c r="A355" s="18" t="n"/>
      <c r="B355" s="17" t="n"/>
      <c r="C355" s="26" t="n"/>
      <c r="D355" s="26" t="n"/>
      <c r="E355" s="17" t="n"/>
      <c r="F355" s="17" t="n"/>
      <c r="G355" s="12">
        <f>IF(B355="","",IFERROR(VLOOKUP(B355,Stok!$A$2:$D$60,2,FALSE),"kode?"))</f>
        <v/>
      </c>
      <c r="H355" s="12">
        <f>IF(B355="","",IFERROR(VLOOKUP(B355,Stok!$A$2:$D$60,4,FALSE),""))</f>
        <v/>
      </c>
    </row>
    <row r="356">
      <c r="A356" s="18" t="n"/>
      <c r="B356" s="17" t="n"/>
      <c r="C356" s="26" t="n"/>
      <c r="D356" s="26" t="n"/>
      <c r="E356" s="17" t="n"/>
      <c r="F356" s="17" t="n"/>
      <c r="G356" s="12">
        <f>IF(B356="","",IFERROR(VLOOKUP(B356,Stok!$A$2:$D$60,2,FALSE),"kode?"))</f>
        <v/>
      </c>
      <c r="H356" s="12">
        <f>IF(B356="","",IFERROR(VLOOKUP(B356,Stok!$A$2:$D$60,4,FALSE),""))</f>
        <v/>
      </c>
    </row>
    <row r="357">
      <c r="A357" s="18" t="n"/>
      <c r="B357" s="17" t="n"/>
      <c r="C357" s="26" t="n"/>
      <c r="D357" s="26" t="n"/>
      <c r="E357" s="17" t="n"/>
      <c r="F357" s="17" t="n"/>
      <c r="G357" s="12">
        <f>IF(B357="","",IFERROR(VLOOKUP(B357,Stok!$A$2:$D$60,2,FALSE),"kode?"))</f>
        <v/>
      </c>
      <c r="H357" s="12">
        <f>IF(B357="","",IFERROR(VLOOKUP(B357,Stok!$A$2:$D$60,4,FALSE),""))</f>
        <v/>
      </c>
    </row>
    <row r="358">
      <c r="A358" s="18" t="n"/>
      <c r="B358" s="17" t="n"/>
      <c r="C358" s="26" t="n"/>
      <c r="D358" s="26" t="n"/>
      <c r="E358" s="17" t="n"/>
      <c r="F358" s="17" t="n"/>
      <c r="G358" s="12">
        <f>IF(B358="","",IFERROR(VLOOKUP(B358,Stok!$A$2:$D$60,2,FALSE),"kode?"))</f>
        <v/>
      </c>
      <c r="H358" s="12">
        <f>IF(B358="","",IFERROR(VLOOKUP(B358,Stok!$A$2:$D$60,4,FALSE),""))</f>
        <v/>
      </c>
    </row>
    <row r="359">
      <c r="A359" s="18" t="n"/>
      <c r="B359" s="17" t="n"/>
      <c r="C359" s="26" t="n"/>
      <c r="D359" s="26" t="n"/>
      <c r="E359" s="17" t="n"/>
      <c r="F359" s="17" t="n"/>
      <c r="G359" s="12">
        <f>IF(B359="","",IFERROR(VLOOKUP(B359,Stok!$A$2:$D$60,2,FALSE),"kode?"))</f>
        <v/>
      </c>
      <c r="H359" s="12">
        <f>IF(B359="","",IFERROR(VLOOKUP(B359,Stok!$A$2:$D$60,4,FALSE),""))</f>
        <v/>
      </c>
    </row>
    <row r="360">
      <c r="A360" s="18" t="n"/>
      <c r="B360" s="17" t="n"/>
      <c r="C360" s="26" t="n"/>
      <c r="D360" s="26" t="n"/>
      <c r="E360" s="17" t="n"/>
      <c r="F360" s="17" t="n"/>
      <c r="G360" s="12">
        <f>IF(B360="","",IFERROR(VLOOKUP(B360,Stok!$A$2:$D$60,2,FALSE),"kode?"))</f>
        <v/>
      </c>
      <c r="H360" s="12">
        <f>IF(B360="","",IFERROR(VLOOKUP(B360,Stok!$A$2:$D$60,4,FALSE),""))</f>
        <v/>
      </c>
    </row>
    <row r="361">
      <c r="A361" s="18" t="n"/>
      <c r="B361" s="17" t="n"/>
      <c r="C361" s="26" t="n"/>
      <c r="D361" s="26" t="n"/>
      <c r="E361" s="17" t="n"/>
      <c r="F361" s="17" t="n"/>
      <c r="G361" s="12">
        <f>IF(B361="","",IFERROR(VLOOKUP(B361,Stok!$A$2:$D$60,2,FALSE),"kode?"))</f>
        <v/>
      </c>
      <c r="H361" s="12">
        <f>IF(B361="","",IFERROR(VLOOKUP(B361,Stok!$A$2:$D$60,4,FALSE),""))</f>
        <v/>
      </c>
    </row>
    <row r="362">
      <c r="A362" s="18" t="n"/>
      <c r="B362" s="17" t="n"/>
      <c r="C362" s="26" t="n"/>
      <c r="D362" s="26" t="n"/>
      <c r="E362" s="17" t="n"/>
      <c r="F362" s="17" t="n"/>
      <c r="G362" s="12">
        <f>IF(B362="","",IFERROR(VLOOKUP(B362,Stok!$A$2:$D$60,2,FALSE),"kode?"))</f>
        <v/>
      </c>
      <c r="H362" s="12">
        <f>IF(B362="","",IFERROR(VLOOKUP(B362,Stok!$A$2:$D$60,4,FALSE),""))</f>
        <v/>
      </c>
    </row>
    <row r="363">
      <c r="A363" s="18" t="n"/>
      <c r="B363" s="17" t="n"/>
      <c r="C363" s="26" t="n"/>
      <c r="D363" s="26" t="n"/>
      <c r="E363" s="17" t="n"/>
      <c r="F363" s="17" t="n"/>
      <c r="G363" s="12">
        <f>IF(B363="","",IFERROR(VLOOKUP(B363,Stok!$A$2:$D$60,2,FALSE),"kode?"))</f>
        <v/>
      </c>
      <c r="H363" s="12">
        <f>IF(B363="","",IFERROR(VLOOKUP(B363,Stok!$A$2:$D$60,4,FALSE),""))</f>
        <v/>
      </c>
    </row>
    <row r="364">
      <c r="A364" s="18" t="n"/>
      <c r="B364" s="17" t="n"/>
      <c r="C364" s="26" t="n"/>
      <c r="D364" s="26" t="n"/>
      <c r="E364" s="17" t="n"/>
      <c r="F364" s="17" t="n"/>
      <c r="G364" s="12">
        <f>IF(B364="","",IFERROR(VLOOKUP(B364,Stok!$A$2:$D$60,2,FALSE),"kode?"))</f>
        <v/>
      </c>
      <c r="H364" s="12">
        <f>IF(B364="","",IFERROR(VLOOKUP(B364,Stok!$A$2:$D$60,4,FALSE),""))</f>
        <v/>
      </c>
    </row>
    <row r="365">
      <c r="A365" s="18" t="n"/>
      <c r="B365" s="17" t="n"/>
      <c r="C365" s="26" t="n"/>
      <c r="D365" s="26" t="n"/>
      <c r="E365" s="17" t="n"/>
      <c r="F365" s="17" t="n"/>
      <c r="G365" s="12">
        <f>IF(B365="","",IFERROR(VLOOKUP(B365,Stok!$A$2:$D$60,2,FALSE),"kode?"))</f>
        <v/>
      </c>
      <c r="H365" s="12">
        <f>IF(B365="","",IFERROR(VLOOKUP(B365,Stok!$A$2:$D$60,4,FALSE),""))</f>
        <v/>
      </c>
    </row>
    <row r="366">
      <c r="A366" s="18" t="n"/>
      <c r="B366" s="17" t="n"/>
      <c r="C366" s="26" t="n"/>
      <c r="D366" s="26" t="n"/>
      <c r="E366" s="17" t="n"/>
      <c r="F366" s="17" t="n"/>
      <c r="G366" s="12">
        <f>IF(B366="","",IFERROR(VLOOKUP(B366,Stok!$A$2:$D$60,2,FALSE),"kode?"))</f>
        <v/>
      </c>
      <c r="H366" s="12">
        <f>IF(B366="","",IFERROR(VLOOKUP(B366,Stok!$A$2:$D$60,4,FALSE),""))</f>
        <v/>
      </c>
    </row>
    <row r="367">
      <c r="A367" s="18" t="n"/>
      <c r="B367" s="17" t="n"/>
      <c r="C367" s="26" t="n"/>
      <c r="D367" s="26" t="n"/>
      <c r="E367" s="17" t="n"/>
      <c r="F367" s="17" t="n"/>
      <c r="G367" s="12">
        <f>IF(B367="","",IFERROR(VLOOKUP(B367,Stok!$A$2:$D$60,2,FALSE),"kode?"))</f>
        <v/>
      </c>
      <c r="H367" s="12">
        <f>IF(B367="","",IFERROR(VLOOKUP(B367,Stok!$A$2:$D$60,4,FALSE),""))</f>
        <v/>
      </c>
    </row>
    <row r="368">
      <c r="A368" s="18" t="n"/>
      <c r="B368" s="17" t="n"/>
      <c r="C368" s="26" t="n"/>
      <c r="D368" s="26" t="n"/>
      <c r="E368" s="17" t="n"/>
      <c r="F368" s="17" t="n"/>
      <c r="G368" s="12">
        <f>IF(B368="","",IFERROR(VLOOKUP(B368,Stok!$A$2:$D$60,2,FALSE),"kode?"))</f>
        <v/>
      </c>
      <c r="H368" s="12">
        <f>IF(B368="","",IFERROR(VLOOKUP(B368,Stok!$A$2:$D$60,4,FALSE),""))</f>
        <v/>
      </c>
    </row>
    <row r="369">
      <c r="A369" s="18" t="n"/>
      <c r="B369" s="17" t="n"/>
      <c r="C369" s="26" t="n"/>
      <c r="D369" s="26" t="n"/>
      <c r="E369" s="17" t="n"/>
      <c r="F369" s="17" t="n"/>
      <c r="G369" s="12">
        <f>IF(B369="","",IFERROR(VLOOKUP(B369,Stok!$A$2:$D$60,2,FALSE),"kode?"))</f>
        <v/>
      </c>
      <c r="H369" s="12">
        <f>IF(B369="","",IFERROR(VLOOKUP(B369,Stok!$A$2:$D$60,4,FALSE),""))</f>
        <v/>
      </c>
    </row>
    <row r="370">
      <c r="A370" s="18" t="n"/>
      <c r="B370" s="17" t="n"/>
      <c r="C370" s="26" t="n"/>
      <c r="D370" s="26" t="n"/>
      <c r="E370" s="17" t="n"/>
      <c r="F370" s="17" t="n"/>
      <c r="G370" s="12">
        <f>IF(B370="","",IFERROR(VLOOKUP(B370,Stok!$A$2:$D$60,2,FALSE),"kode?"))</f>
        <v/>
      </c>
      <c r="H370" s="12">
        <f>IF(B370="","",IFERROR(VLOOKUP(B370,Stok!$A$2:$D$60,4,FALSE),""))</f>
        <v/>
      </c>
    </row>
    <row r="371">
      <c r="A371" s="18" t="n"/>
      <c r="B371" s="17" t="n"/>
      <c r="C371" s="26" t="n"/>
      <c r="D371" s="26" t="n"/>
      <c r="E371" s="17" t="n"/>
      <c r="F371" s="17" t="n"/>
      <c r="G371" s="12">
        <f>IF(B371="","",IFERROR(VLOOKUP(B371,Stok!$A$2:$D$60,2,FALSE),"kode?"))</f>
        <v/>
      </c>
      <c r="H371" s="12">
        <f>IF(B371="","",IFERROR(VLOOKUP(B371,Stok!$A$2:$D$60,4,FALSE),""))</f>
        <v/>
      </c>
    </row>
    <row r="372">
      <c r="A372" s="18" t="n"/>
      <c r="B372" s="17" t="n"/>
      <c r="C372" s="26" t="n"/>
      <c r="D372" s="26" t="n"/>
      <c r="E372" s="17" t="n"/>
      <c r="F372" s="17" t="n"/>
      <c r="G372" s="12">
        <f>IF(B372="","",IFERROR(VLOOKUP(B372,Stok!$A$2:$D$60,2,FALSE),"kode?"))</f>
        <v/>
      </c>
      <c r="H372" s="12">
        <f>IF(B372="","",IFERROR(VLOOKUP(B372,Stok!$A$2:$D$60,4,FALSE),""))</f>
        <v/>
      </c>
    </row>
    <row r="373">
      <c r="A373" s="18" t="n"/>
      <c r="B373" s="17" t="n"/>
      <c r="C373" s="26" t="n"/>
      <c r="D373" s="26" t="n"/>
      <c r="E373" s="17" t="n"/>
      <c r="F373" s="17" t="n"/>
      <c r="G373" s="12">
        <f>IF(B373="","",IFERROR(VLOOKUP(B373,Stok!$A$2:$D$60,2,FALSE),"kode?"))</f>
        <v/>
      </c>
      <c r="H373" s="12">
        <f>IF(B373="","",IFERROR(VLOOKUP(B373,Stok!$A$2:$D$60,4,FALSE),""))</f>
        <v/>
      </c>
    </row>
    <row r="374">
      <c r="A374" s="18" t="n"/>
      <c r="B374" s="17" t="n"/>
      <c r="C374" s="26" t="n"/>
      <c r="D374" s="26" t="n"/>
      <c r="E374" s="17" t="n"/>
      <c r="F374" s="17" t="n"/>
      <c r="G374" s="12">
        <f>IF(B374="","",IFERROR(VLOOKUP(B374,Stok!$A$2:$D$60,2,FALSE),"kode?"))</f>
        <v/>
      </c>
      <c r="H374" s="12">
        <f>IF(B374="","",IFERROR(VLOOKUP(B374,Stok!$A$2:$D$60,4,FALSE),""))</f>
        <v/>
      </c>
    </row>
    <row r="375">
      <c r="A375" s="18" t="n"/>
      <c r="B375" s="17" t="n"/>
      <c r="C375" s="26" t="n"/>
      <c r="D375" s="26" t="n"/>
      <c r="E375" s="17" t="n"/>
      <c r="F375" s="17" t="n"/>
      <c r="G375" s="12">
        <f>IF(B375="","",IFERROR(VLOOKUP(B375,Stok!$A$2:$D$60,2,FALSE),"kode?"))</f>
        <v/>
      </c>
      <c r="H375" s="12">
        <f>IF(B375="","",IFERROR(VLOOKUP(B375,Stok!$A$2:$D$60,4,FALSE),""))</f>
        <v/>
      </c>
    </row>
    <row r="376">
      <c r="A376" s="18" t="n"/>
      <c r="B376" s="17" t="n"/>
      <c r="C376" s="26" t="n"/>
      <c r="D376" s="26" t="n"/>
      <c r="E376" s="17" t="n"/>
      <c r="F376" s="17" t="n"/>
      <c r="G376" s="12">
        <f>IF(B376="","",IFERROR(VLOOKUP(B376,Stok!$A$2:$D$60,2,FALSE),"kode?"))</f>
        <v/>
      </c>
      <c r="H376" s="12">
        <f>IF(B376="","",IFERROR(VLOOKUP(B376,Stok!$A$2:$D$60,4,FALSE),""))</f>
        <v/>
      </c>
    </row>
    <row r="377">
      <c r="A377" s="18" t="n"/>
      <c r="B377" s="17" t="n"/>
      <c r="C377" s="26" t="n"/>
      <c r="D377" s="26" t="n"/>
      <c r="E377" s="17" t="n"/>
      <c r="F377" s="17" t="n"/>
      <c r="G377" s="12">
        <f>IF(B377="","",IFERROR(VLOOKUP(B377,Stok!$A$2:$D$60,2,FALSE),"kode?"))</f>
        <v/>
      </c>
      <c r="H377" s="12">
        <f>IF(B377="","",IFERROR(VLOOKUP(B377,Stok!$A$2:$D$60,4,FALSE),""))</f>
        <v/>
      </c>
    </row>
    <row r="378">
      <c r="A378" s="18" t="n"/>
      <c r="B378" s="17" t="n"/>
      <c r="C378" s="26" t="n"/>
      <c r="D378" s="26" t="n"/>
      <c r="E378" s="17" t="n"/>
      <c r="F378" s="17" t="n"/>
      <c r="G378" s="12">
        <f>IF(B378="","",IFERROR(VLOOKUP(B378,Stok!$A$2:$D$60,2,FALSE),"kode?"))</f>
        <v/>
      </c>
      <c r="H378" s="12">
        <f>IF(B378="","",IFERROR(VLOOKUP(B378,Stok!$A$2:$D$60,4,FALSE),""))</f>
        <v/>
      </c>
    </row>
    <row r="379">
      <c r="A379" s="18" t="n"/>
      <c r="B379" s="17" t="n"/>
      <c r="C379" s="26" t="n"/>
      <c r="D379" s="26" t="n"/>
      <c r="E379" s="17" t="n"/>
      <c r="F379" s="17" t="n"/>
      <c r="G379" s="12">
        <f>IF(B379="","",IFERROR(VLOOKUP(B379,Stok!$A$2:$D$60,2,FALSE),"kode?"))</f>
        <v/>
      </c>
      <c r="H379" s="12">
        <f>IF(B379="","",IFERROR(VLOOKUP(B379,Stok!$A$2:$D$60,4,FALSE),""))</f>
        <v/>
      </c>
    </row>
    <row r="380">
      <c r="A380" s="18" t="n"/>
      <c r="B380" s="17" t="n"/>
      <c r="C380" s="26" t="n"/>
      <c r="D380" s="26" t="n"/>
      <c r="E380" s="17" t="n"/>
      <c r="F380" s="17" t="n"/>
      <c r="G380" s="12">
        <f>IF(B380="","",IFERROR(VLOOKUP(B380,Stok!$A$2:$D$60,2,FALSE),"kode?"))</f>
        <v/>
      </c>
      <c r="H380" s="12">
        <f>IF(B380="","",IFERROR(VLOOKUP(B380,Stok!$A$2:$D$60,4,FALSE),""))</f>
        <v/>
      </c>
    </row>
    <row r="381">
      <c r="A381" s="18" t="n"/>
      <c r="B381" s="17" t="n"/>
      <c r="C381" s="26" t="n"/>
      <c r="D381" s="26" t="n"/>
      <c r="E381" s="17" t="n"/>
      <c r="F381" s="17" t="n"/>
      <c r="G381" s="12">
        <f>IF(B381="","",IFERROR(VLOOKUP(B381,Stok!$A$2:$D$60,2,FALSE),"kode?"))</f>
        <v/>
      </c>
      <c r="H381" s="12">
        <f>IF(B381="","",IFERROR(VLOOKUP(B381,Stok!$A$2:$D$60,4,FALSE),""))</f>
        <v/>
      </c>
    </row>
    <row r="382">
      <c r="A382" s="18" t="n"/>
      <c r="B382" s="17" t="n"/>
      <c r="C382" s="26" t="n"/>
      <c r="D382" s="26" t="n"/>
      <c r="E382" s="17" t="n"/>
      <c r="F382" s="17" t="n"/>
      <c r="G382" s="12">
        <f>IF(B382="","",IFERROR(VLOOKUP(B382,Stok!$A$2:$D$60,2,FALSE),"kode?"))</f>
        <v/>
      </c>
      <c r="H382" s="12">
        <f>IF(B382="","",IFERROR(VLOOKUP(B382,Stok!$A$2:$D$60,4,FALSE),""))</f>
        <v/>
      </c>
    </row>
    <row r="383">
      <c r="A383" s="18" t="n"/>
      <c r="B383" s="17" t="n"/>
      <c r="C383" s="26" t="n"/>
      <c r="D383" s="26" t="n"/>
      <c r="E383" s="17" t="n"/>
      <c r="F383" s="17" t="n"/>
      <c r="G383" s="12">
        <f>IF(B383="","",IFERROR(VLOOKUP(B383,Stok!$A$2:$D$60,2,FALSE),"kode?"))</f>
        <v/>
      </c>
      <c r="H383" s="12">
        <f>IF(B383="","",IFERROR(VLOOKUP(B383,Stok!$A$2:$D$60,4,FALSE),""))</f>
        <v/>
      </c>
    </row>
    <row r="384">
      <c r="A384" s="18" t="n"/>
      <c r="B384" s="17" t="n"/>
      <c r="C384" s="26" t="n"/>
      <c r="D384" s="26" t="n"/>
      <c r="E384" s="17" t="n"/>
      <c r="F384" s="17" t="n"/>
      <c r="G384" s="12">
        <f>IF(B384="","",IFERROR(VLOOKUP(B384,Stok!$A$2:$D$60,2,FALSE),"kode?"))</f>
        <v/>
      </c>
      <c r="H384" s="12">
        <f>IF(B384="","",IFERROR(VLOOKUP(B384,Stok!$A$2:$D$60,4,FALSE),""))</f>
        <v/>
      </c>
    </row>
    <row r="385">
      <c r="A385" s="18" t="n"/>
      <c r="B385" s="17" t="n"/>
      <c r="C385" s="26" t="n"/>
      <c r="D385" s="26" t="n"/>
      <c r="E385" s="17" t="n"/>
      <c r="F385" s="17" t="n"/>
      <c r="G385" s="12">
        <f>IF(B385="","",IFERROR(VLOOKUP(B385,Stok!$A$2:$D$60,2,FALSE),"kode?"))</f>
        <v/>
      </c>
      <c r="H385" s="12">
        <f>IF(B385="","",IFERROR(VLOOKUP(B385,Stok!$A$2:$D$60,4,FALSE),""))</f>
        <v/>
      </c>
    </row>
    <row r="386">
      <c r="A386" s="18" t="n"/>
      <c r="B386" s="17" t="n"/>
      <c r="C386" s="26" t="n"/>
      <c r="D386" s="26" t="n"/>
      <c r="E386" s="17" t="n"/>
      <c r="F386" s="17" t="n"/>
      <c r="G386" s="12">
        <f>IF(B386="","",IFERROR(VLOOKUP(B386,Stok!$A$2:$D$60,2,FALSE),"kode?"))</f>
        <v/>
      </c>
      <c r="H386" s="12">
        <f>IF(B386="","",IFERROR(VLOOKUP(B386,Stok!$A$2:$D$60,4,FALSE),""))</f>
        <v/>
      </c>
    </row>
    <row r="387">
      <c r="A387" s="18" t="n"/>
      <c r="B387" s="17" t="n"/>
      <c r="C387" s="26" t="n"/>
      <c r="D387" s="26" t="n"/>
      <c r="E387" s="17" t="n"/>
      <c r="F387" s="17" t="n"/>
      <c r="G387" s="12">
        <f>IF(B387="","",IFERROR(VLOOKUP(B387,Stok!$A$2:$D$60,2,FALSE),"kode?"))</f>
        <v/>
      </c>
      <c r="H387" s="12">
        <f>IF(B387="","",IFERROR(VLOOKUP(B387,Stok!$A$2:$D$60,4,FALSE),""))</f>
        <v/>
      </c>
    </row>
    <row r="388">
      <c r="A388" s="18" t="n"/>
      <c r="B388" s="17" t="n"/>
      <c r="C388" s="26" t="n"/>
      <c r="D388" s="26" t="n"/>
      <c r="E388" s="17" t="n"/>
      <c r="F388" s="17" t="n"/>
      <c r="G388" s="12">
        <f>IF(B388="","",IFERROR(VLOOKUP(B388,Stok!$A$2:$D$60,2,FALSE),"kode?"))</f>
        <v/>
      </c>
      <c r="H388" s="12">
        <f>IF(B388="","",IFERROR(VLOOKUP(B388,Stok!$A$2:$D$60,4,FALSE),""))</f>
        <v/>
      </c>
    </row>
    <row r="389">
      <c r="A389" s="18" t="n"/>
      <c r="B389" s="17" t="n"/>
      <c r="C389" s="26" t="n"/>
      <c r="D389" s="26" t="n"/>
      <c r="E389" s="17" t="n"/>
      <c r="F389" s="17" t="n"/>
      <c r="G389" s="12">
        <f>IF(B389="","",IFERROR(VLOOKUP(B389,Stok!$A$2:$D$60,2,FALSE),"kode?"))</f>
        <v/>
      </c>
      <c r="H389" s="12">
        <f>IF(B389="","",IFERROR(VLOOKUP(B389,Stok!$A$2:$D$60,4,FALSE),""))</f>
        <v/>
      </c>
    </row>
    <row r="390">
      <c r="A390" s="18" t="n"/>
      <c r="B390" s="17" t="n"/>
      <c r="C390" s="26" t="n"/>
      <c r="D390" s="26" t="n"/>
      <c r="E390" s="17" t="n"/>
      <c r="F390" s="17" t="n"/>
      <c r="G390" s="12">
        <f>IF(B390="","",IFERROR(VLOOKUP(B390,Stok!$A$2:$D$60,2,FALSE),"kode?"))</f>
        <v/>
      </c>
      <c r="H390" s="12">
        <f>IF(B390="","",IFERROR(VLOOKUP(B390,Stok!$A$2:$D$60,4,FALSE),""))</f>
        <v/>
      </c>
    </row>
    <row r="391">
      <c r="A391" s="18" t="n"/>
      <c r="B391" s="17" t="n"/>
      <c r="C391" s="26" t="n"/>
      <c r="D391" s="26" t="n"/>
      <c r="E391" s="17" t="n"/>
      <c r="F391" s="17" t="n"/>
      <c r="G391" s="12">
        <f>IF(B391="","",IFERROR(VLOOKUP(B391,Stok!$A$2:$D$60,2,FALSE),"kode?"))</f>
        <v/>
      </c>
      <c r="H391" s="12">
        <f>IF(B391="","",IFERROR(VLOOKUP(B391,Stok!$A$2:$D$60,4,FALSE),""))</f>
        <v/>
      </c>
    </row>
    <row r="392">
      <c r="A392" s="18" t="n"/>
      <c r="B392" s="17" t="n"/>
      <c r="C392" s="26" t="n"/>
      <c r="D392" s="26" t="n"/>
      <c r="E392" s="17" t="n"/>
      <c r="F392" s="17" t="n"/>
      <c r="G392" s="12">
        <f>IF(B392="","",IFERROR(VLOOKUP(B392,Stok!$A$2:$D$60,2,FALSE),"kode?"))</f>
        <v/>
      </c>
      <c r="H392" s="12">
        <f>IF(B392="","",IFERROR(VLOOKUP(B392,Stok!$A$2:$D$60,4,FALSE),""))</f>
        <v/>
      </c>
    </row>
    <row r="393">
      <c r="A393" s="18" t="n"/>
      <c r="B393" s="17" t="n"/>
      <c r="C393" s="26" t="n"/>
      <c r="D393" s="26" t="n"/>
      <c r="E393" s="17" t="n"/>
      <c r="F393" s="17" t="n"/>
      <c r="G393" s="12">
        <f>IF(B393="","",IFERROR(VLOOKUP(B393,Stok!$A$2:$D$60,2,FALSE),"kode?"))</f>
        <v/>
      </c>
      <c r="H393" s="12">
        <f>IF(B393="","",IFERROR(VLOOKUP(B393,Stok!$A$2:$D$60,4,FALSE),""))</f>
        <v/>
      </c>
    </row>
    <row r="394">
      <c r="A394" s="18" t="n"/>
      <c r="B394" s="17" t="n"/>
      <c r="C394" s="26" t="n"/>
      <c r="D394" s="26" t="n"/>
      <c r="E394" s="17" t="n"/>
      <c r="F394" s="17" t="n"/>
      <c r="G394" s="12">
        <f>IF(B394="","",IFERROR(VLOOKUP(B394,Stok!$A$2:$D$60,2,FALSE),"kode?"))</f>
        <v/>
      </c>
      <c r="H394" s="12">
        <f>IF(B394="","",IFERROR(VLOOKUP(B394,Stok!$A$2:$D$60,4,FALSE),""))</f>
        <v/>
      </c>
    </row>
    <row r="395">
      <c r="A395" s="18" t="n"/>
      <c r="B395" s="17" t="n"/>
      <c r="C395" s="26" t="n"/>
      <c r="D395" s="26" t="n"/>
      <c r="E395" s="17" t="n"/>
      <c r="F395" s="17" t="n"/>
      <c r="G395" s="12">
        <f>IF(B395="","",IFERROR(VLOOKUP(B395,Stok!$A$2:$D$60,2,FALSE),"kode?"))</f>
        <v/>
      </c>
      <c r="H395" s="12">
        <f>IF(B395="","",IFERROR(VLOOKUP(B395,Stok!$A$2:$D$60,4,FALSE),""))</f>
        <v/>
      </c>
    </row>
    <row r="396">
      <c r="A396" s="18" t="n"/>
      <c r="B396" s="17" t="n"/>
      <c r="C396" s="26" t="n"/>
      <c r="D396" s="26" t="n"/>
      <c r="E396" s="17" t="n"/>
      <c r="F396" s="17" t="n"/>
      <c r="G396" s="12">
        <f>IF(B396="","",IFERROR(VLOOKUP(B396,Stok!$A$2:$D$60,2,FALSE),"kode?"))</f>
        <v/>
      </c>
      <c r="H396" s="12">
        <f>IF(B396="","",IFERROR(VLOOKUP(B396,Stok!$A$2:$D$60,4,FALSE),""))</f>
        <v/>
      </c>
    </row>
    <row r="397">
      <c r="A397" s="18" t="n"/>
      <c r="B397" s="17" t="n"/>
      <c r="C397" s="26" t="n"/>
      <c r="D397" s="26" t="n"/>
      <c r="E397" s="17" t="n"/>
      <c r="F397" s="17" t="n"/>
      <c r="G397" s="12">
        <f>IF(B397="","",IFERROR(VLOOKUP(B397,Stok!$A$2:$D$60,2,FALSE),"kode?"))</f>
        <v/>
      </c>
      <c r="H397" s="12">
        <f>IF(B397="","",IFERROR(VLOOKUP(B397,Stok!$A$2:$D$60,4,FALSE),""))</f>
        <v/>
      </c>
    </row>
    <row r="398">
      <c r="A398" s="18" t="n"/>
      <c r="B398" s="17" t="n"/>
      <c r="C398" s="26" t="n"/>
      <c r="D398" s="26" t="n"/>
      <c r="E398" s="17" t="n"/>
      <c r="F398" s="17" t="n"/>
      <c r="G398" s="12">
        <f>IF(B398="","",IFERROR(VLOOKUP(B398,Stok!$A$2:$D$60,2,FALSE),"kode?"))</f>
        <v/>
      </c>
      <c r="H398" s="12">
        <f>IF(B398="","",IFERROR(VLOOKUP(B398,Stok!$A$2:$D$60,4,FALSE),""))</f>
        <v/>
      </c>
    </row>
    <row r="399">
      <c r="A399" s="18" t="n"/>
      <c r="B399" s="17" t="n"/>
      <c r="C399" s="26" t="n"/>
      <c r="D399" s="26" t="n"/>
      <c r="E399" s="17" t="n"/>
      <c r="F399" s="17" t="n"/>
      <c r="G399" s="12">
        <f>IF(B399="","",IFERROR(VLOOKUP(B399,Stok!$A$2:$D$60,2,FALSE),"kode?"))</f>
        <v/>
      </c>
      <c r="H399" s="12">
        <f>IF(B399="","",IFERROR(VLOOKUP(B399,Stok!$A$2:$D$60,4,FALSE),""))</f>
        <v/>
      </c>
    </row>
    <row r="400">
      <c r="A400" s="18" t="n"/>
      <c r="B400" s="17" t="n"/>
      <c r="C400" s="26" t="n"/>
      <c r="D400" s="26" t="n"/>
      <c r="E400" s="17" t="n"/>
      <c r="F400" s="17" t="n"/>
      <c r="G400" s="12">
        <f>IF(B400="","",IFERROR(VLOOKUP(B400,Stok!$A$2:$D$60,2,FALSE),"kode?"))</f>
        <v/>
      </c>
      <c r="H400" s="12">
        <f>IF(B400="","",IFERROR(VLOOKUP(B400,Stok!$A$2:$D$60,4,FALSE),""))</f>
        <v/>
      </c>
    </row>
    <row r="401">
      <c r="A401" s="18" t="n"/>
      <c r="B401" s="17" t="n"/>
      <c r="C401" s="26" t="n"/>
      <c r="D401" s="26" t="n"/>
      <c r="E401" s="17" t="n"/>
      <c r="F401" s="17" t="n"/>
      <c r="G401" s="12">
        <f>IF(B401="","",IFERROR(VLOOKUP(B401,Stok!$A$2:$D$60,2,FALSE),"kode?"))</f>
        <v/>
      </c>
      <c r="H401" s="12">
        <f>IF(B401="","",IFERROR(VLOOKUP(B401,Stok!$A$2:$D$60,4,FALSE),""))</f>
        <v/>
      </c>
    </row>
    <row r="402">
      <c r="A402" s="18" t="n"/>
      <c r="B402" s="17" t="n"/>
      <c r="C402" s="26" t="n"/>
      <c r="D402" s="26" t="n"/>
      <c r="E402" s="17" t="n"/>
      <c r="F402" s="17" t="n"/>
      <c r="G402" s="12">
        <f>IF(B402="","",IFERROR(VLOOKUP(B402,Stok!$A$2:$D$60,2,FALSE),"kode?"))</f>
        <v/>
      </c>
      <c r="H402" s="12">
        <f>IF(B402="","",IFERROR(VLOOKUP(B402,Stok!$A$2:$D$60,4,FALSE),""))</f>
        <v/>
      </c>
    </row>
    <row r="403">
      <c r="A403" s="18" t="n"/>
      <c r="B403" s="17" t="n"/>
      <c r="C403" s="26" t="n"/>
      <c r="D403" s="26" t="n"/>
      <c r="E403" s="17" t="n"/>
      <c r="F403" s="17" t="n"/>
      <c r="G403" s="12">
        <f>IF(B403="","",IFERROR(VLOOKUP(B403,Stok!$A$2:$D$60,2,FALSE),"kode?"))</f>
        <v/>
      </c>
      <c r="H403" s="12">
        <f>IF(B403="","",IFERROR(VLOOKUP(B403,Stok!$A$2:$D$60,4,FALSE),""))</f>
        <v/>
      </c>
    </row>
    <row r="404">
      <c r="A404" s="18" t="n"/>
      <c r="B404" s="17" t="n"/>
      <c r="C404" s="26" t="n"/>
      <c r="D404" s="26" t="n"/>
      <c r="E404" s="17" t="n"/>
      <c r="F404" s="17" t="n"/>
      <c r="G404" s="12">
        <f>IF(B404="","",IFERROR(VLOOKUP(B404,Stok!$A$2:$D$60,2,FALSE),"kode?"))</f>
        <v/>
      </c>
      <c r="H404" s="12">
        <f>IF(B404="","",IFERROR(VLOOKUP(B404,Stok!$A$2:$D$60,4,FALSE),""))</f>
        <v/>
      </c>
    </row>
    <row r="405">
      <c r="A405" s="18" t="n"/>
      <c r="B405" s="17" t="n"/>
      <c r="C405" s="26" t="n"/>
      <c r="D405" s="26" t="n"/>
      <c r="E405" s="17" t="n"/>
      <c r="F405" s="17" t="n"/>
      <c r="G405" s="12">
        <f>IF(B405="","",IFERROR(VLOOKUP(B405,Stok!$A$2:$D$60,2,FALSE),"kode?"))</f>
        <v/>
      </c>
      <c r="H405" s="12">
        <f>IF(B405="","",IFERROR(VLOOKUP(B405,Stok!$A$2:$D$60,4,FALSE),""))</f>
        <v/>
      </c>
    </row>
    <row r="406">
      <c r="A406" s="18" t="n"/>
      <c r="B406" s="17" t="n"/>
      <c r="C406" s="26" t="n"/>
      <c r="D406" s="26" t="n"/>
      <c r="E406" s="17" t="n"/>
      <c r="F406" s="17" t="n"/>
      <c r="G406" s="12">
        <f>IF(B406="","",IFERROR(VLOOKUP(B406,Stok!$A$2:$D$60,2,FALSE),"kode?"))</f>
        <v/>
      </c>
      <c r="H406" s="12">
        <f>IF(B406="","",IFERROR(VLOOKUP(B406,Stok!$A$2:$D$60,4,FALSE),""))</f>
        <v/>
      </c>
    </row>
    <row r="407">
      <c r="A407" s="18" t="n"/>
      <c r="B407" s="17" t="n"/>
      <c r="C407" s="26" t="n"/>
      <c r="D407" s="26" t="n"/>
      <c r="E407" s="17" t="n"/>
      <c r="F407" s="17" t="n"/>
      <c r="G407" s="12">
        <f>IF(B407="","",IFERROR(VLOOKUP(B407,Stok!$A$2:$D$60,2,FALSE),"kode?"))</f>
        <v/>
      </c>
      <c r="H407" s="12">
        <f>IF(B407="","",IFERROR(VLOOKUP(B407,Stok!$A$2:$D$60,4,FALSE),""))</f>
        <v/>
      </c>
    </row>
    <row r="408">
      <c r="A408" s="18" t="n"/>
      <c r="B408" s="17" t="n"/>
      <c r="C408" s="26" t="n"/>
      <c r="D408" s="26" t="n"/>
      <c r="E408" s="17" t="n"/>
      <c r="F408" s="17" t="n"/>
      <c r="G408" s="12">
        <f>IF(B408="","",IFERROR(VLOOKUP(B408,Stok!$A$2:$D$60,2,FALSE),"kode?"))</f>
        <v/>
      </c>
      <c r="H408" s="12">
        <f>IF(B408="","",IFERROR(VLOOKUP(B408,Stok!$A$2:$D$60,4,FALSE),""))</f>
        <v/>
      </c>
    </row>
    <row r="409">
      <c r="A409" s="18" t="n"/>
      <c r="B409" s="17" t="n"/>
      <c r="C409" s="26" t="n"/>
      <c r="D409" s="26" t="n"/>
      <c r="E409" s="17" t="n"/>
      <c r="F409" s="17" t="n"/>
      <c r="G409" s="12">
        <f>IF(B409="","",IFERROR(VLOOKUP(B409,Stok!$A$2:$D$60,2,FALSE),"kode?"))</f>
        <v/>
      </c>
      <c r="H409" s="12">
        <f>IF(B409="","",IFERROR(VLOOKUP(B409,Stok!$A$2:$D$60,4,FALSE),""))</f>
        <v/>
      </c>
    </row>
    <row r="410">
      <c r="A410" s="18" t="n"/>
      <c r="B410" s="17" t="n"/>
      <c r="C410" s="26" t="n"/>
      <c r="D410" s="26" t="n"/>
      <c r="E410" s="17" t="n"/>
      <c r="F410" s="17" t="n"/>
      <c r="G410" s="12">
        <f>IF(B410="","",IFERROR(VLOOKUP(B410,Stok!$A$2:$D$60,2,FALSE),"kode?"))</f>
        <v/>
      </c>
      <c r="H410" s="12">
        <f>IF(B410="","",IFERROR(VLOOKUP(B410,Stok!$A$2:$D$60,4,FALSE),""))</f>
        <v/>
      </c>
    </row>
    <row r="411">
      <c r="A411" s="18" t="n"/>
      <c r="B411" s="17" t="n"/>
      <c r="C411" s="26" t="n"/>
      <c r="D411" s="26" t="n"/>
      <c r="E411" s="17" t="n"/>
      <c r="F411" s="17" t="n"/>
      <c r="G411" s="12">
        <f>IF(B411="","",IFERROR(VLOOKUP(B411,Stok!$A$2:$D$60,2,FALSE),"kode?"))</f>
        <v/>
      </c>
      <c r="H411" s="12">
        <f>IF(B411="","",IFERROR(VLOOKUP(B411,Stok!$A$2:$D$60,4,FALSE),""))</f>
        <v/>
      </c>
    </row>
    <row r="412">
      <c r="A412" s="18" t="n"/>
      <c r="B412" s="17" t="n"/>
      <c r="C412" s="26" t="n"/>
      <c r="D412" s="26" t="n"/>
      <c r="E412" s="17" t="n"/>
      <c r="F412" s="17" t="n"/>
      <c r="G412" s="12">
        <f>IF(B412="","",IFERROR(VLOOKUP(B412,Stok!$A$2:$D$60,2,FALSE),"kode?"))</f>
        <v/>
      </c>
      <c r="H412" s="12">
        <f>IF(B412="","",IFERROR(VLOOKUP(B412,Stok!$A$2:$D$60,4,FALSE),""))</f>
        <v/>
      </c>
    </row>
    <row r="413">
      <c r="A413" s="18" t="n"/>
      <c r="B413" s="17" t="n"/>
      <c r="C413" s="26" t="n"/>
      <c r="D413" s="26" t="n"/>
      <c r="E413" s="17" t="n"/>
      <c r="F413" s="17" t="n"/>
      <c r="G413" s="12">
        <f>IF(B413="","",IFERROR(VLOOKUP(B413,Stok!$A$2:$D$60,2,FALSE),"kode?"))</f>
        <v/>
      </c>
      <c r="H413" s="12">
        <f>IF(B413="","",IFERROR(VLOOKUP(B413,Stok!$A$2:$D$60,4,FALSE),""))</f>
        <v/>
      </c>
    </row>
    <row r="414">
      <c r="A414" s="18" t="n"/>
      <c r="B414" s="17" t="n"/>
      <c r="C414" s="26" t="n"/>
      <c r="D414" s="26" t="n"/>
      <c r="E414" s="17" t="n"/>
      <c r="F414" s="17" t="n"/>
      <c r="G414" s="12">
        <f>IF(B414="","",IFERROR(VLOOKUP(B414,Stok!$A$2:$D$60,2,FALSE),"kode?"))</f>
        <v/>
      </c>
      <c r="H414" s="12">
        <f>IF(B414="","",IFERROR(VLOOKUP(B414,Stok!$A$2:$D$60,4,FALSE),""))</f>
        <v/>
      </c>
    </row>
    <row r="415">
      <c r="A415" s="18" t="n"/>
      <c r="B415" s="17" t="n"/>
      <c r="C415" s="26" t="n"/>
      <c r="D415" s="26" t="n"/>
      <c r="E415" s="17" t="n"/>
      <c r="F415" s="17" t="n"/>
      <c r="G415" s="12">
        <f>IF(B415="","",IFERROR(VLOOKUP(B415,Stok!$A$2:$D$60,2,FALSE),"kode?"))</f>
        <v/>
      </c>
      <c r="H415" s="12">
        <f>IF(B415="","",IFERROR(VLOOKUP(B415,Stok!$A$2:$D$60,4,FALSE),""))</f>
        <v/>
      </c>
    </row>
    <row r="416">
      <c r="A416" s="18" t="n"/>
      <c r="B416" s="17" t="n"/>
      <c r="C416" s="26" t="n"/>
      <c r="D416" s="26" t="n"/>
      <c r="E416" s="17" t="n"/>
      <c r="F416" s="17" t="n"/>
      <c r="G416" s="12">
        <f>IF(B416="","",IFERROR(VLOOKUP(B416,Stok!$A$2:$D$60,2,FALSE),"kode?"))</f>
        <v/>
      </c>
      <c r="H416" s="12">
        <f>IF(B416="","",IFERROR(VLOOKUP(B416,Stok!$A$2:$D$60,4,FALSE),""))</f>
        <v/>
      </c>
    </row>
    <row r="417">
      <c r="A417" s="18" t="n"/>
      <c r="B417" s="17" t="n"/>
      <c r="C417" s="26" t="n"/>
      <c r="D417" s="26" t="n"/>
      <c r="E417" s="17" t="n"/>
      <c r="F417" s="17" t="n"/>
      <c r="G417" s="12">
        <f>IF(B417="","",IFERROR(VLOOKUP(B417,Stok!$A$2:$D$60,2,FALSE),"kode?"))</f>
        <v/>
      </c>
      <c r="H417" s="12">
        <f>IF(B417="","",IFERROR(VLOOKUP(B417,Stok!$A$2:$D$60,4,FALSE),""))</f>
        <v/>
      </c>
    </row>
    <row r="418">
      <c r="A418" s="18" t="n"/>
      <c r="B418" s="17" t="n"/>
      <c r="C418" s="26" t="n"/>
      <c r="D418" s="26" t="n"/>
      <c r="E418" s="17" t="n"/>
      <c r="F418" s="17" t="n"/>
      <c r="G418" s="12">
        <f>IF(B418="","",IFERROR(VLOOKUP(B418,Stok!$A$2:$D$60,2,FALSE),"kode?"))</f>
        <v/>
      </c>
      <c r="H418" s="12">
        <f>IF(B418="","",IFERROR(VLOOKUP(B418,Stok!$A$2:$D$60,4,FALSE),""))</f>
        <v/>
      </c>
    </row>
    <row r="419">
      <c r="A419" s="18" t="n"/>
      <c r="B419" s="17" t="n"/>
      <c r="C419" s="26" t="n"/>
      <c r="D419" s="26" t="n"/>
      <c r="E419" s="17" t="n"/>
      <c r="F419" s="17" t="n"/>
      <c r="G419" s="12">
        <f>IF(B419="","",IFERROR(VLOOKUP(B419,Stok!$A$2:$D$60,2,FALSE),"kode?"))</f>
        <v/>
      </c>
      <c r="H419" s="12">
        <f>IF(B419="","",IFERROR(VLOOKUP(B419,Stok!$A$2:$D$60,4,FALSE),""))</f>
        <v/>
      </c>
    </row>
    <row r="420">
      <c r="A420" s="18" t="n"/>
      <c r="B420" s="17" t="n"/>
      <c r="C420" s="26" t="n"/>
      <c r="D420" s="26" t="n"/>
      <c r="E420" s="17" t="n"/>
      <c r="F420" s="17" t="n"/>
      <c r="G420" s="12">
        <f>IF(B420="","",IFERROR(VLOOKUP(B420,Stok!$A$2:$D$60,2,FALSE),"kode?"))</f>
        <v/>
      </c>
      <c r="H420" s="12">
        <f>IF(B420="","",IFERROR(VLOOKUP(B420,Stok!$A$2:$D$60,4,FALSE),""))</f>
        <v/>
      </c>
    </row>
    <row r="421">
      <c r="A421" s="18" t="n"/>
      <c r="B421" s="17" t="n"/>
      <c r="C421" s="26" t="n"/>
      <c r="D421" s="26" t="n"/>
      <c r="E421" s="17" t="n"/>
      <c r="F421" s="17" t="n"/>
      <c r="G421" s="12">
        <f>IF(B421="","",IFERROR(VLOOKUP(B421,Stok!$A$2:$D$60,2,FALSE),"kode?"))</f>
        <v/>
      </c>
      <c r="H421" s="12">
        <f>IF(B421="","",IFERROR(VLOOKUP(B421,Stok!$A$2:$D$60,4,FALSE),""))</f>
        <v/>
      </c>
    </row>
    <row r="422">
      <c r="A422" s="18" t="n"/>
      <c r="B422" s="17" t="n"/>
      <c r="C422" s="26" t="n"/>
      <c r="D422" s="26" t="n"/>
      <c r="E422" s="17" t="n"/>
      <c r="F422" s="17" t="n"/>
      <c r="G422" s="12">
        <f>IF(B422="","",IFERROR(VLOOKUP(B422,Stok!$A$2:$D$60,2,FALSE),"kode?"))</f>
        <v/>
      </c>
      <c r="H422" s="12">
        <f>IF(B422="","",IFERROR(VLOOKUP(B422,Stok!$A$2:$D$60,4,FALSE),""))</f>
        <v/>
      </c>
    </row>
    <row r="423">
      <c r="A423" s="18" t="n"/>
      <c r="B423" s="17" t="n"/>
      <c r="C423" s="26" t="n"/>
      <c r="D423" s="26" t="n"/>
      <c r="E423" s="17" t="n"/>
      <c r="F423" s="17" t="n"/>
      <c r="G423" s="12">
        <f>IF(B423="","",IFERROR(VLOOKUP(B423,Stok!$A$2:$D$60,2,FALSE),"kode?"))</f>
        <v/>
      </c>
      <c r="H423" s="12">
        <f>IF(B423="","",IFERROR(VLOOKUP(B423,Stok!$A$2:$D$60,4,FALSE),""))</f>
        <v/>
      </c>
    </row>
    <row r="424">
      <c r="A424" s="18" t="n"/>
      <c r="B424" s="17" t="n"/>
      <c r="C424" s="26" t="n"/>
      <c r="D424" s="26" t="n"/>
      <c r="E424" s="17" t="n"/>
      <c r="F424" s="17" t="n"/>
      <c r="G424" s="12">
        <f>IF(B424="","",IFERROR(VLOOKUP(B424,Stok!$A$2:$D$60,2,FALSE),"kode?"))</f>
        <v/>
      </c>
      <c r="H424" s="12">
        <f>IF(B424="","",IFERROR(VLOOKUP(B424,Stok!$A$2:$D$60,4,FALSE),""))</f>
        <v/>
      </c>
    </row>
    <row r="425">
      <c r="A425" s="18" t="n"/>
      <c r="B425" s="17" t="n"/>
      <c r="C425" s="26" t="n"/>
      <c r="D425" s="26" t="n"/>
      <c r="E425" s="17" t="n"/>
      <c r="F425" s="17" t="n"/>
      <c r="G425" s="12">
        <f>IF(B425="","",IFERROR(VLOOKUP(B425,Stok!$A$2:$D$60,2,FALSE),"kode?"))</f>
        <v/>
      </c>
      <c r="H425" s="12">
        <f>IF(B425="","",IFERROR(VLOOKUP(B425,Stok!$A$2:$D$60,4,FALSE),""))</f>
        <v/>
      </c>
    </row>
    <row r="426">
      <c r="A426" s="18" t="n"/>
      <c r="B426" s="17" t="n"/>
      <c r="C426" s="26" t="n"/>
      <c r="D426" s="26" t="n"/>
      <c r="E426" s="17" t="n"/>
      <c r="F426" s="17" t="n"/>
      <c r="G426" s="12">
        <f>IF(B426="","",IFERROR(VLOOKUP(B426,Stok!$A$2:$D$60,2,FALSE),"kode?"))</f>
        <v/>
      </c>
      <c r="H426" s="12">
        <f>IF(B426="","",IFERROR(VLOOKUP(B426,Stok!$A$2:$D$60,4,FALSE),""))</f>
        <v/>
      </c>
    </row>
    <row r="427">
      <c r="A427" s="18" t="n"/>
      <c r="B427" s="17" t="n"/>
      <c r="C427" s="26" t="n"/>
      <c r="D427" s="26" t="n"/>
      <c r="E427" s="17" t="n"/>
      <c r="F427" s="17" t="n"/>
      <c r="G427" s="12">
        <f>IF(B427="","",IFERROR(VLOOKUP(B427,Stok!$A$2:$D$60,2,FALSE),"kode?"))</f>
        <v/>
      </c>
      <c r="H427" s="12">
        <f>IF(B427="","",IFERROR(VLOOKUP(B427,Stok!$A$2:$D$60,4,FALSE),""))</f>
        <v/>
      </c>
    </row>
    <row r="428">
      <c r="A428" s="18" t="n"/>
      <c r="B428" s="17" t="n"/>
      <c r="C428" s="26" t="n"/>
      <c r="D428" s="26" t="n"/>
      <c r="E428" s="17" t="n"/>
      <c r="F428" s="17" t="n"/>
      <c r="G428" s="12">
        <f>IF(B428="","",IFERROR(VLOOKUP(B428,Stok!$A$2:$D$60,2,FALSE),"kode?"))</f>
        <v/>
      </c>
      <c r="H428" s="12">
        <f>IF(B428="","",IFERROR(VLOOKUP(B428,Stok!$A$2:$D$60,4,FALSE),""))</f>
        <v/>
      </c>
    </row>
    <row r="429">
      <c r="A429" s="18" t="n"/>
      <c r="B429" s="17" t="n"/>
      <c r="C429" s="26" t="n"/>
      <c r="D429" s="26" t="n"/>
      <c r="E429" s="17" t="n"/>
      <c r="F429" s="17" t="n"/>
      <c r="G429" s="12">
        <f>IF(B429="","",IFERROR(VLOOKUP(B429,Stok!$A$2:$D$60,2,FALSE),"kode?"))</f>
        <v/>
      </c>
      <c r="H429" s="12">
        <f>IF(B429="","",IFERROR(VLOOKUP(B429,Stok!$A$2:$D$60,4,FALSE),""))</f>
        <v/>
      </c>
    </row>
    <row r="430">
      <c r="A430" s="18" t="n"/>
      <c r="B430" s="17" t="n"/>
      <c r="C430" s="26" t="n"/>
      <c r="D430" s="26" t="n"/>
      <c r="E430" s="17" t="n"/>
      <c r="F430" s="17" t="n"/>
      <c r="G430" s="12">
        <f>IF(B430="","",IFERROR(VLOOKUP(B430,Stok!$A$2:$D$60,2,FALSE),"kode?"))</f>
        <v/>
      </c>
      <c r="H430" s="12">
        <f>IF(B430="","",IFERROR(VLOOKUP(B430,Stok!$A$2:$D$60,4,FALSE),""))</f>
        <v/>
      </c>
    </row>
    <row r="431">
      <c r="A431" s="18" t="n"/>
      <c r="B431" s="17" t="n"/>
      <c r="C431" s="26" t="n"/>
      <c r="D431" s="26" t="n"/>
      <c r="E431" s="17" t="n"/>
      <c r="F431" s="17" t="n"/>
      <c r="G431" s="12">
        <f>IF(B431="","",IFERROR(VLOOKUP(B431,Stok!$A$2:$D$60,2,FALSE),"kode?"))</f>
        <v/>
      </c>
      <c r="H431" s="12">
        <f>IF(B431="","",IFERROR(VLOOKUP(B431,Stok!$A$2:$D$60,4,FALSE),""))</f>
        <v/>
      </c>
    </row>
    <row r="432">
      <c r="A432" s="18" t="n"/>
      <c r="B432" s="17" t="n"/>
      <c r="C432" s="26" t="n"/>
      <c r="D432" s="26" t="n"/>
      <c r="E432" s="17" t="n"/>
      <c r="F432" s="17" t="n"/>
      <c r="G432" s="12">
        <f>IF(B432="","",IFERROR(VLOOKUP(B432,Stok!$A$2:$D$60,2,FALSE),"kode?"))</f>
        <v/>
      </c>
      <c r="H432" s="12">
        <f>IF(B432="","",IFERROR(VLOOKUP(B432,Stok!$A$2:$D$60,4,FALSE),""))</f>
        <v/>
      </c>
    </row>
    <row r="433">
      <c r="A433" s="18" t="n"/>
      <c r="B433" s="17" t="n"/>
      <c r="C433" s="26" t="n"/>
      <c r="D433" s="26" t="n"/>
      <c r="E433" s="17" t="n"/>
      <c r="F433" s="17" t="n"/>
      <c r="G433" s="12">
        <f>IF(B433="","",IFERROR(VLOOKUP(B433,Stok!$A$2:$D$60,2,FALSE),"kode?"))</f>
        <v/>
      </c>
      <c r="H433" s="12">
        <f>IF(B433="","",IFERROR(VLOOKUP(B433,Stok!$A$2:$D$60,4,FALSE),""))</f>
        <v/>
      </c>
    </row>
    <row r="434">
      <c r="A434" s="18" t="n"/>
      <c r="B434" s="17" t="n"/>
      <c r="C434" s="26" t="n"/>
      <c r="D434" s="26" t="n"/>
      <c r="E434" s="17" t="n"/>
      <c r="F434" s="17" t="n"/>
      <c r="G434" s="12">
        <f>IF(B434="","",IFERROR(VLOOKUP(B434,Stok!$A$2:$D$60,2,FALSE),"kode?"))</f>
        <v/>
      </c>
      <c r="H434" s="12">
        <f>IF(B434="","",IFERROR(VLOOKUP(B434,Stok!$A$2:$D$60,4,FALSE),""))</f>
        <v/>
      </c>
    </row>
    <row r="435">
      <c r="A435" s="18" t="n"/>
      <c r="B435" s="17" t="n"/>
      <c r="C435" s="26" t="n"/>
      <c r="D435" s="26" t="n"/>
      <c r="E435" s="17" t="n"/>
      <c r="F435" s="17" t="n"/>
      <c r="G435" s="12">
        <f>IF(B435="","",IFERROR(VLOOKUP(B435,Stok!$A$2:$D$60,2,FALSE),"kode?"))</f>
        <v/>
      </c>
      <c r="H435" s="12">
        <f>IF(B435="","",IFERROR(VLOOKUP(B435,Stok!$A$2:$D$60,4,FALSE),""))</f>
        <v/>
      </c>
    </row>
    <row r="436">
      <c r="A436" s="18" t="n"/>
      <c r="B436" s="17" t="n"/>
      <c r="C436" s="26" t="n"/>
      <c r="D436" s="26" t="n"/>
      <c r="E436" s="17" t="n"/>
      <c r="F436" s="17" t="n"/>
      <c r="G436" s="12">
        <f>IF(B436="","",IFERROR(VLOOKUP(B436,Stok!$A$2:$D$60,2,FALSE),"kode?"))</f>
        <v/>
      </c>
      <c r="H436" s="12">
        <f>IF(B436="","",IFERROR(VLOOKUP(B436,Stok!$A$2:$D$60,4,FALSE),""))</f>
        <v/>
      </c>
    </row>
    <row r="437">
      <c r="A437" s="18" t="n"/>
      <c r="B437" s="17" t="n"/>
      <c r="C437" s="26" t="n"/>
      <c r="D437" s="26" t="n"/>
      <c r="E437" s="17" t="n"/>
      <c r="F437" s="17" t="n"/>
      <c r="G437" s="12">
        <f>IF(B437="","",IFERROR(VLOOKUP(B437,Stok!$A$2:$D$60,2,FALSE),"kode?"))</f>
        <v/>
      </c>
      <c r="H437" s="12">
        <f>IF(B437="","",IFERROR(VLOOKUP(B437,Stok!$A$2:$D$60,4,FALSE),""))</f>
        <v/>
      </c>
    </row>
    <row r="438">
      <c r="A438" s="18" t="n"/>
      <c r="B438" s="17" t="n"/>
      <c r="C438" s="26" t="n"/>
      <c r="D438" s="26" t="n"/>
      <c r="E438" s="17" t="n"/>
      <c r="F438" s="17" t="n"/>
      <c r="G438" s="12">
        <f>IF(B438="","",IFERROR(VLOOKUP(B438,Stok!$A$2:$D$60,2,FALSE),"kode?"))</f>
        <v/>
      </c>
      <c r="H438" s="12">
        <f>IF(B438="","",IFERROR(VLOOKUP(B438,Stok!$A$2:$D$60,4,FALSE),""))</f>
        <v/>
      </c>
    </row>
    <row r="439">
      <c r="A439" s="18" t="n"/>
      <c r="B439" s="17" t="n"/>
      <c r="C439" s="26" t="n"/>
      <c r="D439" s="26" t="n"/>
      <c r="E439" s="17" t="n"/>
      <c r="F439" s="17" t="n"/>
      <c r="G439" s="12">
        <f>IF(B439="","",IFERROR(VLOOKUP(B439,Stok!$A$2:$D$60,2,FALSE),"kode?"))</f>
        <v/>
      </c>
      <c r="H439" s="12">
        <f>IF(B439="","",IFERROR(VLOOKUP(B439,Stok!$A$2:$D$60,4,FALSE),""))</f>
        <v/>
      </c>
    </row>
    <row r="440">
      <c r="A440" s="18" t="n"/>
      <c r="B440" s="17" t="n"/>
      <c r="C440" s="26" t="n"/>
      <c r="D440" s="26" t="n"/>
      <c r="E440" s="17" t="n"/>
      <c r="F440" s="17" t="n"/>
      <c r="G440" s="12">
        <f>IF(B440="","",IFERROR(VLOOKUP(B440,Stok!$A$2:$D$60,2,FALSE),"kode?"))</f>
        <v/>
      </c>
      <c r="H440" s="12">
        <f>IF(B440="","",IFERROR(VLOOKUP(B440,Stok!$A$2:$D$60,4,FALSE),""))</f>
        <v/>
      </c>
    </row>
    <row r="441">
      <c r="A441" s="18" t="n"/>
      <c r="B441" s="17" t="n"/>
      <c r="C441" s="26" t="n"/>
      <c r="D441" s="26" t="n"/>
      <c r="E441" s="17" t="n"/>
      <c r="F441" s="17" t="n"/>
      <c r="G441" s="12">
        <f>IF(B441="","",IFERROR(VLOOKUP(B441,Stok!$A$2:$D$60,2,FALSE),"kode?"))</f>
        <v/>
      </c>
      <c r="H441" s="12">
        <f>IF(B441="","",IFERROR(VLOOKUP(B441,Stok!$A$2:$D$60,4,FALSE),""))</f>
        <v/>
      </c>
    </row>
    <row r="442">
      <c r="A442" s="18" t="n"/>
      <c r="B442" s="17" t="n"/>
      <c r="C442" s="26" t="n"/>
      <c r="D442" s="26" t="n"/>
      <c r="E442" s="17" t="n"/>
      <c r="F442" s="17" t="n"/>
      <c r="G442" s="12">
        <f>IF(B442="","",IFERROR(VLOOKUP(B442,Stok!$A$2:$D$60,2,FALSE),"kode?"))</f>
        <v/>
      </c>
      <c r="H442" s="12">
        <f>IF(B442="","",IFERROR(VLOOKUP(B442,Stok!$A$2:$D$60,4,FALSE),""))</f>
        <v/>
      </c>
    </row>
    <row r="443">
      <c r="A443" s="18" t="n"/>
      <c r="B443" s="17" t="n"/>
      <c r="C443" s="26" t="n"/>
      <c r="D443" s="26" t="n"/>
      <c r="E443" s="17" t="n"/>
      <c r="F443" s="17" t="n"/>
      <c r="G443" s="12">
        <f>IF(B443="","",IFERROR(VLOOKUP(B443,Stok!$A$2:$D$60,2,FALSE),"kode?"))</f>
        <v/>
      </c>
      <c r="H443" s="12">
        <f>IF(B443="","",IFERROR(VLOOKUP(B443,Stok!$A$2:$D$60,4,FALSE),""))</f>
        <v/>
      </c>
    </row>
    <row r="444">
      <c r="A444" s="18" t="n"/>
      <c r="B444" s="17" t="n"/>
      <c r="C444" s="26" t="n"/>
      <c r="D444" s="26" t="n"/>
      <c r="E444" s="17" t="n"/>
      <c r="F444" s="17" t="n"/>
      <c r="G444" s="12">
        <f>IF(B444="","",IFERROR(VLOOKUP(B444,Stok!$A$2:$D$60,2,FALSE),"kode?"))</f>
        <v/>
      </c>
      <c r="H444" s="12">
        <f>IF(B444="","",IFERROR(VLOOKUP(B444,Stok!$A$2:$D$60,4,FALSE),""))</f>
        <v/>
      </c>
    </row>
    <row r="445">
      <c r="A445" s="18" t="n"/>
      <c r="B445" s="17" t="n"/>
      <c r="C445" s="26" t="n"/>
      <c r="D445" s="26" t="n"/>
      <c r="E445" s="17" t="n"/>
      <c r="F445" s="17" t="n"/>
      <c r="G445" s="12">
        <f>IF(B445="","",IFERROR(VLOOKUP(B445,Stok!$A$2:$D$60,2,FALSE),"kode?"))</f>
        <v/>
      </c>
      <c r="H445" s="12">
        <f>IF(B445="","",IFERROR(VLOOKUP(B445,Stok!$A$2:$D$60,4,FALSE),""))</f>
        <v/>
      </c>
    </row>
    <row r="446">
      <c r="A446" s="18" t="n"/>
      <c r="B446" s="17" t="n"/>
      <c r="C446" s="26" t="n"/>
      <c r="D446" s="26" t="n"/>
      <c r="E446" s="17" t="n"/>
      <c r="F446" s="17" t="n"/>
      <c r="G446" s="12">
        <f>IF(B446="","",IFERROR(VLOOKUP(B446,Stok!$A$2:$D$60,2,FALSE),"kode?"))</f>
        <v/>
      </c>
      <c r="H446" s="12">
        <f>IF(B446="","",IFERROR(VLOOKUP(B446,Stok!$A$2:$D$60,4,FALSE),""))</f>
        <v/>
      </c>
    </row>
    <row r="447">
      <c r="A447" s="18" t="n"/>
      <c r="B447" s="17" t="n"/>
      <c r="C447" s="26" t="n"/>
      <c r="D447" s="26" t="n"/>
      <c r="E447" s="17" t="n"/>
      <c r="F447" s="17" t="n"/>
      <c r="G447" s="12">
        <f>IF(B447="","",IFERROR(VLOOKUP(B447,Stok!$A$2:$D$60,2,FALSE),"kode?"))</f>
        <v/>
      </c>
      <c r="H447" s="12">
        <f>IF(B447="","",IFERROR(VLOOKUP(B447,Stok!$A$2:$D$60,4,FALSE),""))</f>
        <v/>
      </c>
    </row>
    <row r="448">
      <c r="A448" s="18" t="n"/>
      <c r="B448" s="17" t="n"/>
      <c r="C448" s="26" t="n"/>
      <c r="D448" s="26" t="n"/>
      <c r="E448" s="17" t="n"/>
      <c r="F448" s="17" t="n"/>
      <c r="G448" s="12">
        <f>IF(B448="","",IFERROR(VLOOKUP(B448,Stok!$A$2:$D$60,2,FALSE),"kode?"))</f>
        <v/>
      </c>
      <c r="H448" s="12">
        <f>IF(B448="","",IFERROR(VLOOKUP(B448,Stok!$A$2:$D$60,4,FALSE),""))</f>
        <v/>
      </c>
    </row>
    <row r="449">
      <c r="A449" s="18" t="n"/>
      <c r="B449" s="17" t="n"/>
      <c r="C449" s="26" t="n"/>
      <c r="D449" s="26" t="n"/>
      <c r="E449" s="17" t="n"/>
      <c r="F449" s="17" t="n"/>
      <c r="G449" s="12">
        <f>IF(B449="","",IFERROR(VLOOKUP(B449,Stok!$A$2:$D$60,2,FALSE),"kode?"))</f>
        <v/>
      </c>
      <c r="H449" s="12">
        <f>IF(B449="","",IFERROR(VLOOKUP(B449,Stok!$A$2:$D$60,4,FALSE),""))</f>
        <v/>
      </c>
    </row>
    <row r="450">
      <c r="A450" s="18" t="n"/>
      <c r="B450" s="17" t="n"/>
      <c r="C450" s="26" t="n"/>
      <c r="D450" s="26" t="n"/>
      <c r="E450" s="17" t="n"/>
      <c r="F450" s="17" t="n"/>
      <c r="G450" s="12">
        <f>IF(B450="","",IFERROR(VLOOKUP(B450,Stok!$A$2:$D$60,2,FALSE),"kode?"))</f>
        <v/>
      </c>
      <c r="H450" s="12">
        <f>IF(B450="","",IFERROR(VLOOKUP(B450,Stok!$A$2:$D$60,4,FALSE),""))</f>
        <v/>
      </c>
    </row>
    <row r="451">
      <c r="A451" s="18" t="n"/>
      <c r="B451" s="17" t="n"/>
      <c r="C451" s="26" t="n"/>
      <c r="D451" s="26" t="n"/>
      <c r="E451" s="17" t="n"/>
      <c r="F451" s="17" t="n"/>
      <c r="G451" s="12">
        <f>IF(B451="","",IFERROR(VLOOKUP(B451,Stok!$A$2:$D$60,2,FALSE),"kode?"))</f>
        <v/>
      </c>
      <c r="H451" s="12">
        <f>IF(B451="","",IFERROR(VLOOKUP(B451,Stok!$A$2:$D$60,4,FALSE),""))</f>
        <v/>
      </c>
    </row>
    <row r="452">
      <c r="A452" s="18" t="n"/>
      <c r="B452" s="17" t="n"/>
      <c r="C452" s="26" t="n"/>
      <c r="D452" s="26" t="n"/>
      <c r="E452" s="17" t="n"/>
      <c r="F452" s="17" t="n"/>
      <c r="G452" s="12">
        <f>IF(B452="","",IFERROR(VLOOKUP(B452,Stok!$A$2:$D$60,2,FALSE),"kode?"))</f>
        <v/>
      </c>
      <c r="H452" s="12">
        <f>IF(B452="","",IFERROR(VLOOKUP(B452,Stok!$A$2:$D$60,4,FALSE),""))</f>
        <v/>
      </c>
    </row>
    <row r="453">
      <c r="A453" s="18" t="n"/>
      <c r="B453" s="17" t="n"/>
      <c r="C453" s="26" t="n"/>
      <c r="D453" s="26" t="n"/>
      <c r="E453" s="17" t="n"/>
      <c r="F453" s="17" t="n"/>
      <c r="G453" s="12">
        <f>IF(B453="","",IFERROR(VLOOKUP(B453,Stok!$A$2:$D$60,2,FALSE),"kode?"))</f>
        <v/>
      </c>
      <c r="H453" s="12">
        <f>IF(B453="","",IFERROR(VLOOKUP(B453,Stok!$A$2:$D$60,4,FALSE),""))</f>
        <v/>
      </c>
    </row>
    <row r="454">
      <c r="A454" s="18" t="n"/>
      <c r="B454" s="17" t="n"/>
      <c r="C454" s="26" t="n"/>
      <c r="D454" s="26" t="n"/>
      <c r="E454" s="17" t="n"/>
      <c r="F454" s="17" t="n"/>
      <c r="G454" s="12">
        <f>IF(B454="","",IFERROR(VLOOKUP(B454,Stok!$A$2:$D$60,2,FALSE),"kode?"))</f>
        <v/>
      </c>
      <c r="H454" s="12">
        <f>IF(B454="","",IFERROR(VLOOKUP(B454,Stok!$A$2:$D$60,4,FALSE),""))</f>
        <v/>
      </c>
    </row>
    <row r="455">
      <c r="A455" s="18" t="n"/>
      <c r="B455" s="17" t="n"/>
      <c r="C455" s="26" t="n"/>
      <c r="D455" s="26" t="n"/>
      <c r="E455" s="17" t="n"/>
      <c r="F455" s="17" t="n"/>
      <c r="G455" s="12">
        <f>IF(B455="","",IFERROR(VLOOKUP(B455,Stok!$A$2:$D$60,2,FALSE),"kode?"))</f>
        <v/>
      </c>
      <c r="H455" s="12">
        <f>IF(B455="","",IFERROR(VLOOKUP(B455,Stok!$A$2:$D$60,4,FALSE),""))</f>
        <v/>
      </c>
    </row>
    <row r="456">
      <c r="A456" s="18" t="n"/>
      <c r="B456" s="17" t="n"/>
      <c r="C456" s="26" t="n"/>
      <c r="D456" s="26" t="n"/>
      <c r="E456" s="17" t="n"/>
      <c r="F456" s="17" t="n"/>
      <c r="G456" s="12">
        <f>IF(B456="","",IFERROR(VLOOKUP(B456,Stok!$A$2:$D$60,2,FALSE),"kode?"))</f>
        <v/>
      </c>
      <c r="H456" s="12">
        <f>IF(B456="","",IFERROR(VLOOKUP(B456,Stok!$A$2:$D$60,4,FALSE),""))</f>
        <v/>
      </c>
    </row>
    <row r="457">
      <c r="A457" s="18" t="n"/>
      <c r="B457" s="17" t="n"/>
      <c r="C457" s="26" t="n"/>
      <c r="D457" s="26" t="n"/>
      <c r="E457" s="17" t="n"/>
      <c r="F457" s="17" t="n"/>
      <c r="G457" s="12">
        <f>IF(B457="","",IFERROR(VLOOKUP(B457,Stok!$A$2:$D$60,2,FALSE),"kode?"))</f>
        <v/>
      </c>
      <c r="H457" s="12">
        <f>IF(B457="","",IFERROR(VLOOKUP(B457,Stok!$A$2:$D$60,4,FALSE),""))</f>
        <v/>
      </c>
    </row>
    <row r="458">
      <c r="A458" s="18" t="n"/>
      <c r="B458" s="17" t="n"/>
      <c r="C458" s="26" t="n"/>
      <c r="D458" s="26" t="n"/>
      <c r="E458" s="17" t="n"/>
      <c r="F458" s="17" t="n"/>
      <c r="G458" s="12">
        <f>IF(B458="","",IFERROR(VLOOKUP(B458,Stok!$A$2:$D$60,2,FALSE),"kode?"))</f>
        <v/>
      </c>
      <c r="H458" s="12">
        <f>IF(B458="","",IFERROR(VLOOKUP(B458,Stok!$A$2:$D$60,4,FALSE),""))</f>
        <v/>
      </c>
    </row>
    <row r="459">
      <c r="A459" s="18" t="n"/>
      <c r="B459" s="17" t="n"/>
      <c r="C459" s="26" t="n"/>
      <c r="D459" s="26" t="n"/>
      <c r="E459" s="17" t="n"/>
      <c r="F459" s="17" t="n"/>
      <c r="G459" s="12">
        <f>IF(B459="","",IFERROR(VLOOKUP(B459,Stok!$A$2:$D$60,2,FALSE),"kode?"))</f>
        <v/>
      </c>
      <c r="H459" s="12">
        <f>IF(B459="","",IFERROR(VLOOKUP(B459,Stok!$A$2:$D$60,4,FALSE),""))</f>
        <v/>
      </c>
    </row>
    <row r="460">
      <c r="A460" s="18" t="n"/>
      <c r="B460" s="17" t="n"/>
      <c r="C460" s="26" t="n"/>
      <c r="D460" s="26" t="n"/>
      <c r="E460" s="17" t="n"/>
      <c r="F460" s="17" t="n"/>
      <c r="G460" s="12">
        <f>IF(B460="","",IFERROR(VLOOKUP(B460,Stok!$A$2:$D$60,2,FALSE),"kode?"))</f>
        <v/>
      </c>
      <c r="H460" s="12">
        <f>IF(B460="","",IFERROR(VLOOKUP(B460,Stok!$A$2:$D$60,4,FALSE),""))</f>
        <v/>
      </c>
    </row>
    <row r="461">
      <c r="A461" s="18" t="n"/>
      <c r="B461" s="17" t="n"/>
      <c r="C461" s="26" t="n"/>
      <c r="D461" s="26" t="n"/>
      <c r="E461" s="17" t="n"/>
      <c r="F461" s="17" t="n"/>
      <c r="G461" s="12">
        <f>IF(B461="","",IFERROR(VLOOKUP(B461,Stok!$A$2:$D$60,2,FALSE),"kode?"))</f>
        <v/>
      </c>
      <c r="H461" s="12">
        <f>IF(B461="","",IFERROR(VLOOKUP(B461,Stok!$A$2:$D$60,4,FALSE),""))</f>
        <v/>
      </c>
    </row>
    <row r="462">
      <c r="A462" s="18" t="n"/>
      <c r="B462" s="17" t="n"/>
      <c r="C462" s="26" t="n"/>
      <c r="D462" s="26" t="n"/>
      <c r="E462" s="17" t="n"/>
      <c r="F462" s="17" t="n"/>
      <c r="G462" s="12">
        <f>IF(B462="","",IFERROR(VLOOKUP(B462,Stok!$A$2:$D$60,2,FALSE),"kode?"))</f>
        <v/>
      </c>
      <c r="H462" s="12">
        <f>IF(B462="","",IFERROR(VLOOKUP(B462,Stok!$A$2:$D$60,4,FALSE),""))</f>
        <v/>
      </c>
    </row>
    <row r="463">
      <c r="A463" s="18" t="n"/>
      <c r="B463" s="17" t="n"/>
      <c r="C463" s="26" t="n"/>
      <c r="D463" s="26" t="n"/>
      <c r="E463" s="17" t="n"/>
      <c r="F463" s="17" t="n"/>
      <c r="G463" s="12">
        <f>IF(B463="","",IFERROR(VLOOKUP(B463,Stok!$A$2:$D$60,2,FALSE),"kode?"))</f>
        <v/>
      </c>
      <c r="H463" s="12">
        <f>IF(B463="","",IFERROR(VLOOKUP(B463,Stok!$A$2:$D$60,4,FALSE),""))</f>
        <v/>
      </c>
    </row>
    <row r="464">
      <c r="A464" s="18" t="n"/>
      <c r="B464" s="17" t="n"/>
      <c r="C464" s="26" t="n"/>
      <c r="D464" s="26" t="n"/>
      <c r="E464" s="17" t="n"/>
      <c r="F464" s="17" t="n"/>
      <c r="G464" s="12">
        <f>IF(B464="","",IFERROR(VLOOKUP(B464,Stok!$A$2:$D$60,2,FALSE),"kode?"))</f>
        <v/>
      </c>
      <c r="H464" s="12">
        <f>IF(B464="","",IFERROR(VLOOKUP(B464,Stok!$A$2:$D$60,4,FALSE),""))</f>
        <v/>
      </c>
    </row>
    <row r="465">
      <c r="A465" s="18" t="n"/>
      <c r="B465" s="17" t="n"/>
      <c r="C465" s="26" t="n"/>
      <c r="D465" s="26" t="n"/>
      <c r="E465" s="17" t="n"/>
      <c r="F465" s="17" t="n"/>
      <c r="G465" s="12">
        <f>IF(B465="","",IFERROR(VLOOKUP(B465,Stok!$A$2:$D$60,2,FALSE),"kode?"))</f>
        <v/>
      </c>
      <c r="H465" s="12">
        <f>IF(B465="","",IFERROR(VLOOKUP(B465,Stok!$A$2:$D$60,4,FALSE),""))</f>
        <v/>
      </c>
    </row>
    <row r="466">
      <c r="A466" s="18" t="n"/>
      <c r="B466" s="17" t="n"/>
      <c r="C466" s="26" t="n"/>
      <c r="D466" s="26" t="n"/>
      <c r="E466" s="17" t="n"/>
      <c r="F466" s="17" t="n"/>
      <c r="G466" s="12">
        <f>IF(B466="","",IFERROR(VLOOKUP(B466,Stok!$A$2:$D$60,2,FALSE),"kode?"))</f>
        <v/>
      </c>
      <c r="H466" s="12">
        <f>IF(B466="","",IFERROR(VLOOKUP(B466,Stok!$A$2:$D$60,4,FALSE),""))</f>
        <v/>
      </c>
    </row>
    <row r="467">
      <c r="A467" s="18" t="n"/>
      <c r="B467" s="17" t="n"/>
      <c r="C467" s="26" t="n"/>
      <c r="D467" s="26" t="n"/>
      <c r="E467" s="17" t="n"/>
      <c r="F467" s="17" t="n"/>
      <c r="G467" s="12">
        <f>IF(B467="","",IFERROR(VLOOKUP(B467,Stok!$A$2:$D$60,2,FALSE),"kode?"))</f>
        <v/>
      </c>
      <c r="H467" s="12">
        <f>IF(B467="","",IFERROR(VLOOKUP(B467,Stok!$A$2:$D$60,4,FALSE),""))</f>
        <v/>
      </c>
    </row>
    <row r="468">
      <c r="A468" s="18" t="n"/>
      <c r="B468" s="17" t="n"/>
      <c r="C468" s="26" t="n"/>
      <c r="D468" s="26" t="n"/>
      <c r="E468" s="17" t="n"/>
      <c r="F468" s="17" t="n"/>
      <c r="G468" s="12">
        <f>IF(B468="","",IFERROR(VLOOKUP(B468,Stok!$A$2:$D$60,2,FALSE),"kode?"))</f>
        <v/>
      </c>
      <c r="H468" s="12">
        <f>IF(B468="","",IFERROR(VLOOKUP(B468,Stok!$A$2:$D$60,4,FALSE),""))</f>
        <v/>
      </c>
    </row>
    <row r="469">
      <c r="A469" s="18" t="n"/>
      <c r="B469" s="17" t="n"/>
      <c r="C469" s="26" t="n"/>
      <c r="D469" s="26" t="n"/>
      <c r="E469" s="17" t="n"/>
      <c r="F469" s="17" t="n"/>
      <c r="G469" s="12">
        <f>IF(B469="","",IFERROR(VLOOKUP(B469,Stok!$A$2:$D$60,2,FALSE),"kode?"))</f>
        <v/>
      </c>
      <c r="H469" s="12">
        <f>IF(B469="","",IFERROR(VLOOKUP(B469,Stok!$A$2:$D$60,4,FALSE),""))</f>
        <v/>
      </c>
    </row>
    <row r="470">
      <c r="A470" s="18" t="n"/>
      <c r="B470" s="17" t="n"/>
      <c r="C470" s="26" t="n"/>
      <c r="D470" s="26" t="n"/>
      <c r="E470" s="17" t="n"/>
      <c r="F470" s="17" t="n"/>
      <c r="G470" s="12">
        <f>IF(B470="","",IFERROR(VLOOKUP(B470,Stok!$A$2:$D$60,2,FALSE),"kode?"))</f>
        <v/>
      </c>
      <c r="H470" s="12">
        <f>IF(B470="","",IFERROR(VLOOKUP(B470,Stok!$A$2:$D$60,4,FALSE),""))</f>
        <v/>
      </c>
    </row>
    <row r="471">
      <c r="A471" s="18" t="n"/>
      <c r="B471" s="17" t="n"/>
      <c r="C471" s="26" t="n"/>
      <c r="D471" s="26" t="n"/>
      <c r="E471" s="17" t="n"/>
      <c r="F471" s="17" t="n"/>
      <c r="G471" s="12">
        <f>IF(B471="","",IFERROR(VLOOKUP(B471,Stok!$A$2:$D$60,2,FALSE),"kode?"))</f>
        <v/>
      </c>
      <c r="H471" s="12">
        <f>IF(B471="","",IFERROR(VLOOKUP(B471,Stok!$A$2:$D$60,4,FALSE),""))</f>
        <v/>
      </c>
    </row>
    <row r="472">
      <c r="A472" s="18" t="n"/>
      <c r="B472" s="17" t="n"/>
      <c r="C472" s="26" t="n"/>
      <c r="D472" s="26" t="n"/>
      <c r="E472" s="17" t="n"/>
      <c r="F472" s="17" t="n"/>
      <c r="G472" s="12">
        <f>IF(B472="","",IFERROR(VLOOKUP(B472,Stok!$A$2:$D$60,2,FALSE),"kode?"))</f>
        <v/>
      </c>
      <c r="H472" s="12">
        <f>IF(B472="","",IFERROR(VLOOKUP(B472,Stok!$A$2:$D$60,4,FALSE),""))</f>
        <v/>
      </c>
    </row>
    <row r="473">
      <c r="A473" s="18" t="n"/>
      <c r="B473" s="17" t="n"/>
      <c r="C473" s="26" t="n"/>
      <c r="D473" s="26" t="n"/>
      <c r="E473" s="17" t="n"/>
      <c r="F473" s="17" t="n"/>
      <c r="G473" s="12">
        <f>IF(B473="","",IFERROR(VLOOKUP(B473,Stok!$A$2:$D$60,2,FALSE),"kode?"))</f>
        <v/>
      </c>
      <c r="H473" s="12">
        <f>IF(B473="","",IFERROR(VLOOKUP(B473,Stok!$A$2:$D$60,4,FALSE),""))</f>
        <v/>
      </c>
    </row>
    <row r="474">
      <c r="A474" s="18" t="n"/>
      <c r="B474" s="17" t="n"/>
      <c r="C474" s="26" t="n"/>
      <c r="D474" s="26" t="n"/>
      <c r="E474" s="17" t="n"/>
      <c r="F474" s="17" t="n"/>
      <c r="G474" s="12">
        <f>IF(B474="","",IFERROR(VLOOKUP(B474,Stok!$A$2:$D$60,2,FALSE),"kode?"))</f>
        <v/>
      </c>
      <c r="H474" s="12">
        <f>IF(B474="","",IFERROR(VLOOKUP(B474,Stok!$A$2:$D$60,4,FALSE),""))</f>
        <v/>
      </c>
    </row>
    <row r="475">
      <c r="A475" s="18" t="n"/>
      <c r="B475" s="17" t="n"/>
      <c r="C475" s="26" t="n"/>
      <c r="D475" s="26" t="n"/>
      <c r="E475" s="17" t="n"/>
      <c r="F475" s="17" t="n"/>
      <c r="G475" s="12">
        <f>IF(B475="","",IFERROR(VLOOKUP(B475,Stok!$A$2:$D$60,2,FALSE),"kode?"))</f>
        <v/>
      </c>
      <c r="H475" s="12">
        <f>IF(B475="","",IFERROR(VLOOKUP(B475,Stok!$A$2:$D$60,4,FALSE),""))</f>
        <v/>
      </c>
    </row>
    <row r="476">
      <c r="A476" s="18" t="n"/>
      <c r="B476" s="17" t="n"/>
      <c r="C476" s="26" t="n"/>
      <c r="D476" s="26" t="n"/>
      <c r="E476" s="17" t="n"/>
      <c r="F476" s="17" t="n"/>
      <c r="G476" s="12">
        <f>IF(B476="","",IFERROR(VLOOKUP(B476,Stok!$A$2:$D$60,2,FALSE),"kode?"))</f>
        <v/>
      </c>
      <c r="H476" s="12">
        <f>IF(B476="","",IFERROR(VLOOKUP(B476,Stok!$A$2:$D$60,4,FALSE),""))</f>
        <v/>
      </c>
    </row>
    <row r="477">
      <c r="A477" s="18" t="n"/>
      <c r="B477" s="17" t="n"/>
      <c r="C477" s="26" t="n"/>
      <c r="D477" s="26" t="n"/>
      <c r="E477" s="17" t="n"/>
      <c r="F477" s="17" t="n"/>
      <c r="G477" s="12">
        <f>IF(B477="","",IFERROR(VLOOKUP(B477,Stok!$A$2:$D$60,2,FALSE),"kode?"))</f>
        <v/>
      </c>
      <c r="H477" s="12">
        <f>IF(B477="","",IFERROR(VLOOKUP(B477,Stok!$A$2:$D$60,4,FALSE),""))</f>
        <v/>
      </c>
    </row>
    <row r="478">
      <c r="A478" s="18" t="n"/>
      <c r="B478" s="17" t="n"/>
      <c r="C478" s="26" t="n"/>
      <c r="D478" s="26" t="n"/>
      <c r="E478" s="17" t="n"/>
      <c r="F478" s="17" t="n"/>
      <c r="G478" s="12">
        <f>IF(B478="","",IFERROR(VLOOKUP(B478,Stok!$A$2:$D$60,2,FALSE),"kode?"))</f>
        <v/>
      </c>
      <c r="H478" s="12">
        <f>IF(B478="","",IFERROR(VLOOKUP(B478,Stok!$A$2:$D$60,4,FALSE),""))</f>
        <v/>
      </c>
    </row>
    <row r="479">
      <c r="A479" s="18" t="n"/>
      <c r="B479" s="17" t="n"/>
      <c r="C479" s="26" t="n"/>
      <c r="D479" s="26" t="n"/>
      <c r="E479" s="17" t="n"/>
      <c r="F479" s="17" t="n"/>
      <c r="G479" s="12">
        <f>IF(B479="","",IFERROR(VLOOKUP(B479,Stok!$A$2:$D$60,2,FALSE),"kode?"))</f>
        <v/>
      </c>
      <c r="H479" s="12">
        <f>IF(B479="","",IFERROR(VLOOKUP(B479,Stok!$A$2:$D$60,4,FALSE),""))</f>
        <v/>
      </c>
    </row>
    <row r="480">
      <c r="A480" s="18" t="n"/>
      <c r="B480" s="17" t="n"/>
      <c r="C480" s="26" t="n"/>
      <c r="D480" s="26" t="n"/>
      <c r="E480" s="17" t="n"/>
      <c r="F480" s="17" t="n"/>
      <c r="G480" s="12">
        <f>IF(B480="","",IFERROR(VLOOKUP(B480,Stok!$A$2:$D$60,2,FALSE),"kode?"))</f>
        <v/>
      </c>
      <c r="H480" s="12">
        <f>IF(B480="","",IFERROR(VLOOKUP(B480,Stok!$A$2:$D$60,4,FALSE),""))</f>
        <v/>
      </c>
    </row>
    <row r="481">
      <c r="A481" s="18" t="n"/>
      <c r="B481" s="17" t="n"/>
      <c r="C481" s="26" t="n"/>
      <c r="D481" s="26" t="n"/>
      <c r="E481" s="17" t="n"/>
      <c r="F481" s="17" t="n"/>
      <c r="G481" s="12">
        <f>IF(B481="","",IFERROR(VLOOKUP(B481,Stok!$A$2:$D$60,2,FALSE),"kode?"))</f>
        <v/>
      </c>
      <c r="H481" s="12">
        <f>IF(B481="","",IFERROR(VLOOKUP(B481,Stok!$A$2:$D$60,4,FALSE),""))</f>
        <v/>
      </c>
    </row>
    <row r="482">
      <c r="A482" s="18" t="n"/>
      <c r="B482" s="17" t="n"/>
      <c r="C482" s="26" t="n"/>
      <c r="D482" s="26" t="n"/>
      <c r="E482" s="17" t="n"/>
      <c r="F482" s="17" t="n"/>
      <c r="G482" s="12">
        <f>IF(B482="","",IFERROR(VLOOKUP(B482,Stok!$A$2:$D$60,2,FALSE),"kode?"))</f>
        <v/>
      </c>
      <c r="H482" s="12">
        <f>IF(B482="","",IFERROR(VLOOKUP(B482,Stok!$A$2:$D$60,4,FALSE),""))</f>
        <v/>
      </c>
    </row>
    <row r="483">
      <c r="A483" s="18" t="n"/>
      <c r="B483" s="17" t="n"/>
      <c r="C483" s="26" t="n"/>
      <c r="D483" s="26" t="n"/>
      <c r="E483" s="17" t="n"/>
      <c r="F483" s="17" t="n"/>
      <c r="G483" s="12">
        <f>IF(B483="","",IFERROR(VLOOKUP(B483,Stok!$A$2:$D$60,2,FALSE),"kode?"))</f>
        <v/>
      </c>
      <c r="H483" s="12">
        <f>IF(B483="","",IFERROR(VLOOKUP(B483,Stok!$A$2:$D$60,4,FALSE),""))</f>
        <v/>
      </c>
    </row>
    <row r="484">
      <c r="A484" s="18" t="n"/>
      <c r="B484" s="17" t="n"/>
      <c r="C484" s="26" t="n"/>
      <c r="D484" s="26" t="n"/>
      <c r="E484" s="17" t="n"/>
      <c r="F484" s="17" t="n"/>
      <c r="G484" s="12">
        <f>IF(B484="","",IFERROR(VLOOKUP(B484,Stok!$A$2:$D$60,2,FALSE),"kode?"))</f>
        <v/>
      </c>
      <c r="H484" s="12">
        <f>IF(B484="","",IFERROR(VLOOKUP(B484,Stok!$A$2:$D$60,4,FALSE),""))</f>
        <v/>
      </c>
    </row>
    <row r="485">
      <c r="A485" s="18" t="n"/>
      <c r="B485" s="17" t="n"/>
      <c r="C485" s="26" t="n"/>
      <c r="D485" s="26" t="n"/>
      <c r="E485" s="17" t="n"/>
      <c r="F485" s="17" t="n"/>
      <c r="G485" s="12">
        <f>IF(B485="","",IFERROR(VLOOKUP(B485,Stok!$A$2:$D$60,2,FALSE),"kode?"))</f>
        <v/>
      </c>
      <c r="H485" s="12">
        <f>IF(B485="","",IFERROR(VLOOKUP(B485,Stok!$A$2:$D$60,4,FALSE),""))</f>
        <v/>
      </c>
    </row>
    <row r="486">
      <c r="A486" s="18" t="n"/>
      <c r="B486" s="17" t="n"/>
      <c r="C486" s="26" t="n"/>
      <c r="D486" s="26" t="n"/>
      <c r="E486" s="17" t="n"/>
      <c r="F486" s="17" t="n"/>
      <c r="G486" s="12">
        <f>IF(B486="","",IFERROR(VLOOKUP(B486,Stok!$A$2:$D$60,2,FALSE),"kode?"))</f>
        <v/>
      </c>
      <c r="H486" s="12">
        <f>IF(B486="","",IFERROR(VLOOKUP(B486,Stok!$A$2:$D$60,4,FALSE),""))</f>
        <v/>
      </c>
    </row>
    <row r="487">
      <c r="A487" s="18" t="n"/>
      <c r="B487" s="17" t="n"/>
      <c r="C487" s="26" t="n"/>
      <c r="D487" s="26" t="n"/>
      <c r="E487" s="17" t="n"/>
      <c r="F487" s="17" t="n"/>
      <c r="G487" s="12">
        <f>IF(B487="","",IFERROR(VLOOKUP(B487,Stok!$A$2:$D$60,2,FALSE),"kode?"))</f>
        <v/>
      </c>
      <c r="H487" s="12">
        <f>IF(B487="","",IFERROR(VLOOKUP(B487,Stok!$A$2:$D$60,4,FALSE),""))</f>
        <v/>
      </c>
    </row>
    <row r="488">
      <c r="A488" s="18" t="n"/>
      <c r="B488" s="17" t="n"/>
      <c r="C488" s="26" t="n"/>
      <c r="D488" s="26" t="n"/>
      <c r="E488" s="17" t="n"/>
      <c r="F488" s="17" t="n"/>
      <c r="G488" s="12">
        <f>IF(B488="","",IFERROR(VLOOKUP(B488,Stok!$A$2:$D$60,2,FALSE),"kode?"))</f>
        <v/>
      </c>
      <c r="H488" s="12">
        <f>IF(B488="","",IFERROR(VLOOKUP(B488,Stok!$A$2:$D$60,4,FALSE),""))</f>
        <v/>
      </c>
    </row>
    <row r="489">
      <c r="A489" s="18" t="n"/>
      <c r="B489" s="17" t="n"/>
      <c r="C489" s="26" t="n"/>
      <c r="D489" s="26" t="n"/>
      <c r="E489" s="17" t="n"/>
      <c r="F489" s="17" t="n"/>
      <c r="G489" s="12">
        <f>IF(B489="","",IFERROR(VLOOKUP(B489,Stok!$A$2:$D$60,2,FALSE),"kode?"))</f>
        <v/>
      </c>
      <c r="H489" s="12">
        <f>IF(B489="","",IFERROR(VLOOKUP(B489,Stok!$A$2:$D$60,4,FALSE),""))</f>
        <v/>
      </c>
    </row>
    <row r="490">
      <c r="A490" s="18" t="n"/>
      <c r="B490" s="17" t="n"/>
      <c r="C490" s="26" t="n"/>
      <c r="D490" s="26" t="n"/>
      <c r="E490" s="17" t="n"/>
      <c r="F490" s="17" t="n"/>
      <c r="G490" s="12">
        <f>IF(B490="","",IFERROR(VLOOKUP(B490,Stok!$A$2:$D$60,2,FALSE),"kode?"))</f>
        <v/>
      </c>
      <c r="H490" s="12">
        <f>IF(B490="","",IFERROR(VLOOKUP(B490,Stok!$A$2:$D$60,4,FALSE),""))</f>
        <v/>
      </c>
    </row>
    <row r="491">
      <c r="A491" s="18" t="n"/>
      <c r="B491" s="17" t="n"/>
      <c r="C491" s="26" t="n"/>
      <c r="D491" s="26" t="n"/>
      <c r="E491" s="17" t="n"/>
      <c r="F491" s="17" t="n"/>
      <c r="G491" s="12">
        <f>IF(B491="","",IFERROR(VLOOKUP(B491,Stok!$A$2:$D$60,2,FALSE),"kode?"))</f>
        <v/>
      </c>
      <c r="H491" s="12">
        <f>IF(B491="","",IFERROR(VLOOKUP(B491,Stok!$A$2:$D$60,4,FALSE),""))</f>
        <v/>
      </c>
    </row>
    <row r="492">
      <c r="A492" s="18" t="n"/>
      <c r="B492" s="17" t="n"/>
      <c r="C492" s="26" t="n"/>
      <c r="D492" s="26" t="n"/>
      <c r="E492" s="17" t="n"/>
      <c r="F492" s="17" t="n"/>
      <c r="G492" s="12">
        <f>IF(B492="","",IFERROR(VLOOKUP(B492,Stok!$A$2:$D$60,2,FALSE),"kode?"))</f>
        <v/>
      </c>
      <c r="H492" s="12">
        <f>IF(B492="","",IFERROR(VLOOKUP(B492,Stok!$A$2:$D$60,4,FALSE),""))</f>
        <v/>
      </c>
    </row>
    <row r="493">
      <c r="A493" s="18" t="n"/>
      <c r="B493" s="17" t="n"/>
      <c r="C493" s="26" t="n"/>
      <c r="D493" s="26" t="n"/>
      <c r="E493" s="17" t="n"/>
      <c r="F493" s="17" t="n"/>
      <c r="G493" s="12">
        <f>IF(B493="","",IFERROR(VLOOKUP(B493,Stok!$A$2:$D$60,2,FALSE),"kode?"))</f>
        <v/>
      </c>
      <c r="H493" s="12">
        <f>IF(B493="","",IFERROR(VLOOKUP(B493,Stok!$A$2:$D$60,4,FALSE),""))</f>
        <v/>
      </c>
    </row>
    <row r="494">
      <c r="A494" s="18" t="n"/>
      <c r="B494" s="17" t="n"/>
      <c r="C494" s="26" t="n"/>
      <c r="D494" s="26" t="n"/>
      <c r="E494" s="17" t="n"/>
      <c r="F494" s="17" t="n"/>
      <c r="G494" s="12">
        <f>IF(B494="","",IFERROR(VLOOKUP(B494,Stok!$A$2:$D$60,2,FALSE),"kode?"))</f>
        <v/>
      </c>
      <c r="H494" s="12">
        <f>IF(B494="","",IFERROR(VLOOKUP(B494,Stok!$A$2:$D$60,4,FALSE),""))</f>
        <v/>
      </c>
    </row>
    <row r="495">
      <c r="A495" s="18" t="n"/>
      <c r="B495" s="17" t="n"/>
      <c r="C495" s="26" t="n"/>
      <c r="D495" s="26" t="n"/>
      <c r="E495" s="17" t="n"/>
      <c r="F495" s="17" t="n"/>
      <c r="G495" s="12">
        <f>IF(B495="","",IFERROR(VLOOKUP(B495,Stok!$A$2:$D$60,2,FALSE),"kode?"))</f>
        <v/>
      </c>
      <c r="H495" s="12">
        <f>IF(B495="","",IFERROR(VLOOKUP(B495,Stok!$A$2:$D$60,4,FALSE),""))</f>
        <v/>
      </c>
    </row>
    <row r="496">
      <c r="A496" s="18" t="n"/>
      <c r="B496" s="17" t="n"/>
      <c r="C496" s="26" t="n"/>
      <c r="D496" s="26" t="n"/>
      <c r="E496" s="17" t="n"/>
      <c r="F496" s="17" t="n"/>
      <c r="G496" s="12">
        <f>IF(B496="","",IFERROR(VLOOKUP(B496,Stok!$A$2:$D$60,2,FALSE),"kode?"))</f>
        <v/>
      </c>
      <c r="H496" s="12">
        <f>IF(B496="","",IFERROR(VLOOKUP(B496,Stok!$A$2:$D$60,4,FALSE),""))</f>
        <v/>
      </c>
    </row>
    <row r="497">
      <c r="A497" s="18" t="n"/>
      <c r="B497" s="17" t="n"/>
      <c r="C497" s="26" t="n"/>
      <c r="D497" s="26" t="n"/>
      <c r="E497" s="17" t="n"/>
      <c r="F497" s="17" t="n"/>
      <c r="G497" s="12">
        <f>IF(B497="","",IFERROR(VLOOKUP(B497,Stok!$A$2:$D$60,2,FALSE),"kode?"))</f>
        <v/>
      </c>
      <c r="H497" s="12">
        <f>IF(B497="","",IFERROR(VLOOKUP(B497,Stok!$A$2:$D$60,4,FALSE),""))</f>
        <v/>
      </c>
    </row>
    <row r="498">
      <c r="A498" s="18" t="n"/>
      <c r="B498" s="17" t="n"/>
      <c r="C498" s="26" t="n"/>
      <c r="D498" s="26" t="n"/>
      <c r="E498" s="17" t="n"/>
      <c r="F498" s="17" t="n"/>
      <c r="G498" s="12">
        <f>IF(B498="","",IFERROR(VLOOKUP(B498,Stok!$A$2:$D$60,2,FALSE),"kode?"))</f>
        <v/>
      </c>
      <c r="H498" s="12">
        <f>IF(B498="","",IFERROR(VLOOKUP(B498,Stok!$A$2:$D$60,4,FALSE),""))</f>
        <v/>
      </c>
    </row>
    <row r="499">
      <c r="A499" s="18" t="n"/>
      <c r="B499" s="17" t="n"/>
      <c r="C499" s="26" t="n"/>
      <c r="D499" s="26" t="n"/>
      <c r="E499" s="17" t="n"/>
      <c r="F499" s="17" t="n"/>
      <c r="G499" s="12">
        <f>IF(B499="","",IFERROR(VLOOKUP(B499,Stok!$A$2:$D$60,2,FALSE),"kode?"))</f>
        <v/>
      </c>
      <c r="H499" s="12">
        <f>IF(B499="","",IFERROR(VLOOKUP(B499,Stok!$A$2:$D$60,4,FALSE),""))</f>
        <v/>
      </c>
    </row>
    <row r="500">
      <c r="A500" s="18" t="n"/>
      <c r="B500" s="17" t="n"/>
      <c r="C500" s="26" t="n"/>
      <c r="D500" s="26" t="n"/>
      <c r="E500" s="17" t="n"/>
      <c r="F500" s="17" t="n"/>
      <c r="G500" s="12">
        <f>IF(B500="","",IFERROR(VLOOKUP(B500,Stok!$A$2:$D$60,2,FALSE),"kode?"))</f>
        <v/>
      </c>
      <c r="H500" s="12">
        <f>IF(B500="","",IFERROR(VLOOKUP(B500,Stok!$A$2:$D$60,4,FALSE),""))</f>
        <v/>
      </c>
    </row>
    <row r="501">
      <c r="A501" s="18" t="n"/>
      <c r="B501" s="17" t="n"/>
      <c r="C501" s="26" t="n"/>
      <c r="D501" s="26" t="n"/>
      <c r="E501" s="17" t="n"/>
      <c r="F501" s="17" t="n"/>
      <c r="G501" s="12">
        <f>IF(B501="","",IFERROR(VLOOKUP(B501,Stok!$A$2:$D$60,2,FALSE),"kode?"))</f>
        <v/>
      </c>
      <c r="H501" s="12">
        <f>IF(B501="","",IFERROR(VLOOKUP(B501,Stok!$A$2:$D$60,4,FALSE),""))</f>
        <v/>
      </c>
    </row>
  </sheetData>
  <autoFilter ref="A1:H501"/>
  <conditionalFormatting sqref="A2:H501">
    <cfRule type="expression" priority="1" dxfId="1">
      <formula>$G2="kode?"</formula>
    </cfRule>
  </conditionalFormatting>
  <dataValidations count="1">
    <dataValidation sqref="B2:B501" showDropDown="0" showInputMessage="0" showErrorMessage="0" allowBlank="1" type="list">
      <formula1>=Stok!$A$2:$A$26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36" customWidth="1" min="4" max="4"/>
    <col width="14" customWidth="1" min="5" max="5"/>
    <col width="12" customWidth="1" min="6" max="6"/>
    <col width="9" customWidth="1" min="7" max="7"/>
  </cols>
  <sheetData>
    <row r="1" ht="30" customHeight="1">
      <c r="A1" s="16" t="inlineStr">
        <is>
          <t>Tanggal</t>
        </is>
      </c>
      <c r="B1" s="16" t="inlineStr">
        <is>
          <t>Jenis</t>
        </is>
      </c>
      <c r="C1" s="16" t="inlineStr">
        <is>
          <t>Kategori</t>
        </is>
      </c>
      <c r="D1" s="16" t="inlineStr">
        <is>
          <t>Keterangan</t>
        </is>
      </c>
      <c r="E1" s="16" t="inlineStr">
        <is>
          <t>Jumlah</t>
        </is>
      </c>
      <c r="F1" s="16" t="inlineStr">
        <is>
          <t>Ref pesanan</t>
        </is>
      </c>
      <c r="G1" s="16" t="inlineStr">
        <is>
          <t>Bulan</t>
        </is>
      </c>
    </row>
    <row r="2">
      <c r="A2" s="18" t="n">
        <v>46301</v>
      </c>
      <c r="B2" s="17" t="inlineStr">
        <is>
          <t>Masuk</t>
        </is>
      </c>
      <c r="C2" s="17" t="inlineStr">
        <is>
          <t>Penjualan lampu</t>
        </is>
      </c>
      <c r="D2" s="17" t="inlineStr">
        <is>
          <t>Transfer P261006-01 (contoh, hapus)</t>
        </is>
      </c>
      <c r="E2" s="19" t="n">
        <v>467000</v>
      </c>
      <c r="F2" s="17" t="inlineStr">
        <is>
          <t>P261006-01</t>
        </is>
      </c>
      <c r="G2" s="12">
        <f>IF(A2="","",TEXT(A2,"yyyy-mm"))</f>
        <v/>
      </c>
    </row>
    <row r="3">
      <c r="A3" s="18" t="n">
        <v>46301</v>
      </c>
      <c r="B3" s="17" t="inlineStr">
        <is>
          <t>Keluar</t>
        </is>
      </c>
      <c r="C3" s="17" t="inlineStr">
        <is>
          <t>Komponen</t>
        </is>
      </c>
      <c r="D3" s="17" t="inlineStr">
        <is>
          <t>Kit kelistrikan 20 pcs (contoh, hapus)</t>
        </is>
      </c>
      <c r="E3" s="19" t="n">
        <v>700000</v>
      </c>
      <c r="F3" s="17" t="inlineStr"/>
      <c r="G3" s="12">
        <f>IF(A3="","",TEXT(A3,"yyyy-mm"))</f>
        <v/>
      </c>
    </row>
    <row r="4">
      <c r="A4" s="18" t="n"/>
      <c r="B4" s="17" t="n"/>
      <c r="C4" s="17" t="n"/>
      <c r="D4" s="17" t="n"/>
      <c r="E4" s="19" t="n"/>
      <c r="F4" s="17" t="n"/>
      <c r="G4" s="12">
        <f>IF(A4="","",TEXT(A4,"yyyy-mm"))</f>
        <v/>
      </c>
    </row>
    <row r="5">
      <c r="A5" s="18" t="n"/>
      <c r="B5" s="17" t="n"/>
      <c r="C5" s="17" t="n"/>
      <c r="D5" s="17" t="n"/>
      <c r="E5" s="19" t="n"/>
      <c r="F5" s="17" t="n"/>
      <c r="G5" s="12">
        <f>IF(A5="","",TEXT(A5,"yyyy-mm"))</f>
        <v/>
      </c>
    </row>
    <row r="6">
      <c r="A6" s="18" t="n"/>
      <c r="B6" s="17" t="n"/>
      <c r="C6" s="17" t="n"/>
      <c r="D6" s="17" t="n"/>
      <c r="E6" s="19" t="n"/>
      <c r="F6" s="17" t="n"/>
      <c r="G6" s="12">
        <f>IF(A6="","",TEXT(A6,"yyyy-mm"))</f>
        <v/>
      </c>
    </row>
    <row r="7">
      <c r="A7" s="18" t="n"/>
      <c r="B7" s="17" t="n"/>
      <c r="C7" s="17" t="n"/>
      <c r="D7" s="17" t="n"/>
      <c r="E7" s="19" t="n"/>
      <c r="F7" s="17" t="n"/>
      <c r="G7" s="12">
        <f>IF(A7="","",TEXT(A7,"yyyy-mm"))</f>
        <v/>
      </c>
    </row>
    <row r="8">
      <c r="A8" s="18" t="n"/>
      <c r="B8" s="17" t="n"/>
      <c r="C8" s="17" t="n"/>
      <c r="D8" s="17" t="n"/>
      <c r="E8" s="19" t="n"/>
      <c r="F8" s="17" t="n"/>
      <c r="G8" s="12">
        <f>IF(A8="","",TEXT(A8,"yyyy-mm"))</f>
        <v/>
      </c>
    </row>
    <row r="9">
      <c r="A9" s="18" t="n"/>
      <c r="B9" s="17" t="n"/>
      <c r="C9" s="17" t="n"/>
      <c r="D9" s="17" t="n"/>
      <c r="E9" s="19" t="n"/>
      <c r="F9" s="17" t="n"/>
      <c r="G9" s="12">
        <f>IF(A9="","",TEXT(A9,"yyyy-mm"))</f>
        <v/>
      </c>
    </row>
    <row r="10">
      <c r="A10" s="18" t="n"/>
      <c r="B10" s="17" t="n"/>
      <c r="C10" s="17" t="n"/>
      <c r="D10" s="17" t="n"/>
      <c r="E10" s="19" t="n"/>
      <c r="F10" s="17" t="n"/>
      <c r="G10" s="12">
        <f>IF(A10="","",TEXT(A10,"yyyy-mm"))</f>
        <v/>
      </c>
    </row>
    <row r="11">
      <c r="A11" s="18" t="n"/>
      <c r="B11" s="17" t="n"/>
      <c r="C11" s="17" t="n"/>
      <c r="D11" s="17" t="n"/>
      <c r="E11" s="19" t="n"/>
      <c r="F11" s="17" t="n"/>
      <c r="G11" s="12">
        <f>IF(A11="","",TEXT(A11,"yyyy-mm"))</f>
        <v/>
      </c>
    </row>
    <row r="12">
      <c r="A12" s="18" t="n"/>
      <c r="B12" s="17" t="n"/>
      <c r="C12" s="17" t="n"/>
      <c r="D12" s="17" t="n"/>
      <c r="E12" s="19" t="n"/>
      <c r="F12" s="17" t="n"/>
      <c r="G12" s="12">
        <f>IF(A12="","",TEXT(A12,"yyyy-mm"))</f>
        <v/>
      </c>
    </row>
    <row r="13">
      <c r="A13" s="18" t="n"/>
      <c r="B13" s="17" t="n"/>
      <c r="C13" s="17" t="n"/>
      <c r="D13" s="17" t="n"/>
      <c r="E13" s="19" t="n"/>
      <c r="F13" s="17" t="n"/>
      <c r="G13" s="12">
        <f>IF(A13="","",TEXT(A13,"yyyy-mm"))</f>
        <v/>
      </c>
    </row>
    <row r="14">
      <c r="A14" s="18" t="n"/>
      <c r="B14" s="17" t="n"/>
      <c r="C14" s="17" t="n"/>
      <c r="D14" s="17" t="n"/>
      <c r="E14" s="19" t="n"/>
      <c r="F14" s="17" t="n"/>
      <c r="G14" s="12">
        <f>IF(A14="","",TEXT(A14,"yyyy-mm"))</f>
        <v/>
      </c>
    </row>
    <row r="15">
      <c r="A15" s="18" t="n"/>
      <c r="B15" s="17" t="n"/>
      <c r="C15" s="17" t="n"/>
      <c r="D15" s="17" t="n"/>
      <c r="E15" s="19" t="n"/>
      <c r="F15" s="17" t="n"/>
      <c r="G15" s="12">
        <f>IF(A15="","",TEXT(A15,"yyyy-mm"))</f>
        <v/>
      </c>
    </row>
    <row r="16">
      <c r="A16" s="18" t="n"/>
      <c r="B16" s="17" t="n"/>
      <c r="C16" s="17" t="n"/>
      <c r="D16" s="17" t="n"/>
      <c r="E16" s="19" t="n"/>
      <c r="F16" s="17" t="n"/>
      <c r="G16" s="12">
        <f>IF(A16="","",TEXT(A16,"yyyy-mm"))</f>
        <v/>
      </c>
    </row>
    <row r="17">
      <c r="A17" s="18" t="n"/>
      <c r="B17" s="17" t="n"/>
      <c r="C17" s="17" t="n"/>
      <c r="D17" s="17" t="n"/>
      <c r="E17" s="19" t="n"/>
      <c r="F17" s="17" t="n"/>
      <c r="G17" s="12">
        <f>IF(A17="","",TEXT(A17,"yyyy-mm"))</f>
        <v/>
      </c>
    </row>
    <row r="18">
      <c r="A18" s="18" t="n"/>
      <c r="B18" s="17" t="n"/>
      <c r="C18" s="17" t="n"/>
      <c r="D18" s="17" t="n"/>
      <c r="E18" s="19" t="n"/>
      <c r="F18" s="17" t="n"/>
      <c r="G18" s="12">
        <f>IF(A18="","",TEXT(A18,"yyyy-mm"))</f>
        <v/>
      </c>
    </row>
    <row r="19">
      <c r="A19" s="18" t="n"/>
      <c r="B19" s="17" t="n"/>
      <c r="C19" s="17" t="n"/>
      <c r="D19" s="17" t="n"/>
      <c r="E19" s="19" t="n"/>
      <c r="F19" s="17" t="n"/>
      <c r="G19" s="12">
        <f>IF(A19="","",TEXT(A19,"yyyy-mm"))</f>
        <v/>
      </c>
    </row>
    <row r="20">
      <c r="A20" s="18" t="n"/>
      <c r="B20" s="17" t="n"/>
      <c r="C20" s="17" t="n"/>
      <c r="D20" s="17" t="n"/>
      <c r="E20" s="19" t="n"/>
      <c r="F20" s="17" t="n"/>
      <c r="G20" s="12">
        <f>IF(A20="","",TEXT(A20,"yyyy-mm"))</f>
        <v/>
      </c>
    </row>
    <row r="21">
      <c r="A21" s="18" t="n"/>
      <c r="B21" s="17" t="n"/>
      <c r="C21" s="17" t="n"/>
      <c r="D21" s="17" t="n"/>
      <c r="E21" s="19" t="n"/>
      <c r="F21" s="17" t="n"/>
      <c r="G21" s="12">
        <f>IF(A21="","",TEXT(A21,"yyyy-mm"))</f>
        <v/>
      </c>
    </row>
    <row r="22">
      <c r="A22" s="18" t="n"/>
      <c r="B22" s="17" t="n"/>
      <c r="C22" s="17" t="n"/>
      <c r="D22" s="17" t="n"/>
      <c r="E22" s="19" t="n"/>
      <c r="F22" s="17" t="n"/>
      <c r="G22" s="12">
        <f>IF(A22="","",TEXT(A22,"yyyy-mm"))</f>
        <v/>
      </c>
    </row>
    <row r="23">
      <c r="A23" s="18" t="n"/>
      <c r="B23" s="17" t="n"/>
      <c r="C23" s="17" t="n"/>
      <c r="D23" s="17" t="n"/>
      <c r="E23" s="19" t="n"/>
      <c r="F23" s="17" t="n"/>
      <c r="G23" s="12">
        <f>IF(A23="","",TEXT(A23,"yyyy-mm"))</f>
        <v/>
      </c>
    </row>
    <row r="24">
      <c r="A24" s="18" t="n"/>
      <c r="B24" s="17" t="n"/>
      <c r="C24" s="17" t="n"/>
      <c r="D24" s="17" t="n"/>
      <c r="E24" s="19" t="n"/>
      <c r="F24" s="17" t="n"/>
      <c r="G24" s="12">
        <f>IF(A24="","",TEXT(A24,"yyyy-mm"))</f>
        <v/>
      </c>
    </row>
    <row r="25">
      <c r="A25" s="18" t="n"/>
      <c r="B25" s="17" t="n"/>
      <c r="C25" s="17" t="n"/>
      <c r="D25" s="17" t="n"/>
      <c r="E25" s="19" t="n"/>
      <c r="F25" s="17" t="n"/>
      <c r="G25" s="12">
        <f>IF(A25="","",TEXT(A25,"yyyy-mm"))</f>
        <v/>
      </c>
    </row>
    <row r="26">
      <c r="A26" s="18" t="n"/>
      <c r="B26" s="17" t="n"/>
      <c r="C26" s="17" t="n"/>
      <c r="D26" s="17" t="n"/>
      <c r="E26" s="19" t="n"/>
      <c r="F26" s="17" t="n"/>
      <c r="G26" s="12">
        <f>IF(A26="","",TEXT(A26,"yyyy-mm"))</f>
        <v/>
      </c>
    </row>
    <row r="27">
      <c r="A27" s="18" t="n"/>
      <c r="B27" s="17" t="n"/>
      <c r="C27" s="17" t="n"/>
      <c r="D27" s="17" t="n"/>
      <c r="E27" s="19" t="n"/>
      <c r="F27" s="17" t="n"/>
      <c r="G27" s="12">
        <f>IF(A27="","",TEXT(A27,"yyyy-mm"))</f>
        <v/>
      </c>
    </row>
    <row r="28">
      <c r="A28" s="18" t="n"/>
      <c r="B28" s="17" t="n"/>
      <c r="C28" s="17" t="n"/>
      <c r="D28" s="17" t="n"/>
      <c r="E28" s="19" t="n"/>
      <c r="F28" s="17" t="n"/>
      <c r="G28" s="12">
        <f>IF(A28="","",TEXT(A28,"yyyy-mm"))</f>
        <v/>
      </c>
    </row>
    <row r="29">
      <c r="A29" s="18" t="n"/>
      <c r="B29" s="17" t="n"/>
      <c r="C29" s="17" t="n"/>
      <c r="D29" s="17" t="n"/>
      <c r="E29" s="19" t="n"/>
      <c r="F29" s="17" t="n"/>
      <c r="G29" s="12">
        <f>IF(A29="","",TEXT(A29,"yyyy-mm"))</f>
        <v/>
      </c>
    </row>
    <row r="30">
      <c r="A30" s="18" t="n"/>
      <c r="B30" s="17" t="n"/>
      <c r="C30" s="17" t="n"/>
      <c r="D30" s="17" t="n"/>
      <c r="E30" s="19" t="n"/>
      <c r="F30" s="17" t="n"/>
      <c r="G30" s="12">
        <f>IF(A30="","",TEXT(A30,"yyyy-mm"))</f>
        <v/>
      </c>
    </row>
    <row r="31">
      <c r="A31" s="18" t="n"/>
      <c r="B31" s="17" t="n"/>
      <c r="C31" s="17" t="n"/>
      <c r="D31" s="17" t="n"/>
      <c r="E31" s="19" t="n"/>
      <c r="F31" s="17" t="n"/>
      <c r="G31" s="12">
        <f>IF(A31="","",TEXT(A31,"yyyy-mm"))</f>
        <v/>
      </c>
    </row>
    <row r="32">
      <c r="A32" s="18" t="n"/>
      <c r="B32" s="17" t="n"/>
      <c r="C32" s="17" t="n"/>
      <c r="D32" s="17" t="n"/>
      <c r="E32" s="19" t="n"/>
      <c r="F32" s="17" t="n"/>
      <c r="G32" s="12">
        <f>IF(A32="","",TEXT(A32,"yyyy-mm"))</f>
        <v/>
      </c>
    </row>
    <row r="33">
      <c r="A33" s="18" t="n"/>
      <c r="B33" s="17" t="n"/>
      <c r="C33" s="17" t="n"/>
      <c r="D33" s="17" t="n"/>
      <c r="E33" s="19" t="n"/>
      <c r="F33" s="17" t="n"/>
      <c r="G33" s="12">
        <f>IF(A33="","",TEXT(A33,"yyyy-mm"))</f>
        <v/>
      </c>
    </row>
    <row r="34">
      <c r="A34" s="18" t="n"/>
      <c r="B34" s="17" t="n"/>
      <c r="C34" s="17" t="n"/>
      <c r="D34" s="17" t="n"/>
      <c r="E34" s="19" t="n"/>
      <c r="F34" s="17" t="n"/>
      <c r="G34" s="12">
        <f>IF(A34="","",TEXT(A34,"yyyy-mm"))</f>
        <v/>
      </c>
    </row>
    <row r="35">
      <c r="A35" s="18" t="n"/>
      <c r="B35" s="17" t="n"/>
      <c r="C35" s="17" t="n"/>
      <c r="D35" s="17" t="n"/>
      <c r="E35" s="19" t="n"/>
      <c r="F35" s="17" t="n"/>
      <c r="G35" s="12">
        <f>IF(A35="","",TEXT(A35,"yyyy-mm"))</f>
        <v/>
      </c>
    </row>
    <row r="36">
      <c r="A36" s="18" t="n"/>
      <c r="B36" s="17" t="n"/>
      <c r="C36" s="17" t="n"/>
      <c r="D36" s="17" t="n"/>
      <c r="E36" s="19" t="n"/>
      <c r="F36" s="17" t="n"/>
      <c r="G36" s="12">
        <f>IF(A36="","",TEXT(A36,"yyyy-mm"))</f>
        <v/>
      </c>
    </row>
    <row r="37">
      <c r="A37" s="18" t="n"/>
      <c r="B37" s="17" t="n"/>
      <c r="C37" s="17" t="n"/>
      <c r="D37" s="17" t="n"/>
      <c r="E37" s="19" t="n"/>
      <c r="F37" s="17" t="n"/>
      <c r="G37" s="12">
        <f>IF(A37="","",TEXT(A37,"yyyy-mm"))</f>
        <v/>
      </c>
    </row>
    <row r="38">
      <c r="A38" s="18" t="n"/>
      <c r="B38" s="17" t="n"/>
      <c r="C38" s="17" t="n"/>
      <c r="D38" s="17" t="n"/>
      <c r="E38" s="19" t="n"/>
      <c r="F38" s="17" t="n"/>
      <c r="G38" s="12">
        <f>IF(A38="","",TEXT(A38,"yyyy-mm"))</f>
        <v/>
      </c>
    </row>
    <row r="39">
      <c r="A39" s="18" t="n"/>
      <c r="B39" s="17" t="n"/>
      <c r="C39" s="17" t="n"/>
      <c r="D39" s="17" t="n"/>
      <c r="E39" s="19" t="n"/>
      <c r="F39" s="17" t="n"/>
      <c r="G39" s="12">
        <f>IF(A39="","",TEXT(A39,"yyyy-mm"))</f>
        <v/>
      </c>
    </row>
    <row r="40">
      <c r="A40" s="18" t="n"/>
      <c r="B40" s="17" t="n"/>
      <c r="C40" s="17" t="n"/>
      <c r="D40" s="17" t="n"/>
      <c r="E40" s="19" t="n"/>
      <c r="F40" s="17" t="n"/>
      <c r="G40" s="12">
        <f>IF(A40="","",TEXT(A40,"yyyy-mm"))</f>
        <v/>
      </c>
    </row>
    <row r="41">
      <c r="A41" s="18" t="n"/>
      <c r="B41" s="17" t="n"/>
      <c r="C41" s="17" t="n"/>
      <c r="D41" s="17" t="n"/>
      <c r="E41" s="19" t="n"/>
      <c r="F41" s="17" t="n"/>
      <c r="G41" s="12">
        <f>IF(A41="","",TEXT(A41,"yyyy-mm"))</f>
        <v/>
      </c>
    </row>
    <row r="42">
      <c r="A42" s="18" t="n"/>
      <c r="B42" s="17" t="n"/>
      <c r="C42" s="17" t="n"/>
      <c r="D42" s="17" t="n"/>
      <c r="E42" s="19" t="n"/>
      <c r="F42" s="17" t="n"/>
      <c r="G42" s="12">
        <f>IF(A42="","",TEXT(A42,"yyyy-mm"))</f>
        <v/>
      </c>
    </row>
    <row r="43">
      <c r="A43" s="18" t="n"/>
      <c r="B43" s="17" t="n"/>
      <c r="C43" s="17" t="n"/>
      <c r="D43" s="17" t="n"/>
      <c r="E43" s="19" t="n"/>
      <c r="F43" s="17" t="n"/>
      <c r="G43" s="12">
        <f>IF(A43="","",TEXT(A43,"yyyy-mm"))</f>
        <v/>
      </c>
    </row>
    <row r="44">
      <c r="A44" s="18" t="n"/>
      <c r="B44" s="17" t="n"/>
      <c r="C44" s="17" t="n"/>
      <c r="D44" s="17" t="n"/>
      <c r="E44" s="19" t="n"/>
      <c r="F44" s="17" t="n"/>
      <c r="G44" s="12">
        <f>IF(A44="","",TEXT(A44,"yyyy-mm"))</f>
        <v/>
      </c>
    </row>
    <row r="45">
      <c r="A45" s="18" t="n"/>
      <c r="B45" s="17" t="n"/>
      <c r="C45" s="17" t="n"/>
      <c r="D45" s="17" t="n"/>
      <c r="E45" s="19" t="n"/>
      <c r="F45" s="17" t="n"/>
      <c r="G45" s="12">
        <f>IF(A45="","",TEXT(A45,"yyyy-mm"))</f>
        <v/>
      </c>
    </row>
    <row r="46">
      <c r="A46" s="18" t="n"/>
      <c r="B46" s="17" t="n"/>
      <c r="C46" s="17" t="n"/>
      <c r="D46" s="17" t="n"/>
      <c r="E46" s="19" t="n"/>
      <c r="F46" s="17" t="n"/>
      <c r="G46" s="12">
        <f>IF(A46="","",TEXT(A46,"yyyy-mm"))</f>
        <v/>
      </c>
    </row>
    <row r="47">
      <c r="A47" s="18" t="n"/>
      <c r="B47" s="17" t="n"/>
      <c r="C47" s="17" t="n"/>
      <c r="D47" s="17" t="n"/>
      <c r="E47" s="19" t="n"/>
      <c r="F47" s="17" t="n"/>
      <c r="G47" s="12">
        <f>IF(A47="","",TEXT(A47,"yyyy-mm"))</f>
        <v/>
      </c>
    </row>
    <row r="48">
      <c r="A48" s="18" t="n"/>
      <c r="B48" s="17" t="n"/>
      <c r="C48" s="17" t="n"/>
      <c r="D48" s="17" t="n"/>
      <c r="E48" s="19" t="n"/>
      <c r="F48" s="17" t="n"/>
      <c r="G48" s="12">
        <f>IF(A48="","",TEXT(A48,"yyyy-mm"))</f>
        <v/>
      </c>
    </row>
    <row r="49">
      <c r="A49" s="18" t="n"/>
      <c r="B49" s="17" t="n"/>
      <c r="C49" s="17" t="n"/>
      <c r="D49" s="17" t="n"/>
      <c r="E49" s="19" t="n"/>
      <c r="F49" s="17" t="n"/>
      <c r="G49" s="12">
        <f>IF(A49="","",TEXT(A49,"yyyy-mm"))</f>
        <v/>
      </c>
    </row>
    <row r="50">
      <c r="A50" s="18" t="n"/>
      <c r="B50" s="17" t="n"/>
      <c r="C50" s="17" t="n"/>
      <c r="D50" s="17" t="n"/>
      <c r="E50" s="19" t="n"/>
      <c r="F50" s="17" t="n"/>
      <c r="G50" s="12">
        <f>IF(A50="","",TEXT(A50,"yyyy-mm"))</f>
        <v/>
      </c>
    </row>
    <row r="51">
      <c r="A51" s="18" t="n"/>
      <c r="B51" s="17" t="n"/>
      <c r="C51" s="17" t="n"/>
      <c r="D51" s="17" t="n"/>
      <c r="E51" s="19" t="n"/>
      <c r="F51" s="17" t="n"/>
      <c r="G51" s="12">
        <f>IF(A51="","",TEXT(A51,"yyyy-mm"))</f>
        <v/>
      </c>
    </row>
    <row r="52">
      <c r="A52" s="18" t="n"/>
      <c r="B52" s="17" t="n"/>
      <c r="C52" s="17" t="n"/>
      <c r="D52" s="17" t="n"/>
      <c r="E52" s="19" t="n"/>
      <c r="F52" s="17" t="n"/>
      <c r="G52" s="12">
        <f>IF(A52="","",TEXT(A52,"yyyy-mm"))</f>
        <v/>
      </c>
    </row>
    <row r="53">
      <c r="A53" s="18" t="n"/>
      <c r="B53" s="17" t="n"/>
      <c r="C53" s="17" t="n"/>
      <c r="D53" s="17" t="n"/>
      <c r="E53" s="19" t="n"/>
      <c r="F53" s="17" t="n"/>
      <c r="G53" s="12">
        <f>IF(A53="","",TEXT(A53,"yyyy-mm"))</f>
        <v/>
      </c>
    </row>
    <row r="54">
      <c r="A54" s="18" t="n"/>
      <c r="B54" s="17" t="n"/>
      <c r="C54" s="17" t="n"/>
      <c r="D54" s="17" t="n"/>
      <c r="E54" s="19" t="n"/>
      <c r="F54" s="17" t="n"/>
      <c r="G54" s="12">
        <f>IF(A54="","",TEXT(A54,"yyyy-mm"))</f>
        <v/>
      </c>
    </row>
    <row r="55">
      <c r="A55" s="18" t="n"/>
      <c r="B55" s="17" t="n"/>
      <c r="C55" s="17" t="n"/>
      <c r="D55" s="17" t="n"/>
      <c r="E55" s="19" t="n"/>
      <c r="F55" s="17" t="n"/>
      <c r="G55" s="12">
        <f>IF(A55="","",TEXT(A55,"yyyy-mm"))</f>
        <v/>
      </c>
    </row>
    <row r="56">
      <c r="A56" s="18" t="n"/>
      <c r="B56" s="17" t="n"/>
      <c r="C56" s="17" t="n"/>
      <c r="D56" s="17" t="n"/>
      <c r="E56" s="19" t="n"/>
      <c r="F56" s="17" t="n"/>
      <c r="G56" s="12">
        <f>IF(A56="","",TEXT(A56,"yyyy-mm"))</f>
        <v/>
      </c>
    </row>
    <row r="57">
      <c r="A57" s="18" t="n"/>
      <c r="B57" s="17" t="n"/>
      <c r="C57" s="17" t="n"/>
      <c r="D57" s="17" t="n"/>
      <c r="E57" s="19" t="n"/>
      <c r="F57" s="17" t="n"/>
      <c r="G57" s="12">
        <f>IF(A57="","",TEXT(A57,"yyyy-mm"))</f>
        <v/>
      </c>
    </row>
    <row r="58">
      <c r="A58" s="18" t="n"/>
      <c r="B58" s="17" t="n"/>
      <c r="C58" s="17" t="n"/>
      <c r="D58" s="17" t="n"/>
      <c r="E58" s="19" t="n"/>
      <c r="F58" s="17" t="n"/>
      <c r="G58" s="12">
        <f>IF(A58="","",TEXT(A58,"yyyy-mm"))</f>
        <v/>
      </c>
    </row>
    <row r="59">
      <c r="A59" s="18" t="n"/>
      <c r="B59" s="17" t="n"/>
      <c r="C59" s="17" t="n"/>
      <c r="D59" s="17" t="n"/>
      <c r="E59" s="19" t="n"/>
      <c r="F59" s="17" t="n"/>
      <c r="G59" s="12">
        <f>IF(A59="","",TEXT(A59,"yyyy-mm"))</f>
        <v/>
      </c>
    </row>
    <row r="60">
      <c r="A60" s="18" t="n"/>
      <c r="B60" s="17" t="n"/>
      <c r="C60" s="17" t="n"/>
      <c r="D60" s="17" t="n"/>
      <c r="E60" s="19" t="n"/>
      <c r="F60" s="17" t="n"/>
      <c r="G60" s="12">
        <f>IF(A60="","",TEXT(A60,"yyyy-mm"))</f>
        <v/>
      </c>
    </row>
    <row r="61">
      <c r="A61" s="18" t="n"/>
      <c r="B61" s="17" t="n"/>
      <c r="C61" s="17" t="n"/>
      <c r="D61" s="17" t="n"/>
      <c r="E61" s="19" t="n"/>
      <c r="F61" s="17" t="n"/>
      <c r="G61" s="12">
        <f>IF(A61="","",TEXT(A61,"yyyy-mm"))</f>
        <v/>
      </c>
    </row>
    <row r="62">
      <c r="A62" s="18" t="n"/>
      <c r="B62" s="17" t="n"/>
      <c r="C62" s="17" t="n"/>
      <c r="D62" s="17" t="n"/>
      <c r="E62" s="19" t="n"/>
      <c r="F62" s="17" t="n"/>
      <c r="G62" s="12">
        <f>IF(A62="","",TEXT(A62,"yyyy-mm"))</f>
        <v/>
      </c>
    </row>
    <row r="63">
      <c r="A63" s="18" t="n"/>
      <c r="B63" s="17" t="n"/>
      <c r="C63" s="17" t="n"/>
      <c r="D63" s="17" t="n"/>
      <c r="E63" s="19" t="n"/>
      <c r="F63" s="17" t="n"/>
      <c r="G63" s="12">
        <f>IF(A63="","",TEXT(A63,"yyyy-mm"))</f>
        <v/>
      </c>
    </row>
    <row r="64">
      <c r="A64" s="18" t="n"/>
      <c r="B64" s="17" t="n"/>
      <c r="C64" s="17" t="n"/>
      <c r="D64" s="17" t="n"/>
      <c r="E64" s="19" t="n"/>
      <c r="F64" s="17" t="n"/>
      <c r="G64" s="12">
        <f>IF(A64="","",TEXT(A64,"yyyy-mm"))</f>
        <v/>
      </c>
    </row>
    <row r="65">
      <c r="A65" s="18" t="n"/>
      <c r="B65" s="17" t="n"/>
      <c r="C65" s="17" t="n"/>
      <c r="D65" s="17" t="n"/>
      <c r="E65" s="19" t="n"/>
      <c r="F65" s="17" t="n"/>
      <c r="G65" s="12">
        <f>IF(A65="","",TEXT(A65,"yyyy-mm"))</f>
        <v/>
      </c>
    </row>
    <row r="66">
      <c r="A66" s="18" t="n"/>
      <c r="B66" s="17" t="n"/>
      <c r="C66" s="17" t="n"/>
      <c r="D66" s="17" t="n"/>
      <c r="E66" s="19" t="n"/>
      <c r="F66" s="17" t="n"/>
      <c r="G66" s="12">
        <f>IF(A66="","",TEXT(A66,"yyyy-mm"))</f>
        <v/>
      </c>
    </row>
    <row r="67">
      <c r="A67" s="18" t="n"/>
      <c r="B67" s="17" t="n"/>
      <c r="C67" s="17" t="n"/>
      <c r="D67" s="17" t="n"/>
      <c r="E67" s="19" t="n"/>
      <c r="F67" s="17" t="n"/>
      <c r="G67" s="12">
        <f>IF(A67="","",TEXT(A67,"yyyy-mm"))</f>
        <v/>
      </c>
    </row>
    <row r="68">
      <c r="A68" s="18" t="n"/>
      <c r="B68" s="17" t="n"/>
      <c r="C68" s="17" t="n"/>
      <c r="D68" s="17" t="n"/>
      <c r="E68" s="19" t="n"/>
      <c r="F68" s="17" t="n"/>
      <c r="G68" s="12">
        <f>IF(A68="","",TEXT(A68,"yyyy-mm"))</f>
        <v/>
      </c>
    </row>
    <row r="69">
      <c r="A69" s="18" t="n"/>
      <c r="B69" s="17" t="n"/>
      <c r="C69" s="17" t="n"/>
      <c r="D69" s="17" t="n"/>
      <c r="E69" s="19" t="n"/>
      <c r="F69" s="17" t="n"/>
      <c r="G69" s="12">
        <f>IF(A69="","",TEXT(A69,"yyyy-mm"))</f>
        <v/>
      </c>
    </row>
    <row r="70">
      <c r="A70" s="18" t="n"/>
      <c r="B70" s="17" t="n"/>
      <c r="C70" s="17" t="n"/>
      <c r="D70" s="17" t="n"/>
      <c r="E70" s="19" t="n"/>
      <c r="F70" s="17" t="n"/>
      <c r="G70" s="12">
        <f>IF(A70="","",TEXT(A70,"yyyy-mm"))</f>
        <v/>
      </c>
    </row>
    <row r="71">
      <c r="A71" s="18" t="n"/>
      <c r="B71" s="17" t="n"/>
      <c r="C71" s="17" t="n"/>
      <c r="D71" s="17" t="n"/>
      <c r="E71" s="19" t="n"/>
      <c r="F71" s="17" t="n"/>
      <c r="G71" s="12">
        <f>IF(A71="","",TEXT(A71,"yyyy-mm"))</f>
        <v/>
      </c>
    </row>
    <row r="72">
      <c r="A72" s="18" t="n"/>
      <c r="B72" s="17" t="n"/>
      <c r="C72" s="17" t="n"/>
      <c r="D72" s="17" t="n"/>
      <c r="E72" s="19" t="n"/>
      <c r="F72" s="17" t="n"/>
      <c r="G72" s="12">
        <f>IF(A72="","",TEXT(A72,"yyyy-mm"))</f>
        <v/>
      </c>
    </row>
    <row r="73">
      <c r="A73" s="18" t="n"/>
      <c r="B73" s="17" t="n"/>
      <c r="C73" s="17" t="n"/>
      <c r="D73" s="17" t="n"/>
      <c r="E73" s="19" t="n"/>
      <c r="F73" s="17" t="n"/>
      <c r="G73" s="12">
        <f>IF(A73="","",TEXT(A73,"yyyy-mm"))</f>
        <v/>
      </c>
    </row>
    <row r="74">
      <c r="A74" s="18" t="n"/>
      <c r="B74" s="17" t="n"/>
      <c r="C74" s="17" t="n"/>
      <c r="D74" s="17" t="n"/>
      <c r="E74" s="19" t="n"/>
      <c r="F74" s="17" t="n"/>
      <c r="G74" s="12">
        <f>IF(A74="","",TEXT(A74,"yyyy-mm"))</f>
        <v/>
      </c>
    </row>
    <row r="75">
      <c r="A75" s="18" t="n"/>
      <c r="B75" s="17" t="n"/>
      <c r="C75" s="17" t="n"/>
      <c r="D75" s="17" t="n"/>
      <c r="E75" s="19" t="n"/>
      <c r="F75" s="17" t="n"/>
      <c r="G75" s="12">
        <f>IF(A75="","",TEXT(A75,"yyyy-mm"))</f>
        <v/>
      </c>
    </row>
    <row r="76">
      <c r="A76" s="18" t="n"/>
      <c r="B76" s="17" t="n"/>
      <c r="C76" s="17" t="n"/>
      <c r="D76" s="17" t="n"/>
      <c r="E76" s="19" t="n"/>
      <c r="F76" s="17" t="n"/>
      <c r="G76" s="12">
        <f>IF(A76="","",TEXT(A76,"yyyy-mm"))</f>
        <v/>
      </c>
    </row>
    <row r="77">
      <c r="A77" s="18" t="n"/>
      <c r="B77" s="17" t="n"/>
      <c r="C77" s="17" t="n"/>
      <c r="D77" s="17" t="n"/>
      <c r="E77" s="19" t="n"/>
      <c r="F77" s="17" t="n"/>
      <c r="G77" s="12">
        <f>IF(A77="","",TEXT(A77,"yyyy-mm"))</f>
        <v/>
      </c>
    </row>
    <row r="78">
      <c r="A78" s="18" t="n"/>
      <c r="B78" s="17" t="n"/>
      <c r="C78" s="17" t="n"/>
      <c r="D78" s="17" t="n"/>
      <c r="E78" s="19" t="n"/>
      <c r="F78" s="17" t="n"/>
      <c r="G78" s="12">
        <f>IF(A78="","",TEXT(A78,"yyyy-mm"))</f>
        <v/>
      </c>
    </row>
    <row r="79">
      <c r="A79" s="18" t="n"/>
      <c r="B79" s="17" t="n"/>
      <c r="C79" s="17" t="n"/>
      <c r="D79" s="17" t="n"/>
      <c r="E79" s="19" t="n"/>
      <c r="F79" s="17" t="n"/>
      <c r="G79" s="12">
        <f>IF(A79="","",TEXT(A79,"yyyy-mm"))</f>
        <v/>
      </c>
    </row>
    <row r="80">
      <c r="A80" s="18" t="n"/>
      <c r="B80" s="17" t="n"/>
      <c r="C80" s="17" t="n"/>
      <c r="D80" s="17" t="n"/>
      <c r="E80" s="19" t="n"/>
      <c r="F80" s="17" t="n"/>
      <c r="G80" s="12">
        <f>IF(A80="","",TEXT(A80,"yyyy-mm"))</f>
        <v/>
      </c>
    </row>
    <row r="81">
      <c r="A81" s="18" t="n"/>
      <c r="B81" s="17" t="n"/>
      <c r="C81" s="17" t="n"/>
      <c r="D81" s="17" t="n"/>
      <c r="E81" s="19" t="n"/>
      <c r="F81" s="17" t="n"/>
      <c r="G81" s="12">
        <f>IF(A81="","",TEXT(A81,"yyyy-mm"))</f>
        <v/>
      </c>
    </row>
    <row r="82">
      <c r="A82" s="18" t="n"/>
      <c r="B82" s="17" t="n"/>
      <c r="C82" s="17" t="n"/>
      <c r="D82" s="17" t="n"/>
      <c r="E82" s="19" t="n"/>
      <c r="F82" s="17" t="n"/>
      <c r="G82" s="12">
        <f>IF(A82="","",TEXT(A82,"yyyy-mm"))</f>
        <v/>
      </c>
    </row>
    <row r="83">
      <c r="A83" s="18" t="n"/>
      <c r="B83" s="17" t="n"/>
      <c r="C83" s="17" t="n"/>
      <c r="D83" s="17" t="n"/>
      <c r="E83" s="19" t="n"/>
      <c r="F83" s="17" t="n"/>
      <c r="G83" s="12">
        <f>IF(A83="","",TEXT(A83,"yyyy-mm"))</f>
        <v/>
      </c>
    </row>
    <row r="84">
      <c r="A84" s="18" t="n"/>
      <c r="B84" s="17" t="n"/>
      <c r="C84" s="17" t="n"/>
      <c r="D84" s="17" t="n"/>
      <c r="E84" s="19" t="n"/>
      <c r="F84" s="17" t="n"/>
      <c r="G84" s="12">
        <f>IF(A84="","",TEXT(A84,"yyyy-mm"))</f>
        <v/>
      </c>
    </row>
    <row r="85">
      <c r="A85" s="18" t="n"/>
      <c r="B85" s="17" t="n"/>
      <c r="C85" s="17" t="n"/>
      <c r="D85" s="17" t="n"/>
      <c r="E85" s="19" t="n"/>
      <c r="F85" s="17" t="n"/>
      <c r="G85" s="12">
        <f>IF(A85="","",TEXT(A85,"yyyy-mm"))</f>
        <v/>
      </c>
    </row>
    <row r="86">
      <c r="A86" s="18" t="n"/>
      <c r="B86" s="17" t="n"/>
      <c r="C86" s="17" t="n"/>
      <c r="D86" s="17" t="n"/>
      <c r="E86" s="19" t="n"/>
      <c r="F86" s="17" t="n"/>
      <c r="G86" s="12">
        <f>IF(A86="","",TEXT(A86,"yyyy-mm"))</f>
        <v/>
      </c>
    </row>
    <row r="87">
      <c r="A87" s="18" t="n"/>
      <c r="B87" s="17" t="n"/>
      <c r="C87" s="17" t="n"/>
      <c r="D87" s="17" t="n"/>
      <c r="E87" s="19" t="n"/>
      <c r="F87" s="17" t="n"/>
      <c r="G87" s="12">
        <f>IF(A87="","",TEXT(A87,"yyyy-mm"))</f>
        <v/>
      </c>
    </row>
    <row r="88">
      <c r="A88" s="18" t="n"/>
      <c r="B88" s="17" t="n"/>
      <c r="C88" s="17" t="n"/>
      <c r="D88" s="17" t="n"/>
      <c r="E88" s="19" t="n"/>
      <c r="F88" s="17" t="n"/>
      <c r="G88" s="12">
        <f>IF(A88="","",TEXT(A88,"yyyy-mm"))</f>
        <v/>
      </c>
    </row>
    <row r="89">
      <c r="A89" s="18" t="n"/>
      <c r="B89" s="17" t="n"/>
      <c r="C89" s="17" t="n"/>
      <c r="D89" s="17" t="n"/>
      <c r="E89" s="19" t="n"/>
      <c r="F89" s="17" t="n"/>
      <c r="G89" s="12">
        <f>IF(A89="","",TEXT(A89,"yyyy-mm"))</f>
        <v/>
      </c>
    </row>
    <row r="90">
      <c r="A90" s="18" t="n"/>
      <c r="B90" s="17" t="n"/>
      <c r="C90" s="17" t="n"/>
      <c r="D90" s="17" t="n"/>
      <c r="E90" s="19" t="n"/>
      <c r="F90" s="17" t="n"/>
      <c r="G90" s="12">
        <f>IF(A90="","",TEXT(A90,"yyyy-mm"))</f>
        <v/>
      </c>
    </row>
    <row r="91">
      <c r="A91" s="18" t="n"/>
      <c r="B91" s="17" t="n"/>
      <c r="C91" s="17" t="n"/>
      <c r="D91" s="17" t="n"/>
      <c r="E91" s="19" t="n"/>
      <c r="F91" s="17" t="n"/>
      <c r="G91" s="12">
        <f>IF(A91="","",TEXT(A91,"yyyy-mm"))</f>
        <v/>
      </c>
    </row>
    <row r="92">
      <c r="A92" s="18" t="n"/>
      <c r="B92" s="17" t="n"/>
      <c r="C92" s="17" t="n"/>
      <c r="D92" s="17" t="n"/>
      <c r="E92" s="19" t="n"/>
      <c r="F92" s="17" t="n"/>
      <c r="G92" s="12">
        <f>IF(A92="","",TEXT(A92,"yyyy-mm"))</f>
        <v/>
      </c>
    </row>
    <row r="93">
      <c r="A93" s="18" t="n"/>
      <c r="B93" s="17" t="n"/>
      <c r="C93" s="17" t="n"/>
      <c r="D93" s="17" t="n"/>
      <c r="E93" s="19" t="n"/>
      <c r="F93" s="17" t="n"/>
      <c r="G93" s="12">
        <f>IF(A93="","",TEXT(A93,"yyyy-mm"))</f>
        <v/>
      </c>
    </row>
    <row r="94">
      <c r="A94" s="18" t="n"/>
      <c r="B94" s="17" t="n"/>
      <c r="C94" s="17" t="n"/>
      <c r="D94" s="17" t="n"/>
      <c r="E94" s="19" t="n"/>
      <c r="F94" s="17" t="n"/>
      <c r="G94" s="12">
        <f>IF(A94="","",TEXT(A94,"yyyy-mm"))</f>
        <v/>
      </c>
    </row>
    <row r="95">
      <c r="A95" s="18" t="n"/>
      <c r="B95" s="17" t="n"/>
      <c r="C95" s="17" t="n"/>
      <c r="D95" s="17" t="n"/>
      <c r="E95" s="19" t="n"/>
      <c r="F95" s="17" t="n"/>
      <c r="G95" s="12">
        <f>IF(A95="","",TEXT(A95,"yyyy-mm"))</f>
        <v/>
      </c>
    </row>
    <row r="96">
      <c r="A96" s="18" t="n"/>
      <c r="B96" s="17" t="n"/>
      <c r="C96" s="17" t="n"/>
      <c r="D96" s="17" t="n"/>
      <c r="E96" s="19" t="n"/>
      <c r="F96" s="17" t="n"/>
      <c r="G96" s="12">
        <f>IF(A96="","",TEXT(A96,"yyyy-mm"))</f>
        <v/>
      </c>
    </row>
    <row r="97">
      <c r="A97" s="18" t="n"/>
      <c r="B97" s="17" t="n"/>
      <c r="C97" s="17" t="n"/>
      <c r="D97" s="17" t="n"/>
      <c r="E97" s="19" t="n"/>
      <c r="F97" s="17" t="n"/>
      <c r="G97" s="12">
        <f>IF(A97="","",TEXT(A97,"yyyy-mm"))</f>
        <v/>
      </c>
    </row>
    <row r="98">
      <c r="A98" s="18" t="n"/>
      <c r="B98" s="17" t="n"/>
      <c r="C98" s="17" t="n"/>
      <c r="D98" s="17" t="n"/>
      <c r="E98" s="19" t="n"/>
      <c r="F98" s="17" t="n"/>
      <c r="G98" s="12">
        <f>IF(A98="","",TEXT(A98,"yyyy-mm"))</f>
        <v/>
      </c>
    </row>
    <row r="99">
      <c r="A99" s="18" t="n"/>
      <c r="B99" s="17" t="n"/>
      <c r="C99" s="17" t="n"/>
      <c r="D99" s="17" t="n"/>
      <c r="E99" s="19" t="n"/>
      <c r="F99" s="17" t="n"/>
      <c r="G99" s="12">
        <f>IF(A99="","",TEXT(A99,"yyyy-mm"))</f>
        <v/>
      </c>
    </row>
    <row r="100">
      <c r="A100" s="18" t="n"/>
      <c r="B100" s="17" t="n"/>
      <c r="C100" s="17" t="n"/>
      <c r="D100" s="17" t="n"/>
      <c r="E100" s="19" t="n"/>
      <c r="F100" s="17" t="n"/>
      <c r="G100" s="12">
        <f>IF(A100="","",TEXT(A100,"yyyy-mm"))</f>
        <v/>
      </c>
    </row>
    <row r="101">
      <c r="A101" s="18" t="n"/>
      <c r="B101" s="17" t="n"/>
      <c r="C101" s="17" t="n"/>
      <c r="D101" s="17" t="n"/>
      <c r="E101" s="19" t="n"/>
      <c r="F101" s="17" t="n"/>
      <c r="G101" s="12">
        <f>IF(A101="","",TEXT(A101,"yyyy-mm"))</f>
        <v/>
      </c>
    </row>
    <row r="102">
      <c r="A102" s="18" t="n"/>
      <c r="B102" s="17" t="n"/>
      <c r="C102" s="17" t="n"/>
      <c r="D102" s="17" t="n"/>
      <c r="E102" s="19" t="n"/>
      <c r="F102" s="17" t="n"/>
      <c r="G102" s="12">
        <f>IF(A102="","",TEXT(A102,"yyyy-mm"))</f>
        <v/>
      </c>
    </row>
    <row r="103">
      <c r="A103" s="18" t="n"/>
      <c r="B103" s="17" t="n"/>
      <c r="C103" s="17" t="n"/>
      <c r="D103" s="17" t="n"/>
      <c r="E103" s="19" t="n"/>
      <c r="F103" s="17" t="n"/>
      <c r="G103" s="12">
        <f>IF(A103="","",TEXT(A103,"yyyy-mm"))</f>
        <v/>
      </c>
    </row>
    <row r="104">
      <c r="A104" s="18" t="n"/>
      <c r="B104" s="17" t="n"/>
      <c r="C104" s="17" t="n"/>
      <c r="D104" s="17" t="n"/>
      <c r="E104" s="19" t="n"/>
      <c r="F104" s="17" t="n"/>
      <c r="G104" s="12">
        <f>IF(A104="","",TEXT(A104,"yyyy-mm"))</f>
        <v/>
      </c>
    </row>
    <row r="105">
      <c r="A105" s="18" t="n"/>
      <c r="B105" s="17" t="n"/>
      <c r="C105" s="17" t="n"/>
      <c r="D105" s="17" t="n"/>
      <c r="E105" s="19" t="n"/>
      <c r="F105" s="17" t="n"/>
      <c r="G105" s="12">
        <f>IF(A105="","",TEXT(A105,"yyyy-mm"))</f>
        <v/>
      </c>
    </row>
    <row r="106">
      <c r="A106" s="18" t="n"/>
      <c r="B106" s="17" t="n"/>
      <c r="C106" s="17" t="n"/>
      <c r="D106" s="17" t="n"/>
      <c r="E106" s="19" t="n"/>
      <c r="F106" s="17" t="n"/>
      <c r="G106" s="12">
        <f>IF(A106="","",TEXT(A106,"yyyy-mm"))</f>
        <v/>
      </c>
    </row>
    <row r="107">
      <c r="A107" s="18" t="n"/>
      <c r="B107" s="17" t="n"/>
      <c r="C107" s="17" t="n"/>
      <c r="D107" s="17" t="n"/>
      <c r="E107" s="19" t="n"/>
      <c r="F107" s="17" t="n"/>
      <c r="G107" s="12">
        <f>IF(A107="","",TEXT(A107,"yyyy-mm"))</f>
        <v/>
      </c>
    </row>
    <row r="108">
      <c r="A108" s="18" t="n"/>
      <c r="B108" s="17" t="n"/>
      <c r="C108" s="17" t="n"/>
      <c r="D108" s="17" t="n"/>
      <c r="E108" s="19" t="n"/>
      <c r="F108" s="17" t="n"/>
      <c r="G108" s="12">
        <f>IF(A108="","",TEXT(A108,"yyyy-mm"))</f>
        <v/>
      </c>
    </row>
    <row r="109">
      <c r="A109" s="18" t="n"/>
      <c r="B109" s="17" t="n"/>
      <c r="C109" s="17" t="n"/>
      <c r="D109" s="17" t="n"/>
      <c r="E109" s="19" t="n"/>
      <c r="F109" s="17" t="n"/>
      <c r="G109" s="12">
        <f>IF(A109="","",TEXT(A109,"yyyy-mm"))</f>
        <v/>
      </c>
    </row>
    <row r="110">
      <c r="A110" s="18" t="n"/>
      <c r="B110" s="17" t="n"/>
      <c r="C110" s="17" t="n"/>
      <c r="D110" s="17" t="n"/>
      <c r="E110" s="19" t="n"/>
      <c r="F110" s="17" t="n"/>
      <c r="G110" s="12">
        <f>IF(A110="","",TEXT(A110,"yyyy-mm"))</f>
        <v/>
      </c>
    </row>
    <row r="111">
      <c r="A111" s="18" t="n"/>
      <c r="B111" s="17" t="n"/>
      <c r="C111" s="17" t="n"/>
      <c r="D111" s="17" t="n"/>
      <c r="E111" s="19" t="n"/>
      <c r="F111" s="17" t="n"/>
      <c r="G111" s="12">
        <f>IF(A111="","",TEXT(A111,"yyyy-mm"))</f>
        <v/>
      </c>
    </row>
    <row r="112">
      <c r="A112" s="18" t="n"/>
      <c r="B112" s="17" t="n"/>
      <c r="C112" s="17" t="n"/>
      <c r="D112" s="17" t="n"/>
      <c r="E112" s="19" t="n"/>
      <c r="F112" s="17" t="n"/>
      <c r="G112" s="12">
        <f>IF(A112="","",TEXT(A112,"yyyy-mm"))</f>
        <v/>
      </c>
    </row>
    <row r="113">
      <c r="A113" s="18" t="n"/>
      <c r="B113" s="17" t="n"/>
      <c r="C113" s="17" t="n"/>
      <c r="D113" s="17" t="n"/>
      <c r="E113" s="19" t="n"/>
      <c r="F113" s="17" t="n"/>
      <c r="G113" s="12">
        <f>IF(A113="","",TEXT(A113,"yyyy-mm"))</f>
        <v/>
      </c>
    </row>
    <row r="114">
      <c r="A114" s="18" t="n"/>
      <c r="B114" s="17" t="n"/>
      <c r="C114" s="17" t="n"/>
      <c r="D114" s="17" t="n"/>
      <c r="E114" s="19" t="n"/>
      <c r="F114" s="17" t="n"/>
      <c r="G114" s="12">
        <f>IF(A114="","",TEXT(A114,"yyyy-mm"))</f>
        <v/>
      </c>
    </row>
    <row r="115">
      <c r="A115" s="18" t="n"/>
      <c r="B115" s="17" t="n"/>
      <c r="C115" s="17" t="n"/>
      <c r="D115" s="17" t="n"/>
      <c r="E115" s="19" t="n"/>
      <c r="F115" s="17" t="n"/>
      <c r="G115" s="12">
        <f>IF(A115="","",TEXT(A115,"yyyy-mm"))</f>
        <v/>
      </c>
    </row>
    <row r="116">
      <c r="A116" s="18" t="n"/>
      <c r="B116" s="17" t="n"/>
      <c r="C116" s="17" t="n"/>
      <c r="D116" s="17" t="n"/>
      <c r="E116" s="19" t="n"/>
      <c r="F116" s="17" t="n"/>
      <c r="G116" s="12">
        <f>IF(A116="","",TEXT(A116,"yyyy-mm"))</f>
        <v/>
      </c>
    </row>
    <row r="117">
      <c r="A117" s="18" t="n"/>
      <c r="B117" s="17" t="n"/>
      <c r="C117" s="17" t="n"/>
      <c r="D117" s="17" t="n"/>
      <c r="E117" s="19" t="n"/>
      <c r="F117" s="17" t="n"/>
      <c r="G117" s="12">
        <f>IF(A117="","",TEXT(A117,"yyyy-mm"))</f>
        <v/>
      </c>
    </row>
    <row r="118">
      <c r="A118" s="18" t="n"/>
      <c r="B118" s="17" t="n"/>
      <c r="C118" s="17" t="n"/>
      <c r="D118" s="17" t="n"/>
      <c r="E118" s="19" t="n"/>
      <c r="F118" s="17" t="n"/>
      <c r="G118" s="12">
        <f>IF(A118="","",TEXT(A118,"yyyy-mm"))</f>
        <v/>
      </c>
    </row>
    <row r="119">
      <c r="A119" s="18" t="n"/>
      <c r="B119" s="17" t="n"/>
      <c r="C119" s="17" t="n"/>
      <c r="D119" s="17" t="n"/>
      <c r="E119" s="19" t="n"/>
      <c r="F119" s="17" t="n"/>
      <c r="G119" s="12">
        <f>IF(A119="","",TEXT(A119,"yyyy-mm"))</f>
        <v/>
      </c>
    </row>
    <row r="120">
      <c r="A120" s="18" t="n"/>
      <c r="B120" s="17" t="n"/>
      <c r="C120" s="17" t="n"/>
      <c r="D120" s="17" t="n"/>
      <c r="E120" s="19" t="n"/>
      <c r="F120" s="17" t="n"/>
      <c r="G120" s="12">
        <f>IF(A120="","",TEXT(A120,"yyyy-mm"))</f>
        <v/>
      </c>
    </row>
    <row r="121">
      <c r="A121" s="18" t="n"/>
      <c r="B121" s="17" t="n"/>
      <c r="C121" s="17" t="n"/>
      <c r="D121" s="17" t="n"/>
      <c r="E121" s="19" t="n"/>
      <c r="F121" s="17" t="n"/>
      <c r="G121" s="12">
        <f>IF(A121="","",TEXT(A121,"yyyy-mm"))</f>
        <v/>
      </c>
    </row>
    <row r="122">
      <c r="A122" s="18" t="n"/>
      <c r="B122" s="17" t="n"/>
      <c r="C122" s="17" t="n"/>
      <c r="D122" s="17" t="n"/>
      <c r="E122" s="19" t="n"/>
      <c r="F122" s="17" t="n"/>
      <c r="G122" s="12">
        <f>IF(A122="","",TEXT(A122,"yyyy-mm"))</f>
        <v/>
      </c>
    </row>
    <row r="123">
      <c r="A123" s="18" t="n"/>
      <c r="B123" s="17" t="n"/>
      <c r="C123" s="17" t="n"/>
      <c r="D123" s="17" t="n"/>
      <c r="E123" s="19" t="n"/>
      <c r="F123" s="17" t="n"/>
      <c r="G123" s="12">
        <f>IF(A123="","",TEXT(A123,"yyyy-mm"))</f>
        <v/>
      </c>
    </row>
    <row r="124">
      <c r="A124" s="18" t="n"/>
      <c r="B124" s="17" t="n"/>
      <c r="C124" s="17" t="n"/>
      <c r="D124" s="17" t="n"/>
      <c r="E124" s="19" t="n"/>
      <c r="F124" s="17" t="n"/>
      <c r="G124" s="12">
        <f>IF(A124="","",TEXT(A124,"yyyy-mm"))</f>
        <v/>
      </c>
    </row>
    <row r="125">
      <c r="A125" s="18" t="n"/>
      <c r="B125" s="17" t="n"/>
      <c r="C125" s="17" t="n"/>
      <c r="D125" s="17" t="n"/>
      <c r="E125" s="19" t="n"/>
      <c r="F125" s="17" t="n"/>
      <c r="G125" s="12">
        <f>IF(A125="","",TEXT(A125,"yyyy-mm"))</f>
        <v/>
      </c>
    </row>
    <row r="126">
      <c r="A126" s="18" t="n"/>
      <c r="B126" s="17" t="n"/>
      <c r="C126" s="17" t="n"/>
      <c r="D126" s="17" t="n"/>
      <c r="E126" s="19" t="n"/>
      <c r="F126" s="17" t="n"/>
      <c r="G126" s="12">
        <f>IF(A126="","",TEXT(A126,"yyyy-mm"))</f>
        <v/>
      </c>
    </row>
    <row r="127">
      <c r="A127" s="18" t="n"/>
      <c r="B127" s="17" t="n"/>
      <c r="C127" s="17" t="n"/>
      <c r="D127" s="17" t="n"/>
      <c r="E127" s="19" t="n"/>
      <c r="F127" s="17" t="n"/>
      <c r="G127" s="12">
        <f>IF(A127="","",TEXT(A127,"yyyy-mm"))</f>
        <v/>
      </c>
    </row>
    <row r="128">
      <c r="A128" s="18" t="n"/>
      <c r="B128" s="17" t="n"/>
      <c r="C128" s="17" t="n"/>
      <c r="D128" s="17" t="n"/>
      <c r="E128" s="19" t="n"/>
      <c r="F128" s="17" t="n"/>
      <c r="G128" s="12">
        <f>IF(A128="","",TEXT(A128,"yyyy-mm"))</f>
        <v/>
      </c>
    </row>
    <row r="129">
      <c r="A129" s="18" t="n"/>
      <c r="B129" s="17" t="n"/>
      <c r="C129" s="17" t="n"/>
      <c r="D129" s="17" t="n"/>
      <c r="E129" s="19" t="n"/>
      <c r="F129" s="17" t="n"/>
      <c r="G129" s="12">
        <f>IF(A129="","",TEXT(A129,"yyyy-mm"))</f>
        <v/>
      </c>
    </row>
    <row r="130">
      <c r="A130" s="18" t="n"/>
      <c r="B130" s="17" t="n"/>
      <c r="C130" s="17" t="n"/>
      <c r="D130" s="17" t="n"/>
      <c r="E130" s="19" t="n"/>
      <c r="F130" s="17" t="n"/>
      <c r="G130" s="12">
        <f>IF(A130="","",TEXT(A130,"yyyy-mm"))</f>
        <v/>
      </c>
    </row>
    <row r="131">
      <c r="A131" s="18" t="n"/>
      <c r="B131" s="17" t="n"/>
      <c r="C131" s="17" t="n"/>
      <c r="D131" s="17" t="n"/>
      <c r="E131" s="19" t="n"/>
      <c r="F131" s="17" t="n"/>
      <c r="G131" s="12">
        <f>IF(A131="","",TEXT(A131,"yyyy-mm"))</f>
        <v/>
      </c>
    </row>
    <row r="132">
      <c r="A132" s="18" t="n"/>
      <c r="B132" s="17" t="n"/>
      <c r="C132" s="17" t="n"/>
      <c r="D132" s="17" t="n"/>
      <c r="E132" s="19" t="n"/>
      <c r="F132" s="17" t="n"/>
      <c r="G132" s="12">
        <f>IF(A132="","",TEXT(A132,"yyyy-mm"))</f>
        <v/>
      </c>
    </row>
    <row r="133">
      <c r="A133" s="18" t="n"/>
      <c r="B133" s="17" t="n"/>
      <c r="C133" s="17" t="n"/>
      <c r="D133" s="17" t="n"/>
      <c r="E133" s="19" t="n"/>
      <c r="F133" s="17" t="n"/>
      <c r="G133" s="12">
        <f>IF(A133="","",TEXT(A133,"yyyy-mm"))</f>
        <v/>
      </c>
    </row>
    <row r="134">
      <c r="A134" s="18" t="n"/>
      <c r="B134" s="17" t="n"/>
      <c r="C134" s="17" t="n"/>
      <c r="D134" s="17" t="n"/>
      <c r="E134" s="19" t="n"/>
      <c r="F134" s="17" t="n"/>
      <c r="G134" s="12">
        <f>IF(A134="","",TEXT(A134,"yyyy-mm"))</f>
        <v/>
      </c>
    </row>
    <row r="135">
      <c r="A135" s="18" t="n"/>
      <c r="B135" s="17" t="n"/>
      <c r="C135" s="17" t="n"/>
      <c r="D135" s="17" t="n"/>
      <c r="E135" s="19" t="n"/>
      <c r="F135" s="17" t="n"/>
      <c r="G135" s="12">
        <f>IF(A135="","",TEXT(A135,"yyyy-mm"))</f>
        <v/>
      </c>
    </row>
    <row r="136">
      <c r="A136" s="18" t="n"/>
      <c r="B136" s="17" t="n"/>
      <c r="C136" s="17" t="n"/>
      <c r="D136" s="17" t="n"/>
      <c r="E136" s="19" t="n"/>
      <c r="F136" s="17" t="n"/>
      <c r="G136" s="12">
        <f>IF(A136="","",TEXT(A136,"yyyy-mm"))</f>
        <v/>
      </c>
    </row>
    <row r="137">
      <c r="A137" s="18" t="n"/>
      <c r="B137" s="17" t="n"/>
      <c r="C137" s="17" t="n"/>
      <c r="D137" s="17" t="n"/>
      <c r="E137" s="19" t="n"/>
      <c r="F137" s="17" t="n"/>
      <c r="G137" s="12">
        <f>IF(A137="","",TEXT(A137,"yyyy-mm"))</f>
        <v/>
      </c>
    </row>
    <row r="138">
      <c r="A138" s="18" t="n"/>
      <c r="B138" s="17" t="n"/>
      <c r="C138" s="17" t="n"/>
      <c r="D138" s="17" t="n"/>
      <c r="E138" s="19" t="n"/>
      <c r="F138" s="17" t="n"/>
      <c r="G138" s="12">
        <f>IF(A138="","",TEXT(A138,"yyyy-mm"))</f>
        <v/>
      </c>
    </row>
    <row r="139">
      <c r="A139" s="18" t="n"/>
      <c r="B139" s="17" t="n"/>
      <c r="C139" s="17" t="n"/>
      <c r="D139" s="17" t="n"/>
      <c r="E139" s="19" t="n"/>
      <c r="F139" s="17" t="n"/>
      <c r="G139" s="12">
        <f>IF(A139="","",TEXT(A139,"yyyy-mm"))</f>
        <v/>
      </c>
    </row>
    <row r="140">
      <c r="A140" s="18" t="n"/>
      <c r="B140" s="17" t="n"/>
      <c r="C140" s="17" t="n"/>
      <c r="D140" s="17" t="n"/>
      <c r="E140" s="19" t="n"/>
      <c r="F140" s="17" t="n"/>
      <c r="G140" s="12">
        <f>IF(A140="","",TEXT(A140,"yyyy-mm"))</f>
        <v/>
      </c>
    </row>
    <row r="141">
      <c r="A141" s="18" t="n"/>
      <c r="B141" s="17" t="n"/>
      <c r="C141" s="17" t="n"/>
      <c r="D141" s="17" t="n"/>
      <c r="E141" s="19" t="n"/>
      <c r="F141" s="17" t="n"/>
      <c r="G141" s="12">
        <f>IF(A141="","",TEXT(A141,"yyyy-mm"))</f>
        <v/>
      </c>
    </row>
    <row r="142">
      <c r="A142" s="18" t="n"/>
      <c r="B142" s="17" t="n"/>
      <c r="C142" s="17" t="n"/>
      <c r="D142" s="17" t="n"/>
      <c r="E142" s="19" t="n"/>
      <c r="F142" s="17" t="n"/>
      <c r="G142" s="12">
        <f>IF(A142="","",TEXT(A142,"yyyy-mm"))</f>
        <v/>
      </c>
    </row>
    <row r="143">
      <c r="A143" s="18" t="n"/>
      <c r="B143" s="17" t="n"/>
      <c r="C143" s="17" t="n"/>
      <c r="D143" s="17" t="n"/>
      <c r="E143" s="19" t="n"/>
      <c r="F143" s="17" t="n"/>
      <c r="G143" s="12">
        <f>IF(A143="","",TEXT(A143,"yyyy-mm"))</f>
        <v/>
      </c>
    </row>
    <row r="144">
      <c r="A144" s="18" t="n"/>
      <c r="B144" s="17" t="n"/>
      <c r="C144" s="17" t="n"/>
      <c r="D144" s="17" t="n"/>
      <c r="E144" s="19" t="n"/>
      <c r="F144" s="17" t="n"/>
      <c r="G144" s="12">
        <f>IF(A144="","",TEXT(A144,"yyyy-mm"))</f>
        <v/>
      </c>
    </row>
    <row r="145">
      <c r="A145" s="18" t="n"/>
      <c r="B145" s="17" t="n"/>
      <c r="C145" s="17" t="n"/>
      <c r="D145" s="17" t="n"/>
      <c r="E145" s="19" t="n"/>
      <c r="F145" s="17" t="n"/>
      <c r="G145" s="12">
        <f>IF(A145="","",TEXT(A145,"yyyy-mm"))</f>
        <v/>
      </c>
    </row>
    <row r="146">
      <c r="A146" s="18" t="n"/>
      <c r="B146" s="17" t="n"/>
      <c r="C146" s="17" t="n"/>
      <c r="D146" s="17" t="n"/>
      <c r="E146" s="19" t="n"/>
      <c r="F146" s="17" t="n"/>
      <c r="G146" s="12">
        <f>IF(A146="","",TEXT(A146,"yyyy-mm"))</f>
        <v/>
      </c>
    </row>
    <row r="147">
      <c r="A147" s="18" t="n"/>
      <c r="B147" s="17" t="n"/>
      <c r="C147" s="17" t="n"/>
      <c r="D147" s="17" t="n"/>
      <c r="E147" s="19" t="n"/>
      <c r="F147" s="17" t="n"/>
      <c r="G147" s="12">
        <f>IF(A147="","",TEXT(A147,"yyyy-mm"))</f>
        <v/>
      </c>
    </row>
    <row r="148">
      <c r="A148" s="18" t="n"/>
      <c r="B148" s="17" t="n"/>
      <c r="C148" s="17" t="n"/>
      <c r="D148" s="17" t="n"/>
      <c r="E148" s="19" t="n"/>
      <c r="F148" s="17" t="n"/>
      <c r="G148" s="12">
        <f>IF(A148="","",TEXT(A148,"yyyy-mm"))</f>
        <v/>
      </c>
    </row>
    <row r="149">
      <c r="A149" s="18" t="n"/>
      <c r="B149" s="17" t="n"/>
      <c r="C149" s="17" t="n"/>
      <c r="D149" s="17" t="n"/>
      <c r="E149" s="19" t="n"/>
      <c r="F149" s="17" t="n"/>
      <c r="G149" s="12">
        <f>IF(A149="","",TEXT(A149,"yyyy-mm"))</f>
        <v/>
      </c>
    </row>
    <row r="150">
      <c r="A150" s="18" t="n"/>
      <c r="B150" s="17" t="n"/>
      <c r="C150" s="17" t="n"/>
      <c r="D150" s="17" t="n"/>
      <c r="E150" s="19" t="n"/>
      <c r="F150" s="17" t="n"/>
      <c r="G150" s="12">
        <f>IF(A150="","",TEXT(A150,"yyyy-mm"))</f>
        <v/>
      </c>
    </row>
    <row r="151">
      <c r="A151" s="18" t="n"/>
      <c r="B151" s="17" t="n"/>
      <c r="C151" s="17" t="n"/>
      <c r="D151" s="17" t="n"/>
      <c r="E151" s="19" t="n"/>
      <c r="F151" s="17" t="n"/>
      <c r="G151" s="12">
        <f>IF(A151="","",TEXT(A151,"yyyy-mm"))</f>
        <v/>
      </c>
    </row>
    <row r="152">
      <c r="A152" s="18" t="n"/>
      <c r="B152" s="17" t="n"/>
      <c r="C152" s="17" t="n"/>
      <c r="D152" s="17" t="n"/>
      <c r="E152" s="19" t="n"/>
      <c r="F152" s="17" t="n"/>
      <c r="G152" s="12">
        <f>IF(A152="","",TEXT(A152,"yyyy-mm"))</f>
        <v/>
      </c>
    </row>
    <row r="153">
      <c r="A153" s="18" t="n"/>
      <c r="B153" s="17" t="n"/>
      <c r="C153" s="17" t="n"/>
      <c r="D153" s="17" t="n"/>
      <c r="E153" s="19" t="n"/>
      <c r="F153" s="17" t="n"/>
      <c r="G153" s="12">
        <f>IF(A153="","",TEXT(A153,"yyyy-mm"))</f>
        <v/>
      </c>
    </row>
    <row r="154">
      <c r="A154" s="18" t="n"/>
      <c r="B154" s="17" t="n"/>
      <c r="C154" s="17" t="n"/>
      <c r="D154" s="17" t="n"/>
      <c r="E154" s="19" t="n"/>
      <c r="F154" s="17" t="n"/>
      <c r="G154" s="12">
        <f>IF(A154="","",TEXT(A154,"yyyy-mm"))</f>
        <v/>
      </c>
    </row>
    <row r="155">
      <c r="A155" s="18" t="n"/>
      <c r="B155" s="17" t="n"/>
      <c r="C155" s="17" t="n"/>
      <c r="D155" s="17" t="n"/>
      <c r="E155" s="19" t="n"/>
      <c r="F155" s="17" t="n"/>
      <c r="G155" s="12">
        <f>IF(A155="","",TEXT(A155,"yyyy-mm"))</f>
        <v/>
      </c>
    </row>
    <row r="156">
      <c r="A156" s="18" t="n"/>
      <c r="B156" s="17" t="n"/>
      <c r="C156" s="17" t="n"/>
      <c r="D156" s="17" t="n"/>
      <c r="E156" s="19" t="n"/>
      <c r="F156" s="17" t="n"/>
      <c r="G156" s="12">
        <f>IF(A156="","",TEXT(A156,"yyyy-mm"))</f>
        <v/>
      </c>
    </row>
    <row r="157">
      <c r="A157" s="18" t="n"/>
      <c r="B157" s="17" t="n"/>
      <c r="C157" s="17" t="n"/>
      <c r="D157" s="17" t="n"/>
      <c r="E157" s="19" t="n"/>
      <c r="F157" s="17" t="n"/>
      <c r="G157" s="12">
        <f>IF(A157="","",TEXT(A157,"yyyy-mm"))</f>
        <v/>
      </c>
    </row>
    <row r="158">
      <c r="A158" s="18" t="n"/>
      <c r="B158" s="17" t="n"/>
      <c r="C158" s="17" t="n"/>
      <c r="D158" s="17" t="n"/>
      <c r="E158" s="19" t="n"/>
      <c r="F158" s="17" t="n"/>
      <c r="G158" s="12">
        <f>IF(A158="","",TEXT(A158,"yyyy-mm"))</f>
        <v/>
      </c>
    </row>
    <row r="159">
      <c r="A159" s="18" t="n"/>
      <c r="B159" s="17" t="n"/>
      <c r="C159" s="17" t="n"/>
      <c r="D159" s="17" t="n"/>
      <c r="E159" s="19" t="n"/>
      <c r="F159" s="17" t="n"/>
      <c r="G159" s="12">
        <f>IF(A159="","",TEXT(A159,"yyyy-mm"))</f>
        <v/>
      </c>
    </row>
    <row r="160">
      <c r="A160" s="18" t="n"/>
      <c r="B160" s="17" t="n"/>
      <c r="C160" s="17" t="n"/>
      <c r="D160" s="17" t="n"/>
      <c r="E160" s="19" t="n"/>
      <c r="F160" s="17" t="n"/>
      <c r="G160" s="12">
        <f>IF(A160="","",TEXT(A160,"yyyy-mm"))</f>
        <v/>
      </c>
    </row>
    <row r="161">
      <c r="A161" s="18" t="n"/>
      <c r="B161" s="17" t="n"/>
      <c r="C161" s="17" t="n"/>
      <c r="D161" s="17" t="n"/>
      <c r="E161" s="19" t="n"/>
      <c r="F161" s="17" t="n"/>
      <c r="G161" s="12">
        <f>IF(A161="","",TEXT(A161,"yyyy-mm"))</f>
        <v/>
      </c>
    </row>
    <row r="162">
      <c r="A162" s="18" t="n"/>
      <c r="B162" s="17" t="n"/>
      <c r="C162" s="17" t="n"/>
      <c r="D162" s="17" t="n"/>
      <c r="E162" s="19" t="n"/>
      <c r="F162" s="17" t="n"/>
      <c r="G162" s="12">
        <f>IF(A162="","",TEXT(A162,"yyyy-mm"))</f>
        <v/>
      </c>
    </row>
    <row r="163">
      <c r="A163" s="18" t="n"/>
      <c r="B163" s="17" t="n"/>
      <c r="C163" s="17" t="n"/>
      <c r="D163" s="17" t="n"/>
      <c r="E163" s="19" t="n"/>
      <c r="F163" s="17" t="n"/>
      <c r="G163" s="12">
        <f>IF(A163="","",TEXT(A163,"yyyy-mm"))</f>
        <v/>
      </c>
    </row>
    <row r="164">
      <c r="A164" s="18" t="n"/>
      <c r="B164" s="17" t="n"/>
      <c r="C164" s="17" t="n"/>
      <c r="D164" s="17" t="n"/>
      <c r="E164" s="19" t="n"/>
      <c r="F164" s="17" t="n"/>
      <c r="G164" s="12">
        <f>IF(A164="","",TEXT(A164,"yyyy-mm"))</f>
        <v/>
      </c>
    </row>
    <row r="165">
      <c r="A165" s="18" t="n"/>
      <c r="B165" s="17" t="n"/>
      <c r="C165" s="17" t="n"/>
      <c r="D165" s="17" t="n"/>
      <c r="E165" s="19" t="n"/>
      <c r="F165" s="17" t="n"/>
      <c r="G165" s="12">
        <f>IF(A165="","",TEXT(A165,"yyyy-mm"))</f>
        <v/>
      </c>
    </row>
    <row r="166">
      <c r="A166" s="18" t="n"/>
      <c r="B166" s="17" t="n"/>
      <c r="C166" s="17" t="n"/>
      <c r="D166" s="17" t="n"/>
      <c r="E166" s="19" t="n"/>
      <c r="F166" s="17" t="n"/>
      <c r="G166" s="12">
        <f>IF(A166="","",TEXT(A166,"yyyy-mm"))</f>
        <v/>
      </c>
    </row>
    <row r="167">
      <c r="A167" s="18" t="n"/>
      <c r="B167" s="17" t="n"/>
      <c r="C167" s="17" t="n"/>
      <c r="D167" s="17" t="n"/>
      <c r="E167" s="19" t="n"/>
      <c r="F167" s="17" t="n"/>
      <c r="G167" s="12">
        <f>IF(A167="","",TEXT(A167,"yyyy-mm"))</f>
        <v/>
      </c>
    </row>
    <row r="168">
      <c r="A168" s="18" t="n"/>
      <c r="B168" s="17" t="n"/>
      <c r="C168" s="17" t="n"/>
      <c r="D168" s="17" t="n"/>
      <c r="E168" s="19" t="n"/>
      <c r="F168" s="17" t="n"/>
      <c r="G168" s="12">
        <f>IF(A168="","",TEXT(A168,"yyyy-mm"))</f>
        <v/>
      </c>
    </row>
    <row r="169">
      <c r="A169" s="18" t="n"/>
      <c r="B169" s="17" t="n"/>
      <c r="C169" s="17" t="n"/>
      <c r="D169" s="17" t="n"/>
      <c r="E169" s="19" t="n"/>
      <c r="F169" s="17" t="n"/>
      <c r="G169" s="12">
        <f>IF(A169="","",TEXT(A169,"yyyy-mm"))</f>
        <v/>
      </c>
    </row>
    <row r="170">
      <c r="A170" s="18" t="n"/>
      <c r="B170" s="17" t="n"/>
      <c r="C170" s="17" t="n"/>
      <c r="D170" s="17" t="n"/>
      <c r="E170" s="19" t="n"/>
      <c r="F170" s="17" t="n"/>
      <c r="G170" s="12">
        <f>IF(A170="","",TEXT(A170,"yyyy-mm"))</f>
        <v/>
      </c>
    </row>
    <row r="171">
      <c r="A171" s="18" t="n"/>
      <c r="B171" s="17" t="n"/>
      <c r="C171" s="17" t="n"/>
      <c r="D171" s="17" t="n"/>
      <c r="E171" s="19" t="n"/>
      <c r="F171" s="17" t="n"/>
      <c r="G171" s="12">
        <f>IF(A171="","",TEXT(A171,"yyyy-mm"))</f>
        <v/>
      </c>
    </row>
    <row r="172">
      <c r="A172" s="18" t="n"/>
      <c r="B172" s="17" t="n"/>
      <c r="C172" s="17" t="n"/>
      <c r="D172" s="17" t="n"/>
      <c r="E172" s="19" t="n"/>
      <c r="F172" s="17" t="n"/>
      <c r="G172" s="12">
        <f>IF(A172="","",TEXT(A172,"yyyy-mm"))</f>
        <v/>
      </c>
    </row>
    <row r="173">
      <c r="A173" s="18" t="n"/>
      <c r="B173" s="17" t="n"/>
      <c r="C173" s="17" t="n"/>
      <c r="D173" s="17" t="n"/>
      <c r="E173" s="19" t="n"/>
      <c r="F173" s="17" t="n"/>
      <c r="G173" s="12">
        <f>IF(A173="","",TEXT(A173,"yyyy-mm"))</f>
        <v/>
      </c>
    </row>
    <row r="174">
      <c r="A174" s="18" t="n"/>
      <c r="B174" s="17" t="n"/>
      <c r="C174" s="17" t="n"/>
      <c r="D174" s="17" t="n"/>
      <c r="E174" s="19" t="n"/>
      <c r="F174" s="17" t="n"/>
      <c r="G174" s="12">
        <f>IF(A174="","",TEXT(A174,"yyyy-mm"))</f>
        <v/>
      </c>
    </row>
    <row r="175">
      <c r="A175" s="18" t="n"/>
      <c r="B175" s="17" t="n"/>
      <c r="C175" s="17" t="n"/>
      <c r="D175" s="17" t="n"/>
      <c r="E175" s="19" t="n"/>
      <c r="F175" s="17" t="n"/>
      <c r="G175" s="12">
        <f>IF(A175="","",TEXT(A175,"yyyy-mm"))</f>
        <v/>
      </c>
    </row>
    <row r="176">
      <c r="A176" s="18" t="n"/>
      <c r="B176" s="17" t="n"/>
      <c r="C176" s="17" t="n"/>
      <c r="D176" s="17" t="n"/>
      <c r="E176" s="19" t="n"/>
      <c r="F176" s="17" t="n"/>
      <c r="G176" s="12">
        <f>IF(A176="","",TEXT(A176,"yyyy-mm"))</f>
        <v/>
      </c>
    </row>
    <row r="177">
      <c r="A177" s="18" t="n"/>
      <c r="B177" s="17" t="n"/>
      <c r="C177" s="17" t="n"/>
      <c r="D177" s="17" t="n"/>
      <c r="E177" s="19" t="n"/>
      <c r="F177" s="17" t="n"/>
      <c r="G177" s="12">
        <f>IF(A177="","",TEXT(A177,"yyyy-mm"))</f>
        <v/>
      </c>
    </row>
    <row r="178">
      <c r="A178" s="18" t="n"/>
      <c r="B178" s="17" t="n"/>
      <c r="C178" s="17" t="n"/>
      <c r="D178" s="17" t="n"/>
      <c r="E178" s="19" t="n"/>
      <c r="F178" s="17" t="n"/>
      <c r="G178" s="12">
        <f>IF(A178="","",TEXT(A178,"yyyy-mm"))</f>
        <v/>
      </c>
    </row>
    <row r="179">
      <c r="A179" s="18" t="n"/>
      <c r="B179" s="17" t="n"/>
      <c r="C179" s="17" t="n"/>
      <c r="D179" s="17" t="n"/>
      <c r="E179" s="19" t="n"/>
      <c r="F179" s="17" t="n"/>
      <c r="G179" s="12">
        <f>IF(A179="","",TEXT(A179,"yyyy-mm"))</f>
        <v/>
      </c>
    </row>
    <row r="180">
      <c r="A180" s="18" t="n"/>
      <c r="B180" s="17" t="n"/>
      <c r="C180" s="17" t="n"/>
      <c r="D180" s="17" t="n"/>
      <c r="E180" s="19" t="n"/>
      <c r="F180" s="17" t="n"/>
      <c r="G180" s="12">
        <f>IF(A180="","",TEXT(A180,"yyyy-mm"))</f>
        <v/>
      </c>
    </row>
    <row r="181">
      <c r="A181" s="18" t="n"/>
      <c r="B181" s="17" t="n"/>
      <c r="C181" s="17" t="n"/>
      <c r="D181" s="17" t="n"/>
      <c r="E181" s="19" t="n"/>
      <c r="F181" s="17" t="n"/>
      <c r="G181" s="12">
        <f>IF(A181="","",TEXT(A181,"yyyy-mm"))</f>
        <v/>
      </c>
    </row>
    <row r="182">
      <c r="A182" s="18" t="n"/>
      <c r="B182" s="17" t="n"/>
      <c r="C182" s="17" t="n"/>
      <c r="D182" s="17" t="n"/>
      <c r="E182" s="19" t="n"/>
      <c r="F182" s="17" t="n"/>
      <c r="G182" s="12">
        <f>IF(A182="","",TEXT(A182,"yyyy-mm"))</f>
        <v/>
      </c>
    </row>
    <row r="183">
      <c r="A183" s="18" t="n"/>
      <c r="B183" s="17" t="n"/>
      <c r="C183" s="17" t="n"/>
      <c r="D183" s="17" t="n"/>
      <c r="E183" s="19" t="n"/>
      <c r="F183" s="17" t="n"/>
      <c r="G183" s="12">
        <f>IF(A183="","",TEXT(A183,"yyyy-mm"))</f>
        <v/>
      </c>
    </row>
    <row r="184">
      <c r="A184" s="18" t="n"/>
      <c r="B184" s="17" t="n"/>
      <c r="C184" s="17" t="n"/>
      <c r="D184" s="17" t="n"/>
      <c r="E184" s="19" t="n"/>
      <c r="F184" s="17" t="n"/>
      <c r="G184" s="12">
        <f>IF(A184="","",TEXT(A184,"yyyy-mm"))</f>
        <v/>
      </c>
    </row>
    <row r="185">
      <c r="A185" s="18" t="n"/>
      <c r="B185" s="17" t="n"/>
      <c r="C185" s="17" t="n"/>
      <c r="D185" s="17" t="n"/>
      <c r="E185" s="19" t="n"/>
      <c r="F185" s="17" t="n"/>
      <c r="G185" s="12">
        <f>IF(A185="","",TEXT(A185,"yyyy-mm"))</f>
        <v/>
      </c>
    </row>
    <row r="186">
      <c r="A186" s="18" t="n"/>
      <c r="B186" s="17" t="n"/>
      <c r="C186" s="17" t="n"/>
      <c r="D186" s="17" t="n"/>
      <c r="E186" s="19" t="n"/>
      <c r="F186" s="17" t="n"/>
      <c r="G186" s="12">
        <f>IF(A186="","",TEXT(A186,"yyyy-mm"))</f>
        <v/>
      </c>
    </row>
    <row r="187">
      <c r="A187" s="18" t="n"/>
      <c r="B187" s="17" t="n"/>
      <c r="C187" s="17" t="n"/>
      <c r="D187" s="17" t="n"/>
      <c r="E187" s="19" t="n"/>
      <c r="F187" s="17" t="n"/>
      <c r="G187" s="12">
        <f>IF(A187="","",TEXT(A187,"yyyy-mm"))</f>
        <v/>
      </c>
    </row>
    <row r="188">
      <c r="A188" s="18" t="n"/>
      <c r="B188" s="17" t="n"/>
      <c r="C188" s="17" t="n"/>
      <c r="D188" s="17" t="n"/>
      <c r="E188" s="19" t="n"/>
      <c r="F188" s="17" t="n"/>
      <c r="G188" s="12">
        <f>IF(A188="","",TEXT(A188,"yyyy-mm"))</f>
        <v/>
      </c>
    </row>
    <row r="189">
      <c r="A189" s="18" t="n"/>
      <c r="B189" s="17" t="n"/>
      <c r="C189" s="17" t="n"/>
      <c r="D189" s="17" t="n"/>
      <c r="E189" s="19" t="n"/>
      <c r="F189" s="17" t="n"/>
      <c r="G189" s="12">
        <f>IF(A189="","",TEXT(A189,"yyyy-mm"))</f>
        <v/>
      </c>
    </row>
    <row r="190">
      <c r="A190" s="18" t="n"/>
      <c r="B190" s="17" t="n"/>
      <c r="C190" s="17" t="n"/>
      <c r="D190" s="17" t="n"/>
      <c r="E190" s="19" t="n"/>
      <c r="F190" s="17" t="n"/>
      <c r="G190" s="12">
        <f>IF(A190="","",TEXT(A190,"yyyy-mm"))</f>
        <v/>
      </c>
    </row>
    <row r="191">
      <c r="A191" s="18" t="n"/>
      <c r="B191" s="17" t="n"/>
      <c r="C191" s="17" t="n"/>
      <c r="D191" s="17" t="n"/>
      <c r="E191" s="19" t="n"/>
      <c r="F191" s="17" t="n"/>
      <c r="G191" s="12">
        <f>IF(A191="","",TEXT(A191,"yyyy-mm"))</f>
        <v/>
      </c>
    </row>
    <row r="192">
      <c r="A192" s="18" t="n"/>
      <c r="B192" s="17" t="n"/>
      <c r="C192" s="17" t="n"/>
      <c r="D192" s="17" t="n"/>
      <c r="E192" s="19" t="n"/>
      <c r="F192" s="17" t="n"/>
      <c r="G192" s="12">
        <f>IF(A192="","",TEXT(A192,"yyyy-mm"))</f>
        <v/>
      </c>
    </row>
    <row r="193">
      <c r="A193" s="18" t="n"/>
      <c r="B193" s="17" t="n"/>
      <c r="C193" s="17" t="n"/>
      <c r="D193" s="17" t="n"/>
      <c r="E193" s="19" t="n"/>
      <c r="F193" s="17" t="n"/>
      <c r="G193" s="12">
        <f>IF(A193="","",TEXT(A193,"yyyy-mm"))</f>
        <v/>
      </c>
    </row>
    <row r="194">
      <c r="A194" s="18" t="n"/>
      <c r="B194" s="17" t="n"/>
      <c r="C194" s="17" t="n"/>
      <c r="D194" s="17" t="n"/>
      <c r="E194" s="19" t="n"/>
      <c r="F194" s="17" t="n"/>
      <c r="G194" s="12">
        <f>IF(A194="","",TEXT(A194,"yyyy-mm"))</f>
        <v/>
      </c>
    </row>
    <row r="195">
      <c r="A195" s="18" t="n"/>
      <c r="B195" s="17" t="n"/>
      <c r="C195" s="17" t="n"/>
      <c r="D195" s="17" t="n"/>
      <c r="E195" s="19" t="n"/>
      <c r="F195" s="17" t="n"/>
      <c r="G195" s="12">
        <f>IF(A195="","",TEXT(A195,"yyyy-mm"))</f>
        <v/>
      </c>
    </row>
    <row r="196">
      <c r="A196" s="18" t="n"/>
      <c r="B196" s="17" t="n"/>
      <c r="C196" s="17" t="n"/>
      <c r="D196" s="17" t="n"/>
      <c r="E196" s="19" t="n"/>
      <c r="F196" s="17" t="n"/>
      <c r="G196" s="12">
        <f>IF(A196="","",TEXT(A196,"yyyy-mm"))</f>
        <v/>
      </c>
    </row>
    <row r="197">
      <c r="A197" s="18" t="n"/>
      <c r="B197" s="17" t="n"/>
      <c r="C197" s="17" t="n"/>
      <c r="D197" s="17" t="n"/>
      <c r="E197" s="19" t="n"/>
      <c r="F197" s="17" t="n"/>
      <c r="G197" s="12">
        <f>IF(A197="","",TEXT(A197,"yyyy-mm"))</f>
        <v/>
      </c>
    </row>
    <row r="198">
      <c r="A198" s="18" t="n"/>
      <c r="B198" s="17" t="n"/>
      <c r="C198" s="17" t="n"/>
      <c r="D198" s="17" t="n"/>
      <c r="E198" s="19" t="n"/>
      <c r="F198" s="17" t="n"/>
      <c r="G198" s="12">
        <f>IF(A198="","",TEXT(A198,"yyyy-mm"))</f>
        <v/>
      </c>
    </row>
    <row r="199">
      <c r="A199" s="18" t="n"/>
      <c r="B199" s="17" t="n"/>
      <c r="C199" s="17" t="n"/>
      <c r="D199" s="17" t="n"/>
      <c r="E199" s="19" t="n"/>
      <c r="F199" s="17" t="n"/>
      <c r="G199" s="12">
        <f>IF(A199="","",TEXT(A199,"yyyy-mm"))</f>
        <v/>
      </c>
    </row>
    <row r="200">
      <c r="A200" s="18" t="n"/>
      <c r="B200" s="17" t="n"/>
      <c r="C200" s="17" t="n"/>
      <c r="D200" s="17" t="n"/>
      <c r="E200" s="19" t="n"/>
      <c r="F200" s="17" t="n"/>
      <c r="G200" s="12">
        <f>IF(A200="","",TEXT(A200,"yyyy-mm"))</f>
        <v/>
      </c>
    </row>
    <row r="201">
      <c r="A201" s="18" t="n"/>
      <c r="B201" s="17" t="n"/>
      <c r="C201" s="17" t="n"/>
      <c r="D201" s="17" t="n"/>
      <c r="E201" s="19" t="n"/>
      <c r="F201" s="17" t="n"/>
      <c r="G201" s="12">
        <f>IF(A201="","",TEXT(A201,"yyyy-mm"))</f>
        <v/>
      </c>
    </row>
    <row r="202">
      <c r="A202" s="18" t="n"/>
      <c r="B202" s="17" t="n"/>
      <c r="C202" s="17" t="n"/>
      <c r="D202" s="17" t="n"/>
      <c r="E202" s="19" t="n"/>
      <c r="F202" s="17" t="n"/>
      <c r="G202" s="12">
        <f>IF(A202="","",TEXT(A202,"yyyy-mm"))</f>
        <v/>
      </c>
    </row>
    <row r="203">
      <c r="A203" s="18" t="n"/>
      <c r="B203" s="17" t="n"/>
      <c r="C203" s="17" t="n"/>
      <c r="D203" s="17" t="n"/>
      <c r="E203" s="19" t="n"/>
      <c r="F203" s="17" t="n"/>
      <c r="G203" s="12">
        <f>IF(A203="","",TEXT(A203,"yyyy-mm"))</f>
        <v/>
      </c>
    </row>
    <row r="204">
      <c r="A204" s="18" t="n"/>
      <c r="B204" s="17" t="n"/>
      <c r="C204" s="17" t="n"/>
      <c r="D204" s="17" t="n"/>
      <c r="E204" s="19" t="n"/>
      <c r="F204" s="17" t="n"/>
      <c r="G204" s="12">
        <f>IF(A204="","",TEXT(A204,"yyyy-mm"))</f>
        <v/>
      </c>
    </row>
    <row r="205">
      <c r="A205" s="18" t="n"/>
      <c r="B205" s="17" t="n"/>
      <c r="C205" s="17" t="n"/>
      <c r="D205" s="17" t="n"/>
      <c r="E205" s="19" t="n"/>
      <c r="F205" s="17" t="n"/>
      <c r="G205" s="12">
        <f>IF(A205="","",TEXT(A205,"yyyy-mm"))</f>
        <v/>
      </c>
    </row>
    <row r="206">
      <c r="A206" s="18" t="n"/>
      <c r="B206" s="17" t="n"/>
      <c r="C206" s="17" t="n"/>
      <c r="D206" s="17" t="n"/>
      <c r="E206" s="19" t="n"/>
      <c r="F206" s="17" t="n"/>
      <c r="G206" s="12">
        <f>IF(A206="","",TEXT(A206,"yyyy-mm"))</f>
        <v/>
      </c>
    </row>
    <row r="207">
      <c r="A207" s="18" t="n"/>
      <c r="B207" s="17" t="n"/>
      <c r="C207" s="17" t="n"/>
      <c r="D207" s="17" t="n"/>
      <c r="E207" s="19" t="n"/>
      <c r="F207" s="17" t="n"/>
      <c r="G207" s="12">
        <f>IF(A207="","",TEXT(A207,"yyyy-mm"))</f>
        <v/>
      </c>
    </row>
    <row r="208">
      <c r="A208" s="18" t="n"/>
      <c r="B208" s="17" t="n"/>
      <c r="C208" s="17" t="n"/>
      <c r="D208" s="17" t="n"/>
      <c r="E208" s="19" t="n"/>
      <c r="F208" s="17" t="n"/>
      <c r="G208" s="12">
        <f>IF(A208="","",TEXT(A208,"yyyy-mm"))</f>
        <v/>
      </c>
    </row>
    <row r="209">
      <c r="A209" s="18" t="n"/>
      <c r="B209" s="17" t="n"/>
      <c r="C209" s="17" t="n"/>
      <c r="D209" s="17" t="n"/>
      <c r="E209" s="19" t="n"/>
      <c r="F209" s="17" t="n"/>
      <c r="G209" s="12">
        <f>IF(A209="","",TEXT(A209,"yyyy-mm"))</f>
        <v/>
      </c>
    </row>
    <row r="210">
      <c r="A210" s="18" t="n"/>
      <c r="B210" s="17" t="n"/>
      <c r="C210" s="17" t="n"/>
      <c r="D210" s="17" t="n"/>
      <c r="E210" s="19" t="n"/>
      <c r="F210" s="17" t="n"/>
      <c r="G210" s="12">
        <f>IF(A210="","",TEXT(A210,"yyyy-mm"))</f>
        <v/>
      </c>
    </row>
    <row r="211">
      <c r="A211" s="18" t="n"/>
      <c r="B211" s="17" t="n"/>
      <c r="C211" s="17" t="n"/>
      <c r="D211" s="17" t="n"/>
      <c r="E211" s="19" t="n"/>
      <c r="F211" s="17" t="n"/>
      <c r="G211" s="12">
        <f>IF(A211="","",TEXT(A211,"yyyy-mm"))</f>
        <v/>
      </c>
    </row>
    <row r="212">
      <c r="A212" s="18" t="n"/>
      <c r="B212" s="17" t="n"/>
      <c r="C212" s="17" t="n"/>
      <c r="D212" s="17" t="n"/>
      <c r="E212" s="19" t="n"/>
      <c r="F212" s="17" t="n"/>
      <c r="G212" s="12">
        <f>IF(A212="","",TEXT(A212,"yyyy-mm"))</f>
        <v/>
      </c>
    </row>
    <row r="213">
      <c r="A213" s="18" t="n"/>
      <c r="B213" s="17" t="n"/>
      <c r="C213" s="17" t="n"/>
      <c r="D213" s="17" t="n"/>
      <c r="E213" s="19" t="n"/>
      <c r="F213" s="17" t="n"/>
      <c r="G213" s="12">
        <f>IF(A213="","",TEXT(A213,"yyyy-mm"))</f>
        <v/>
      </c>
    </row>
    <row r="214">
      <c r="A214" s="18" t="n"/>
      <c r="B214" s="17" t="n"/>
      <c r="C214" s="17" t="n"/>
      <c r="D214" s="17" t="n"/>
      <c r="E214" s="19" t="n"/>
      <c r="F214" s="17" t="n"/>
      <c r="G214" s="12">
        <f>IF(A214="","",TEXT(A214,"yyyy-mm"))</f>
        <v/>
      </c>
    </row>
    <row r="215">
      <c r="A215" s="18" t="n"/>
      <c r="B215" s="17" t="n"/>
      <c r="C215" s="17" t="n"/>
      <c r="D215" s="17" t="n"/>
      <c r="E215" s="19" t="n"/>
      <c r="F215" s="17" t="n"/>
      <c r="G215" s="12">
        <f>IF(A215="","",TEXT(A215,"yyyy-mm"))</f>
        <v/>
      </c>
    </row>
    <row r="216">
      <c r="A216" s="18" t="n"/>
      <c r="B216" s="17" t="n"/>
      <c r="C216" s="17" t="n"/>
      <c r="D216" s="17" t="n"/>
      <c r="E216" s="19" t="n"/>
      <c r="F216" s="17" t="n"/>
      <c r="G216" s="12">
        <f>IF(A216="","",TEXT(A216,"yyyy-mm"))</f>
        <v/>
      </c>
    </row>
    <row r="217">
      <c r="A217" s="18" t="n"/>
      <c r="B217" s="17" t="n"/>
      <c r="C217" s="17" t="n"/>
      <c r="D217" s="17" t="n"/>
      <c r="E217" s="19" t="n"/>
      <c r="F217" s="17" t="n"/>
      <c r="G217" s="12">
        <f>IF(A217="","",TEXT(A217,"yyyy-mm"))</f>
        <v/>
      </c>
    </row>
    <row r="218">
      <c r="A218" s="18" t="n"/>
      <c r="B218" s="17" t="n"/>
      <c r="C218" s="17" t="n"/>
      <c r="D218" s="17" t="n"/>
      <c r="E218" s="19" t="n"/>
      <c r="F218" s="17" t="n"/>
      <c r="G218" s="12">
        <f>IF(A218="","",TEXT(A218,"yyyy-mm"))</f>
        <v/>
      </c>
    </row>
    <row r="219">
      <c r="A219" s="18" t="n"/>
      <c r="B219" s="17" t="n"/>
      <c r="C219" s="17" t="n"/>
      <c r="D219" s="17" t="n"/>
      <c r="E219" s="19" t="n"/>
      <c r="F219" s="17" t="n"/>
      <c r="G219" s="12">
        <f>IF(A219="","",TEXT(A219,"yyyy-mm"))</f>
        <v/>
      </c>
    </row>
    <row r="220">
      <c r="A220" s="18" t="n"/>
      <c r="B220" s="17" t="n"/>
      <c r="C220" s="17" t="n"/>
      <c r="D220" s="17" t="n"/>
      <c r="E220" s="19" t="n"/>
      <c r="F220" s="17" t="n"/>
      <c r="G220" s="12">
        <f>IF(A220="","",TEXT(A220,"yyyy-mm"))</f>
        <v/>
      </c>
    </row>
    <row r="221">
      <c r="A221" s="18" t="n"/>
      <c r="B221" s="17" t="n"/>
      <c r="C221" s="17" t="n"/>
      <c r="D221" s="17" t="n"/>
      <c r="E221" s="19" t="n"/>
      <c r="F221" s="17" t="n"/>
      <c r="G221" s="12">
        <f>IF(A221="","",TEXT(A221,"yyyy-mm"))</f>
        <v/>
      </c>
    </row>
    <row r="222">
      <c r="A222" s="18" t="n"/>
      <c r="B222" s="17" t="n"/>
      <c r="C222" s="17" t="n"/>
      <c r="D222" s="17" t="n"/>
      <c r="E222" s="19" t="n"/>
      <c r="F222" s="17" t="n"/>
      <c r="G222" s="12">
        <f>IF(A222="","",TEXT(A222,"yyyy-mm"))</f>
        <v/>
      </c>
    </row>
    <row r="223">
      <c r="A223" s="18" t="n"/>
      <c r="B223" s="17" t="n"/>
      <c r="C223" s="17" t="n"/>
      <c r="D223" s="17" t="n"/>
      <c r="E223" s="19" t="n"/>
      <c r="F223" s="17" t="n"/>
      <c r="G223" s="12">
        <f>IF(A223="","",TEXT(A223,"yyyy-mm"))</f>
        <v/>
      </c>
    </row>
    <row r="224">
      <c r="A224" s="18" t="n"/>
      <c r="B224" s="17" t="n"/>
      <c r="C224" s="17" t="n"/>
      <c r="D224" s="17" t="n"/>
      <c r="E224" s="19" t="n"/>
      <c r="F224" s="17" t="n"/>
      <c r="G224" s="12">
        <f>IF(A224="","",TEXT(A224,"yyyy-mm"))</f>
        <v/>
      </c>
    </row>
    <row r="225">
      <c r="A225" s="18" t="n"/>
      <c r="B225" s="17" t="n"/>
      <c r="C225" s="17" t="n"/>
      <c r="D225" s="17" t="n"/>
      <c r="E225" s="19" t="n"/>
      <c r="F225" s="17" t="n"/>
      <c r="G225" s="12">
        <f>IF(A225="","",TEXT(A225,"yyyy-mm"))</f>
        <v/>
      </c>
    </row>
    <row r="226">
      <c r="A226" s="18" t="n"/>
      <c r="B226" s="17" t="n"/>
      <c r="C226" s="17" t="n"/>
      <c r="D226" s="17" t="n"/>
      <c r="E226" s="19" t="n"/>
      <c r="F226" s="17" t="n"/>
      <c r="G226" s="12">
        <f>IF(A226="","",TEXT(A226,"yyyy-mm"))</f>
        <v/>
      </c>
    </row>
    <row r="227">
      <c r="A227" s="18" t="n"/>
      <c r="B227" s="17" t="n"/>
      <c r="C227" s="17" t="n"/>
      <c r="D227" s="17" t="n"/>
      <c r="E227" s="19" t="n"/>
      <c r="F227" s="17" t="n"/>
      <c r="G227" s="12">
        <f>IF(A227="","",TEXT(A227,"yyyy-mm"))</f>
        <v/>
      </c>
    </row>
    <row r="228">
      <c r="A228" s="18" t="n"/>
      <c r="B228" s="17" t="n"/>
      <c r="C228" s="17" t="n"/>
      <c r="D228" s="17" t="n"/>
      <c r="E228" s="19" t="n"/>
      <c r="F228" s="17" t="n"/>
      <c r="G228" s="12">
        <f>IF(A228="","",TEXT(A228,"yyyy-mm"))</f>
        <v/>
      </c>
    </row>
    <row r="229">
      <c r="A229" s="18" t="n"/>
      <c r="B229" s="17" t="n"/>
      <c r="C229" s="17" t="n"/>
      <c r="D229" s="17" t="n"/>
      <c r="E229" s="19" t="n"/>
      <c r="F229" s="17" t="n"/>
      <c r="G229" s="12">
        <f>IF(A229="","",TEXT(A229,"yyyy-mm"))</f>
        <v/>
      </c>
    </row>
    <row r="230">
      <c r="A230" s="18" t="n"/>
      <c r="B230" s="17" t="n"/>
      <c r="C230" s="17" t="n"/>
      <c r="D230" s="17" t="n"/>
      <c r="E230" s="19" t="n"/>
      <c r="F230" s="17" t="n"/>
      <c r="G230" s="12">
        <f>IF(A230="","",TEXT(A230,"yyyy-mm"))</f>
        <v/>
      </c>
    </row>
    <row r="231">
      <c r="A231" s="18" t="n"/>
      <c r="B231" s="17" t="n"/>
      <c r="C231" s="17" t="n"/>
      <c r="D231" s="17" t="n"/>
      <c r="E231" s="19" t="n"/>
      <c r="F231" s="17" t="n"/>
      <c r="G231" s="12">
        <f>IF(A231="","",TEXT(A231,"yyyy-mm"))</f>
        <v/>
      </c>
    </row>
    <row r="232">
      <c r="A232" s="18" t="n"/>
      <c r="B232" s="17" t="n"/>
      <c r="C232" s="17" t="n"/>
      <c r="D232" s="17" t="n"/>
      <c r="E232" s="19" t="n"/>
      <c r="F232" s="17" t="n"/>
      <c r="G232" s="12">
        <f>IF(A232="","",TEXT(A232,"yyyy-mm"))</f>
        <v/>
      </c>
    </row>
    <row r="233">
      <c r="A233" s="18" t="n"/>
      <c r="B233" s="17" t="n"/>
      <c r="C233" s="17" t="n"/>
      <c r="D233" s="17" t="n"/>
      <c r="E233" s="19" t="n"/>
      <c r="F233" s="17" t="n"/>
      <c r="G233" s="12">
        <f>IF(A233="","",TEXT(A233,"yyyy-mm"))</f>
        <v/>
      </c>
    </row>
    <row r="234">
      <c r="A234" s="18" t="n"/>
      <c r="B234" s="17" t="n"/>
      <c r="C234" s="17" t="n"/>
      <c r="D234" s="17" t="n"/>
      <c r="E234" s="19" t="n"/>
      <c r="F234" s="17" t="n"/>
      <c r="G234" s="12">
        <f>IF(A234="","",TEXT(A234,"yyyy-mm"))</f>
        <v/>
      </c>
    </row>
    <row r="235">
      <c r="A235" s="18" t="n"/>
      <c r="B235" s="17" t="n"/>
      <c r="C235" s="17" t="n"/>
      <c r="D235" s="17" t="n"/>
      <c r="E235" s="19" t="n"/>
      <c r="F235" s="17" t="n"/>
      <c r="G235" s="12">
        <f>IF(A235="","",TEXT(A235,"yyyy-mm"))</f>
        <v/>
      </c>
    </row>
    <row r="236">
      <c r="A236" s="18" t="n"/>
      <c r="B236" s="17" t="n"/>
      <c r="C236" s="17" t="n"/>
      <c r="D236" s="17" t="n"/>
      <c r="E236" s="19" t="n"/>
      <c r="F236" s="17" t="n"/>
      <c r="G236" s="12">
        <f>IF(A236="","",TEXT(A236,"yyyy-mm"))</f>
        <v/>
      </c>
    </row>
    <row r="237">
      <c r="A237" s="18" t="n"/>
      <c r="B237" s="17" t="n"/>
      <c r="C237" s="17" t="n"/>
      <c r="D237" s="17" t="n"/>
      <c r="E237" s="19" t="n"/>
      <c r="F237" s="17" t="n"/>
      <c r="G237" s="12">
        <f>IF(A237="","",TEXT(A237,"yyyy-mm"))</f>
        <v/>
      </c>
    </row>
    <row r="238">
      <c r="A238" s="18" t="n"/>
      <c r="B238" s="17" t="n"/>
      <c r="C238" s="17" t="n"/>
      <c r="D238" s="17" t="n"/>
      <c r="E238" s="19" t="n"/>
      <c r="F238" s="17" t="n"/>
      <c r="G238" s="12">
        <f>IF(A238="","",TEXT(A238,"yyyy-mm"))</f>
        <v/>
      </c>
    </row>
    <row r="239">
      <c r="A239" s="18" t="n"/>
      <c r="B239" s="17" t="n"/>
      <c r="C239" s="17" t="n"/>
      <c r="D239" s="17" t="n"/>
      <c r="E239" s="19" t="n"/>
      <c r="F239" s="17" t="n"/>
      <c r="G239" s="12">
        <f>IF(A239="","",TEXT(A239,"yyyy-mm"))</f>
        <v/>
      </c>
    </row>
    <row r="240">
      <c r="A240" s="18" t="n"/>
      <c r="B240" s="17" t="n"/>
      <c r="C240" s="17" t="n"/>
      <c r="D240" s="17" t="n"/>
      <c r="E240" s="19" t="n"/>
      <c r="F240" s="17" t="n"/>
      <c r="G240" s="12">
        <f>IF(A240="","",TEXT(A240,"yyyy-mm"))</f>
        <v/>
      </c>
    </row>
    <row r="241">
      <c r="A241" s="18" t="n"/>
      <c r="B241" s="17" t="n"/>
      <c r="C241" s="17" t="n"/>
      <c r="D241" s="17" t="n"/>
      <c r="E241" s="19" t="n"/>
      <c r="F241" s="17" t="n"/>
      <c r="G241" s="12">
        <f>IF(A241="","",TEXT(A241,"yyyy-mm"))</f>
        <v/>
      </c>
    </row>
    <row r="242">
      <c r="A242" s="18" t="n"/>
      <c r="B242" s="17" t="n"/>
      <c r="C242" s="17" t="n"/>
      <c r="D242" s="17" t="n"/>
      <c r="E242" s="19" t="n"/>
      <c r="F242" s="17" t="n"/>
      <c r="G242" s="12">
        <f>IF(A242="","",TEXT(A242,"yyyy-mm"))</f>
        <v/>
      </c>
    </row>
    <row r="243">
      <c r="A243" s="18" t="n"/>
      <c r="B243" s="17" t="n"/>
      <c r="C243" s="17" t="n"/>
      <c r="D243" s="17" t="n"/>
      <c r="E243" s="19" t="n"/>
      <c r="F243" s="17" t="n"/>
      <c r="G243" s="12">
        <f>IF(A243="","",TEXT(A243,"yyyy-mm"))</f>
        <v/>
      </c>
    </row>
    <row r="244">
      <c r="A244" s="18" t="n"/>
      <c r="B244" s="17" t="n"/>
      <c r="C244" s="17" t="n"/>
      <c r="D244" s="17" t="n"/>
      <c r="E244" s="19" t="n"/>
      <c r="F244" s="17" t="n"/>
      <c r="G244" s="12">
        <f>IF(A244="","",TEXT(A244,"yyyy-mm"))</f>
        <v/>
      </c>
    </row>
    <row r="245">
      <c r="A245" s="18" t="n"/>
      <c r="B245" s="17" t="n"/>
      <c r="C245" s="17" t="n"/>
      <c r="D245" s="17" t="n"/>
      <c r="E245" s="19" t="n"/>
      <c r="F245" s="17" t="n"/>
      <c r="G245" s="12">
        <f>IF(A245="","",TEXT(A245,"yyyy-mm"))</f>
        <v/>
      </c>
    </row>
    <row r="246">
      <c r="A246" s="18" t="n"/>
      <c r="B246" s="17" t="n"/>
      <c r="C246" s="17" t="n"/>
      <c r="D246" s="17" t="n"/>
      <c r="E246" s="19" t="n"/>
      <c r="F246" s="17" t="n"/>
      <c r="G246" s="12">
        <f>IF(A246="","",TEXT(A246,"yyyy-mm"))</f>
        <v/>
      </c>
    </row>
    <row r="247">
      <c r="A247" s="18" t="n"/>
      <c r="B247" s="17" t="n"/>
      <c r="C247" s="17" t="n"/>
      <c r="D247" s="17" t="n"/>
      <c r="E247" s="19" t="n"/>
      <c r="F247" s="17" t="n"/>
      <c r="G247" s="12">
        <f>IF(A247="","",TEXT(A247,"yyyy-mm"))</f>
        <v/>
      </c>
    </row>
    <row r="248">
      <c r="A248" s="18" t="n"/>
      <c r="B248" s="17" t="n"/>
      <c r="C248" s="17" t="n"/>
      <c r="D248" s="17" t="n"/>
      <c r="E248" s="19" t="n"/>
      <c r="F248" s="17" t="n"/>
      <c r="G248" s="12">
        <f>IF(A248="","",TEXT(A248,"yyyy-mm"))</f>
        <v/>
      </c>
    </row>
    <row r="249">
      <c r="A249" s="18" t="n"/>
      <c r="B249" s="17" t="n"/>
      <c r="C249" s="17" t="n"/>
      <c r="D249" s="17" t="n"/>
      <c r="E249" s="19" t="n"/>
      <c r="F249" s="17" t="n"/>
      <c r="G249" s="12">
        <f>IF(A249="","",TEXT(A249,"yyyy-mm"))</f>
        <v/>
      </c>
    </row>
    <row r="250">
      <c r="A250" s="18" t="n"/>
      <c r="B250" s="17" t="n"/>
      <c r="C250" s="17" t="n"/>
      <c r="D250" s="17" t="n"/>
      <c r="E250" s="19" t="n"/>
      <c r="F250" s="17" t="n"/>
      <c r="G250" s="12">
        <f>IF(A250="","",TEXT(A250,"yyyy-mm"))</f>
        <v/>
      </c>
    </row>
    <row r="251">
      <c r="A251" s="18" t="n"/>
      <c r="B251" s="17" t="n"/>
      <c r="C251" s="17" t="n"/>
      <c r="D251" s="17" t="n"/>
      <c r="E251" s="19" t="n"/>
      <c r="F251" s="17" t="n"/>
      <c r="G251" s="12">
        <f>IF(A251="","",TEXT(A251,"yyyy-mm"))</f>
        <v/>
      </c>
    </row>
    <row r="252">
      <c r="A252" s="18" t="n"/>
      <c r="B252" s="17" t="n"/>
      <c r="C252" s="17" t="n"/>
      <c r="D252" s="17" t="n"/>
      <c r="E252" s="19" t="n"/>
      <c r="F252" s="17" t="n"/>
      <c r="G252" s="12">
        <f>IF(A252="","",TEXT(A252,"yyyy-mm"))</f>
        <v/>
      </c>
    </row>
    <row r="253">
      <c r="A253" s="18" t="n"/>
      <c r="B253" s="17" t="n"/>
      <c r="C253" s="17" t="n"/>
      <c r="D253" s="17" t="n"/>
      <c r="E253" s="19" t="n"/>
      <c r="F253" s="17" t="n"/>
      <c r="G253" s="12">
        <f>IF(A253="","",TEXT(A253,"yyyy-mm"))</f>
        <v/>
      </c>
    </row>
    <row r="254">
      <c r="A254" s="18" t="n"/>
      <c r="B254" s="17" t="n"/>
      <c r="C254" s="17" t="n"/>
      <c r="D254" s="17" t="n"/>
      <c r="E254" s="19" t="n"/>
      <c r="F254" s="17" t="n"/>
      <c r="G254" s="12">
        <f>IF(A254="","",TEXT(A254,"yyyy-mm"))</f>
        <v/>
      </c>
    </row>
    <row r="255">
      <c r="A255" s="18" t="n"/>
      <c r="B255" s="17" t="n"/>
      <c r="C255" s="17" t="n"/>
      <c r="D255" s="17" t="n"/>
      <c r="E255" s="19" t="n"/>
      <c r="F255" s="17" t="n"/>
      <c r="G255" s="12">
        <f>IF(A255="","",TEXT(A255,"yyyy-mm"))</f>
        <v/>
      </c>
    </row>
    <row r="256">
      <c r="A256" s="18" t="n"/>
      <c r="B256" s="17" t="n"/>
      <c r="C256" s="17" t="n"/>
      <c r="D256" s="17" t="n"/>
      <c r="E256" s="19" t="n"/>
      <c r="F256" s="17" t="n"/>
      <c r="G256" s="12">
        <f>IF(A256="","",TEXT(A256,"yyyy-mm"))</f>
        <v/>
      </c>
    </row>
    <row r="257">
      <c r="A257" s="18" t="n"/>
      <c r="B257" s="17" t="n"/>
      <c r="C257" s="17" t="n"/>
      <c r="D257" s="17" t="n"/>
      <c r="E257" s="19" t="n"/>
      <c r="F257" s="17" t="n"/>
      <c r="G257" s="12">
        <f>IF(A257="","",TEXT(A257,"yyyy-mm"))</f>
        <v/>
      </c>
    </row>
    <row r="258">
      <c r="A258" s="18" t="n"/>
      <c r="B258" s="17" t="n"/>
      <c r="C258" s="17" t="n"/>
      <c r="D258" s="17" t="n"/>
      <c r="E258" s="19" t="n"/>
      <c r="F258" s="17" t="n"/>
      <c r="G258" s="12">
        <f>IF(A258="","",TEXT(A258,"yyyy-mm"))</f>
        <v/>
      </c>
    </row>
    <row r="259">
      <c r="A259" s="18" t="n"/>
      <c r="B259" s="17" t="n"/>
      <c r="C259" s="17" t="n"/>
      <c r="D259" s="17" t="n"/>
      <c r="E259" s="19" t="n"/>
      <c r="F259" s="17" t="n"/>
      <c r="G259" s="12">
        <f>IF(A259="","",TEXT(A259,"yyyy-mm"))</f>
        <v/>
      </c>
    </row>
    <row r="260">
      <c r="A260" s="18" t="n"/>
      <c r="B260" s="17" t="n"/>
      <c r="C260" s="17" t="n"/>
      <c r="D260" s="17" t="n"/>
      <c r="E260" s="19" t="n"/>
      <c r="F260" s="17" t="n"/>
      <c r="G260" s="12">
        <f>IF(A260="","",TEXT(A260,"yyyy-mm"))</f>
        <v/>
      </c>
    </row>
    <row r="261">
      <c r="A261" s="18" t="n"/>
      <c r="B261" s="17" t="n"/>
      <c r="C261" s="17" t="n"/>
      <c r="D261" s="17" t="n"/>
      <c r="E261" s="19" t="n"/>
      <c r="F261" s="17" t="n"/>
      <c r="G261" s="12">
        <f>IF(A261="","",TEXT(A261,"yyyy-mm"))</f>
        <v/>
      </c>
    </row>
    <row r="262">
      <c r="A262" s="18" t="n"/>
      <c r="B262" s="17" t="n"/>
      <c r="C262" s="17" t="n"/>
      <c r="D262" s="17" t="n"/>
      <c r="E262" s="19" t="n"/>
      <c r="F262" s="17" t="n"/>
      <c r="G262" s="12">
        <f>IF(A262="","",TEXT(A262,"yyyy-mm"))</f>
        <v/>
      </c>
    </row>
    <row r="263">
      <c r="A263" s="18" t="n"/>
      <c r="B263" s="17" t="n"/>
      <c r="C263" s="17" t="n"/>
      <c r="D263" s="17" t="n"/>
      <c r="E263" s="19" t="n"/>
      <c r="F263" s="17" t="n"/>
      <c r="G263" s="12">
        <f>IF(A263="","",TEXT(A263,"yyyy-mm"))</f>
        <v/>
      </c>
    </row>
    <row r="264">
      <c r="A264" s="18" t="n"/>
      <c r="B264" s="17" t="n"/>
      <c r="C264" s="17" t="n"/>
      <c r="D264" s="17" t="n"/>
      <c r="E264" s="19" t="n"/>
      <c r="F264" s="17" t="n"/>
      <c r="G264" s="12">
        <f>IF(A264="","",TEXT(A264,"yyyy-mm"))</f>
        <v/>
      </c>
    </row>
    <row r="265">
      <c r="A265" s="18" t="n"/>
      <c r="B265" s="17" t="n"/>
      <c r="C265" s="17" t="n"/>
      <c r="D265" s="17" t="n"/>
      <c r="E265" s="19" t="n"/>
      <c r="F265" s="17" t="n"/>
      <c r="G265" s="12">
        <f>IF(A265="","",TEXT(A265,"yyyy-mm"))</f>
        <v/>
      </c>
    </row>
    <row r="266">
      <c r="A266" s="18" t="n"/>
      <c r="B266" s="17" t="n"/>
      <c r="C266" s="17" t="n"/>
      <c r="D266" s="17" t="n"/>
      <c r="E266" s="19" t="n"/>
      <c r="F266" s="17" t="n"/>
      <c r="G266" s="12">
        <f>IF(A266="","",TEXT(A266,"yyyy-mm"))</f>
        <v/>
      </c>
    </row>
    <row r="267">
      <c r="A267" s="18" t="n"/>
      <c r="B267" s="17" t="n"/>
      <c r="C267" s="17" t="n"/>
      <c r="D267" s="17" t="n"/>
      <c r="E267" s="19" t="n"/>
      <c r="F267" s="17" t="n"/>
      <c r="G267" s="12">
        <f>IF(A267="","",TEXT(A267,"yyyy-mm"))</f>
        <v/>
      </c>
    </row>
    <row r="268">
      <c r="A268" s="18" t="n"/>
      <c r="B268" s="17" t="n"/>
      <c r="C268" s="17" t="n"/>
      <c r="D268" s="17" t="n"/>
      <c r="E268" s="19" t="n"/>
      <c r="F268" s="17" t="n"/>
      <c r="G268" s="12">
        <f>IF(A268="","",TEXT(A268,"yyyy-mm"))</f>
        <v/>
      </c>
    </row>
    <row r="269">
      <c r="A269" s="18" t="n"/>
      <c r="B269" s="17" t="n"/>
      <c r="C269" s="17" t="n"/>
      <c r="D269" s="17" t="n"/>
      <c r="E269" s="19" t="n"/>
      <c r="F269" s="17" t="n"/>
      <c r="G269" s="12">
        <f>IF(A269="","",TEXT(A269,"yyyy-mm"))</f>
        <v/>
      </c>
    </row>
    <row r="270">
      <c r="A270" s="18" t="n"/>
      <c r="B270" s="17" t="n"/>
      <c r="C270" s="17" t="n"/>
      <c r="D270" s="17" t="n"/>
      <c r="E270" s="19" t="n"/>
      <c r="F270" s="17" t="n"/>
      <c r="G270" s="12">
        <f>IF(A270="","",TEXT(A270,"yyyy-mm"))</f>
        <v/>
      </c>
    </row>
    <row r="271">
      <c r="A271" s="18" t="n"/>
      <c r="B271" s="17" t="n"/>
      <c r="C271" s="17" t="n"/>
      <c r="D271" s="17" t="n"/>
      <c r="E271" s="19" t="n"/>
      <c r="F271" s="17" t="n"/>
      <c r="G271" s="12">
        <f>IF(A271="","",TEXT(A271,"yyyy-mm"))</f>
        <v/>
      </c>
    </row>
    <row r="272">
      <c r="A272" s="18" t="n"/>
      <c r="B272" s="17" t="n"/>
      <c r="C272" s="17" t="n"/>
      <c r="D272" s="17" t="n"/>
      <c r="E272" s="19" t="n"/>
      <c r="F272" s="17" t="n"/>
      <c r="G272" s="12">
        <f>IF(A272="","",TEXT(A272,"yyyy-mm"))</f>
        <v/>
      </c>
    </row>
    <row r="273">
      <c r="A273" s="18" t="n"/>
      <c r="B273" s="17" t="n"/>
      <c r="C273" s="17" t="n"/>
      <c r="D273" s="17" t="n"/>
      <c r="E273" s="19" t="n"/>
      <c r="F273" s="17" t="n"/>
      <c r="G273" s="12">
        <f>IF(A273="","",TEXT(A273,"yyyy-mm"))</f>
        <v/>
      </c>
    </row>
    <row r="274">
      <c r="A274" s="18" t="n"/>
      <c r="B274" s="17" t="n"/>
      <c r="C274" s="17" t="n"/>
      <c r="D274" s="17" t="n"/>
      <c r="E274" s="19" t="n"/>
      <c r="F274" s="17" t="n"/>
      <c r="G274" s="12">
        <f>IF(A274="","",TEXT(A274,"yyyy-mm"))</f>
        <v/>
      </c>
    </row>
    <row r="275">
      <c r="A275" s="18" t="n"/>
      <c r="B275" s="17" t="n"/>
      <c r="C275" s="17" t="n"/>
      <c r="D275" s="17" t="n"/>
      <c r="E275" s="19" t="n"/>
      <c r="F275" s="17" t="n"/>
      <c r="G275" s="12">
        <f>IF(A275="","",TEXT(A275,"yyyy-mm"))</f>
        <v/>
      </c>
    </row>
    <row r="276">
      <c r="A276" s="18" t="n"/>
      <c r="B276" s="17" t="n"/>
      <c r="C276" s="17" t="n"/>
      <c r="D276" s="17" t="n"/>
      <c r="E276" s="19" t="n"/>
      <c r="F276" s="17" t="n"/>
      <c r="G276" s="12">
        <f>IF(A276="","",TEXT(A276,"yyyy-mm"))</f>
        <v/>
      </c>
    </row>
    <row r="277">
      <c r="A277" s="18" t="n"/>
      <c r="B277" s="17" t="n"/>
      <c r="C277" s="17" t="n"/>
      <c r="D277" s="17" t="n"/>
      <c r="E277" s="19" t="n"/>
      <c r="F277" s="17" t="n"/>
      <c r="G277" s="12">
        <f>IF(A277="","",TEXT(A277,"yyyy-mm"))</f>
        <v/>
      </c>
    </row>
    <row r="278">
      <c r="A278" s="18" t="n"/>
      <c r="B278" s="17" t="n"/>
      <c r="C278" s="17" t="n"/>
      <c r="D278" s="17" t="n"/>
      <c r="E278" s="19" t="n"/>
      <c r="F278" s="17" t="n"/>
      <c r="G278" s="12">
        <f>IF(A278="","",TEXT(A278,"yyyy-mm"))</f>
        <v/>
      </c>
    </row>
    <row r="279">
      <c r="A279" s="18" t="n"/>
      <c r="B279" s="17" t="n"/>
      <c r="C279" s="17" t="n"/>
      <c r="D279" s="17" t="n"/>
      <c r="E279" s="19" t="n"/>
      <c r="F279" s="17" t="n"/>
      <c r="G279" s="12">
        <f>IF(A279="","",TEXT(A279,"yyyy-mm"))</f>
        <v/>
      </c>
    </row>
    <row r="280">
      <c r="A280" s="18" t="n"/>
      <c r="B280" s="17" t="n"/>
      <c r="C280" s="17" t="n"/>
      <c r="D280" s="17" t="n"/>
      <c r="E280" s="19" t="n"/>
      <c r="F280" s="17" t="n"/>
      <c r="G280" s="12">
        <f>IF(A280="","",TEXT(A280,"yyyy-mm"))</f>
        <v/>
      </c>
    </row>
    <row r="281">
      <c r="A281" s="18" t="n"/>
      <c r="B281" s="17" t="n"/>
      <c r="C281" s="17" t="n"/>
      <c r="D281" s="17" t="n"/>
      <c r="E281" s="19" t="n"/>
      <c r="F281" s="17" t="n"/>
      <c r="G281" s="12">
        <f>IF(A281="","",TEXT(A281,"yyyy-mm"))</f>
        <v/>
      </c>
    </row>
    <row r="282">
      <c r="A282" s="18" t="n"/>
      <c r="B282" s="17" t="n"/>
      <c r="C282" s="17" t="n"/>
      <c r="D282" s="17" t="n"/>
      <c r="E282" s="19" t="n"/>
      <c r="F282" s="17" t="n"/>
      <c r="G282" s="12">
        <f>IF(A282="","",TEXT(A282,"yyyy-mm"))</f>
        <v/>
      </c>
    </row>
    <row r="283">
      <c r="A283" s="18" t="n"/>
      <c r="B283" s="17" t="n"/>
      <c r="C283" s="17" t="n"/>
      <c r="D283" s="17" t="n"/>
      <c r="E283" s="19" t="n"/>
      <c r="F283" s="17" t="n"/>
      <c r="G283" s="12">
        <f>IF(A283="","",TEXT(A283,"yyyy-mm"))</f>
        <v/>
      </c>
    </row>
    <row r="284">
      <c r="A284" s="18" t="n"/>
      <c r="B284" s="17" t="n"/>
      <c r="C284" s="17" t="n"/>
      <c r="D284" s="17" t="n"/>
      <c r="E284" s="19" t="n"/>
      <c r="F284" s="17" t="n"/>
      <c r="G284" s="12">
        <f>IF(A284="","",TEXT(A284,"yyyy-mm"))</f>
        <v/>
      </c>
    </row>
    <row r="285">
      <c r="A285" s="18" t="n"/>
      <c r="B285" s="17" t="n"/>
      <c r="C285" s="17" t="n"/>
      <c r="D285" s="17" t="n"/>
      <c r="E285" s="19" t="n"/>
      <c r="F285" s="17" t="n"/>
      <c r="G285" s="12">
        <f>IF(A285="","",TEXT(A285,"yyyy-mm"))</f>
        <v/>
      </c>
    </row>
    <row r="286">
      <c r="A286" s="18" t="n"/>
      <c r="B286" s="17" t="n"/>
      <c r="C286" s="17" t="n"/>
      <c r="D286" s="17" t="n"/>
      <c r="E286" s="19" t="n"/>
      <c r="F286" s="17" t="n"/>
      <c r="G286" s="12">
        <f>IF(A286="","",TEXT(A286,"yyyy-mm"))</f>
        <v/>
      </c>
    </row>
    <row r="287">
      <c r="A287" s="18" t="n"/>
      <c r="B287" s="17" t="n"/>
      <c r="C287" s="17" t="n"/>
      <c r="D287" s="17" t="n"/>
      <c r="E287" s="19" t="n"/>
      <c r="F287" s="17" t="n"/>
      <c r="G287" s="12">
        <f>IF(A287="","",TEXT(A287,"yyyy-mm"))</f>
        <v/>
      </c>
    </row>
    <row r="288">
      <c r="A288" s="18" t="n"/>
      <c r="B288" s="17" t="n"/>
      <c r="C288" s="17" t="n"/>
      <c r="D288" s="17" t="n"/>
      <c r="E288" s="19" t="n"/>
      <c r="F288" s="17" t="n"/>
      <c r="G288" s="12">
        <f>IF(A288="","",TEXT(A288,"yyyy-mm"))</f>
        <v/>
      </c>
    </row>
    <row r="289">
      <c r="A289" s="18" t="n"/>
      <c r="B289" s="17" t="n"/>
      <c r="C289" s="17" t="n"/>
      <c r="D289" s="17" t="n"/>
      <c r="E289" s="19" t="n"/>
      <c r="F289" s="17" t="n"/>
      <c r="G289" s="12">
        <f>IF(A289="","",TEXT(A289,"yyyy-mm"))</f>
        <v/>
      </c>
    </row>
    <row r="290">
      <c r="A290" s="18" t="n"/>
      <c r="B290" s="17" t="n"/>
      <c r="C290" s="17" t="n"/>
      <c r="D290" s="17" t="n"/>
      <c r="E290" s="19" t="n"/>
      <c r="F290" s="17" t="n"/>
      <c r="G290" s="12">
        <f>IF(A290="","",TEXT(A290,"yyyy-mm"))</f>
        <v/>
      </c>
    </row>
    <row r="291">
      <c r="A291" s="18" t="n"/>
      <c r="B291" s="17" t="n"/>
      <c r="C291" s="17" t="n"/>
      <c r="D291" s="17" t="n"/>
      <c r="E291" s="19" t="n"/>
      <c r="F291" s="17" t="n"/>
      <c r="G291" s="12">
        <f>IF(A291="","",TEXT(A291,"yyyy-mm"))</f>
        <v/>
      </c>
    </row>
    <row r="292">
      <c r="A292" s="18" t="n"/>
      <c r="B292" s="17" t="n"/>
      <c r="C292" s="17" t="n"/>
      <c r="D292" s="17" t="n"/>
      <c r="E292" s="19" t="n"/>
      <c r="F292" s="17" t="n"/>
      <c r="G292" s="12">
        <f>IF(A292="","",TEXT(A292,"yyyy-mm"))</f>
        <v/>
      </c>
    </row>
    <row r="293">
      <c r="A293" s="18" t="n"/>
      <c r="B293" s="17" t="n"/>
      <c r="C293" s="17" t="n"/>
      <c r="D293" s="17" t="n"/>
      <c r="E293" s="19" t="n"/>
      <c r="F293" s="17" t="n"/>
      <c r="G293" s="12">
        <f>IF(A293="","",TEXT(A293,"yyyy-mm"))</f>
        <v/>
      </c>
    </row>
    <row r="294">
      <c r="A294" s="18" t="n"/>
      <c r="B294" s="17" t="n"/>
      <c r="C294" s="17" t="n"/>
      <c r="D294" s="17" t="n"/>
      <c r="E294" s="19" t="n"/>
      <c r="F294" s="17" t="n"/>
      <c r="G294" s="12">
        <f>IF(A294="","",TEXT(A294,"yyyy-mm"))</f>
        <v/>
      </c>
    </row>
    <row r="295">
      <c r="A295" s="18" t="n"/>
      <c r="B295" s="17" t="n"/>
      <c r="C295" s="17" t="n"/>
      <c r="D295" s="17" t="n"/>
      <c r="E295" s="19" t="n"/>
      <c r="F295" s="17" t="n"/>
      <c r="G295" s="12">
        <f>IF(A295="","",TEXT(A295,"yyyy-mm"))</f>
        <v/>
      </c>
    </row>
    <row r="296">
      <c r="A296" s="18" t="n"/>
      <c r="B296" s="17" t="n"/>
      <c r="C296" s="17" t="n"/>
      <c r="D296" s="17" t="n"/>
      <c r="E296" s="19" t="n"/>
      <c r="F296" s="17" t="n"/>
      <c r="G296" s="12">
        <f>IF(A296="","",TEXT(A296,"yyyy-mm"))</f>
        <v/>
      </c>
    </row>
    <row r="297">
      <c r="A297" s="18" t="n"/>
      <c r="B297" s="17" t="n"/>
      <c r="C297" s="17" t="n"/>
      <c r="D297" s="17" t="n"/>
      <c r="E297" s="19" t="n"/>
      <c r="F297" s="17" t="n"/>
      <c r="G297" s="12">
        <f>IF(A297="","",TEXT(A297,"yyyy-mm"))</f>
        <v/>
      </c>
    </row>
    <row r="298">
      <c r="A298" s="18" t="n"/>
      <c r="B298" s="17" t="n"/>
      <c r="C298" s="17" t="n"/>
      <c r="D298" s="17" t="n"/>
      <c r="E298" s="19" t="n"/>
      <c r="F298" s="17" t="n"/>
      <c r="G298" s="12">
        <f>IF(A298="","",TEXT(A298,"yyyy-mm"))</f>
        <v/>
      </c>
    </row>
    <row r="299">
      <c r="A299" s="18" t="n"/>
      <c r="B299" s="17" t="n"/>
      <c r="C299" s="17" t="n"/>
      <c r="D299" s="17" t="n"/>
      <c r="E299" s="19" t="n"/>
      <c r="F299" s="17" t="n"/>
      <c r="G299" s="12">
        <f>IF(A299="","",TEXT(A299,"yyyy-mm"))</f>
        <v/>
      </c>
    </row>
    <row r="300">
      <c r="A300" s="18" t="n"/>
      <c r="B300" s="17" t="n"/>
      <c r="C300" s="17" t="n"/>
      <c r="D300" s="17" t="n"/>
      <c r="E300" s="19" t="n"/>
      <c r="F300" s="17" t="n"/>
      <c r="G300" s="12">
        <f>IF(A300="","",TEXT(A300,"yyyy-mm"))</f>
        <v/>
      </c>
    </row>
    <row r="301">
      <c r="A301" s="18" t="n"/>
      <c r="B301" s="17" t="n"/>
      <c r="C301" s="17" t="n"/>
      <c r="D301" s="17" t="n"/>
      <c r="E301" s="19" t="n"/>
      <c r="F301" s="17" t="n"/>
      <c r="G301" s="12">
        <f>IF(A301="","",TEXT(A301,"yyyy-mm"))</f>
        <v/>
      </c>
    </row>
    <row r="302">
      <c r="A302" s="18" t="n"/>
      <c r="B302" s="17" t="n"/>
      <c r="C302" s="17" t="n"/>
      <c r="D302" s="17" t="n"/>
      <c r="E302" s="19" t="n"/>
      <c r="F302" s="17" t="n"/>
      <c r="G302" s="12">
        <f>IF(A302="","",TEXT(A302,"yyyy-mm"))</f>
        <v/>
      </c>
    </row>
    <row r="303">
      <c r="A303" s="18" t="n"/>
      <c r="B303" s="17" t="n"/>
      <c r="C303" s="17" t="n"/>
      <c r="D303" s="17" t="n"/>
      <c r="E303" s="19" t="n"/>
      <c r="F303" s="17" t="n"/>
      <c r="G303" s="12">
        <f>IF(A303="","",TEXT(A303,"yyyy-mm"))</f>
        <v/>
      </c>
    </row>
    <row r="304">
      <c r="A304" s="18" t="n"/>
      <c r="B304" s="17" t="n"/>
      <c r="C304" s="17" t="n"/>
      <c r="D304" s="17" t="n"/>
      <c r="E304" s="19" t="n"/>
      <c r="F304" s="17" t="n"/>
      <c r="G304" s="12">
        <f>IF(A304="","",TEXT(A304,"yyyy-mm"))</f>
        <v/>
      </c>
    </row>
    <row r="305">
      <c r="A305" s="18" t="n"/>
      <c r="B305" s="17" t="n"/>
      <c r="C305" s="17" t="n"/>
      <c r="D305" s="17" t="n"/>
      <c r="E305" s="19" t="n"/>
      <c r="F305" s="17" t="n"/>
      <c r="G305" s="12">
        <f>IF(A305="","",TEXT(A305,"yyyy-mm"))</f>
        <v/>
      </c>
    </row>
    <row r="306">
      <c r="A306" s="18" t="n"/>
      <c r="B306" s="17" t="n"/>
      <c r="C306" s="17" t="n"/>
      <c r="D306" s="17" t="n"/>
      <c r="E306" s="19" t="n"/>
      <c r="F306" s="17" t="n"/>
      <c r="G306" s="12">
        <f>IF(A306="","",TEXT(A306,"yyyy-mm"))</f>
        <v/>
      </c>
    </row>
    <row r="307">
      <c r="A307" s="18" t="n"/>
      <c r="B307" s="17" t="n"/>
      <c r="C307" s="17" t="n"/>
      <c r="D307" s="17" t="n"/>
      <c r="E307" s="19" t="n"/>
      <c r="F307" s="17" t="n"/>
      <c r="G307" s="12">
        <f>IF(A307="","",TEXT(A307,"yyyy-mm"))</f>
        <v/>
      </c>
    </row>
    <row r="308">
      <c r="A308" s="18" t="n"/>
      <c r="B308" s="17" t="n"/>
      <c r="C308" s="17" t="n"/>
      <c r="D308" s="17" t="n"/>
      <c r="E308" s="19" t="n"/>
      <c r="F308" s="17" t="n"/>
      <c r="G308" s="12">
        <f>IF(A308="","",TEXT(A308,"yyyy-mm"))</f>
        <v/>
      </c>
    </row>
    <row r="309">
      <c r="A309" s="18" t="n"/>
      <c r="B309" s="17" t="n"/>
      <c r="C309" s="17" t="n"/>
      <c r="D309" s="17" t="n"/>
      <c r="E309" s="19" t="n"/>
      <c r="F309" s="17" t="n"/>
      <c r="G309" s="12">
        <f>IF(A309="","",TEXT(A309,"yyyy-mm"))</f>
        <v/>
      </c>
    </row>
    <row r="310">
      <c r="A310" s="18" t="n"/>
      <c r="B310" s="17" t="n"/>
      <c r="C310" s="17" t="n"/>
      <c r="D310" s="17" t="n"/>
      <c r="E310" s="19" t="n"/>
      <c r="F310" s="17" t="n"/>
      <c r="G310" s="12">
        <f>IF(A310="","",TEXT(A310,"yyyy-mm"))</f>
        <v/>
      </c>
    </row>
    <row r="311">
      <c r="A311" s="18" t="n"/>
      <c r="B311" s="17" t="n"/>
      <c r="C311" s="17" t="n"/>
      <c r="D311" s="17" t="n"/>
      <c r="E311" s="19" t="n"/>
      <c r="F311" s="17" t="n"/>
      <c r="G311" s="12">
        <f>IF(A311="","",TEXT(A311,"yyyy-mm"))</f>
        <v/>
      </c>
    </row>
    <row r="312">
      <c r="A312" s="18" t="n"/>
      <c r="B312" s="17" t="n"/>
      <c r="C312" s="17" t="n"/>
      <c r="D312" s="17" t="n"/>
      <c r="E312" s="19" t="n"/>
      <c r="F312" s="17" t="n"/>
      <c r="G312" s="12">
        <f>IF(A312="","",TEXT(A312,"yyyy-mm"))</f>
        <v/>
      </c>
    </row>
    <row r="313">
      <c r="A313" s="18" t="n"/>
      <c r="B313" s="17" t="n"/>
      <c r="C313" s="17" t="n"/>
      <c r="D313" s="17" t="n"/>
      <c r="E313" s="19" t="n"/>
      <c r="F313" s="17" t="n"/>
      <c r="G313" s="12">
        <f>IF(A313="","",TEXT(A313,"yyyy-mm"))</f>
        <v/>
      </c>
    </row>
    <row r="314">
      <c r="A314" s="18" t="n"/>
      <c r="B314" s="17" t="n"/>
      <c r="C314" s="17" t="n"/>
      <c r="D314" s="17" t="n"/>
      <c r="E314" s="19" t="n"/>
      <c r="F314" s="17" t="n"/>
      <c r="G314" s="12">
        <f>IF(A314="","",TEXT(A314,"yyyy-mm"))</f>
        <v/>
      </c>
    </row>
    <row r="315">
      <c r="A315" s="18" t="n"/>
      <c r="B315" s="17" t="n"/>
      <c r="C315" s="17" t="n"/>
      <c r="D315" s="17" t="n"/>
      <c r="E315" s="19" t="n"/>
      <c r="F315" s="17" t="n"/>
      <c r="G315" s="12">
        <f>IF(A315="","",TEXT(A315,"yyyy-mm"))</f>
        <v/>
      </c>
    </row>
    <row r="316">
      <c r="A316" s="18" t="n"/>
      <c r="B316" s="17" t="n"/>
      <c r="C316" s="17" t="n"/>
      <c r="D316" s="17" t="n"/>
      <c r="E316" s="19" t="n"/>
      <c r="F316" s="17" t="n"/>
      <c r="G316" s="12">
        <f>IF(A316="","",TEXT(A316,"yyyy-mm"))</f>
        <v/>
      </c>
    </row>
    <row r="317">
      <c r="A317" s="18" t="n"/>
      <c r="B317" s="17" t="n"/>
      <c r="C317" s="17" t="n"/>
      <c r="D317" s="17" t="n"/>
      <c r="E317" s="19" t="n"/>
      <c r="F317" s="17" t="n"/>
      <c r="G317" s="12">
        <f>IF(A317="","",TEXT(A317,"yyyy-mm"))</f>
        <v/>
      </c>
    </row>
    <row r="318">
      <c r="A318" s="18" t="n"/>
      <c r="B318" s="17" t="n"/>
      <c r="C318" s="17" t="n"/>
      <c r="D318" s="17" t="n"/>
      <c r="E318" s="19" t="n"/>
      <c r="F318" s="17" t="n"/>
      <c r="G318" s="12">
        <f>IF(A318="","",TEXT(A318,"yyyy-mm"))</f>
        <v/>
      </c>
    </row>
    <row r="319">
      <c r="A319" s="18" t="n"/>
      <c r="B319" s="17" t="n"/>
      <c r="C319" s="17" t="n"/>
      <c r="D319" s="17" t="n"/>
      <c r="E319" s="19" t="n"/>
      <c r="F319" s="17" t="n"/>
      <c r="G319" s="12">
        <f>IF(A319="","",TEXT(A319,"yyyy-mm"))</f>
        <v/>
      </c>
    </row>
    <row r="320">
      <c r="A320" s="18" t="n"/>
      <c r="B320" s="17" t="n"/>
      <c r="C320" s="17" t="n"/>
      <c r="D320" s="17" t="n"/>
      <c r="E320" s="19" t="n"/>
      <c r="F320" s="17" t="n"/>
      <c r="G320" s="12">
        <f>IF(A320="","",TEXT(A320,"yyyy-mm"))</f>
        <v/>
      </c>
    </row>
    <row r="321">
      <c r="A321" s="18" t="n"/>
      <c r="B321" s="17" t="n"/>
      <c r="C321" s="17" t="n"/>
      <c r="D321" s="17" t="n"/>
      <c r="E321" s="19" t="n"/>
      <c r="F321" s="17" t="n"/>
      <c r="G321" s="12">
        <f>IF(A321="","",TEXT(A321,"yyyy-mm"))</f>
        <v/>
      </c>
    </row>
    <row r="322">
      <c r="A322" s="18" t="n"/>
      <c r="B322" s="17" t="n"/>
      <c r="C322" s="17" t="n"/>
      <c r="D322" s="17" t="n"/>
      <c r="E322" s="19" t="n"/>
      <c r="F322" s="17" t="n"/>
      <c r="G322" s="12">
        <f>IF(A322="","",TEXT(A322,"yyyy-mm"))</f>
        <v/>
      </c>
    </row>
    <row r="323">
      <c r="A323" s="18" t="n"/>
      <c r="B323" s="17" t="n"/>
      <c r="C323" s="17" t="n"/>
      <c r="D323" s="17" t="n"/>
      <c r="E323" s="19" t="n"/>
      <c r="F323" s="17" t="n"/>
      <c r="G323" s="12">
        <f>IF(A323="","",TEXT(A323,"yyyy-mm"))</f>
        <v/>
      </c>
    </row>
    <row r="324">
      <c r="A324" s="18" t="n"/>
      <c r="B324" s="17" t="n"/>
      <c r="C324" s="17" t="n"/>
      <c r="D324" s="17" t="n"/>
      <c r="E324" s="19" t="n"/>
      <c r="F324" s="17" t="n"/>
      <c r="G324" s="12">
        <f>IF(A324="","",TEXT(A324,"yyyy-mm"))</f>
        <v/>
      </c>
    </row>
    <row r="325">
      <c r="A325" s="18" t="n"/>
      <c r="B325" s="17" t="n"/>
      <c r="C325" s="17" t="n"/>
      <c r="D325" s="17" t="n"/>
      <c r="E325" s="19" t="n"/>
      <c r="F325" s="17" t="n"/>
      <c r="G325" s="12">
        <f>IF(A325="","",TEXT(A325,"yyyy-mm"))</f>
        <v/>
      </c>
    </row>
    <row r="326">
      <c r="A326" s="18" t="n"/>
      <c r="B326" s="17" t="n"/>
      <c r="C326" s="17" t="n"/>
      <c r="D326" s="17" t="n"/>
      <c r="E326" s="19" t="n"/>
      <c r="F326" s="17" t="n"/>
      <c r="G326" s="12">
        <f>IF(A326="","",TEXT(A326,"yyyy-mm"))</f>
        <v/>
      </c>
    </row>
    <row r="327">
      <c r="A327" s="18" t="n"/>
      <c r="B327" s="17" t="n"/>
      <c r="C327" s="17" t="n"/>
      <c r="D327" s="17" t="n"/>
      <c r="E327" s="19" t="n"/>
      <c r="F327" s="17" t="n"/>
      <c r="G327" s="12">
        <f>IF(A327="","",TEXT(A327,"yyyy-mm"))</f>
        <v/>
      </c>
    </row>
    <row r="328">
      <c r="A328" s="18" t="n"/>
      <c r="B328" s="17" t="n"/>
      <c r="C328" s="17" t="n"/>
      <c r="D328" s="17" t="n"/>
      <c r="E328" s="19" t="n"/>
      <c r="F328" s="17" t="n"/>
      <c r="G328" s="12">
        <f>IF(A328="","",TEXT(A328,"yyyy-mm"))</f>
        <v/>
      </c>
    </row>
    <row r="329">
      <c r="A329" s="18" t="n"/>
      <c r="B329" s="17" t="n"/>
      <c r="C329" s="17" t="n"/>
      <c r="D329" s="17" t="n"/>
      <c r="E329" s="19" t="n"/>
      <c r="F329" s="17" t="n"/>
      <c r="G329" s="12">
        <f>IF(A329="","",TEXT(A329,"yyyy-mm"))</f>
        <v/>
      </c>
    </row>
    <row r="330">
      <c r="A330" s="18" t="n"/>
      <c r="B330" s="17" t="n"/>
      <c r="C330" s="17" t="n"/>
      <c r="D330" s="17" t="n"/>
      <c r="E330" s="19" t="n"/>
      <c r="F330" s="17" t="n"/>
      <c r="G330" s="12">
        <f>IF(A330="","",TEXT(A330,"yyyy-mm"))</f>
        <v/>
      </c>
    </row>
    <row r="331">
      <c r="A331" s="18" t="n"/>
      <c r="B331" s="17" t="n"/>
      <c r="C331" s="17" t="n"/>
      <c r="D331" s="17" t="n"/>
      <c r="E331" s="19" t="n"/>
      <c r="F331" s="17" t="n"/>
      <c r="G331" s="12">
        <f>IF(A331="","",TEXT(A331,"yyyy-mm"))</f>
        <v/>
      </c>
    </row>
    <row r="332">
      <c r="A332" s="18" t="n"/>
      <c r="B332" s="17" t="n"/>
      <c r="C332" s="17" t="n"/>
      <c r="D332" s="17" t="n"/>
      <c r="E332" s="19" t="n"/>
      <c r="F332" s="17" t="n"/>
      <c r="G332" s="12">
        <f>IF(A332="","",TEXT(A332,"yyyy-mm"))</f>
        <v/>
      </c>
    </row>
    <row r="333">
      <c r="A333" s="18" t="n"/>
      <c r="B333" s="17" t="n"/>
      <c r="C333" s="17" t="n"/>
      <c r="D333" s="17" t="n"/>
      <c r="E333" s="19" t="n"/>
      <c r="F333" s="17" t="n"/>
      <c r="G333" s="12">
        <f>IF(A333="","",TEXT(A333,"yyyy-mm"))</f>
        <v/>
      </c>
    </row>
    <row r="334">
      <c r="A334" s="18" t="n"/>
      <c r="B334" s="17" t="n"/>
      <c r="C334" s="17" t="n"/>
      <c r="D334" s="17" t="n"/>
      <c r="E334" s="19" t="n"/>
      <c r="F334" s="17" t="n"/>
      <c r="G334" s="12">
        <f>IF(A334="","",TEXT(A334,"yyyy-mm"))</f>
        <v/>
      </c>
    </row>
    <row r="335">
      <c r="A335" s="18" t="n"/>
      <c r="B335" s="17" t="n"/>
      <c r="C335" s="17" t="n"/>
      <c r="D335" s="17" t="n"/>
      <c r="E335" s="19" t="n"/>
      <c r="F335" s="17" t="n"/>
      <c r="G335" s="12">
        <f>IF(A335="","",TEXT(A335,"yyyy-mm"))</f>
        <v/>
      </c>
    </row>
    <row r="336">
      <c r="A336" s="18" t="n"/>
      <c r="B336" s="17" t="n"/>
      <c r="C336" s="17" t="n"/>
      <c r="D336" s="17" t="n"/>
      <c r="E336" s="19" t="n"/>
      <c r="F336" s="17" t="n"/>
      <c r="G336" s="12">
        <f>IF(A336="","",TEXT(A336,"yyyy-mm"))</f>
        <v/>
      </c>
    </row>
    <row r="337">
      <c r="A337" s="18" t="n"/>
      <c r="B337" s="17" t="n"/>
      <c r="C337" s="17" t="n"/>
      <c r="D337" s="17" t="n"/>
      <c r="E337" s="19" t="n"/>
      <c r="F337" s="17" t="n"/>
      <c r="G337" s="12">
        <f>IF(A337="","",TEXT(A337,"yyyy-mm"))</f>
        <v/>
      </c>
    </row>
    <row r="338">
      <c r="A338" s="18" t="n"/>
      <c r="B338" s="17" t="n"/>
      <c r="C338" s="17" t="n"/>
      <c r="D338" s="17" t="n"/>
      <c r="E338" s="19" t="n"/>
      <c r="F338" s="17" t="n"/>
      <c r="G338" s="12">
        <f>IF(A338="","",TEXT(A338,"yyyy-mm"))</f>
        <v/>
      </c>
    </row>
    <row r="339">
      <c r="A339" s="18" t="n"/>
      <c r="B339" s="17" t="n"/>
      <c r="C339" s="17" t="n"/>
      <c r="D339" s="17" t="n"/>
      <c r="E339" s="19" t="n"/>
      <c r="F339" s="17" t="n"/>
      <c r="G339" s="12">
        <f>IF(A339="","",TEXT(A339,"yyyy-mm"))</f>
        <v/>
      </c>
    </row>
    <row r="340">
      <c r="A340" s="18" t="n"/>
      <c r="B340" s="17" t="n"/>
      <c r="C340" s="17" t="n"/>
      <c r="D340" s="17" t="n"/>
      <c r="E340" s="19" t="n"/>
      <c r="F340" s="17" t="n"/>
      <c r="G340" s="12">
        <f>IF(A340="","",TEXT(A340,"yyyy-mm"))</f>
        <v/>
      </c>
    </row>
    <row r="341">
      <c r="A341" s="18" t="n"/>
      <c r="B341" s="17" t="n"/>
      <c r="C341" s="17" t="n"/>
      <c r="D341" s="17" t="n"/>
      <c r="E341" s="19" t="n"/>
      <c r="F341" s="17" t="n"/>
      <c r="G341" s="12">
        <f>IF(A341="","",TEXT(A341,"yyyy-mm"))</f>
        <v/>
      </c>
    </row>
    <row r="342">
      <c r="A342" s="18" t="n"/>
      <c r="B342" s="17" t="n"/>
      <c r="C342" s="17" t="n"/>
      <c r="D342" s="17" t="n"/>
      <c r="E342" s="19" t="n"/>
      <c r="F342" s="17" t="n"/>
      <c r="G342" s="12">
        <f>IF(A342="","",TEXT(A342,"yyyy-mm"))</f>
        <v/>
      </c>
    </row>
    <row r="343">
      <c r="A343" s="18" t="n"/>
      <c r="B343" s="17" t="n"/>
      <c r="C343" s="17" t="n"/>
      <c r="D343" s="17" t="n"/>
      <c r="E343" s="19" t="n"/>
      <c r="F343" s="17" t="n"/>
      <c r="G343" s="12">
        <f>IF(A343="","",TEXT(A343,"yyyy-mm"))</f>
        <v/>
      </c>
    </row>
    <row r="344">
      <c r="A344" s="18" t="n"/>
      <c r="B344" s="17" t="n"/>
      <c r="C344" s="17" t="n"/>
      <c r="D344" s="17" t="n"/>
      <c r="E344" s="19" t="n"/>
      <c r="F344" s="17" t="n"/>
      <c r="G344" s="12">
        <f>IF(A344="","",TEXT(A344,"yyyy-mm"))</f>
        <v/>
      </c>
    </row>
    <row r="345">
      <c r="A345" s="18" t="n"/>
      <c r="B345" s="17" t="n"/>
      <c r="C345" s="17" t="n"/>
      <c r="D345" s="17" t="n"/>
      <c r="E345" s="19" t="n"/>
      <c r="F345" s="17" t="n"/>
      <c r="G345" s="12">
        <f>IF(A345="","",TEXT(A345,"yyyy-mm"))</f>
        <v/>
      </c>
    </row>
    <row r="346">
      <c r="A346" s="18" t="n"/>
      <c r="B346" s="17" t="n"/>
      <c r="C346" s="17" t="n"/>
      <c r="D346" s="17" t="n"/>
      <c r="E346" s="19" t="n"/>
      <c r="F346" s="17" t="n"/>
      <c r="G346" s="12">
        <f>IF(A346="","",TEXT(A346,"yyyy-mm"))</f>
        <v/>
      </c>
    </row>
    <row r="347">
      <c r="A347" s="18" t="n"/>
      <c r="B347" s="17" t="n"/>
      <c r="C347" s="17" t="n"/>
      <c r="D347" s="17" t="n"/>
      <c r="E347" s="19" t="n"/>
      <c r="F347" s="17" t="n"/>
      <c r="G347" s="12">
        <f>IF(A347="","",TEXT(A347,"yyyy-mm"))</f>
        <v/>
      </c>
    </row>
    <row r="348">
      <c r="A348" s="18" t="n"/>
      <c r="B348" s="17" t="n"/>
      <c r="C348" s="17" t="n"/>
      <c r="D348" s="17" t="n"/>
      <c r="E348" s="19" t="n"/>
      <c r="F348" s="17" t="n"/>
      <c r="G348" s="12">
        <f>IF(A348="","",TEXT(A348,"yyyy-mm"))</f>
        <v/>
      </c>
    </row>
    <row r="349">
      <c r="A349" s="18" t="n"/>
      <c r="B349" s="17" t="n"/>
      <c r="C349" s="17" t="n"/>
      <c r="D349" s="17" t="n"/>
      <c r="E349" s="19" t="n"/>
      <c r="F349" s="17" t="n"/>
      <c r="G349" s="12">
        <f>IF(A349="","",TEXT(A349,"yyyy-mm"))</f>
        <v/>
      </c>
    </row>
    <row r="350">
      <c r="A350" s="18" t="n"/>
      <c r="B350" s="17" t="n"/>
      <c r="C350" s="17" t="n"/>
      <c r="D350" s="17" t="n"/>
      <c r="E350" s="19" t="n"/>
      <c r="F350" s="17" t="n"/>
      <c r="G350" s="12">
        <f>IF(A350="","",TEXT(A350,"yyyy-mm"))</f>
        <v/>
      </c>
    </row>
    <row r="351">
      <c r="A351" s="18" t="n"/>
      <c r="B351" s="17" t="n"/>
      <c r="C351" s="17" t="n"/>
      <c r="D351" s="17" t="n"/>
      <c r="E351" s="19" t="n"/>
      <c r="F351" s="17" t="n"/>
      <c r="G351" s="12">
        <f>IF(A351="","",TEXT(A351,"yyyy-mm"))</f>
        <v/>
      </c>
    </row>
    <row r="352">
      <c r="A352" s="18" t="n"/>
      <c r="B352" s="17" t="n"/>
      <c r="C352" s="17" t="n"/>
      <c r="D352" s="17" t="n"/>
      <c r="E352" s="19" t="n"/>
      <c r="F352" s="17" t="n"/>
      <c r="G352" s="12">
        <f>IF(A352="","",TEXT(A352,"yyyy-mm"))</f>
        <v/>
      </c>
    </row>
    <row r="353">
      <c r="A353" s="18" t="n"/>
      <c r="B353" s="17" t="n"/>
      <c r="C353" s="17" t="n"/>
      <c r="D353" s="17" t="n"/>
      <c r="E353" s="19" t="n"/>
      <c r="F353" s="17" t="n"/>
      <c r="G353" s="12">
        <f>IF(A353="","",TEXT(A353,"yyyy-mm"))</f>
        <v/>
      </c>
    </row>
    <row r="354">
      <c r="A354" s="18" t="n"/>
      <c r="B354" s="17" t="n"/>
      <c r="C354" s="17" t="n"/>
      <c r="D354" s="17" t="n"/>
      <c r="E354" s="19" t="n"/>
      <c r="F354" s="17" t="n"/>
      <c r="G354" s="12">
        <f>IF(A354="","",TEXT(A354,"yyyy-mm"))</f>
        <v/>
      </c>
    </row>
    <row r="355">
      <c r="A355" s="18" t="n"/>
      <c r="B355" s="17" t="n"/>
      <c r="C355" s="17" t="n"/>
      <c r="D355" s="17" t="n"/>
      <c r="E355" s="19" t="n"/>
      <c r="F355" s="17" t="n"/>
      <c r="G355" s="12">
        <f>IF(A355="","",TEXT(A355,"yyyy-mm"))</f>
        <v/>
      </c>
    </row>
    <row r="356">
      <c r="A356" s="18" t="n"/>
      <c r="B356" s="17" t="n"/>
      <c r="C356" s="17" t="n"/>
      <c r="D356" s="17" t="n"/>
      <c r="E356" s="19" t="n"/>
      <c r="F356" s="17" t="n"/>
      <c r="G356" s="12">
        <f>IF(A356="","",TEXT(A356,"yyyy-mm"))</f>
        <v/>
      </c>
    </row>
    <row r="357">
      <c r="A357" s="18" t="n"/>
      <c r="B357" s="17" t="n"/>
      <c r="C357" s="17" t="n"/>
      <c r="D357" s="17" t="n"/>
      <c r="E357" s="19" t="n"/>
      <c r="F357" s="17" t="n"/>
      <c r="G357" s="12">
        <f>IF(A357="","",TEXT(A357,"yyyy-mm"))</f>
        <v/>
      </c>
    </row>
    <row r="358">
      <c r="A358" s="18" t="n"/>
      <c r="B358" s="17" t="n"/>
      <c r="C358" s="17" t="n"/>
      <c r="D358" s="17" t="n"/>
      <c r="E358" s="19" t="n"/>
      <c r="F358" s="17" t="n"/>
      <c r="G358" s="12">
        <f>IF(A358="","",TEXT(A358,"yyyy-mm"))</f>
        <v/>
      </c>
    </row>
    <row r="359">
      <c r="A359" s="18" t="n"/>
      <c r="B359" s="17" t="n"/>
      <c r="C359" s="17" t="n"/>
      <c r="D359" s="17" t="n"/>
      <c r="E359" s="19" t="n"/>
      <c r="F359" s="17" t="n"/>
      <c r="G359" s="12">
        <f>IF(A359="","",TEXT(A359,"yyyy-mm"))</f>
        <v/>
      </c>
    </row>
    <row r="360">
      <c r="A360" s="18" t="n"/>
      <c r="B360" s="17" t="n"/>
      <c r="C360" s="17" t="n"/>
      <c r="D360" s="17" t="n"/>
      <c r="E360" s="19" t="n"/>
      <c r="F360" s="17" t="n"/>
      <c r="G360" s="12">
        <f>IF(A360="","",TEXT(A360,"yyyy-mm"))</f>
        <v/>
      </c>
    </row>
    <row r="361">
      <c r="A361" s="18" t="n"/>
      <c r="B361" s="17" t="n"/>
      <c r="C361" s="17" t="n"/>
      <c r="D361" s="17" t="n"/>
      <c r="E361" s="19" t="n"/>
      <c r="F361" s="17" t="n"/>
      <c r="G361" s="12">
        <f>IF(A361="","",TEXT(A361,"yyyy-mm"))</f>
        <v/>
      </c>
    </row>
    <row r="362">
      <c r="A362" s="18" t="n"/>
      <c r="B362" s="17" t="n"/>
      <c r="C362" s="17" t="n"/>
      <c r="D362" s="17" t="n"/>
      <c r="E362" s="19" t="n"/>
      <c r="F362" s="17" t="n"/>
      <c r="G362" s="12">
        <f>IF(A362="","",TEXT(A362,"yyyy-mm"))</f>
        <v/>
      </c>
    </row>
    <row r="363">
      <c r="A363" s="18" t="n"/>
      <c r="B363" s="17" t="n"/>
      <c r="C363" s="17" t="n"/>
      <c r="D363" s="17" t="n"/>
      <c r="E363" s="19" t="n"/>
      <c r="F363" s="17" t="n"/>
      <c r="G363" s="12">
        <f>IF(A363="","",TEXT(A363,"yyyy-mm"))</f>
        <v/>
      </c>
    </row>
    <row r="364">
      <c r="A364" s="18" t="n"/>
      <c r="B364" s="17" t="n"/>
      <c r="C364" s="17" t="n"/>
      <c r="D364" s="17" t="n"/>
      <c r="E364" s="19" t="n"/>
      <c r="F364" s="17" t="n"/>
      <c r="G364" s="12">
        <f>IF(A364="","",TEXT(A364,"yyyy-mm"))</f>
        <v/>
      </c>
    </row>
    <row r="365">
      <c r="A365" s="18" t="n"/>
      <c r="B365" s="17" t="n"/>
      <c r="C365" s="17" t="n"/>
      <c r="D365" s="17" t="n"/>
      <c r="E365" s="19" t="n"/>
      <c r="F365" s="17" t="n"/>
      <c r="G365" s="12">
        <f>IF(A365="","",TEXT(A365,"yyyy-mm"))</f>
        <v/>
      </c>
    </row>
    <row r="366">
      <c r="A366" s="18" t="n"/>
      <c r="B366" s="17" t="n"/>
      <c r="C366" s="17" t="n"/>
      <c r="D366" s="17" t="n"/>
      <c r="E366" s="19" t="n"/>
      <c r="F366" s="17" t="n"/>
      <c r="G366" s="12">
        <f>IF(A366="","",TEXT(A366,"yyyy-mm"))</f>
        <v/>
      </c>
    </row>
    <row r="367">
      <c r="A367" s="18" t="n"/>
      <c r="B367" s="17" t="n"/>
      <c r="C367" s="17" t="n"/>
      <c r="D367" s="17" t="n"/>
      <c r="E367" s="19" t="n"/>
      <c r="F367" s="17" t="n"/>
      <c r="G367" s="12">
        <f>IF(A367="","",TEXT(A367,"yyyy-mm"))</f>
        <v/>
      </c>
    </row>
    <row r="368">
      <c r="A368" s="18" t="n"/>
      <c r="B368" s="17" t="n"/>
      <c r="C368" s="17" t="n"/>
      <c r="D368" s="17" t="n"/>
      <c r="E368" s="19" t="n"/>
      <c r="F368" s="17" t="n"/>
      <c r="G368" s="12">
        <f>IF(A368="","",TEXT(A368,"yyyy-mm"))</f>
        <v/>
      </c>
    </row>
    <row r="369">
      <c r="A369" s="18" t="n"/>
      <c r="B369" s="17" t="n"/>
      <c r="C369" s="17" t="n"/>
      <c r="D369" s="17" t="n"/>
      <c r="E369" s="19" t="n"/>
      <c r="F369" s="17" t="n"/>
      <c r="G369" s="12">
        <f>IF(A369="","",TEXT(A369,"yyyy-mm"))</f>
        <v/>
      </c>
    </row>
    <row r="370">
      <c r="A370" s="18" t="n"/>
      <c r="B370" s="17" t="n"/>
      <c r="C370" s="17" t="n"/>
      <c r="D370" s="17" t="n"/>
      <c r="E370" s="19" t="n"/>
      <c r="F370" s="17" t="n"/>
      <c r="G370" s="12">
        <f>IF(A370="","",TEXT(A370,"yyyy-mm"))</f>
        <v/>
      </c>
    </row>
    <row r="371">
      <c r="A371" s="18" t="n"/>
      <c r="B371" s="17" t="n"/>
      <c r="C371" s="17" t="n"/>
      <c r="D371" s="17" t="n"/>
      <c r="E371" s="19" t="n"/>
      <c r="F371" s="17" t="n"/>
      <c r="G371" s="12">
        <f>IF(A371="","",TEXT(A371,"yyyy-mm"))</f>
        <v/>
      </c>
    </row>
    <row r="372">
      <c r="A372" s="18" t="n"/>
      <c r="B372" s="17" t="n"/>
      <c r="C372" s="17" t="n"/>
      <c r="D372" s="17" t="n"/>
      <c r="E372" s="19" t="n"/>
      <c r="F372" s="17" t="n"/>
      <c r="G372" s="12">
        <f>IF(A372="","",TEXT(A372,"yyyy-mm"))</f>
        <v/>
      </c>
    </row>
    <row r="373">
      <c r="A373" s="18" t="n"/>
      <c r="B373" s="17" t="n"/>
      <c r="C373" s="17" t="n"/>
      <c r="D373" s="17" t="n"/>
      <c r="E373" s="19" t="n"/>
      <c r="F373" s="17" t="n"/>
      <c r="G373" s="12">
        <f>IF(A373="","",TEXT(A373,"yyyy-mm"))</f>
        <v/>
      </c>
    </row>
    <row r="374">
      <c r="A374" s="18" t="n"/>
      <c r="B374" s="17" t="n"/>
      <c r="C374" s="17" t="n"/>
      <c r="D374" s="17" t="n"/>
      <c r="E374" s="19" t="n"/>
      <c r="F374" s="17" t="n"/>
      <c r="G374" s="12">
        <f>IF(A374="","",TEXT(A374,"yyyy-mm"))</f>
        <v/>
      </c>
    </row>
    <row r="375">
      <c r="A375" s="18" t="n"/>
      <c r="B375" s="17" t="n"/>
      <c r="C375" s="17" t="n"/>
      <c r="D375" s="17" t="n"/>
      <c r="E375" s="19" t="n"/>
      <c r="F375" s="17" t="n"/>
      <c r="G375" s="12">
        <f>IF(A375="","",TEXT(A375,"yyyy-mm"))</f>
        <v/>
      </c>
    </row>
    <row r="376">
      <c r="A376" s="18" t="n"/>
      <c r="B376" s="17" t="n"/>
      <c r="C376" s="17" t="n"/>
      <c r="D376" s="17" t="n"/>
      <c r="E376" s="19" t="n"/>
      <c r="F376" s="17" t="n"/>
      <c r="G376" s="12">
        <f>IF(A376="","",TEXT(A376,"yyyy-mm"))</f>
        <v/>
      </c>
    </row>
    <row r="377">
      <c r="A377" s="18" t="n"/>
      <c r="B377" s="17" t="n"/>
      <c r="C377" s="17" t="n"/>
      <c r="D377" s="17" t="n"/>
      <c r="E377" s="19" t="n"/>
      <c r="F377" s="17" t="n"/>
      <c r="G377" s="12">
        <f>IF(A377="","",TEXT(A377,"yyyy-mm"))</f>
        <v/>
      </c>
    </row>
    <row r="378">
      <c r="A378" s="18" t="n"/>
      <c r="B378" s="17" t="n"/>
      <c r="C378" s="17" t="n"/>
      <c r="D378" s="17" t="n"/>
      <c r="E378" s="19" t="n"/>
      <c r="F378" s="17" t="n"/>
      <c r="G378" s="12">
        <f>IF(A378="","",TEXT(A378,"yyyy-mm"))</f>
        <v/>
      </c>
    </row>
    <row r="379">
      <c r="A379" s="18" t="n"/>
      <c r="B379" s="17" t="n"/>
      <c r="C379" s="17" t="n"/>
      <c r="D379" s="17" t="n"/>
      <c r="E379" s="19" t="n"/>
      <c r="F379" s="17" t="n"/>
      <c r="G379" s="12">
        <f>IF(A379="","",TEXT(A379,"yyyy-mm"))</f>
        <v/>
      </c>
    </row>
    <row r="380">
      <c r="A380" s="18" t="n"/>
      <c r="B380" s="17" t="n"/>
      <c r="C380" s="17" t="n"/>
      <c r="D380" s="17" t="n"/>
      <c r="E380" s="19" t="n"/>
      <c r="F380" s="17" t="n"/>
      <c r="G380" s="12">
        <f>IF(A380="","",TEXT(A380,"yyyy-mm"))</f>
        <v/>
      </c>
    </row>
    <row r="381">
      <c r="A381" s="18" t="n"/>
      <c r="B381" s="17" t="n"/>
      <c r="C381" s="17" t="n"/>
      <c r="D381" s="17" t="n"/>
      <c r="E381" s="19" t="n"/>
      <c r="F381" s="17" t="n"/>
      <c r="G381" s="12">
        <f>IF(A381="","",TEXT(A381,"yyyy-mm"))</f>
        <v/>
      </c>
    </row>
    <row r="382">
      <c r="A382" s="18" t="n"/>
      <c r="B382" s="17" t="n"/>
      <c r="C382" s="17" t="n"/>
      <c r="D382" s="17" t="n"/>
      <c r="E382" s="19" t="n"/>
      <c r="F382" s="17" t="n"/>
      <c r="G382" s="12">
        <f>IF(A382="","",TEXT(A382,"yyyy-mm"))</f>
        <v/>
      </c>
    </row>
    <row r="383">
      <c r="A383" s="18" t="n"/>
      <c r="B383" s="17" t="n"/>
      <c r="C383" s="17" t="n"/>
      <c r="D383" s="17" t="n"/>
      <c r="E383" s="19" t="n"/>
      <c r="F383" s="17" t="n"/>
      <c r="G383" s="12">
        <f>IF(A383="","",TEXT(A383,"yyyy-mm"))</f>
        <v/>
      </c>
    </row>
    <row r="384">
      <c r="A384" s="18" t="n"/>
      <c r="B384" s="17" t="n"/>
      <c r="C384" s="17" t="n"/>
      <c r="D384" s="17" t="n"/>
      <c r="E384" s="19" t="n"/>
      <c r="F384" s="17" t="n"/>
      <c r="G384" s="12">
        <f>IF(A384="","",TEXT(A384,"yyyy-mm"))</f>
        <v/>
      </c>
    </row>
    <row r="385">
      <c r="A385" s="18" t="n"/>
      <c r="B385" s="17" t="n"/>
      <c r="C385" s="17" t="n"/>
      <c r="D385" s="17" t="n"/>
      <c r="E385" s="19" t="n"/>
      <c r="F385" s="17" t="n"/>
      <c r="G385" s="12">
        <f>IF(A385="","",TEXT(A385,"yyyy-mm"))</f>
        <v/>
      </c>
    </row>
    <row r="386">
      <c r="A386" s="18" t="n"/>
      <c r="B386" s="17" t="n"/>
      <c r="C386" s="17" t="n"/>
      <c r="D386" s="17" t="n"/>
      <c r="E386" s="19" t="n"/>
      <c r="F386" s="17" t="n"/>
      <c r="G386" s="12">
        <f>IF(A386="","",TEXT(A386,"yyyy-mm"))</f>
        <v/>
      </c>
    </row>
    <row r="387">
      <c r="A387" s="18" t="n"/>
      <c r="B387" s="17" t="n"/>
      <c r="C387" s="17" t="n"/>
      <c r="D387" s="17" t="n"/>
      <c r="E387" s="19" t="n"/>
      <c r="F387" s="17" t="n"/>
      <c r="G387" s="12">
        <f>IF(A387="","",TEXT(A387,"yyyy-mm"))</f>
        <v/>
      </c>
    </row>
    <row r="388">
      <c r="A388" s="18" t="n"/>
      <c r="B388" s="17" t="n"/>
      <c r="C388" s="17" t="n"/>
      <c r="D388" s="17" t="n"/>
      <c r="E388" s="19" t="n"/>
      <c r="F388" s="17" t="n"/>
      <c r="G388" s="12">
        <f>IF(A388="","",TEXT(A388,"yyyy-mm"))</f>
        <v/>
      </c>
    </row>
    <row r="389">
      <c r="A389" s="18" t="n"/>
      <c r="B389" s="17" t="n"/>
      <c r="C389" s="17" t="n"/>
      <c r="D389" s="17" t="n"/>
      <c r="E389" s="19" t="n"/>
      <c r="F389" s="17" t="n"/>
      <c r="G389" s="12">
        <f>IF(A389="","",TEXT(A389,"yyyy-mm"))</f>
        <v/>
      </c>
    </row>
    <row r="390">
      <c r="A390" s="18" t="n"/>
      <c r="B390" s="17" t="n"/>
      <c r="C390" s="17" t="n"/>
      <c r="D390" s="17" t="n"/>
      <c r="E390" s="19" t="n"/>
      <c r="F390" s="17" t="n"/>
      <c r="G390" s="12">
        <f>IF(A390="","",TEXT(A390,"yyyy-mm"))</f>
        <v/>
      </c>
    </row>
    <row r="391">
      <c r="A391" s="18" t="n"/>
      <c r="B391" s="17" t="n"/>
      <c r="C391" s="17" t="n"/>
      <c r="D391" s="17" t="n"/>
      <c r="E391" s="19" t="n"/>
      <c r="F391" s="17" t="n"/>
      <c r="G391" s="12">
        <f>IF(A391="","",TEXT(A391,"yyyy-mm"))</f>
        <v/>
      </c>
    </row>
    <row r="392">
      <c r="A392" s="18" t="n"/>
      <c r="B392" s="17" t="n"/>
      <c r="C392" s="17" t="n"/>
      <c r="D392" s="17" t="n"/>
      <c r="E392" s="19" t="n"/>
      <c r="F392" s="17" t="n"/>
      <c r="G392" s="12">
        <f>IF(A392="","",TEXT(A392,"yyyy-mm"))</f>
        <v/>
      </c>
    </row>
    <row r="393">
      <c r="A393" s="18" t="n"/>
      <c r="B393" s="17" t="n"/>
      <c r="C393" s="17" t="n"/>
      <c r="D393" s="17" t="n"/>
      <c r="E393" s="19" t="n"/>
      <c r="F393" s="17" t="n"/>
      <c r="G393" s="12">
        <f>IF(A393="","",TEXT(A393,"yyyy-mm"))</f>
        <v/>
      </c>
    </row>
    <row r="394">
      <c r="A394" s="18" t="n"/>
      <c r="B394" s="17" t="n"/>
      <c r="C394" s="17" t="n"/>
      <c r="D394" s="17" t="n"/>
      <c r="E394" s="19" t="n"/>
      <c r="F394" s="17" t="n"/>
      <c r="G394" s="12">
        <f>IF(A394="","",TEXT(A394,"yyyy-mm"))</f>
        <v/>
      </c>
    </row>
    <row r="395">
      <c r="A395" s="18" t="n"/>
      <c r="B395" s="17" t="n"/>
      <c r="C395" s="17" t="n"/>
      <c r="D395" s="17" t="n"/>
      <c r="E395" s="19" t="n"/>
      <c r="F395" s="17" t="n"/>
      <c r="G395" s="12">
        <f>IF(A395="","",TEXT(A395,"yyyy-mm"))</f>
        <v/>
      </c>
    </row>
    <row r="396">
      <c r="A396" s="18" t="n"/>
      <c r="B396" s="17" t="n"/>
      <c r="C396" s="17" t="n"/>
      <c r="D396" s="17" t="n"/>
      <c r="E396" s="19" t="n"/>
      <c r="F396" s="17" t="n"/>
      <c r="G396" s="12">
        <f>IF(A396="","",TEXT(A396,"yyyy-mm"))</f>
        <v/>
      </c>
    </row>
    <row r="397">
      <c r="A397" s="18" t="n"/>
      <c r="B397" s="17" t="n"/>
      <c r="C397" s="17" t="n"/>
      <c r="D397" s="17" t="n"/>
      <c r="E397" s="19" t="n"/>
      <c r="F397" s="17" t="n"/>
      <c r="G397" s="12">
        <f>IF(A397="","",TEXT(A397,"yyyy-mm"))</f>
        <v/>
      </c>
    </row>
    <row r="398">
      <c r="A398" s="18" t="n"/>
      <c r="B398" s="17" t="n"/>
      <c r="C398" s="17" t="n"/>
      <c r="D398" s="17" t="n"/>
      <c r="E398" s="19" t="n"/>
      <c r="F398" s="17" t="n"/>
      <c r="G398" s="12">
        <f>IF(A398="","",TEXT(A398,"yyyy-mm"))</f>
        <v/>
      </c>
    </row>
    <row r="399">
      <c r="A399" s="18" t="n"/>
      <c r="B399" s="17" t="n"/>
      <c r="C399" s="17" t="n"/>
      <c r="D399" s="17" t="n"/>
      <c r="E399" s="19" t="n"/>
      <c r="F399" s="17" t="n"/>
      <c r="G399" s="12">
        <f>IF(A399="","",TEXT(A399,"yyyy-mm"))</f>
        <v/>
      </c>
    </row>
    <row r="400">
      <c r="A400" s="18" t="n"/>
      <c r="B400" s="17" t="n"/>
      <c r="C400" s="17" t="n"/>
      <c r="D400" s="17" t="n"/>
      <c r="E400" s="19" t="n"/>
      <c r="F400" s="17" t="n"/>
      <c r="G400" s="12">
        <f>IF(A400="","",TEXT(A400,"yyyy-mm"))</f>
        <v/>
      </c>
    </row>
    <row r="401">
      <c r="A401" s="18" t="n"/>
      <c r="B401" s="17" t="n"/>
      <c r="C401" s="17" t="n"/>
      <c r="D401" s="17" t="n"/>
      <c r="E401" s="19" t="n"/>
      <c r="F401" s="17" t="n"/>
      <c r="G401" s="12">
        <f>IF(A401="","",TEXT(A401,"yyyy-mm"))</f>
        <v/>
      </c>
    </row>
    <row r="402">
      <c r="A402" s="18" t="n"/>
      <c r="B402" s="17" t="n"/>
      <c r="C402" s="17" t="n"/>
      <c r="D402" s="17" t="n"/>
      <c r="E402" s="19" t="n"/>
      <c r="F402" s="17" t="n"/>
      <c r="G402" s="12">
        <f>IF(A402="","",TEXT(A402,"yyyy-mm"))</f>
        <v/>
      </c>
    </row>
    <row r="403">
      <c r="A403" s="18" t="n"/>
      <c r="B403" s="17" t="n"/>
      <c r="C403" s="17" t="n"/>
      <c r="D403" s="17" t="n"/>
      <c r="E403" s="19" t="n"/>
      <c r="F403" s="17" t="n"/>
      <c r="G403" s="12">
        <f>IF(A403="","",TEXT(A403,"yyyy-mm"))</f>
        <v/>
      </c>
    </row>
    <row r="404">
      <c r="A404" s="18" t="n"/>
      <c r="B404" s="17" t="n"/>
      <c r="C404" s="17" t="n"/>
      <c r="D404" s="17" t="n"/>
      <c r="E404" s="19" t="n"/>
      <c r="F404" s="17" t="n"/>
      <c r="G404" s="12">
        <f>IF(A404="","",TEXT(A404,"yyyy-mm"))</f>
        <v/>
      </c>
    </row>
    <row r="405">
      <c r="A405" s="18" t="n"/>
      <c r="B405" s="17" t="n"/>
      <c r="C405" s="17" t="n"/>
      <c r="D405" s="17" t="n"/>
      <c r="E405" s="19" t="n"/>
      <c r="F405" s="17" t="n"/>
      <c r="G405" s="12">
        <f>IF(A405="","",TEXT(A405,"yyyy-mm"))</f>
        <v/>
      </c>
    </row>
    <row r="406">
      <c r="A406" s="18" t="n"/>
      <c r="B406" s="17" t="n"/>
      <c r="C406" s="17" t="n"/>
      <c r="D406" s="17" t="n"/>
      <c r="E406" s="19" t="n"/>
      <c r="F406" s="17" t="n"/>
      <c r="G406" s="12">
        <f>IF(A406="","",TEXT(A406,"yyyy-mm"))</f>
        <v/>
      </c>
    </row>
    <row r="407">
      <c r="A407" s="18" t="n"/>
      <c r="B407" s="17" t="n"/>
      <c r="C407" s="17" t="n"/>
      <c r="D407" s="17" t="n"/>
      <c r="E407" s="19" t="n"/>
      <c r="F407" s="17" t="n"/>
      <c r="G407" s="12">
        <f>IF(A407="","",TEXT(A407,"yyyy-mm"))</f>
        <v/>
      </c>
    </row>
    <row r="408">
      <c r="A408" s="18" t="n"/>
      <c r="B408" s="17" t="n"/>
      <c r="C408" s="17" t="n"/>
      <c r="D408" s="17" t="n"/>
      <c r="E408" s="19" t="n"/>
      <c r="F408" s="17" t="n"/>
      <c r="G408" s="12">
        <f>IF(A408="","",TEXT(A408,"yyyy-mm"))</f>
        <v/>
      </c>
    </row>
    <row r="409">
      <c r="A409" s="18" t="n"/>
      <c r="B409" s="17" t="n"/>
      <c r="C409" s="17" t="n"/>
      <c r="D409" s="17" t="n"/>
      <c r="E409" s="19" t="n"/>
      <c r="F409" s="17" t="n"/>
      <c r="G409" s="12">
        <f>IF(A409="","",TEXT(A409,"yyyy-mm"))</f>
        <v/>
      </c>
    </row>
    <row r="410">
      <c r="A410" s="18" t="n"/>
      <c r="B410" s="17" t="n"/>
      <c r="C410" s="17" t="n"/>
      <c r="D410" s="17" t="n"/>
      <c r="E410" s="19" t="n"/>
      <c r="F410" s="17" t="n"/>
      <c r="G410" s="12">
        <f>IF(A410="","",TEXT(A410,"yyyy-mm"))</f>
        <v/>
      </c>
    </row>
    <row r="411">
      <c r="A411" s="18" t="n"/>
      <c r="B411" s="17" t="n"/>
      <c r="C411" s="17" t="n"/>
      <c r="D411" s="17" t="n"/>
      <c r="E411" s="19" t="n"/>
      <c r="F411" s="17" t="n"/>
      <c r="G411" s="12">
        <f>IF(A411="","",TEXT(A411,"yyyy-mm"))</f>
        <v/>
      </c>
    </row>
    <row r="412">
      <c r="A412" s="18" t="n"/>
      <c r="B412" s="17" t="n"/>
      <c r="C412" s="17" t="n"/>
      <c r="D412" s="17" t="n"/>
      <c r="E412" s="19" t="n"/>
      <c r="F412" s="17" t="n"/>
      <c r="G412" s="12">
        <f>IF(A412="","",TEXT(A412,"yyyy-mm"))</f>
        <v/>
      </c>
    </row>
    <row r="413">
      <c r="A413" s="18" t="n"/>
      <c r="B413" s="17" t="n"/>
      <c r="C413" s="17" t="n"/>
      <c r="D413" s="17" t="n"/>
      <c r="E413" s="19" t="n"/>
      <c r="F413" s="17" t="n"/>
      <c r="G413" s="12">
        <f>IF(A413="","",TEXT(A413,"yyyy-mm"))</f>
        <v/>
      </c>
    </row>
    <row r="414">
      <c r="A414" s="18" t="n"/>
      <c r="B414" s="17" t="n"/>
      <c r="C414" s="17" t="n"/>
      <c r="D414" s="17" t="n"/>
      <c r="E414" s="19" t="n"/>
      <c r="F414" s="17" t="n"/>
      <c r="G414" s="12">
        <f>IF(A414="","",TEXT(A414,"yyyy-mm"))</f>
        <v/>
      </c>
    </row>
    <row r="415">
      <c r="A415" s="18" t="n"/>
      <c r="B415" s="17" t="n"/>
      <c r="C415" s="17" t="n"/>
      <c r="D415" s="17" t="n"/>
      <c r="E415" s="19" t="n"/>
      <c r="F415" s="17" t="n"/>
      <c r="G415" s="12">
        <f>IF(A415="","",TEXT(A415,"yyyy-mm"))</f>
        <v/>
      </c>
    </row>
    <row r="416">
      <c r="A416" s="18" t="n"/>
      <c r="B416" s="17" t="n"/>
      <c r="C416" s="17" t="n"/>
      <c r="D416" s="17" t="n"/>
      <c r="E416" s="19" t="n"/>
      <c r="F416" s="17" t="n"/>
      <c r="G416" s="12">
        <f>IF(A416="","",TEXT(A416,"yyyy-mm"))</f>
        <v/>
      </c>
    </row>
    <row r="417">
      <c r="A417" s="18" t="n"/>
      <c r="B417" s="17" t="n"/>
      <c r="C417" s="17" t="n"/>
      <c r="D417" s="17" t="n"/>
      <c r="E417" s="19" t="n"/>
      <c r="F417" s="17" t="n"/>
      <c r="G417" s="12">
        <f>IF(A417="","",TEXT(A417,"yyyy-mm"))</f>
        <v/>
      </c>
    </row>
    <row r="418">
      <c r="A418" s="18" t="n"/>
      <c r="B418" s="17" t="n"/>
      <c r="C418" s="17" t="n"/>
      <c r="D418" s="17" t="n"/>
      <c r="E418" s="19" t="n"/>
      <c r="F418" s="17" t="n"/>
      <c r="G418" s="12">
        <f>IF(A418="","",TEXT(A418,"yyyy-mm"))</f>
        <v/>
      </c>
    </row>
    <row r="419">
      <c r="A419" s="18" t="n"/>
      <c r="B419" s="17" t="n"/>
      <c r="C419" s="17" t="n"/>
      <c r="D419" s="17" t="n"/>
      <c r="E419" s="19" t="n"/>
      <c r="F419" s="17" t="n"/>
      <c r="G419" s="12">
        <f>IF(A419="","",TEXT(A419,"yyyy-mm"))</f>
        <v/>
      </c>
    </row>
    <row r="420">
      <c r="A420" s="18" t="n"/>
      <c r="B420" s="17" t="n"/>
      <c r="C420" s="17" t="n"/>
      <c r="D420" s="17" t="n"/>
      <c r="E420" s="19" t="n"/>
      <c r="F420" s="17" t="n"/>
      <c r="G420" s="12">
        <f>IF(A420="","",TEXT(A420,"yyyy-mm"))</f>
        <v/>
      </c>
    </row>
    <row r="421">
      <c r="A421" s="18" t="n"/>
      <c r="B421" s="17" t="n"/>
      <c r="C421" s="17" t="n"/>
      <c r="D421" s="17" t="n"/>
      <c r="E421" s="19" t="n"/>
      <c r="F421" s="17" t="n"/>
      <c r="G421" s="12">
        <f>IF(A421="","",TEXT(A421,"yyyy-mm"))</f>
        <v/>
      </c>
    </row>
    <row r="422">
      <c r="A422" s="18" t="n"/>
      <c r="B422" s="17" t="n"/>
      <c r="C422" s="17" t="n"/>
      <c r="D422" s="17" t="n"/>
      <c r="E422" s="19" t="n"/>
      <c r="F422" s="17" t="n"/>
      <c r="G422" s="12">
        <f>IF(A422="","",TEXT(A422,"yyyy-mm"))</f>
        <v/>
      </c>
    </row>
    <row r="423">
      <c r="A423" s="18" t="n"/>
      <c r="B423" s="17" t="n"/>
      <c r="C423" s="17" t="n"/>
      <c r="D423" s="17" t="n"/>
      <c r="E423" s="19" t="n"/>
      <c r="F423" s="17" t="n"/>
      <c r="G423" s="12">
        <f>IF(A423="","",TEXT(A423,"yyyy-mm"))</f>
        <v/>
      </c>
    </row>
    <row r="424">
      <c r="A424" s="18" t="n"/>
      <c r="B424" s="17" t="n"/>
      <c r="C424" s="17" t="n"/>
      <c r="D424" s="17" t="n"/>
      <c r="E424" s="19" t="n"/>
      <c r="F424" s="17" t="n"/>
      <c r="G424" s="12">
        <f>IF(A424="","",TEXT(A424,"yyyy-mm"))</f>
        <v/>
      </c>
    </row>
    <row r="425">
      <c r="A425" s="18" t="n"/>
      <c r="B425" s="17" t="n"/>
      <c r="C425" s="17" t="n"/>
      <c r="D425" s="17" t="n"/>
      <c r="E425" s="19" t="n"/>
      <c r="F425" s="17" t="n"/>
      <c r="G425" s="12">
        <f>IF(A425="","",TEXT(A425,"yyyy-mm"))</f>
        <v/>
      </c>
    </row>
    <row r="426">
      <c r="A426" s="18" t="n"/>
      <c r="B426" s="17" t="n"/>
      <c r="C426" s="17" t="n"/>
      <c r="D426" s="17" t="n"/>
      <c r="E426" s="19" t="n"/>
      <c r="F426" s="17" t="n"/>
      <c r="G426" s="12">
        <f>IF(A426="","",TEXT(A426,"yyyy-mm"))</f>
        <v/>
      </c>
    </row>
    <row r="427">
      <c r="A427" s="18" t="n"/>
      <c r="B427" s="17" t="n"/>
      <c r="C427" s="17" t="n"/>
      <c r="D427" s="17" t="n"/>
      <c r="E427" s="19" t="n"/>
      <c r="F427" s="17" t="n"/>
      <c r="G427" s="12">
        <f>IF(A427="","",TEXT(A427,"yyyy-mm"))</f>
        <v/>
      </c>
    </row>
    <row r="428">
      <c r="A428" s="18" t="n"/>
      <c r="B428" s="17" t="n"/>
      <c r="C428" s="17" t="n"/>
      <c r="D428" s="17" t="n"/>
      <c r="E428" s="19" t="n"/>
      <c r="F428" s="17" t="n"/>
      <c r="G428" s="12">
        <f>IF(A428="","",TEXT(A428,"yyyy-mm"))</f>
        <v/>
      </c>
    </row>
    <row r="429">
      <c r="A429" s="18" t="n"/>
      <c r="B429" s="17" t="n"/>
      <c r="C429" s="17" t="n"/>
      <c r="D429" s="17" t="n"/>
      <c r="E429" s="19" t="n"/>
      <c r="F429" s="17" t="n"/>
      <c r="G429" s="12">
        <f>IF(A429="","",TEXT(A429,"yyyy-mm"))</f>
        <v/>
      </c>
    </row>
    <row r="430">
      <c r="A430" s="18" t="n"/>
      <c r="B430" s="17" t="n"/>
      <c r="C430" s="17" t="n"/>
      <c r="D430" s="17" t="n"/>
      <c r="E430" s="19" t="n"/>
      <c r="F430" s="17" t="n"/>
      <c r="G430" s="12">
        <f>IF(A430="","",TEXT(A430,"yyyy-mm"))</f>
        <v/>
      </c>
    </row>
    <row r="431">
      <c r="A431" s="18" t="n"/>
      <c r="B431" s="17" t="n"/>
      <c r="C431" s="17" t="n"/>
      <c r="D431" s="17" t="n"/>
      <c r="E431" s="19" t="n"/>
      <c r="F431" s="17" t="n"/>
      <c r="G431" s="12">
        <f>IF(A431="","",TEXT(A431,"yyyy-mm"))</f>
        <v/>
      </c>
    </row>
    <row r="432">
      <c r="A432" s="18" t="n"/>
      <c r="B432" s="17" t="n"/>
      <c r="C432" s="17" t="n"/>
      <c r="D432" s="17" t="n"/>
      <c r="E432" s="19" t="n"/>
      <c r="F432" s="17" t="n"/>
      <c r="G432" s="12">
        <f>IF(A432="","",TEXT(A432,"yyyy-mm"))</f>
        <v/>
      </c>
    </row>
    <row r="433">
      <c r="A433" s="18" t="n"/>
      <c r="B433" s="17" t="n"/>
      <c r="C433" s="17" t="n"/>
      <c r="D433" s="17" t="n"/>
      <c r="E433" s="19" t="n"/>
      <c r="F433" s="17" t="n"/>
      <c r="G433" s="12">
        <f>IF(A433="","",TEXT(A433,"yyyy-mm"))</f>
        <v/>
      </c>
    </row>
    <row r="434">
      <c r="A434" s="18" t="n"/>
      <c r="B434" s="17" t="n"/>
      <c r="C434" s="17" t="n"/>
      <c r="D434" s="17" t="n"/>
      <c r="E434" s="19" t="n"/>
      <c r="F434" s="17" t="n"/>
      <c r="G434" s="12">
        <f>IF(A434="","",TEXT(A434,"yyyy-mm"))</f>
        <v/>
      </c>
    </row>
    <row r="435">
      <c r="A435" s="18" t="n"/>
      <c r="B435" s="17" t="n"/>
      <c r="C435" s="17" t="n"/>
      <c r="D435" s="17" t="n"/>
      <c r="E435" s="19" t="n"/>
      <c r="F435" s="17" t="n"/>
      <c r="G435" s="12">
        <f>IF(A435="","",TEXT(A435,"yyyy-mm"))</f>
        <v/>
      </c>
    </row>
    <row r="436">
      <c r="A436" s="18" t="n"/>
      <c r="B436" s="17" t="n"/>
      <c r="C436" s="17" t="n"/>
      <c r="D436" s="17" t="n"/>
      <c r="E436" s="19" t="n"/>
      <c r="F436" s="17" t="n"/>
      <c r="G436" s="12">
        <f>IF(A436="","",TEXT(A436,"yyyy-mm"))</f>
        <v/>
      </c>
    </row>
    <row r="437">
      <c r="A437" s="18" t="n"/>
      <c r="B437" s="17" t="n"/>
      <c r="C437" s="17" t="n"/>
      <c r="D437" s="17" t="n"/>
      <c r="E437" s="19" t="n"/>
      <c r="F437" s="17" t="n"/>
      <c r="G437" s="12">
        <f>IF(A437="","",TEXT(A437,"yyyy-mm"))</f>
        <v/>
      </c>
    </row>
    <row r="438">
      <c r="A438" s="18" t="n"/>
      <c r="B438" s="17" t="n"/>
      <c r="C438" s="17" t="n"/>
      <c r="D438" s="17" t="n"/>
      <c r="E438" s="19" t="n"/>
      <c r="F438" s="17" t="n"/>
      <c r="G438" s="12">
        <f>IF(A438="","",TEXT(A438,"yyyy-mm"))</f>
        <v/>
      </c>
    </row>
    <row r="439">
      <c r="A439" s="18" t="n"/>
      <c r="B439" s="17" t="n"/>
      <c r="C439" s="17" t="n"/>
      <c r="D439" s="17" t="n"/>
      <c r="E439" s="19" t="n"/>
      <c r="F439" s="17" t="n"/>
      <c r="G439" s="12">
        <f>IF(A439="","",TEXT(A439,"yyyy-mm"))</f>
        <v/>
      </c>
    </row>
    <row r="440">
      <c r="A440" s="18" t="n"/>
      <c r="B440" s="17" t="n"/>
      <c r="C440" s="17" t="n"/>
      <c r="D440" s="17" t="n"/>
      <c r="E440" s="19" t="n"/>
      <c r="F440" s="17" t="n"/>
      <c r="G440" s="12">
        <f>IF(A440="","",TEXT(A440,"yyyy-mm"))</f>
        <v/>
      </c>
    </row>
    <row r="441">
      <c r="A441" s="18" t="n"/>
      <c r="B441" s="17" t="n"/>
      <c r="C441" s="17" t="n"/>
      <c r="D441" s="17" t="n"/>
      <c r="E441" s="19" t="n"/>
      <c r="F441" s="17" t="n"/>
      <c r="G441" s="12">
        <f>IF(A441="","",TEXT(A441,"yyyy-mm"))</f>
        <v/>
      </c>
    </row>
    <row r="442">
      <c r="A442" s="18" t="n"/>
      <c r="B442" s="17" t="n"/>
      <c r="C442" s="17" t="n"/>
      <c r="D442" s="17" t="n"/>
      <c r="E442" s="19" t="n"/>
      <c r="F442" s="17" t="n"/>
      <c r="G442" s="12">
        <f>IF(A442="","",TEXT(A442,"yyyy-mm"))</f>
        <v/>
      </c>
    </row>
    <row r="443">
      <c r="A443" s="18" t="n"/>
      <c r="B443" s="17" t="n"/>
      <c r="C443" s="17" t="n"/>
      <c r="D443" s="17" t="n"/>
      <c r="E443" s="19" t="n"/>
      <c r="F443" s="17" t="n"/>
      <c r="G443" s="12">
        <f>IF(A443="","",TEXT(A443,"yyyy-mm"))</f>
        <v/>
      </c>
    </row>
    <row r="444">
      <c r="A444" s="18" t="n"/>
      <c r="B444" s="17" t="n"/>
      <c r="C444" s="17" t="n"/>
      <c r="D444" s="17" t="n"/>
      <c r="E444" s="19" t="n"/>
      <c r="F444" s="17" t="n"/>
      <c r="G444" s="12">
        <f>IF(A444="","",TEXT(A444,"yyyy-mm"))</f>
        <v/>
      </c>
    </row>
    <row r="445">
      <c r="A445" s="18" t="n"/>
      <c r="B445" s="17" t="n"/>
      <c r="C445" s="17" t="n"/>
      <c r="D445" s="17" t="n"/>
      <c r="E445" s="19" t="n"/>
      <c r="F445" s="17" t="n"/>
      <c r="G445" s="12">
        <f>IF(A445="","",TEXT(A445,"yyyy-mm"))</f>
        <v/>
      </c>
    </row>
    <row r="446">
      <c r="A446" s="18" t="n"/>
      <c r="B446" s="17" t="n"/>
      <c r="C446" s="17" t="n"/>
      <c r="D446" s="17" t="n"/>
      <c r="E446" s="19" t="n"/>
      <c r="F446" s="17" t="n"/>
      <c r="G446" s="12">
        <f>IF(A446="","",TEXT(A446,"yyyy-mm"))</f>
        <v/>
      </c>
    </row>
    <row r="447">
      <c r="A447" s="18" t="n"/>
      <c r="B447" s="17" t="n"/>
      <c r="C447" s="17" t="n"/>
      <c r="D447" s="17" t="n"/>
      <c r="E447" s="19" t="n"/>
      <c r="F447" s="17" t="n"/>
      <c r="G447" s="12">
        <f>IF(A447="","",TEXT(A447,"yyyy-mm"))</f>
        <v/>
      </c>
    </row>
    <row r="448">
      <c r="A448" s="18" t="n"/>
      <c r="B448" s="17" t="n"/>
      <c r="C448" s="17" t="n"/>
      <c r="D448" s="17" t="n"/>
      <c r="E448" s="19" t="n"/>
      <c r="F448" s="17" t="n"/>
      <c r="G448" s="12">
        <f>IF(A448="","",TEXT(A448,"yyyy-mm"))</f>
        <v/>
      </c>
    </row>
    <row r="449">
      <c r="A449" s="18" t="n"/>
      <c r="B449" s="17" t="n"/>
      <c r="C449" s="17" t="n"/>
      <c r="D449" s="17" t="n"/>
      <c r="E449" s="19" t="n"/>
      <c r="F449" s="17" t="n"/>
      <c r="G449" s="12">
        <f>IF(A449="","",TEXT(A449,"yyyy-mm"))</f>
        <v/>
      </c>
    </row>
    <row r="450">
      <c r="A450" s="18" t="n"/>
      <c r="B450" s="17" t="n"/>
      <c r="C450" s="17" t="n"/>
      <c r="D450" s="17" t="n"/>
      <c r="E450" s="19" t="n"/>
      <c r="F450" s="17" t="n"/>
      <c r="G450" s="12">
        <f>IF(A450="","",TEXT(A450,"yyyy-mm"))</f>
        <v/>
      </c>
    </row>
    <row r="451">
      <c r="A451" s="18" t="n"/>
      <c r="B451" s="17" t="n"/>
      <c r="C451" s="17" t="n"/>
      <c r="D451" s="17" t="n"/>
      <c r="E451" s="19" t="n"/>
      <c r="F451" s="17" t="n"/>
      <c r="G451" s="12">
        <f>IF(A451="","",TEXT(A451,"yyyy-mm"))</f>
        <v/>
      </c>
    </row>
    <row r="452">
      <c r="A452" s="18" t="n"/>
      <c r="B452" s="17" t="n"/>
      <c r="C452" s="17" t="n"/>
      <c r="D452" s="17" t="n"/>
      <c r="E452" s="19" t="n"/>
      <c r="F452" s="17" t="n"/>
      <c r="G452" s="12">
        <f>IF(A452="","",TEXT(A452,"yyyy-mm"))</f>
        <v/>
      </c>
    </row>
    <row r="453">
      <c r="A453" s="18" t="n"/>
      <c r="B453" s="17" t="n"/>
      <c r="C453" s="17" t="n"/>
      <c r="D453" s="17" t="n"/>
      <c r="E453" s="19" t="n"/>
      <c r="F453" s="17" t="n"/>
      <c r="G453" s="12">
        <f>IF(A453="","",TEXT(A453,"yyyy-mm"))</f>
        <v/>
      </c>
    </row>
    <row r="454">
      <c r="A454" s="18" t="n"/>
      <c r="B454" s="17" t="n"/>
      <c r="C454" s="17" t="n"/>
      <c r="D454" s="17" t="n"/>
      <c r="E454" s="19" t="n"/>
      <c r="F454" s="17" t="n"/>
      <c r="G454" s="12">
        <f>IF(A454="","",TEXT(A454,"yyyy-mm"))</f>
        <v/>
      </c>
    </row>
    <row r="455">
      <c r="A455" s="18" t="n"/>
      <c r="B455" s="17" t="n"/>
      <c r="C455" s="17" t="n"/>
      <c r="D455" s="17" t="n"/>
      <c r="E455" s="19" t="n"/>
      <c r="F455" s="17" t="n"/>
      <c r="G455" s="12">
        <f>IF(A455="","",TEXT(A455,"yyyy-mm"))</f>
        <v/>
      </c>
    </row>
    <row r="456">
      <c r="A456" s="18" t="n"/>
      <c r="B456" s="17" t="n"/>
      <c r="C456" s="17" t="n"/>
      <c r="D456" s="17" t="n"/>
      <c r="E456" s="19" t="n"/>
      <c r="F456" s="17" t="n"/>
      <c r="G456" s="12">
        <f>IF(A456="","",TEXT(A456,"yyyy-mm"))</f>
        <v/>
      </c>
    </row>
    <row r="457">
      <c r="A457" s="18" t="n"/>
      <c r="B457" s="17" t="n"/>
      <c r="C457" s="17" t="n"/>
      <c r="D457" s="17" t="n"/>
      <c r="E457" s="19" t="n"/>
      <c r="F457" s="17" t="n"/>
      <c r="G457" s="12">
        <f>IF(A457="","",TEXT(A457,"yyyy-mm"))</f>
        <v/>
      </c>
    </row>
    <row r="458">
      <c r="A458" s="18" t="n"/>
      <c r="B458" s="17" t="n"/>
      <c r="C458" s="17" t="n"/>
      <c r="D458" s="17" t="n"/>
      <c r="E458" s="19" t="n"/>
      <c r="F458" s="17" t="n"/>
      <c r="G458" s="12">
        <f>IF(A458="","",TEXT(A458,"yyyy-mm"))</f>
        <v/>
      </c>
    </row>
    <row r="459">
      <c r="A459" s="18" t="n"/>
      <c r="B459" s="17" t="n"/>
      <c r="C459" s="17" t="n"/>
      <c r="D459" s="17" t="n"/>
      <c r="E459" s="19" t="n"/>
      <c r="F459" s="17" t="n"/>
      <c r="G459" s="12">
        <f>IF(A459="","",TEXT(A459,"yyyy-mm"))</f>
        <v/>
      </c>
    </row>
    <row r="460">
      <c r="A460" s="18" t="n"/>
      <c r="B460" s="17" t="n"/>
      <c r="C460" s="17" t="n"/>
      <c r="D460" s="17" t="n"/>
      <c r="E460" s="19" t="n"/>
      <c r="F460" s="17" t="n"/>
      <c r="G460" s="12">
        <f>IF(A460="","",TEXT(A460,"yyyy-mm"))</f>
        <v/>
      </c>
    </row>
    <row r="461">
      <c r="A461" s="18" t="n"/>
      <c r="B461" s="17" t="n"/>
      <c r="C461" s="17" t="n"/>
      <c r="D461" s="17" t="n"/>
      <c r="E461" s="19" t="n"/>
      <c r="F461" s="17" t="n"/>
      <c r="G461" s="12">
        <f>IF(A461="","",TEXT(A461,"yyyy-mm"))</f>
        <v/>
      </c>
    </row>
    <row r="462">
      <c r="A462" s="18" t="n"/>
      <c r="B462" s="17" t="n"/>
      <c r="C462" s="17" t="n"/>
      <c r="D462" s="17" t="n"/>
      <c r="E462" s="19" t="n"/>
      <c r="F462" s="17" t="n"/>
      <c r="G462" s="12">
        <f>IF(A462="","",TEXT(A462,"yyyy-mm"))</f>
        <v/>
      </c>
    </row>
    <row r="463">
      <c r="A463" s="18" t="n"/>
      <c r="B463" s="17" t="n"/>
      <c r="C463" s="17" t="n"/>
      <c r="D463" s="17" t="n"/>
      <c r="E463" s="19" t="n"/>
      <c r="F463" s="17" t="n"/>
      <c r="G463" s="12">
        <f>IF(A463="","",TEXT(A463,"yyyy-mm"))</f>
        <v/>
      </c>
    </row>
    <row r="464">
      <c r="A464" s="18" t="n"/>
      <c r="B464" s="17" t="n"/>
      <c r="C464" s="17" t="n"/>
      <c r="D464" s="17" t="n"/>
      <c r="E464" s="19" t="n"/>
      <c r="F464" s="17" t="n"/>
      <c r="G464" s="12">
        <f>IF(A464="","",TEXT(A464,"yyyy-mm"))</f>
        <v/>
      </c>
    </row>
    <row r="465">
      <c r="A465" s="18" t="n"/>
      <c r="B465" s="17" t="n"/>
      <c r="C465" s="17" t="n"/>
      <c r="D465" s="17" t="n"/>
      <c r="E465" s="19" t="n"/>
      <c r="F465" s="17" t="n"/>
      <c r="G465" s="12">
        <f>IF(A465="","",TEXT(A465,"yyyy-mm"))</f>
        <v/>
      </c>
    </row>
    <row r="466">
      <c r="A466" s="18" t="n"/>
      <c r="B466" s="17" t="n"/>
      <c r="C466" s="17" t="n"/>
      <c r="D466" s="17" t="n"/>
      <c r="E466" s="19" t="n"/>
      <c r="F466" s="17" t="n"/>
      <c r="G466" s="12">
        <f>IF(A466="","",TEXT(A466,"yyyy-mm"))</f>
        <v/>
      </c>
    </row>
    <row r="467">
      <c r="A467" s="18" t="n"/>
      <c r="B467" s="17" t="n"/>
      <c r="C467" s="17" t="n"/>
      <c r="D467" s="17" t="n"/>
      <c r="E467" s="19" t="n"/>
      <c r="F467" s="17" t="n"/>
      <c r="G467" s="12">
        <f>IF(A467="","",TEXT(A467,"yyyy-mm"))</f>
        <v/>
      </c>
    </row>
    <row r="468">
      <c r="A468" s="18" t="n"/>
      <c r="B468" s="17" t="n"/>
      <c r="C468" s="17" t="n"/>
      <c r="D468" s="17" t="n"/>
      <c r="E468" s="19" t="n"/>
      <c r="F468" s="17" t="n"/>
      <c r="G468" s="12">
        <f>IF(A468="","",TEXT(A468,"yyyy-mm"))</f>
        <v/>
      </c>
    </row>
    <row r="469">
      <c r="A469" s="18" t="n"/>
      <c r="B469" s="17" t="n"/>
      <c r="C469" s="17" t="n"/>
      <c r="D469" s="17" t="n"/>
      <c r="E469" s="19" t="n"/>
      <c r="F469" s="17" t="n"/>
      <c r="G469" s="12">
        <f>IF(A469="","",TEXT(A469,"yyyy-mm"))</f>
        <v/>
      </c>
    </row>
    <row r="470">
      <c r="A470" s="18" t="n"/>
      <c r="B470" s="17" t="n"/>
      <c r="C470" s="17" t="n"/>
      <c r="D470" s="17" t="n"/>
      <c r="E470" s="19" t="n"/>
      <c r="F470" s="17" t="n"/>
      <c r="G470" s="12">
        <f>IF(A470="","",TEXT(A470,"yyyy-mm"))</f>
        <v/>
      </c>
    </row>
    <row r="471">
      <c r="A471" s="18" t="n"/>
      <c r="B471" s="17" t="n"/>
      <c r="C471" s="17" t="n"/>
      <c r="D471" s="17" t="n"/>
      <c r="E471" s="19" t="n"/>
      <c r="F471" s="17" t="n"/>
      <c r="G471" s="12">
        <f>IF(A471="","",TEXT(A471,"yyyy-mm"))</f>
        <v/>
      </c>
    </row>
    <row r="472">
      <c r="A472" s="18" t="n"/>
      <c r="B472" s="17" t="n"/>
      <c r="C472" s="17" t="n"/>
      <c r="D472" s="17" t="n"/>
      <c r="E472" s="19" t="n"/>
      <c r="F472" s="17" t="n"/>
      <c r="G472" s="12">
        <f>IF(A472="","",TEXT(A472,"yyyy-mm"))</f>
        <v/>
      </c>
    </row>
    <row r="473">
      <c r="A473" s="18" t="n"/>
      <c r="B473" s="17" t="n"/>
      <c r="C473" s="17" t="n"/>
      <c r="D473" s="17" t="n"/>
      <c r="E473" s="19" t="n"/>
      <c r="F473" s="17" t="n"/>
      <c r="G473" s="12">
        <f>IF(A473="","",TEXT(A473,"yyyy-mm"))</f>
        <v/>
      </c>
    </row>
    <row r="474">
      <c r="A474" s="18" t="n"/>
      <c r="B474" s="17" t="n"/>
      <c r="C474" s="17" t="n"/>
      <c r="D474" s="17" t="n"/>
      <c r="E474" s="19" t="n"/>
      <c r="F474" s="17" t="n"/>
      <c r="G474" s="12">
        <f>IF(A474="","",TEXT(A474,"yyyy-mm"))</f>
        <v/>
      </c>
    </row>
    <row r="475">
      <c r="A475" s="18" t="n"/>
      <c r="B475" s="17" t="n"/>
      <c r="C475" s="17" t="n"/>
      <c r="D475" s="17" t="n"/>
      <c r="E475" s="19" t="n"/>
      <c r="F475" s="17" t="n"/>
      <c r="G475" s="12">
        <f>IF(A475="","",TEXT(A475,"yyyy-mm"))</f>
        <v/>
      </c>
    </row>
    <row r="476">
      <c r="A476" s="18" t="n"/>
      <c r="B476" s="17" t="n"/>
      <c r="C476" s="17" t="n"/>
      <c r="D476" s="17" t="n"/>
      <c r="E476" s="19" t="n"/>
      <c r="F476" s="17" t="n"/>
      <c r="G476" s="12">
        <f>IF(A476="","",TEXT(A476,"yyyy-mm"))</f>
        <v/>
      </c>
    </row>
    <row r="477">
      <c r="A477" s="18" t="n"/>
      <c r="B477" s="17" t="n"/>
      <c r="C477" s="17" t="n"/>
      <c r="D477" s="17" t="n"/>
      <c r="E477" s="19" t="n"/>
      <c r="F477" s="17" t="n"/>
      <c r="G477" s="12">
        <f>IF(A477="","",TEXT(A477,"yyyy-mm"))</f>
        <v/>
      </c>
    </row>
    <row r="478">
      <c r="A478" s="18" t="n"/>
      <c r="B478" s="17" t="n"/>
      <c r="C478" s="17" t="n"/>
      <c r="D478" s="17" t="n"/>
      <c r="E478" s="19" t="n"/>
      <c r="F478" s="17" t="n"/>
      <c r="G478" s="12">
        <f>IF(A478="","",TEXT(A478,"yyyy-mm"))</f>
        <v/>
      </c>
    </row>
    <row r="479">
      <c r="A479" s="18" t="n"/>
      <c r="B479" s="17" t="n"/>
      <c r="C479" s="17" t="n"/>
      <c r="D479" s="17" t="n"/>
      <c r="E479" s="19" t="n"/>
      <c r="F479" s="17" t="n"/>
      <c r="G479" s="12">
        <f>IF(A479="","",TEXT(A479,"yyyy-mm"))</f>
        <v/>
      </c>
    </row>
    <row r="480">
      <c r="A480" s="18" t="n"/>
      <c r="B480" s="17" t="n"/>
      <c r="C480" s="17" t="n"/>
      <c r="D480" s="17" t="n"/>
      <c r="E480" s="19" t="n"/>
      <c r="F480" s="17" t="n"/>
      <c r="G480" s="12">
        <f>IF(A480="","",TEXT(A480,"yyyy-mm"))</f>
        <v/>
      </c>
    </row>
    <row r="481">
      <c r="A481" s="18" t="n"/>
      <c r="B481" s="17" t="n"/>
      <c r="C481" s="17" t="n"/>
      <c r="D481" s="17" t="n"/>
      <c r="E481" s="19" t="n"/>
      <c r="F481" s="17" t="n"/>
      <c r="G481" s="12">
        <f>IF(A481="","",TEXT(A481,"yyyy-mm"))</f>
        <v/>
      </c>
    </row>
    <row r="482">
      <c r="A482" s="18" t="n"/>
      <c r="B482" s="17" t="n"/>
      <c r="C482" s="17" t="n"/>
      <c r="D482" s="17" t="n"/>
      <c r="E482" s="19" t="n"/>
      <c r="F482" s="17" t="n"/>
      <c r="G482" s="12">
        <f>IF(A482="","",TEXT(A482,"yyyy-mm"))</f>
        <v/>
      </c>
    </row>
    <row r="483">
      <c r="A483" s="18" t="n"/>
      <c r="B483" s="17" t="n"/>
      <c r="C483" s="17" t="n"/>
      <c r="D483" s="17" t="n"/>
      <c r="E483" s="19" t="n"/>
      <c r="F483" s="17" t="n"/>
      <c r="G483" s="12">
        <f>IF(A483="","",TEXT(A483,"yyyy-mm"))</f>
        <v/>
      </c>
    </row>
    <row r="484">
      <c r="A484" s="18" t="n"/>
      <c r="B484" s="17" t="n"/>
      <c r="C484" s="17" t="n"/>
      <c r="D484" s="17" t="n"/>
      <c r="E484" s="19" t="n"/>
      <c r="F484" s="17" t="n"/>
      <c r="G484" s="12">
        <f>IF(A484="","",TEXT(A484,"yyyy-mm"))</f>
        <v/>
      </c>
    </row>
    <row r="485">
      <c r="A485" s="18" t="n"/>
      <c r="B485" s="17" t="n"/>
      <c r="C485" s="17" t="n"/>
      <c r="D485" s="17" t="n"/>
      <c r="E485" s="19" t="n"/>
      <c r="F485" s="17" t="n"/>
      <c r="G485" s="12">
        <f>IF(A485="","",TEXT(A485,"yyyy-mm"))</f>
        <v/>
      </c>
    </row>
    <row r="486">
      <c r="A486" s="18" t="n"/>
      <c r="B486" s="17" t="n"/>
      <c r="C486" s="17" t="n"/>
      <c r="D486" s="17" t="n"/>
      <c r="E486" s="19" t="n"/>
      <c r="F486" s="17" t="n"/>
      <c r="G486" s="12">
        <f>IF(A486="","",TEXT(A486,"yyyy-mm"))</f>
        <v/>
      </c>
    </row>
    <row r="487">
      <c r="A487" s="18" t="n"/>
      <c r="B487" s="17" t="n"/>
      <c r="C487" s="17" t="n"/>
      <c r="D487" s="17" t="n"/>
      <c r="E487" s="19" t="n"/>
      <c r="F487" s="17" t="n"/>
      <c r="G487" s="12">
        <f>IF(A487="","",TEXT(A487,"yyyy-mm"))</f>
        <v/>
      </c>
    </row>
    <row r="488">
      <c r="A488" s="18" t="n"/>
      <c r="B488" s="17" t="n"/>
      <c r="C488" s="17" t="n"/>
      <c r="D488" s="17" t="n"/>
      <c r="E488" s="19" t="n"/>
      <c r="F488" s="17" t="n"/>
      <c r="G488" s="12">
        <f>IF(A488="","",TEXT(A488,"yyyy-mm"))</f>
        <v/>
      </c>
    </row>
    <row r="489">
      <c r="A489" s="18" t="n"/>
      <c r="B489" s="17" t="n"/>
      <c r="C489" s="17" t="n"/>
      <c r="D489" s="17" t="n"/>
      <c r="E489" s="19" t="n"/>
      <c r="F489" s="17" t="n"/>
      <c r="G489" s="12">
        <f>IF(A489="","",TEXT(A489,"yyyy-mm"))</f>
        <v/>
      </c>
    </row>
    <row r="490">
      <c r="A490" s="18" t="n"/>
      <c r="B490" s="17" t="n"/>
      <c r="C490" s="17" t="n"/>
      <c r="D490" s="17" t="n"/>
      <c r="E490" s="19" t="n"/>
      <c r="F490" s="17" t="n"/>
      <c r="G490" s="12">
        <f>IF(A490="","",TEXT(A490,"yyyy-mm"))</f>
        <v/>
      </c>
    </row>
    <row r="491">
      <c r="A491" s="18" t="n"/>
      <c r="B491" s="17" t="n"/>
      <c r="C491" s="17" t="n"/>
      <c r="D491" s="17" t="n"/>
      <c r="E491" s="19" t="n"/>
      <c r="F491" s="17" t="n"/>
      <c r="G491" s="12">
        <f>IF(A491="","",TEXT(A491,"yyyy-mm"))</f>
        <v/>
      </c>
    </row>
    <row r="492">
      <c r="A492" s="18" t="n"/>
      <c r="B492" s="17" t="n"/>
      <c r="C492" s="17" t="n"/>
      <c r="D492" s="17" t="n"/>
      <c r="E492" s="19" t="n"/>
      <c r="F492" s="17" t="n"/>
      <c r="G492" s="12">
        <f>IF(A492="","",TEXT(A492,"yyyy-mm"))</f>
        <v/>
      </c>
    </row>
    <row r="493">
      <c r="A493" s="18" t="n"/>
      <c r="B493" s="17" t="n"/>
      <c r="C493" s="17" t="n"/>
      <c r="D493" s="17" t="n"/>
      <c r="E493" s="19" t="n"/>
      <c r="F493" s="17" t="n"/>
      <c r="G493" s="12">
        <f>IF(A493="","",TEXT(A493,"yyyy-mm"))</f>
        <v/>
      </c>
    </row>
    <row r="494">
      <c r="A494" s="18" t="n"/>
      <c r="B494" s="17" t="n"/>
      <c r="C494" s="17" t="n"/>
      <c r="D494" s="17" t="n"/>
      <c r="E494" s="19" t="n"/>
      <c r="F494" s="17" t="n"/>
      <c r="G494" s="12">
        <f>IF(A494="","",TEXT(A494,"yyyy-mm"))</f>
        <v/>
      </c>
    </row>
    <row r="495">
      <c r="A495" s="18" t="n"/>
      <c r="B495" s="17" t="n"/>
      <c r="C495" s="17" t="n"/>
      <c r="D495" s="17" t="n"/>
      <c r="E495" s="19" t="n"/>
      <c r="F495" s="17" t="n"/>
      <c r="G495" s="12">
        <f>IF(A495="","",TEXT(A495,"yyyy-mm"))</f>
        <v/>
      </c>
    </row>
    <row r="496">
      <c r="A496" s="18" t="n"/>
      <c r="B496" s="17" t="n"/>
      <c r="C496" s="17" t="n"/>
      <c r="D496" s="17" t="n"/>
      <c r="E496" s="19" t="n"/>
      <c r="F496" s="17" t="n"/>
      <c r="G496" s="12">
        <f>IF(A496="","",TEXT(A496,"yyyy-mm"))</f>
        <v/>
      </c>
    </row>
    <row r="497">
      <c r="A497" s="18" t="n"/>
      <c r="B497" s="17" t="n"/>
      <c r="C497" s="17" t="n"/>
      <c r="D497" s="17" t="n"/>
      <c r="E497" s="19" t="n"/>
      <c r="F497" s="17" t="n"/>
      <c r="G497" s="12">
        <f>IF(A497="","",TEXT(A497,"yyyy-mm"))</f>
        <v/>
      </c>
    </row>
    <row r="498">
      <c r="A498" s="18" t="n"/>
      <c r="B498" s="17" t="n"/>
      <c r="C498" s="17" t="n"/>
      <c r="D498" s="17" t="n"/>
      <c r="E498" s="19" t="n"/>
      <c r="F498" s="17" t="n"/>
      <c r="G498" s="12">
        <f>IF(A498="","",TEXT(A498,"yyyy-mm"))</f>
        <v/>
      </c>
    </row>
    <row r="499">
      <c r="A499" s="18" t="n"/>
      <c r="B499" s="17" t="n"/>
      <c r="C499" s="17" t="n"/>
      <c r="D499" s="17" t="n"/>
      <c r="E499" s="19" t="n"/>
      <c r="F499" s="17" t="n"/>
      <c r="G499" s="12">
        <f>IF(A499="","",TEXT(A499,"yyyy-mm"))</f>
        <v/>
      </c>
    </row>
    <row r="500">
      <c r="A500" s="18" t="n"/>
      <c r="B500" s="17" t="n"/>
      <c r="C500" s="17" t="n"/>
      <c r="D500" s="17" t="n"/>
      <c r="E500" s="19" t="n"/>
      <c r="F500" s="17" t="n"/>
      <c r="G500" s="12">
        <f>IF(A500="","",TEXT(A500,"yyyy-mm"))</f>
        <v/>
      </c>
    </row>
    <row r="501">
      <c r="A501" s="18" t="n"/>
      <c r="B501" s="17" t="n"/>
      <c r="C501" s="17" t="n"/>
      <c r="D501" s="17" t="n"/>
      <c r="E501" s="19" t="n"/>
      <c r="F501" s="17" t="n"/>
      <c r="G501" s="12">
        <f>IF(A501="","",TEXT(A501,"yyyy-mm"))</f>
        <v/>
      </c>
    </row>
  </sheetData>
  <autoFilter ref="A1:G501"/>
  <dataValidations count="2">
    <dataValidation sqref="B2:B501" showDropDown="0" showInputMessage="0" showErrorMessage="0" allowBlank="1" type="list">
      <formula1>"Masuk,Keluar"</formula1>
    </dataValidation>
    <dataValidation sqref="C2:C501" showDropDown="0" showInputMessage="0" showErrorMessage="0" allowBlank="1" type="list">
      <formula1>"Penjualan lampu,Ongkir diterima,Penjualan bagian,B2B/hampers,Filamen,Komponen,Kemasan,Ongkir dibayar,Listrik,Marketing/iklan,Fee marketplace,Peralatan,Lain-lain"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24" t="inlineStr">
        <is>
          <t>RITME</t>
        </is>
      </c>
      <c r="B1" s="27" t="inlineStr">
        <is>
          <t>Apa yang dicatat, di mana, kapan</t>
        </is>
      </c>
    </row>
    <row r="2">
      <c r="A2" s="24" t="inlineStr">
        <is>
          <t>Setiap pesanan</t>
        </is>
      </c>
      <c r="B2" s="27" t="inlineStr">
        <is>
          <t>admin.html: tempel pesan WA → simpan. Saat bayar: tambah baris di tab Kas (Masuk, Penjualan lampu, ref ID pesanan). Saat cetak selesai: tab Kartu_Stok, kolom Keluar untuk filamen (kg) dan kit/LED/kemasan (pcs), ref ID pesanan.</t>
        </is>
      </c>
    </row>
    <row r="3">
      <c r="A3" s="24" t="inlineStr">
        <is>
          <t>Setiap belanja</t>
        </is>
      </c>
      <c r="B3" s="27" t="inlineStr">
        <is>
          <t>Tab Kas (Keluar, kategori) DAN tab Kartu_Stok (Masuk) pada hari yang sama. Dua baris, satu nota.</t>
        </is>
      </c>
    </row>
    <row r="4">
      <c r="A4" s="24" t="inlineStr">
        <is>
          <t>Harian (pagi &amp; sore, 5 menit)</t>
        </is>
      </c>
      <c r="B4" s="27" t="inlineStr">
        <is>
          <t>Dashboard baris 5–10: chat belum dibalas harus 0 sebelum tutup hari; cek Tunggu bayar &gt; 1 hari (kirim /ingat sekali); cek Terlambat dan Item stok BELI.</t>
        </is>
      </c>
    </row>
    <row r="5">
      <c r="A5" s="24" t="inlineStr">
        <is>
          <t>Mingguan (Sabtu, 20 menit)</t>
        </is>
      </c>
      <c r="B5" s="27" t="inlineStr">
        <is>
          <t>1) admin.html → Unduh CSV → tempel ke tab Pesanan (ganti semua baris). 2) admin.html → Unduh JSON (cadangan). 3) Tab Stok: hitung fisik 7 roll filamen dan kit; kalau beda dengan Saldo, tambah baris koreksi di Kartu_Stok. 4) Pesan ulang semua item berstatus BELI.</t>
        </is>
      </c>
    </row>
    <row r="6">
      <c r="A6" s="24" t="inlineStr">
        <is>
          <t>Bulanan (tanggal 1, 30 menit)</t>
        </is>
      </c>
      <c r="B6" s="27" t="inlineStr">
        <is>
          <t>1) Dashboard B2 ganti ke bulan yang baru selesai; catat 4 angka: pesanan, konversi, omzet, kas bersih. 2) Salin angka itu ke sheet Actual_vs_Target di model keuangan. 3) Bandingkan Stok!Nilai seluruh stok dengan proyeksi Inventory_Stock. 4) Tinjau warna/bentuk terlaris (Laporan di model lama atau filter Pesanan) → tentukan modul jadi yang distok bulan depan.</t>
        </is>
      </c>
    </row>
    <row r="7">
      <c r="A7" s="24" t="inlineStr"/>
      <c r="B7" s="27" t="inlineStr"/>
    </row>
    <row r="8">
      <c r="A8" s="24" t="inlineStr">
        <is>
          <t>TAB</t>
        </is>
      </c>
      <c r="B8" s="27" t="inlineStr">
        <is>
          <t>Fungsi</t>
        </is>
      </c>
    </row>
    <row r="9">
      <c r="A9" s="24" t="inlineStr">
        <is>
          <t>Dashboard</t>
        </is>
      </c>
      <c r="B9" s="27" t="inlineStr">
        <is>
          <t>Angka harian dan bulanan, 6 bulan terakhir, daftar stok yang harus dibeli. Tidak diketik, hanya dibaca.</t>
        </is>
      </c>
    </row>
    <row r="10">
      <c r="A10" s="24" t="inlineStr">
        <is>
          <t>Pesanan</t>
        </is>
      </c>
      <c r="B10" s="27" t="inlineStr">
        <is>
          <t>Rekap semua pesanan; sumbernya admin.html (CSV). Boleh diedit manual kalau ada pesanan di luar website (B2B).</t>
        </is>
      </c>
    </row>
    <row r="11">
      <c r="A11" s="24" t="inlineStr">
        <is>
          <t>Kas</t>
        </is>
      </c>
      <c r="B11" s="27" t="inlineStr">
        <is>
          <t>Semua uang masuk dan keluar. Satu baris per transaksi. Ini sumber laporan keuangan bulanan.</t>
        </is>
      </c>
    </row>
    <row r="12">
      <c r="A12" s="24" t="inlineStr">
        <is>
          <t>Stok</t>
        </is>
      </c>
      <c r="B12" s="27" t="inlineStr">
        <is>
          <t>Master item dan saldo. Hanya kolom biru yang diketik (harga, minimum, lead time).</t>
        </is>
      </c>
    </row>
    <row r="13">
      <c r="A13" s="24" t="inlineStr">
        <is>
          <t>Kartu_Stok</t>
        </is>
      </c>
      <c r="B13" s="27" t="inlineStr">
        <is>
          <t>Buku besar stok: setiap masuk/keluar satu baris. Saldo di tab Stok dihitung dari sini.</t>
        </is>
      </c>
    </row>
    <row r="14">
      <c r="A14" s="24" t="inlineStr"/>
      <c r="B14" s="27" t="inlineStr"/>
    </row>
    <row r="15">
      <c r="A15" s="24" t="inlineStr">
        <is>
          <t>GOOGLE SHEETS</t>
        </is>
      </c>
      <c r="B15" s="27" t="inlineStr">
        <is>
          <t>Buka sheets.google.com → Blank → File → Import → Upload file ini → 'Replace spreadsheet'. Semua rumus, dropdown, dan warna baris ikut terbawa. Setelah itu buka dari HP lewat aplikasi Google Sheets; tab Kas dan Kartu_Stok paling sering diisi dari HP.</t>
        </is>
      </c>
    </row>
    <row r="16">
      <c r="A16" s="24" t="inlineStr">
        <is>
          <t>Kolom tanggal</t>
        </is>
      </c>
      <c r="B16" s="27" t="inlineStr">
        <is>
          <t>Ketik yyyy-mm-dd (mis. 2026-10-06) supaya rumus bulan membaca dengan benar. Di Google Sheets format ini otomatis dikenali.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2026-10-05T14:31:40Z</dcterms:created>
  <dcterms:modified xsi:type="dcterms:W3CDTF">2026-10-05T14:31:41Z</dcterms:modified>
</cp:coreProperties>
</file>